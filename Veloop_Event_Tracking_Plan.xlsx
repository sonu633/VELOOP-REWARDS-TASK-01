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vent Catalogue" sheetId="2" state="visible" r:id="rId4"/>
    <sheet name="Naming Standard" sheetId="3" state="visible" r:id="rId5"/>
    <sheet name="Common Properties" sheetId="4" state="visible" r:id="rId6"/>
    <sheet name="Property Dictionary" sheetId="5" state="visible" r:id="rId7"/>
    <sheet name="KPI Map" sheetId="6" state="visible" r:id="rId8"/>
    <sheet name="Coverage Check" sheetId="7" state="visible" r:id="rId9"/>
  </sheets>
  <definedNames>
    <definedName function="false" hidden="true" localSheetId="1" name="_xlnm._FilterDatabase" vbProcedure="false">'Event Catalogue'!$A$1:$S$40</definedName>
    <definedName function="false" hidden="true" localSheetId="4" name="_xlnm._FilterDatabase" vbProcedure="false">'Property Dictionary'!$A$1:$G$86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<sst xmlns="http://schemas.openxmlformats.org/spreadsheetml/2006/main" count="1392" uniqueCount="910">
  <si>
    <t xml:space="preserve">Veloop Production Event Tracking Plan - Work Package F</t>
  </si>
  <si>
    <t xml:space="preserve">Purpose: a catalogue engineering can review, build and test. Every event lists its trigger, definition, required and optional properties, validation, source, business purpose and the KPIs that depend on it.</t>
  </si>
  <si>
    <t xml:space="preserve">ASSUMPTION: Veloop is a tasks-and-rewards app with wallet and withdrawals. Product specifics (task types, reward units, payout methods, activation and conversion rules) are PROPOSED and must be confirmed with product and engineering.</t>
  </si>
  <si>
    <t xml:space="preserve">Sheets</t>
  </si>
  <si>
    <t xml:space="preserve">Event Catalogue - the main deliverable, one row per event (see columns below).</t>
  </si>
  <si>
    <t xml:space="preserve">Naming Standard - the convention (object_action, snake_case, past tense), rules and the reasoning.</t>
  </si>
  <si>
    <t xml:space="preserve">Common Properties - fields every event must carry (event_id, user_id, event_timestamp, etc.).</t>
  </si>
  <si>
    <t xml:space="preserve">Property Dictionary - every event property with type, definition and allowed values; usage counts are formulas.</t>
  </si>
  <si>
    <t xml:space="preserve">KPI Map - each KPI and how many events it depends on (formula).</t>
  </si>
  <si>
    <t xml:space="preserve">Coverage Check - verifies every minimum-list event is in the catalogue and that names follow the standard.</t>
  </si>
  <si>
    <t xml:space="preserve">How this plan was made</t>
  </si>
  <si>
    <t xml:space="preserve">1. List the business questions and KPIs first (KPI Map).</t>
  </si>
  <si>
    <t xml:space="preserve">2. Walk the user journey: account, tasks, rewards, engagement, referrals, wallet, withdrawals.</t>
  </si>
  <si>
    <t xml:space="preserve">3. For each step, define one event for each business fact that must be countable, with a clear trigger.</t>
  </si>
  <si>
    <t xml:space="preserve">4. Decide the source. Money, rewards and status changes are fired from the backend only; UI actions from the client.</t>
  </si>
  <si>
    <t xml:space="preserve">5. Define properties once in the Property Dictionary and reuse the same name and type everywhere.</t>
  </si>
  <si>
    <t xml:space="preserve">6. Add validation rules engineering can turn into automated tests (uniqueness, ordering, allowed values).</t>
  </si>
  <si>
    <t xml:space="preserve">7. Mark each event Proposed/Conditional, then update Implementation Status as work progresses.</t>
  </si>
  <si>
    <t xml:space="preserve">Status values</t>
  </si>
  <si>
    <t xml:space="preserve">Status: Proposed | Proposed - confirm feature exists | Proposed - low priority | Confirmed (after product and engineering sign-off).</t>
  </si>
  <si>
    <t xml:space="preserve">Implementation Status: Not started | In design | In development | In QA | Live.</t>
  </si>
  <si>
    <t xml:space="preserve">Conditional events (daily reward, streak, mission, badge, spin, KYC, reward expiry) exist only if the product has that feature. Delete rows for features that do not exist.</t>
  </si>
  <si>
    <t xml:space="preserve">Cat #</t>
  </si>
  <si>
    <t xml:space="preserve">Feature</t>
  </si>
  <si>
    <t xml:space="preserve">Event Name</t>
  </si>
  <si>
    <t xml:space="preserve">Coverage Type</t>
  </si>
  <si>
    <t xml:space="preserve">Trigger</t>
  </si>
  <si>
    <t xml:space="preserve">Definition</t>
  </si>
  <si>
    <t xml:space="preserve">User ID</t>
  </si>
  <si>
    <t xml:space="preserve">Event ID</t>
  </si>
  <si>
    <t xml:space="preserve">Timestamp</t>
  </si>
  <si>
    <t xml:space="preserve">Status</t>
  </si>
  <si>
    <t xml:space="preserve">Required Properties</t>
  </si>
  <si>
    <t xml:space="preserve">Optional Properties</t>
  </si>
  <si>
    <t xml:space="preserve">Data Type</t>
  </si>
  <si>
    <t xml:space="preserve">Validation</t>
  </si>
  <si>
    <t xml:space="preserve">Source</t>
  </si>
  <si>
    <t xml:space="preserve">Business Purpose</t>
  </si>
  <si>
    <t xml:space="preserve">KPI Dependency</t>
  </si>
  <si>
    <t xml:space="preserve">Implementation Status</t>
  </si>
  <si>
    <t xml:space="preserve">Naming Check</t>
  </si>
  <si>
    <t xml:space="preserve">E001</t>
  </si>
  <si>
    <t xml:space="preserve">Account</t>
  </si>
  <si>
    <t xml:space="preserve">user_registered</t>
  </si>
  <si>
    <t xml:space="preserve">Minimum list</t>
  </si>
  <si>
    <t xml:space="preserve">Server confirms a new account was created and verified.</t>
  </si>
  <si>
    <t xml:space="preserve">A new user account exists.</t>
  </si>
  <si>
    <t xml:space="preserve">user_id (string) - required, newly created ID</t>
  </si>
  <si>
    <t xml:space="preserve">event_id (UUID v4) - required, generated at source</t>
  </si>
  <si>
    <t xml:space="preserve">event_timestamp (UTC ISO 8601) - required; received_at added by pipeline</t>
  </si>
  <si>
    <t xml:space="preserve">Proposed</t>
  </si>
  <si>
    <t xml:space="preserve">signup_method</t>
  </si>
  <si>
    <t xml:space="preserve">referral_code, signup_entry_point</t>
  </si>
  <si>
    <t xml:space="preserve">signup_method:enum; referral_code:string; signup_entry_point:string</t>
  </si>
  <si>
    <t xml:space="preserve">Fires exactly once per user_id; signup_method in list; referral_code valid if present.</t>
  </si>
  <si>
    <t xml:space="preserve">Backend (auth service)</t>
  </si>
  <si>
    <t xml:space="preserve">Measures acquisition and seeds every cohort.</t>
  </si>
  <si>
    <t xml:space="preserve">K01 New registrations; K02 Activation rate; K05 Retention; K11 Referral conversion</t>
  </si>
  <si>
    <t xml:space="preserve">Not started</t>
  </si>
  <si>
    <t xml:space="preserve">E002</t>
  </si>
  <si>
    <t xml:space="preserve">user_logged_in</t>
  </si>
  <si>
    <t xml:space="preserve">Server accepts credentials and starts a session.</t>
  </si>
  <si>
    <t xml:space="preserve">A user authenticated successfully.</t>
  </si>
  <si>
    <t xml:space="preserve">user_id (string) - required</t>
  </si>
  <si>
    <t xml:space="preserve">login_method</t>
  </si>
  <si>
    <t xml:space="preserve">is_first_login, device_changed</t>
  </si>
  <si>
    <t xml:space="preserve">login_method:enum; is_first_login:boolean; device_changed:boolean</t>
  </si>
  <si>
    <t xml:space="preserve">user_id must exist; login_method in list; one event per new session.</t>
  </si>
  <si>
    <t xml:space="preserve">Counts active users and return frequency.</t>
  </si>
  <si>
    <t xml:space="preserve">K04 DAU/WAU/MAU; K05 Retention</t>
  </si>
  <si>
    <t xml:space="preserve">E003</t>
  </si>
  <si>
    <t xml:space="preserve">user_logged_out</t>
  </si>
  <si>
    <t xml:space="preserve">User taps log out, or system ends session by force.</t>
  </si>
  <si>
    <t xml:space="preserve">A session ended deliberately or by security action.</t>
  </si>
  <si>
    <t xml:space="preserve">Proposed - low priority</t>
  </si>
  <si>
    <t xml:space="preserve">logout_reason</t>
  </si>
  <si>
    <t xml:space="preserve">logout_reason:enum</t>
  </si>
  <si>
    <t xml:space="preserve">Do NOT fire for silent token expiry or app close; logout_reason in list.</t>
  </si>
  <si>
    <t xml:space="preserve">Client (app) + Backend</t>
  </si>
  <si>
    <t xml:space="preserve">Diagnoses forced logouts and security resets; low priority.</t>
  </si>
  <si>
    <t xml:space="preserve">K04 DAU/WAU/MAU</t>
  </si>
  <si>
    <t xml:space="preserve">E004</t>
  </si>
  <si>
    <t xml:space="preserve">app_opened</t>
  </si>
  <si>
    <t xml:space="preserve">Analyst-added</t>
  </si>
  <si>
    <t xml:space="preserve">App enters foreground (cold or warm start).</t>
  </si>
  <si>
    <t xml:space="preserve">User opened the app.</t>
  </si>
  <si>
    <t xml:space="preserve">user_id (string) - nullable if logged out; anonymous_id required then</t>
  </si>
  <si>
    <t xml:space="preserve">open_source</t>
  </si>
  <si>
    <t xml:space="preserve">open_source:enum</t>
  </si>
  <si>
    <t xml:space="preserve">At most once per foreground transition; user_id null allowed (use anonymous_id).</t>
  </si>
  <si>
    <t xml:space="preserve">Client (app)</t>
  </si>
  <si>
    <t xml:space="preserve">Top of funnel for engagement; links push campaigns to opens.</t>
  </si>
  <si>
    <t xml:space="preserve">E005</t>
  </si>
  <si>
    <t xml:space="preserve">onboarding_started</t>
  </si>
  <si>
    <t xml:space="preserve">First onboarding screen is shown after registration.</t>
  </si>
  <si>
    <t xml:space="preserve">User began the onboarding flow.</t>
  </si>
  <si>
    <t xml:space="preserve">onboarding_flow_version, onboarding_total_steps</t>
  </si>
  <si>
    <t xml:space="preserve">signup_entry_point</t>
  </si>
  <si>
    <t xml:space="preserve">onboarding_flow_version:string; onboarding_total_steps:integer; signup_entry_point:string</t>
  </si>
  <si>
    <t xml:space="preserve">Once per user per flow version; must follow user_registered.</t>
  </si>
  <si>
    <t xml:space="preserve">Start of onboarding funnel.</t>
  </si>
  <si>
    <t xml:space="preserve">K03 Onboarding completion; K02 Activation rate</t>
  </si>
  <si>
    <t xml:space="preserve">E006</t>
  </si>
  <si>
    <t xml:space="preserve">onboarding_step_completed</t>
  </si>
  <si>
    <t xml:space="preserve">User completes one step of onboarding.</t>
  </si>
  <si>
    <t xml:space="preserve">One onboarding step finished.</t>
  </si>
  <si>
    <t xml:space="preserve">onboarding_step_id, onboarding_step_index</t>
  </si>
  <si>
    <t xml:space="preserve">step_duration_sec</t>
  </si>
  <si>
    <t xml:space="preserve">onboarding_step_id:string; onboarding_step_index:integer; step_duration_sec:integer</t>
  </si>
  <si>
    <t xml:space="preserve">Index between 1 and onboarding_total_steps; ordered by index.</t>
  </si>
  <si>
    <t xml:space="preserve">Finds drop-off step inside onboarding.</t>
  </si>
  <si>
    <t xml:space="preserve">K03 Onboarding completion</t>
  </si>
  <si>
    <t xml:space="preserve">E007</t>
  </si>
  <si>
    <t xml:space="preserve">onboarding_completed</t>
  </si>
  <si>
    <t xml:space="preserve">User finishes last required onboarding step.</t>
  </si>
  <si>
    <t xml:space="preserve">User completed onboarding.</t>
  </si>
  <si>
    <t xml:space="preserve">onboarding_flow_version, onboarding_duration_sec</t>
  </si>
  <si>
    <t xml:space="preserve">skipped_steps_count</t>
  </si>
  <si>
    <t xml:space="preserve">onboarding_flow_version:string; onboarding_duration_sec:integer; skipped_steps_count:integer</t>
  </si>
  <si>
    <t xml:space="preserve">Once per user; requires prior onboarding_started; duration &gt;= 0.</t>
  </si>
  <si>
    <t xml:space="preserve">End of onboarding funnel; activation prerequisite.</t>
  </si>
  <si>
    <t xml:space="preserve">E008</t>
  </si>
  <si>
    <t xml:space="preserve">kyc_submitted</t>
  </si>
  <si>
    <t xml:space="preserve">User submits identity documents or details.</t>
  </si>
  <si>
    <t xml:space="preserve">Identity verification was submitted.</t>
  </si>
  <si>
    <t xml:space="preserve">Proposed - confirm feature exists</t>
  </si>
  <si>
    <t xml:space="preserve">kyc_request_id, kyc_level</t>
  </si>
  <si>
    <t xml:space="preserve">kyc_request_id:string; kyc_level:enum</t>
  </si>
  <si>
    <t xml:space="preserve">Unique kyc_request_id; no raw personal data in properties.</t>
  </si>
  <si>
    <t xml:space="preserve">Tracks verification funnel that gates withdrawals.</t>
  </si>
  <si>
    <t xml:space="preserve">K13 Withdrawal success rate; K14 Time to payout</t>
  </si>
  <si>
    <t xml:space="preserve">E009</t>
  </si>
  <si>
    <t xml:space="preserve">kyc_completed</t>
  </si>
  <si>
    <t xml:space="preserve">Verification provider returns a final result.</t>
  </si>
  <si>
    <t xml:space="preserve">Identity verification reached a final state.</t>
  </si>
  <si>
    <t xml:space="preserve">kyc_request_id, kyc_result</t>
  </si>
  <si>
    <t xml:space="preserve">kyc_level</t>
  </si>
  <si>
    <t xml:space="preserve">kyc_request_id:string; kyc_result:enum; kyc_level:enum</t>
  </si>
  <si>
    <t xml:space="preserve">Matches an earlier kyc_submitted; result in list.</t>
  </si>
  <si>
    <t xml:space="preserve">Backend (verification provider webhook)</t>
  </si>
  <si>
    <t xml:space="preserve">Explains withdrawal rejections and delays.</t>
  </si>
  <si>
    <t xml:space="preserve">K13 Withdrawal success rate; K15 Withdrawal rejection rate</t>
  </si>
  <si>
    <t xml:space="preserve">E010</t>
  </si>
  <si>
    <t xml:space="preserve">Tasks</t>
  </si>
  <si>
    <t xml:space="preserve">task_viewed</t>
  </si>
  <si>
    <t xml:space="preserve">Task card is visible on screen for at least 1 second.</t>
  </si>
  <si>
    <t xml:space="preserve">A task was shown to the user (impression).</t>
  </si>
  <si>
    <t xml:space="preserve">task_id, task_type, list_position</t>
  </si>
  <si>
    <t xml:space="preserve">task_provider, task_payout_amount, view_source</t>
  </si>
  <si>
    <t xml:space="preserve">task_id:string; task_type:enum; list_position:integer; task_provider:string; task_payout_amount:decimal; view_source:enum</t>
  </si>
  <si>
    <t xml:space="preserve">list_position &gt;= 1; dedupe per task per list render; consider sampling if volume is high.</t>
  </si>
  <si>
    <t xml:space="preserve">Impression denominator for task conversion.</t>
  </si>
  <si>
    <t xml:space="preserve">K06 Task completion rate</t>
  </si>
  <si>
    <t xml:space="preserve">E011</t>
  </si>
  <si>
    <t xml:space="preserve">task_opened</t>
  </si>
  <si>
    <t xml:space="preserve">User taps a task to see its detail.</t>
  </si>
  <si>
    <t xml:space="preserve">User opened a task.</t>
  </si>
  <si>
    <t xml:space="preserve">task_id, task_type</t>
  </si>
  <si>
    <t xml:space="preserve">list_position, view_source, task_provider</t>
  </si>
  <si>
    <t xml:space="preserve">task_id:string; task_type:enum; list_position:integer; view_source:enum; task_provider:string</t>
  </si>
  <si>
    <t xml:space="preserve">Must follow a task_viewed for same task in session (except deep links).</t>
  </si>
  <si>
    <t xml:space="preserve">Measures interest and view-to-open rate.</t>
  </si>
  <si>
    <t xml:space="preserve">E012</t>
  </si>
  <si>
    <t xml:space="preserve">task_started</t>
  </si>
  <si>
    <t xml:space="preserve">User begins the task (taps start / is sent to partner).</t>
  </si>
  <si>
    <t xml:space="preserve">A task attempt began.</t>
  </si>
  <si>
    <t xml:space="preserve">task_id, task_attempt_id, task_type</t>
  </si>
  <si>
    <t xml:space="preserve">task_provider</t>
  </si>
  <si>
    <t xml:space="preserve">task_id:string; task_attempt_id:string; task_type:enum; task_provider:string</t>
  </si>
  <si>
    <t xml:space="preserve">task_attempt_id unique; one active attempt per task per user.</t>
  </si>
  <si>
    <t xml:space="preserve">Backend (task service)</t>
  </si>
  <si>
    <t xml:space="preserve">Start of attempt; denominator for completion and failure.</t>
  </si>
  <si>
    <t xml:space="preserve">K06 Task completion rate; K07 Task failure rate</t>
  </si>
  <si>
    <t xml:space="preserve">E013</t>
  </si>
  <si>
    <t xml:space="preserve">task_completed</t>
  </si>
  <si>
    <t xml:space="preserve">Server verifies the task was completed.</t>
  </si>
  <si>
    <t xml:space="preserve">A task attempt was completed and verified.</t>
  </si>
  <si>
    <t xml:space="preserve">task_id, task_attempt_id, task_type, completion_duration_sec</t>
  </si>
  <si>
    <t xml:space="preserve">task_provider, completion_source</t>
  </si>
  <si>
    <t xml:space="preserve">task_id:string; task_attempt_id:string; task_type:enum; completion_duration_sec:integer; task_provider:string; completion_source:enum</t>
  </si>
  <si>
    <t xml:space="preserve">Matches a task_started with same attempt id; at most one completion per attempt.</t>
  </si>
  <si>
    <t xml:space="preserve">Backend (task service / partner postback)</t>
  </si>
  <si>
    <t xml:space="preserve">Core engagement and earning action.</t>
  </si>
  <si>
    <t xml:space="preserve">K06 Task completion rate; K02 Activation rate; K08 Reward cost</t>
  </si>
  <si>
    <t xml:space="preserve">E014</t>
  </si>
  <si>
    <t xml:space="preserve">task_failed</t>
  </si>
  <si>
    <t xml:space="preserve">Attempt ends unsuccessfully (timeout, rejection, error).</t>
  </si>
  <si>
    <t xml:space="preserve">A task attempt did not succeed.</t>
  </si>
  <si>
    <t xml:space="preserve">task_id, task_attempt_id, failure_reason</t>
  </si>
  <si>
    <t xml:space="preserve">failure_stage, task_provider</t>
  </si>
  <si>
    <t xml:space="preserve">task_id:string; task_attempt_id:string; failure_reason:enum; failure_stage:enum; task_provider:string</t>
  </si>
  <si>
    <t xml:space="preserve">Matches a task_started; mutually exclusive with task_completed for the same attempt.</t>
  </si>
  <si>
    <t xml:space="preserve">Finds broken tasks, partners and fraud patterns.</t>
  </si>
  <si>
    <t xml:space="preserve">K07 Task failure rate; K16 Fraud rate</t>
  </si>
  <si>
    <t xml:space="preserve">E015</t>
  </si>
  <si>
    <t xml:space="preserve">Rewards</t>
  </si>
  <si>
    <t xml:space="preserve">reward_credited</t>
  </si>
  <si>
    <t xml:space="preserve">Reward amount is posted to the user's available balance.</t>
  </si>
  <si>
    <t xml:space="preserve">A reward became spendable/withdrawable.</t>
  </si>
  <si>
    <t xml:space="preserve">reward_id, reward_amount, reward_unit, reward_source</t>
  </si>
  <si>
    <t xml:space="preserve">source_entity_id, wallet_ledger_entry_id</t>
  </si>
  <si>
    <t xml:space="preserve">reward_id:string; reward_amount:decimal; reward_unit:enum; reward_source:enum; source_entity_id:string; wallet_ledger_entry_id:string</t>
  </si>
  <si>
    <t xml:space="preserve">reward_amount &gt; 0; reward_id unique; must reconcile to a wallet_transaction_completed.</t>
  </si>
  <si>
    <t xml:space="preserve">Backend (rewards service)</t>
  </si>
  <si>
    <t xml:space="preserve">Measures reward cost and user earnings.</t>
  </si>
  <si>
    <t xml:space="preserve">K08 Reward cost; K09 Reward liability; K18 Ledger reconciliation</t>
  </si>
  <si>
    <t xml:space="preserve">E016</t>
  </si>
  <si>
    <t xml:space="preserve">reward_pending</t>
  </si>
  <si>
    <t xml:space="preserve">Reward is earned but held for validation.</t>
  </si>
  <si>
    <t xml:space="preserve">A reward is earned but not yet available.</t>
  </si>
  <si>
    <t xml:space="preserve">reward_id, reward_amount, reward_unit, reward_source, pending_reason</t>
  </si>
  <si>
    <t xml:space="preserve">source_entity_id, expected_release_at</t>
  </si>
  <si>
    <t xml:space="preserve">reward_id:string; reward_amount:decimal; reward_unit:enum; reward_source:enum; pending_reason:enum; source_entity_id:string; expected_release_at:timestamp</t>
  </si>
  <si>
    <t xml:space="preserve">expected_release_at in the future; later followed by reward_credited or reward_reversed.</t>
  </si>
  <si>
    <t xml:space="preserve">Sizes pending liability and hold times.</t>
  </si>
  <si>
    <t xml:space="preserve">K09 Reward liability; K10 Reward reversal rate</t>
  </si>
  <si>
    <t xml:space="preserve">E017</t>
  </si>
  <si>
    <t xml:space="preserve">reward_reversed</t>
  </si>
  <si>
    <t xml:space="preserve">A pending or credited reward is cancelled and clawed back.</t>
  </si>
  <si>
    <t xml:space="preserve">A reward was taken back.</t>
  </si>
  <si>
    <t xml:space="preserve">reward_id, reward_amount, reward_unit, reversal_reason</t>
  </si>
  <si>
    <t xml:space="preserve">original_reward_status, wallet_ledger_entry_id</t>
  </si>
  <si>
    <t xml:space="preserve">reward_id:string; reward_amount:decimal; reward_unit:enum; reversal_reason:enum; original_reward_status:enum; wallet_ledger_entry_id:string</t>
  </si>
  <si>
    <t xml:space="preserve">reward_id must exist; reason in list; amount &lt;= original.</t>
  </si>
  <si>
    <t xml:space="preserve">Tracks fraud, chargebacks and overpayment.</t>
  </si>
  <si>
    <t xml:space="preserve">K10 Reward reversal rate; K16 Fraud rate; K09 Reward liability</t>
  </si>
  <si>
    <t xml:space="preserve">E018</t>
  </si>
  <si>
    <t xml:space="preserve">reward_expired</t>
  </si>
  <si>
    <t xml:space="preserve">Unclaimed or unused reward passes its expiry.</t>
  </si>
  <si>
    <t xml:space="preserve">A reward expired unused.</t>
  </si>
  <si>
    <t xml:space="preserve">Proposed - only if rewards expire</t>
  </si>
  <si>
    <t xml:space="preserve">reward_id, reward_amount, reward_unit, expiry_at</t>
  </si>
  <si>
    <t xml:space="preserve">reward_id:string; reward_amount:decimal; reward_unit:enum; expiry_at:timestamp</t>
  </si>
  <si>
    <t xml:space="preserve">Only if rewards expire; expiry_at &lt;= event time.</t>
  </si>
  <si>
    <t xml:space="preserve">Reduces liability; signals poor reward UX.</t>
  </si>
  <si>
    <t xml:space="preserve">K09 Reward liability</t>
  </si>
  <si>
    <t xml:space="preserve">E019</t>
  </si>
  <si>
    <t xml:space="preserve">Engagement</t>
  </si>
  <si>
    <t xml:space="preserve">daily_reward_claimed</t>
  </si>
  <si>
    <t xml:space="preserve">Minimum list (conditional)</t>
  </si>
  <si>
    <t xml:space="preserve">User claims the daily reward and server accepts it.</t>
  </si>
  <si>
    <t xml:space="preserve">The daily reward was claimed.</t>
  </si>
  <si>
    <t xml:space="preserve">daily_reward_day_index, reward_id</t>
  </si>
  <si>
    <t xml:space="preserve">current_streak</t>
  </si>
  <si>
    <t xml:space="preserve">daily_reward_day_index:integer; reward_id:string; current_streak:integer</t>
  </si>
  <si>
    <t xml:space="preserve">One claim per user per day (user's timezone); links to reward_credited.</t>
  </si>
  <si>
    <t xml:space="preserve">Backend (engagement service)</t>
  </si>
  <si>
    <t xml:space="preserve">Daily habit measurement.</t>
  </si>
  <si>
    <t xml:space="preserve">K04 DAU/WAU/MAU; K17 Engagement-mechanic participation</t>
  </si>
  <si>
    <t xml:space="preserve">E020</t>
  </si>
  <si>
    <t xml:space="preserve">streak_updated</t>
  </si>
  <si>
    <t xml:space="preserve">Server increments, resets or freezes a streak.</t>
  </si>
  <si>
    <t xml:space="preserve">A streak value changed.</t>
  </si>
  <si>
    <t xml:space="preserve">current_streak, previous_streak, streak_action</t>
  </si>
  <si>
    <t xml:space="preserve">current_streak:integer; previous_streak:integer; streak_action:enum</t>
  </si>
  <si>
    <t xml:space="preserve">increment: current = previous + 1; reset: current = 0.</t>
  </si>
  <si>
    <t xml:space="preserve">Streak health and retention driver.</t>
  </si>
  <si>
    <t xml:space="preserve">K05 Retention; K17 Engagement-mechanic participation</t>
  </si>
  <si>
    <t xml:space="preserve">E021</t>
  </si>
  <si>
    <t xml:space="preserve">mission_started</t>
  </si>
  <si>
    <t xml:space="preserve">User accepts or is auto-enrolled in a mission.</t>
  </si>
  <si>
    <t xml:space="preserve">A mission began.</t>
  </si>
  <si>
    <t xml:space="preserve">mission_id, mission_type</t>
  </si>
  <si>
    <t xml:space="preserve">mission_target_value</t>
  </si>
  <si>
    <t xml:space="preserve">mission_id:string; mission_type:string; mission_target_value:integer</t>
  </si>
  <si>
    <t xml:space="preserve">mission_id exists in catalogue; once per user per mission instance.</t>
  </si>
  <si>
    <t xml:space="preserve">Mission funnel start.</t>
  </si>
  <si>
    <t xml:space="preserve">K17 Engagement-mechanic participation</t>
  </si>
  <si>
    <t xml:space="preserve">E022</t>
  </si>
  <si>
    <t xml:space="preserve">mission_completed</t>
  </si>
  <si>
    <t xml:space="preserve">Mission goal is met and verified.</t>
  </si>
  <si>
    <t xml:space="preserve">A mission was completed.</t>
  </si>
  <si>
    <t xml:space="preserve">mission_id, mission_type, mission_duration_sec</t>
  </si>
  <si>
    <t xml:space="preserve">reward_id</t>
  </si>
  <si>
    <t xml:space="preserve">mission_id:string; mission_type:string; mission_duration_sec:integer; reward_id:string</t>
  </si>
  <si>
    <t xml:space="preserve">Requires prior mission_started.</t>
  </si>
  <si>
    <t xml:space="preserve">Mission effectiveness and reward cost.</t>
  </si>
  <si>
    <t xml:space="preserve">K17 Engagement-mechanic participation; K08 Reward cost</t>
  </si>
  <si>
    <t xml:space="preserve">E023</t>
  </si>
  <si>
    <t xml:space="preserve">badge_earned</t>
  </si>
  <si>
    <t xml:space="preserve">User meets a badge condition.</t>
  </si>
  <si>
    <t xml:space="preserve">A badge was awarded.</t>
  </si>
  <si>
    <t xml:space="preserve">badge_id</t>
  </si>
  <si>
    <t xml:space="preserve">badge_trigger</t>
  </si>
  <si>
    <t xml:space="preserve">badge_id:string; badge_trigger:string</t>
  </si>
  <si>
    <t xml:space="preserve">Each badge at most once per user.</t>
  </si>
  <si>
    <t xml:space="preserve">Measures achievement mechanics.</t>
  </si>
  <si>
    <t xml:space="preserve">E024</t>
  </si>
  <si>
    <t xml:space="preserve">spin_started</t>
  </si>
  <si>
    <t xml:space="preserve">User starts a spin.</t>
  </si>
  <si>
    <t xml:space="preserve">A spin was initiated.</t>
  </si>
  <si>
    <t xml:space="preserve">spin_id, spin_entry_method</t>
  </si>
  <si>
    <t xml:space="preserve">spin_id:string; spin_entry_method:enum</t>
  </si>
  <si>
    <t xml:space="preserve">spin_id unique; user eligible for a spin.</t>
  </si>
  <si>
    <t xml:space="preserve">Spin funnel start.</t>
  </si>
  <si>
    <t xml:space="preserve">E025</t>
  </si>
  <si>
    <t xml:space="preserve">spin_completed</t>
  </si>
  <si>
    <t xml:space="preserve">Server resolves the spin outcome.</t>
  </si>
  <si>
    <t xml:space="preserve">A spin outcome was determined.</t>
  </si>
  <si>
    <t xml:space="preserve">spin_id, spin_outcome_type</t>
  </si>
  <si>
    <t xml:space="preserve">spin_id:string; spin_outcome_type:enum; reward_id:string</t>
  </si>
  <si>
    <t xml:space="preserve">Matches spin_started; reward_id required if outcome is reward.</t>
  </si>
  <si>
    <t xml:space="preserve">Spin cost and outcome distribution.</t>
  </si>
  <si>
    <t xml:space="preserve">E026</t>
  </si>
  <si>
    <t xml:space="preserve">Referrals</t>
  </si>
  <si>
    <t xml:space="preserve">referral_created</t>
  </si>
  <si>
    <t xml:space="preserve">User generates or shares a referral code or link.</t>
  </si>
  <si>
    <t xml:space="preserve">A referral invite was created.</t>
  </si>
  <si>
    <t xml:space="preserve">referral_id, referral_code, referral_channel</t>
  </si>
  <si>
    <t xml:space="preserve">referral_id:string; referral_code:string; referral_channel:enum</t>
  </si>
  <si>
    <t xml:space="preserve">referral_id unique; one code per user stays stable.</t>
  </si>
  <si>
    <t xml:space="preserve">Top of referral funnel.</t>
  </si>
  <si>
    <t xml:space="preserve">K11 Referral conversion; K12 Referral cost</t>
  </si>
  <si>
    <t xml:space="preserve">E027</t>
  </si>
  <si>
    <t xml:space="preserve">referral_registered</t>
  </si>
  <si>
    <t xml:space="preserve">A new user registers using the referral code or link.</t>
  </si>
  <si>
    <t xml:space="preserve">A referred person signed up.</t>
  </si>
  <si>
    <t xml:space="preserve">user_id (string) - required; equals referred_user_id</t>
  </si>
  <si>
    <t xml:space="preserve">referral_id, referrer_user_id, referred_user_id</t>
  </si>
  <si>
    <t xml:space="preserve">referral_channel</t>
  </si>
  <si>
    <t xml:space="preserve">referral_id:string; referrer_user_id:string; referred_user_id:string; referral_channel:enum</t>
  </si>
  <si>
    <t xml:space="preserve">referrer_user_id &lt;&gt; referred_user_id; matches a referral_created.</t>
  </si>
  <si>
    <t xml:space="preserve">Backend (auth/referral service)</t>
  </si>
  <si>
    <t xml:space="preserve">Referral signups and channel quality.</t>
  </si>
  <si>
    <t xml:space="preserve">K11 Referral conversion; K01 New registrations</t>
  </si>
  <si>
    <t xml:space="preserve">E028</t>
  </si>
  <si>
    <t xml:space="preserve">referral_activated</t>
  </si>
  <si>
    <t xml:space="preserve">Referred user reaches the activation rule.</t>
  </si>
  <si>
    <t xml:space="preserve">Referred user became active.</t>
  </si>
  <si>
    <t xml:space="preserve">referral_id, referrer_user_id, referred_user_id, activation_criterion</t>
  </si>
  <si>
    <t xml:space="preserve">referral_id:string; referrer_user_id:string; referred_user_id:string; activation_criterion:string</t>
  </si>
  <si>
    <t xml:space="preserve">Follows referral_registered; criterion must be documented by product.</t>
  </si>
  <si>
    <t xml:space="preserve">Backend (referral service)</t>
  </si>
  <si>
    <t xml:space="preserve">Quality of referred users.</t>
  </si>
  <si>
    <t xml:space="preserve">K11 Referral conversion; K02 Activation rate</t>
  </si>
  <si>
    <t xml:space="preserve">E029</t>
  </si>
  <si>
    <t xml:space="preserve">referral_converted</t>
  </si>
  <si>
    <t xml:space="preserve">Referred user reaches the rewarding milestone.</t>
  </si>
  <si>
    <t xml:space="preserve">Referral qualified for the referrer's bonus.</t>
  </si>
  <si>
    <t xml:space="preserve">referral_id, referrer_user_id, referred_user_id, conversion_criterion</t>
  </si>
  <si>
    <t xml:space="preserve">referrer_bonus_id</t>
  </si>
  <si>
    <t xml:space="preserve">referral_id:string; referrer_user_id:string; referred_user_id:string; conversion_criterion:string; referrer_bonus_id:string</t>
  </si>
  <si>
    <t xml:space="preserve">Follows referral_activated; at most once per referral; open definition to agree with product.</t>
  </si>
  <si>
    <t xml:space="preserve">Referral payoff and cost per converted referral.</t>
  </si>
  <si>
    <t xml:space="preserve">K11 Referral conversion; K12 Referral cost; K08 Reward cost</t>
  </si>
  <si>
    <t xml:space="preserve">E030</t>
  </si>
  <si>
    <t xml:space="preserve">Wallet</t>
  </si>
  <si>
    <t xml:space="preserve">wallet_transaction_created</t>
  </si>
  <si>
    <t xml:space="preserve">Ledger service writes a new transaction entry.</t>
  </si>
  <si>
    <t xml:space="preserve">A wallet ledger entry was created.</t>
  </si>
  <si>
    <t xml:space="preserve">wallet_transaction_id, transaction_type, transaction_amount, transaction_unit</t>
  </si>
  <si>
    <t xml:space="preserve">related_entity_type, related_entity_id</t>
  </si>
  <si>
    <t xml:space="preserve">wallet_transaction_id:string; transaction_type:enum; transaction_amount:decimal; transaction_unit:enum; related_entity_type:enum; related_entity_id:string</t>
  </si>
  <si>
    <t xml:space="preserve">transaction_amount &gt; 0; unique id; links to a reward or withdrawal.</t>
  </si>
  <si>
    <t xml:space="preserve">Backend (wallet ledger)</t>
  </si>
  <si>
    <t xml:space="preserve">Source of truth for money movement.</t>
  </si>
  <si>
    <t xml:space="preserve">K18 Ledger reconciliation; K09 Reward liability</t>
  </si>
  <si>
    <t xml:space="preserve">E031</t>
  </si>
  <si>
    <t xml:space="preserve">wallet_transaction_completed</t>
  </si>
  <si>
    <t xml:space="preserve">Ledger entry is settled and balance updated.</t>
  </si>
  <si>
    <t xml:space="preserve">A wallet transaction finalised.</t>
  </si>
  <si>
    <t xml:space="preserve">wallet_transaction_id, transaction_type, transaction_amount, transaction_unit, balance_after</t>
  </si>
  <si>
    <t xml:space="preserve">wallet_transaction_id:string; transaction_type:enum; transaction_amount:decimal; transaction_unit:enum; balance_after:decimal; related_entity_type:enum; related_entity_id:string</t>
  </si>
  <si>
    <t xml:space="preserve">Follows wallet_transaction_created; balance_after &gt;= 0.</t>
  </si>
  <si>
    <t xml:space="preserve">Balance integrity and liability.</t>
  </si>
  <si>
    <t xml:space="preserve">E032</t>
  </si>
  <si>
    <t xml:space="preserve">wallet_transaction_reversed</t>
  </si>
  <si>
    <t xml:space="preserve">A completed or created transaction is reversed.</t>
  </si>
  <si>
    <t xml:space="preserve">A wallet entry was reversed.</t>
  </si>
  <si>
    <t xml:space="preserve">wallet_transaction_id, transaction_amount, reversal_reason, reversal_transaction_id</t>
  </si>
  <si>
    <t xml:space="preserve">balance_after</t>
  </si>
  <si>
    <t xml:space="preserve">wallet_transaction_id:string; transaction_amount:decimal; reversal_reason:enum; reversal_transaction_id:string; balance_after:decimal</t>
  </si>
  <si>
    <t xml:space="preserve">Original transaction must exist; reversal_transaction_id unique.</t>
  </si>
  <si>
    <t xml:space="preserve">Detects errors, fraud and failed payouts.</t>
  </si>
  <si>
    <t xml:space="preserve">K10 Reward reversal rate; K18 Ledger reconciliation</t>
  </si>
  <si>
    <t xml:space="preserve">E033</t>
  </si>
  <si>
    <t xml:space="preserve">Withdrawals</t>
  </si>
  <si>
    <t xml:space="preserve">withdrawal_requested</t>
  </si>
  <si>
    <t xml:space="preserve">User confirms a withdrawal and server accepts the request.</t>
  </si>
  <si>
    <t xml:space="preserve">A withdrawal request exists.</t>
  </si>
  <si>
    <t xml:space="preserve">withdrawal_id, withdrawal_amount, withdrawal_currency, payout_method</t>
  </si>
  <si>
    <t xml:space="preserve">withdrawal_fee, payout_provider, saved_payout_token</t>
  </si>
  <si>
    <t xml:space="preserve">withdrawal_id:string; withdrawal_amount:decimal; withdrawal_currency:string; payout_method:enum; withdrawal_fee:decimal; payout_provider:string; saved_payout_token:string</t>
  </si>
  <si>
    <t xml:space="preserve">Amount &gt;= minimum and &lt;= available balance; payout_method in list; no raw bank/card data.</t>
  </si>
  <si>
    <t xml:space="preserve">Backend (withdrawal service)</t>
  </si>
  <si>
    <t xml:space="preserve">Start of cash-out funnel.</t>
  </si>
  <si>
    <t xml:space="preserve">E034</t>
  </si>
  <si>
    <t xml:space="preserve">withdrawal_processing</t>
  </si>
  <si>
    <t xml:space="preserve">Request passes checks and is sent to the payout provider.</t>
  </si>
  <si>
    <t xml:space="preserve">A withdrawal is being processed.</t>
  </si>
  <si>
    <t xml:space="preserve">withdrawal_id, payout_provider, review_type</t>
  </si>
  <si>
    <t xml:space="preserve">provider_reference</t>
  </si>
  <si>
    <t xml:space="preserve">withdrawal_id:string; payout_provider:string; review_type:enum; provider_reference:string</t>
  </si>
  <si>
    <t xml:space="preserve">Follows withdrawal_requested.</t>
  </si>
  <si>
    <t xml:space="preserve">Measures review delay and automation rate.</t>
  </si>
  <si>
    <t xml:space="preserve">K14 Time to payout; K13 Withdrawal success rate</t>
  </si>
  <si>
    <t xml:space="preserve">E035</t>
  </si>
  <si>
    <t xml:space="preserve">withdrawal_completed</t>
  </si>
  <si>
    <t xml:space="preserve">Provider confirms the money was sent.</t>
  </si>
  <si>
    <t xml:space="preserve">A withdrawal was paid out.</t>
  </si>
  <si>
    <t xml:space="preserve">withdrawal_id, withdrawal_amount, withdrawal_currency, payout_method, provider_reference</t>
  </si>
  <si>
    <t xml:space="preserve">processing_duration_sec</t>
  </si>
  <si>
    <t xml:space="preserve">withdrawal_id:string; withdrawal_amount:decimal; withdrawal_currency:string; payout_method:enum; provider_reference:string; processing_duration_sec:integer</t>
  </si>
  <si>
    <t xml:space="preserve">Follows withdrawal_processing; once per withdrawal.</t>
  </si>
  <si>
    <t xml:space="preserve">Payout provider webhook + Backend</t>
  </si>
  <si>
    <t xml:space="preserve">Successful payout and cash cost.</t>
  </si>
  <si>
    <t xml:space="preserve">K13 Withdrawal success rate; K14 Time to payout; K08 Reward cost</t>
  </si>
  <si>
    <t xml:space="preserve">E036</t>
  </si>
  <si>
    <t xml:space="preserve">withdrawal_rejected</t>
  </si>
  <si>
    <t xml:space="preserve">Request is declined by system or reviewer.</t>
  </si>
  <si>
    <t xml:space="preserve">A withdrawal was refused.</t>
  </si>
  <si>
    <t xml:space="preserve">withdrawal_id, rejection_reason</t>
  </si>
  <si>
    <t xml:space="preserve">rejected_by, withdrawal_amount</t>
  </si>
  <si>
    <t xml:space="preserve">withdrawal_id:string; rejection_reason:enum; rejected_by:enum; withdrawal_amount:decimal</t>
  </si>
  <si>
    <t xml:space="preserve">Mutually exclusive with completed unless later reversed.</t>
  </si>
  <si>
    <t xml:space="preserve">Shows why users cannot cash out.</t>
  </si>
  <si>
    <t xml:space="preserve">K15 Withdrawal rejection rate; K16 Fraud rate</t>
  </si>
  <si>
    <t xml:space="preserve">E037</t>
  </si>
  <si>
    <t xml:space="preserve">withdrawal_reversed</t>
  </si>
  <si>
    <t xml:space="preserve">Payout fails or is returned after completion/processing.</t>
  </si>
  <si>
    <t xml:space="preserve">A withdrawal was reversed and funds returned.</t>
  </si>
  <si>
    <t xml:space="preserve">withdrawal_id, reversal_reason, withdrawal_amount</t>
  </si>
  <si>
    <t xml:space="preserve">withdrawal_id:string; reversal_reason:enum; withdrawal_amount:decimal; provider_reference:string</t>
  </si>
  <si>
    <t xml:space="preserve">Follows processing or completed; funds return via wallet_transaction_reversed.</t>
  </si>
  <si>
    <t xml:space="preserve">Payout failure and loss tracking.</t>
  </si>
  <si>
    <t xml:space="preserve">K15 Withdrawal rejection rate; K18 Ledger reconciliation</t>
  </si>
  <si>
    <t xml:space="preserve">E038</t>
  </si>
  <si>
    <t xml:space="preserve">payout_method_added</t>
  </si>
  <si>
    <t xml:space="preserve">User saves a payout method.</t>
  </si>
  <si>
    <t xml:space="preserve">A payout method was added.</t>
  </si>
  <si>
    <t xml:space="preserve">saved_payout_token, payout_method</t>
  </si>
  <si>
    <t xml:space="preserve">saved_payout_token:string; payout_method:enum</t>
  </si>
  <si>
    <t xml:space="preserve">Store only tokenised ID; never raw account numbers.</t>
  </si>
  <si>
    <t xml:space="preserve">Explains payout failures and conversion to cash-out.</t>
  </si>
  <si>
    <t xml:space="preserve">K13 Withdrawal success rate</t>
  </si>
  <si>
    <t xml:space="preserve">E039</t>
  </si>
  <si>
    <t xml:space="preserve">Risk</t>
  </si>
  <si>
    <t xml:space="preserve">fraud_flag_raised</t>
  </si>
  <si>
    <t xml:space="preserve">A fraud rule or reviewer flags an entity.</t>
  </si>
  <si>
    <t xml:space="preserve">A potential abuse case was flagged.</t>
  </si>
  <si>
    <t xml:space="preserve">fraud_flag_id, fraud_rule_id, flagged_entity_type, action_taken</t>
  </si>
  <si>
    <t xml:space="preserve">risk_score</t>
  </si>
  <si>
    <t xml:space="preserve">fraud_flag_id:string; fraud_rule_id:string; flagged_entity_type:enum; action_taken:enum; risk_score:integer</t>
  </si>
  <si>
    <t xml:space="preserve">Entity must exist; no sensitive evidence in properties.</t>
  </si>
  <si>
    <t xml:space="preserve">Backend (risk service)</t>
  </si>
  <si>
    <t xml:space="preserve">Measures abuse and its financial impact.</t>
  </si>
  <si>
    <t xml:space="preserve">K16 Fraud rate; K10 Reward reversal rate</t>
  </si>
  <si>
    <t xml:space="preserve">Selected convention: object_action  (lowercase snake_case, action in past tense)</t>
  </si>
  <si>
    <t xml:space="preserve">Rule</t>
  </si>
  <si>
    <t xml:space="preserve">Standard</t>
  </si>
  <si>
    <t xml:space="preserve">Good example</t>
  </si>
  <si>
    <t xml:space="preserve">Bad example</t>
  </si>
  <si>
    <t xml:space="preserve">Why</t>
  </si>
  <si>
    <t xml:space="preserve">Pattern</t>
  </si>
  <si>
    <t xml:space="preserve">object_action: the thing, then what happened to it</t>
  </si>
  <si>
    <t xml:space="preserve">completeTask, TaskComplete</t>
  </si>
  <si>
    <t xml:space="preserve">One predictable shape makes events easy to guess, search and group.</t>
  </si>
  <si>
    <t xml:space="preserve">Case</t>
  </si>
  <si>
    <t xml:space="preserve">lowercase snake_case only; no spaces, hyphens or capitals</t>
  </si>
  <si>
    <t xml:space="preserve">Withdrawal Requested</t>
  </si>
  <si>
    <t xml:space="preserve">Avoids mismatches across iOS, Android, backend and SQL.</t>
  </si>
  <si>
    <t xml:space="preserve">Tense</t>
  </si>
  <si>
    <t xml:space="preserve">Action is past tense: the fact has already happened</t>
  </si>
  <si>
    <t xml:space="preserve">reward_credit</t>
  </si>
  <si>
    <t xml:space="preserve">Events record facts, not commands; clear for analysts.</t>
  </si>
  <si>
    <t xml:space="preserve">Object</t>
  </si>
  <si>
    <t xml:space="preserve">Business object, not a screen or button; compound objects allowed</t>
  </si>
  <si>
    <t xml:space="preserve">tap_green_button</t>
  </si>
  <si>
    <t xml:space="preserve">Business objects stay stable when the UI changes.</t>
  </si>
  <si>
    <t xml:space="preserve">Granularity</t>
  </si>
  <si>
    <t xml:space="preserve">One event per business fact; variants go in properties</t>
  </si>
  <si>
    <t xml:space="preserve">task_completed with task_type</t>
  </si>
  <si>
    <t xml:space="preserve">task_completed_survey</t>
  </si>
  <si>
    <t xml:space="preserve">Stops event count exploding; lets us group and filter.</t>
  </si>
  <si>
    <t xml:space="preserve">Lifecycle verbs</t>
  </si>
  <si>
    <t xml:space="preserve">Use a fixed verb set: viewed, opened, started, completed, failed, created, requested, processing, credited, pending, reversed, rejected, earned, claimed, updated</t>
  </si>
  <si>
    <t xml:space="preserve">withdrawal_declined / withdrawal_denied</t>
  </si>
  <si>
    <t xml:space="preserve">One verb per meaning prevents synonyms.</t>
  </si>
  <si>
    <t xml:space="preserve">Domain</t>
  </si>
  <si>
    <t xml:space="preserve">Feature domain lives in the 'feature' attribute of the plan, not in the name, unless needed for clarity</t>
  </si>
  <si>
    <t xml:space="preserve">feature = Withdrawals</t>
  </si>
  <si>
    <t xml:space="preserve">withdrawals_withdrawal_requested</t>
  </si>
  <si>
    <t xml:space="preserve">Keeps names short (max 40 characters).</t>
  </si>
  <si>
    <t xml:space="preserve">Properties</t>
  </si>
  <si>
    <t xml:space="preserve">snake_case, same name and type everywhere; IDs end in _id; timestamps end in _at or _ts; amounts end in _amount</t>
  </si>
  <si>
    <t xml:space="preserve">withdrawal_amount</t>
  </si>
  <si>
    <t xml:space="preserve">amt, WithdrawAmt</t>
  </si>
  <si>
    <t xml:space="preserve">Lets one property definition serve all events.</t>
  </si>
  <si>
    <t xml:space="preserve">Server events for money, rewards, status changes; client events for UI actions only</t>
  </si>
  <si>
    <t xml:space="preserve">reward_credited = server</t>
  </si>
  <si>
    <t xml:space="preserve">reward_credited from the app</t>
  </si>
  <si>
    <t xml:space="preserve">Client events can be lost, blocked or faked.</t>
  </si>
  <si>
    <t xml:space="preserve">Versioning</t>
  </si>
  <si>
    <t xml:space="preserve">Do not rename live events; add schema_version and a new property instead</t>
  </si>
  <si>
    <t xml:space="preserve">schema_version = 2</t>
  </si>
  <si>
    <t xml:space="preserve">task_completed_v2</t>
  </si>
  <si>
    <t xml:space="preserve">Keeps history comparable.</t>
  </si>
  <si>
    <t xml:space="preserve">Privacy</t>
  </si>
  <si>
    <t xml:space="preserve">No names, emails, phone numbers, raw bank or card data in any event</t>
  </si>
  <si>
    <t xml:space="preserve">saved_payout_token (token)</t>
  </si>
  <si>
    <t xml:space="preserve">bank_account_number</t>
  </si>
  <si>
    <t xml:space="preserve">Reduces legal and security risk.</t>
  </si>
  <si>
    <t xml:space="preserve">Why object_action and not domain_object_action?</t>
  </si>
  <si>
    <t xml:space="preserve">1. It matches the minimum event list we were given (user_registered, task_viewed, wallet_transaction_created), so the standard fits existing language with no exceptions.</t>
  </si>
  <si>
    <t xml:space="preserve">2. The object already carries the domain: 'withdrawal_' means withdrawals, 'wallet_' means wallet. An extra prefix would make names long (withdrawals_withdrawal_requested).</t>
  </si>
  <si>
    <t xml:space="preserve">3. Alphabetical sorting groups events by object, so one object's lifecycle (requested, processing, completed, rejected, reversed) appears together.</t>
  </si>
  <si>
    <t xml:space="preserve">4. Past tense separates facts from commands and makes lifecycles read naturally.</t>
  </si>
  <si>
    <t xml:space="preserve">5. Feature grouping is still available through the Feature column and an event property, so no information is lost.</t>
  </si>
  <si>
    <t xml:space="preserve">Trade-off: object_action gives less automatic grouping than a domain prefix. We accept this because the object names are already distinctive.</t>
  </si>
  <si>
    <t xml:space="preserve">Property</t>
  </si>
  <si>
    <t xml:space="preserve">Required</t>
  </si>
  <si>
    <t xml:space="preserve">Example</t>
  </si>
  <si>
    <t xml:space="preserve">event_id</t>
  </si>
  <si>
    <t xml:space="preserve">UUID v4</t>
  </si>
  <si>
    <t xml:space="preserve">Yes</t>
  </si>
  <si>
    <t xml:space="preserve">Unique ID of this event, generated where it fires.</t>
  </si>
  <si>
    <t xml:space="preserve">Unique across all events; used to deduplicate</t>
  </si>
  <si>
    <t xml:space="preserve">3f1c...e9</t>
  </si>
  <si>
    <t xml:space="preserve">event_name</t>
  </si>
  <si>
    <t xml:space="preserve">string</t>
  </si>
  <si>
    <t xml:space="preserve">Name of the event following the naming standard.</t>
  </si>
  <si>
    <t xml:space="preserve">Must match an entry in the Event Catalogue</t>
  </si>
  <si>
    <t xml:space="preserve">event_timestamp</t>
  </si>
  <si>
    <t xml:space="preserve">timestamp</t>
  </si>
  <si>
    <t xml:space="preserve">When the action happened, UTC ISO 8601.</t>
  </si>
  <si>
    <t xml:space="preserve">Not in the future by more than 5 min; not older than 7 days at ingestion</t>
  </si>
  <si>
    <t xml:space="preserve">2026-10-17T08:03:55Z</t>
  </si>
  <si>
    <t xml:space="preserve">received_at</t>
  </si>
  <si>
    <t xml:space="preserve">When the pipeline received the event (added by server).</t>
  </si>
  <si>
    <t xml:space="preserve">received_at &gt;= event_timestamp</t>
  </si>
  <si>
    <t xml:space="preserve">2026-10-17T08:03:57Z</t>
  </si>
  <si>
    <t xml:space="preserve">user_id</t>
  </si>
  <si>
    <t xml:space="preserve">Yes (null allowed only pre-login)</t>
  </si>
  <si>
    <t xml:space="preserve">Stable internal user identifier.</t>
  </si>
  <si>
    <t xml:space="preserve">Must exist in the user table; never email or phone</t>
  </si>
  <si>
    <t xml:space="preserve">U-00048213</t>
  </si>
  <si>
    <t xml:space="preserve">anonymous_id</t>
  </si>
  <si>
    <t xml:space="preserve">If user_id is null</t>
  </si>
  <si>
    <t xml:space="preserve">Device-level ID before login.</t>
  </si>
  <si>
    <t xml:space="preserve">UUID</t>
  </si>
  <si>
    <t xml:space="preserve">8d2a...</t>
  </si>
  <si>
    <t xml:space="preserve">session_id</t>
  </si>
  <si>
    <t xml:space="preserve">Yes for client events</t>
  </si>
  <si>
    <t xml:space="preserve">Identifier of the app session.</t>
  </si>
  <si>
    <t xml:space="preserve">Not null</t>
  </si>
  <si>
    <t xml:space="preserve">SES-aa91f</t>
  </si>
  <si>
    <t xml:space="preserve">platform</t>
  </si>
  <si>
    <t xml:space="preserve">enum</t>
  </si>
  <si>
    <t xml:space="preserve">Client platform (server events use 'server').</t>
  </si>
  <si>
    <t xml:space="preserve">ios, android, web, server</t>
  </si>
  <si>
    <t xml:space="preserve">android</t>
  </si>
  <si>
    <t xml:space="preserve">app_version</t>
  </si>
  <si>
    <t xml:space="preserve">Version of the app.</t>
  </si>
  <si>
    <t xml:space="preserve">Semantic version</t>
  </si>
  <si>
    <t xml:space="preserve">5.12.0</t>
  </si>
  <si>
    <t xml:space="preserve">schema_version</t>
  </si>
  <si>
    <t xml:space="preserve">integer</t>
  </si>
  <si>
    <t xml:space="preserve">Version of this event's schema.</t>
  </si>
  <si>
    <t xml:space="preserve">Integer &gt;= 1</t>
  </si>
  <si>
    <t xml:space="preserve">1</t>
  </si>
  <si>
    <t xml:space="preserve">country_code</t>
  </si>
  <si>
    <t xml:space="preserve">ISO 3166-1 alpha-2 country of the user.</t>
  </si>
  <si>
    <t xml:space="preserve">In ISO list</t>
  </si>
  <si>
    <t xml:space="preserve">IN</t>
  </si>
  <si>
    <t xml:space="preserve">event_source</t>
  </si>
  <si>
    <t xml:space="preserve">Where the event was generated.</t>
  </si>
  <si>
    <t xml:space="preserve">client, backend, provider_webhook</t>
  </si>
  <si>
    <t xml:space="preserve">backend</t>
  </si>
  <si>
    <t xml:space="preserve">Allowed Values / Format</t>
  </si>
  <si>
    <t xml:space="preserve">Used as Required (events)</t>
  </si>
  <si>
    <t xml:space="preserve">Used as Optional (events)</t>
  </si>
  <si>
    <t xml:space="preserve">action_taken</t>
  </si>
  <si>
    <t xml:space="preserve">Automated response.</t>
  </si>
  <si>
    <t xml:space="preserve">none, hold, block, review</t>
  </si>
  <si>
    <t xml:space="preserve">hold</t>
  </si>
  <si>
    <t xml:space="preserve">activation_criterion</t>
  </si>
  <si>
    <t xml:space="preserve">Rule defining activation (to be set by product).</t>
  </si>
  <si>
    <t xml:space="preserve">first_task_completed</t>
  </si>
  <si>
    <t xml:space="preserve">Identifier of the badge.</t>
  </si>
  <si>
    <t xml:space="preserve">BDG-10</t>
  </si>
  <si>
    <t xml:space="preserve">Condition that earned the badge.</t>
  </si>
  <si>
    <t xml:space="preserve">10_tasks_completed</t>
  </si>
  <si>
    <t xml:space="preserve">decimal</t>
  </si>
  <si>
    <t xml:space="preserve">Available balance after the event.</t>
  </si>
  <si>
    <t xml:space="preserve">&gt;= 0</t>
  </si>
  <si>
    <t xml:space="preserve">180.00</t>
  </si>
  <si>
    <t xml:space="preserve">completion_duration_sec</t>
  </si>
  <si>
    <t xml:space="preserve">Seconds from task_started to completion.</t>
  </si>
  <si>
    <t xml:space="preserve">240</t>
  </si>
  <si>
    <t xml:space="preserve">completion_source</t>
  </si>
  <si>
    <t xml:space="preserve">How completion was verified.</t>
  </si>
  <si>
    <t xml:space="preserve">internal, partner_postback, manual</t>
  </si>
  <si>
    <t xml:space="preserve">partner_postback</t>
  </si>
  <si>
    <t xml:space="preserve">conversion_criterion</t>
  </si>
  <si>
    <t xml:space="preserve">Rule defining conversion (to be set by product).</t>
  </si>
  <si>
    <t xml:space="preserve">first_withdrawal_completed</t>
  </si>
  <si>
    <t xml:space="preserve">Streak length after the update.</t>
  </si>
  <si>
    <t xml:space="preserve">4</t>
  </si>
  <si>
    <t xml:space="preserve">daily_reward_day_index</t>
  </si>
  <si>
    <t xml:space="preserve">Day number in the daily reward cycle.</t>
  </si>
  <si>
    <t xml:space="preserve">1-31</t>
  </si>
  <si>
    <t xml:space="preserve">3</t>
  </si>
  <si>
    <t xml:space="preserve">device_changed</t>
  </si>
  <si>
    <t xml:space="preserve">boolean</t>
  </si>
  <si>
    <t xml:space="preserve">True if device differs from the previous login.</t>
  </si>
  <si>
    <t xml:space="preserve">true, false</t>
  </si>
  <si>
    <t xml:space="preserve">false</t>
  </si>
  <si>
    <t xml:space="preserve">expected_release_at</t>
  </si>
  <si>
    <t xml:space="preserve">Expected time reward becomes available.</t>
  </si>
  <si>
    <t xml:space="preserve">UTC ISO 8601 &gt; event time</t>
  </si>
  <si>
    <t xml:space="preserve">2026-10-24T08:00:00Z</t>
  </si>
  <si>
    <t xml:space="preserve">expiry_at</t>
  </si>
  <si>
    <t xml:space="preserve">Time the reward expires.</t>
  </si>
  <si>
    <t xml:space="preserve">UTC ISO 8601</t>
  </si>
  <si>
    <t xml:space="preserve">2026-12-31T23:59:59Z</t>
  </si>
  <si>
    <t xml:space="preserve">failure_reason</t>
  </si>
  <si>
    <t xml:space="preserve">Why the task attempt failed.</t>
  </si>
  <si>
    <t xml:space="preserve">timeout, partner_rejected, technical_error, ineligible, fraud_detected</t>
  </si>
  <si>
    <t xml:space="preserve">timeout</t>
  </si>
  <si>
    <t xml:space="preserve">failure_stage</t>
  </si>
  <si>
    <t xml:space="preserve">Stage at which the attempt failed.</t>
  </si>
  <si>
    <t xml:space="preserve">before_start, in_progress, verification</t>
  </si>
  <si>
    <t xml:space="preserve">verification</t>
  </si>
  <si>
    <t xml:space="preserve">flagged_entity_type</t>
  </si>
  <si>
    <t xml:space="preserve">What was flagged.</t>
  </si>
  <si>
    <t xml:space="preserve">user, task_attempt, reward, referral, withdrawal</t>
  </si>
  <si>
    <t xml:space="preserve">referral</t>
  </si>
  <si>
    <t xml:space="preserve">fraud_flag_id</t>
  </si>
  <si>
    <t xml:space="preserve">Unique ID of a fraud flag.</t>
  </si>
  <si>
    <t xml:space="preserve">FF-8801</t>
  </si>
  <si>
    <t xml:space="preserve">fraud_rule_id</t>
  </si>
  <si>
    <t xml:space="preserve">Rule that fired.</t>
  </si>
  <si>
    <t xml:space="preserve">RULE-multi-acct</t>
  </si>
  <si>
    <t xml:space="preserve">is_first_login</t>
  </si>
  <si>
    <t xml:space="preserve">True if first login after registration.</t>
  </si>
  <si>
    <t xml:space="preserve">Verification level requested.</t>
  </si>
  <si>
    <t xml:space="preserve">basic, enhanced</t>
  </si>
  <si>
    <t xml:space="preserve">basic</t>
  </si>
  <si>
    <t xml:space="preserve">kyc_request_id</t>
  </si>
  <si>
    <t xml:space="preserve">Unique ID of an identity verification submission.</t>
  </si>
  <si>
    <t xml:space="preserve">KYC-3381</t>
  </si>
  <si>
    <t xml:space="preserve">kyc_result</t>
  </si>
  <si>
    <t xml:space="preserve">Outcome of verification.</t>
  </si>
  <si>
    <t xml:space="preserve">approved, rejected, needs_more_info</t>
  </si>
  <si>
    <t xml:space="preserve">approved</t>
  </si>
  <si>
    <t xml:space="preserve">list_position</t>
  </si>
  <si>
    <t xml:space="preserve">Position of task in the list (1-based).</t>
  </si>
  <si>
    <t xml:space="preserve">&gt;= 1</t>
  </si>
  <si>
    <t xml:space="preserve">Authentication method used.</t>
  </si>
  <si>
    <t xml:space="preserve">password, otp, google, apple, biometric</t>
  </si>
  <si>
    <t xml:space="preserve">otp</t>
  </si>
  <si>
    <t xml:space="preserve">Why the session ended.</t>
  </si>
  <si>
    <t xml:space="preserve">user_initiated, forced_by_system, security_reset</t>
  </si>
  <si>
    <t xml:space="preserve">user_initiated</t>
  </si>
  <si>
    <t xml:space="preserve">mission_duration_sec</t>
  </si>
  <si>
    <t xml:space="preserve">Seconds from start to completion.</t>
  </si>
  <si>
    <t xml:space="preserve">86400</t>
  </si>
  <si>
    <t xml:space="preserve">mission_id</t>
  </si>
  <si>
    <t xml:space="preserve">Identifier of the mission.</t>
  </si>
  <si>
    <t xml:space="preserve">MS-120</t>
  </si>
  <si>
    <t xml:space="preserve">Goal value required to finish.</t>
  </si>
  <si>
    <t xml:space="preserve">&gt; 0</t>
  </si>
  <si>
    <t xml:space="preserve">5</t>
  </si>
  <si>
    <t xml:space="preserve">mission_type</t>
  </si>
  <si>
    <t xml:space="preserve">Mission category.</t>
  </si>
  <si>
    <t xml:space="preserve">invite_friends</t>
  </si>
  <si>
    <t xml:space="preserve">onboarding_duration_sec</t>
  </si>
  <si>
    <t xml:space="preserve">Seconds between onboarding start and completion.</t>
  </si>
  <si>
    <t xml:space="preserve">0-86400</t>
  </si>
  <si>
    <t xml:space="preserve">95</t>
  </si>
  <si>
    <t xml:space="preserve">onboarding_flow_version</t>
  </si>
  <si>
    <t xml:space="preserve">Version of the onboarding flow shown.</t>
  </si>
  <si>
    <t xml:space="preserve">semver or A/B label</t>
  </si>
  <si>
    <t xml:space="preserve">v2.1</t>
  </si>
  <si>
    <t xml:space="preserve">onboarding_step_id</t>
  </si>
  <si>
    <t xml:space="preserve">Identifier of the onboarding step.</t>
  </si>
  <si>
    <t xml:space="preserve">from step catalogue</t>
  </si>
  <si>
    <t xml:space="preserve">permissions</t>
  </si>
  <si>
    <t xml:space="preserve">onboarding_step_index</t>
  </si>
  <si>
    <t xml:space="preserve">Position of the step in the flow (1-based).</t>
  </si>
  <si>
    <t xml:space="preserve">1-20</t>
  </si>
  <si>
    <t xml:space="preserve">2</t>
  </si>
  <si>
    <t xml:space="preserve">onboarding_total_steps</t>
  </si>
  <si>
    <t xml:space="preserve">Number of steps in the flow shown.</t>
  </si>
  <si>
    <t xml:space="preserve">What caused the app to open.</t>
  </si>
  <si>
    <t xml:space="preserve">organic, push, deep_link, widget</t>
  </si>
  <si>
    <t xml:space="preserve">push</t>
  </si>
  <si>
    <t xml:space="preserve">original_reward_status</t>
  </si>
  <si>
    <t xml:space="preserve">Status of the reward before reversal.</t>
  </si>
  <si>
    <t xml:space="preserve">pending, credited</t>
  </si>
  <si>
    <t xml:space="preserve">credited</t>
  </si>
  <si>
    <t xml:space="preserve">payout_method</t>
  </si>
  <si>
    <t xml:space="preserve">Payout channel.</t>
  </si>
  <si>
    <t xml:space="preserve">bank_transfer, mobile_money, paypal, gift_card, other</t>
  </si>
  <si>
    <t xml:space="preserve">paypal</t>
  </si>
  <si>
    <t xml:space="preserve">payout_provider</t>
  </si>
  <si>
    <t xml:space="preserve">External provider handling payout.</t>
  </si>
  <si>
    <t xml:space="preserve">provider_a</t>
  </si>
  <si>
    <t xml:space="preserve">pending_reason</t>
  </si>
  <si>
    <t xml:space="preserve">Why the reward is held.</t>
  </si>
  <si>
    <t xml:space="preserve">partner_validation, fraud_review, cooling_period</t>
  </si>
  <si>
    <t xml:space="preserve">partner_validation</t>
  </si>
  <si>
    <t xml:space="preserve">previous_streak</t>
  </si>
  <si>
    <t xml:space="preserve">Streak length before the update.</t>
  </si>
  <si>
    <t xml:space="preserve">Seconds from request to completion.</t>
  </si>
  <si>
    <t xml:space="preserve">7200</t>
  </si>
  <si>
    <t xml:space="preserve">Provider's transaction reference.</t>
  </si>
  <si>
    <t xml:space="preserve">PRV-998877</t>
  </si>
  <si>
    <t xml:space="preserve">How the referral was shared.</t>
  </si>
  <si>
    <t xml:space="preserve">link, code, sms, whatsapp, other</t>
  </si>
  <si>
    <t xml:space="preserve">whatsapp</t>
  </si>
  <si>
    <t xml:space="preserve">referral_code</t>
  </si>
  <si>
    <t xml:space="preserve">Referral code entered or shared.</t>
  </si>
  <si>
    <t xml:space="preserve">6-12 alphanumeric</t>
  </si>
  <si>
    <t xml:space="preserve">VEL8K2P</t>
  </si>
  <si>
    <t xml:space="preserve">referral_id</t>
  </si>
  <si>
    <t xml:space="preserve">Unique ID of a referral relationship.</t>
  </si>
  <si>
    <t xml:space="preserve">REF-4411</t>
  </si>
  <si>
    <t xml:space="preserve">referred_user_id</t>
  </si>
  <si>
    <t xml:space="preserve">User who was referred.</t>
  </si>
  <si>
    <t xml:space="preserve">existing user_id</t>
  </si>
  <si>
    <t xml:space="preserve">U-2044</t>
  </si>
  <si>
    <t xml:space="preserve">Reward issued to the referrer.</t>
  </si>
  <si>
    <t xml:space="preserve">RW-90555</t>
  </si>
  <si>
    <t xml:space="preserve">referrer_user_id</t>
  </si>
  <si>
    <t xml:space="preserve">User who referred.</t>
  </si>
  <si>
    <t xml:space="preserve">U-1001</t>
  </si>
  <si>
    <t xml:space="preserve">rejected_by</t>
  </si>
  <si>
    <t xml:space="preserve">Who rejected it.</t>
  </si>
  <si>
    <t xml:space="preserve">system, manual_review</t>
  </si>
  <si>
    <t xml:space="preserve">system</t>
  </si>
  <si>
    <t xml:space="preserve">rejection_reason</t>
  </si>
  <si>
    <t xml:space="preserve">Why the withdrawal was rejected.</t>
  </si>
  <si>
    <t xml:space="preserve">kyc_failed, fraud_suspected, insufficient_balance, below_minimum, invalid_payout_details, policy_violation</t>
  </si>
  <si>
    <t xml:space="preserve">kyc_failed</t>
  </si>
  <si>
    <t xml:space="preserve">related_entity_id</t>
  </si>
  <si>
    <t xml:space="preserve">ID of that business object.</t>
  </si>
  <si>
    <t xml:space="preserve">RW-90011</t>
  </si>
  <si>
    <t xml:space="preserve">related_entity_type</t>
  </si>
  <si>
    <t xml:space="preserve">Business object that caused the transaction.</t>
  </si>
  <si>
    <t xml:space="preserve">reward, withdrawal, adjustment, referral</t>
  </si>
  <si>
    <t xml:space="preserve">reward</t>
  </si>
  <si>
    <t xml:space="preserve">reversal_reason</t>
  </si>
  <si>
    <t xml:space="preserve">Why a reward, transaction or payout was reversed.</t>
  </si>
  <si>
    <t xml:space="preserve">partner_chargeback, fraud, duplicate, manual_adjustment, task_invalidated, payout_failed</t>
  </si>
  <si>
    <t xml:space="preserve">partner_chargeback</t>
  </si>
  <si>
    <t xml:space="preserve">reversal_transaction_id</t>
  </si>
  <si>
    <t xml:space="preserve">Ledger entry that reverses the original.</t>
  </si>
  <si>
    <t xml:space="preserve">WTX-77200</t>
  </si>
  <si>
    <t xml:space="preserve">review_type</t>
  </si>
  <si>
    <t xml:space="preserve">How the withdrawal was checked.</t>
  </si>
  <si>
    <t xml:space="preserve">automatic, manual</t>
  </si>
  <si>
    <t xml:space="preserve">automatic</t>
  </si>
  <si>
    <t xml:space="preserve">reward_amount</t>
  </si>
  <si>
    <t xml:space="preserve">Value of the reward.</t>
  </si>
  <si>
    <t xml:space="preserve">25.00</t>
  </si>
  <si>
    <t xml:space="preserve">Unique ID of a reward.</t>
  </si>
  <si>
    <t xml:space="preserve">reward_source</t>
  </si>
  <si>
    <t xml:space="preserve">What produced the reward.</t>
  </si>
  <si>
    <t xml:space="preserve">task, daily_reward, streak, mission, badge, spin, referral, bonus, adjustment</t>
  </si>
  <si>
    <t xml:space="preserve">task</t>
  </si>
  <si>
    <t xml:space="preserve">reward_unit</t>
  </si>
  <si>
    <t xml:space="preserve">Unit of the reward value.</t>
  </si>
  <si>
    <t xml:space="preserve">points, coins, cash</t>
  </si>
  <si>
    <t xml:space="preserve">points</t>
  </si>
  <si>
    <t xml:space="preserve">Risk score at time of flag.</t>
  </si>
  <si>
    <t xml:space="preserve">0-100</t>
  </si>
  <si>
    <t xml:space="preserve">82</t>
  </si>
  <si>
    <t xml:space="preserve">saved_payout_token</t>
  </si>
  <si>
    <t xml:space="preserve">Tokenised ID of the saved payout method (no raw details).</t>
  </si>
  <si>
    <t xml:space="preserve">PM-551</t>
  </si>
  <si>
    <t xml:space="preserve">Screen or link the signup started from.</t>
  </si>
  <si>
    <t xml:space="preserve">splash_screen</t>
  </si>
  <si>
    <t xml:space="preserve">How the account was created.</t>
  </si>
  <si>
    <t xml:space="preserve">email, phone, google, apple, other</t>
  </si>
  <si>
    <t xml:space="preserve">google</t>
  </si>
  <si>
    <t xml:space="preserve">Number of optional steps skipped.</t>
  </si>
  <si>
    <t xml:space="preserve">0-20</t>
  </si>
  <si>
    <t xml:space="preserve">source_entity_id</t>
  </si>
  <si>
    <t xml:space="preserve">ID of the entity that produced the reward.</t>
  </si>
  <si>
    <t xml:space="preserve">e.g. task_attempt_id, mission_id</t>
  </si>
  <si>
    <t xml:space="preserve">a1b2...</t>
  </si>
  <si>
    <t xml:space="preserve">spin_entry_method</t>
  </si>
  <si>
    <t xml:space="preserve">How the user got the spin.</t>
  </si>
  <si>
    <t xml:space="preserve">free_daily, earned, bonus</t>
  </si>
  <si>
    <t xml:space="preserve">free_daily</t>
  </si>
  <si>
    <t xml:space="preserve">spin_id</t>
  </si>
  <si>
    <t xml:space="preserve">Unique ID of a spin.</t>
  </si>
  <si>
    <t xml:space="preserve">sp-77</t>
  </si>
  <si>
    <t xml:space="preserve">spin_outcome_type</t>
  </si>
  <si>
    <t xml:space="preserve">Result of the spin.</t>
  </si>
  <si>
    <t xml:space="preserve">reward, no_reward, bonus_spin</t>
  </si>
  <si>
    <t xml:space="preserve">Seconds spent on the step.</t>
  </si>
  <si>
    <t xml:space="preserve">0-3600</t>
  </si>
  <si>
    <t xml:space="preserve">12</t>
  </si>
  <si>
    <t xml:space="preserve">streak_action</t>
  </si>
  <si>
    <t xml:space="preserve">What happened to the streak.</t>
  </si>
  <si>
    <t xml:space="preserve">increment, reset, freeze_used</t>
  </si>
  <si>
    <t xml:space="preserve">increment</t>
  </si>
  <si>
    <t xml:space="preserve">task_attempt_id</t>
  </si>
  <si>
    <t xml:space="preserve">Unique ID of one user's attempt at a task.</t>
  </si>
  <si>
    <t xml:space="preserve">task_id</t>
  </si>
  <si>
    <t xml:space="preserve">Identifier of the task definition.</t>
  </si>
  <si>
    <t xml:space="preserve">TSK-5521</t>
  </si>
  <si>
    <t xml:space="preserve">task_payout_amount</t>
  </si>
  <si>
    <t xml:space="preserve">Advertised reward shown for the task.</t>
  </si>
  <si>
    <t xml:space="preserve">Partner or internal source supplying the task.</t>
  </si>
  <si>
    <t xml:space="preserve">partner_x</t>
  </si>
  <si>
    <t xml:space="preserve">task_type</t>
  </si>
  <si>
    <t xml:space="preserve">Task category (align to product's real taxonomy).</t>
  </si>
  <si>
    <t xml:space="preserve">survey, video, app_offer, quiz, other</t>
  </si>
  <si>
    <t xml:space="preserve">survey</t>
  </si>
  <si>
    <t xml:space="preserve">transaction_amount</t>
  </si>
  <si>
    <t xml:space="preserve">Absolute amount of the transaction.</t>
  </si>
  <si>
    <t xml:space="preserve">transaction_type</t>
  </si>
  <si>
    <t xml:space="preserve">Direction/nature of the transaction.</t>
  </si>
  <si>
    <t xml:space="preserve">credit, debit, reversal, adjustment</t>
  </si>
  <si>
    <t xml:space="preserve">credit</t>
  </si>
  <si>
    <t xml:space="preserve">transaction_unit</t>
  </si>
  <si>
    <t xml:space="preserve">Unit of the transaction.</t>
  </si>
  <si>
    <t xml:space="preserve">view_source</t>
  </si>
  <si>
    <t xml:space="preserve">Where the task was shown.</t>
  </si>
  <si>
    <t xml:space="preserve">home, task_list, push, search, other</t>
  </si>
  <si>
    <t xml:space="preserve">task_list</t>
  </si>
  <si>
    <t xml:space="preserve">wallet_ledger_entry_id</t>
  </si>
  <si>
    <t xml:space="preserve">Ledger entry the reward posted to.</t>
  </si>
  <si>
    <t xml:space="preserve">WTX-77123</t>
  </si>
  <si>
    <t xml:space="preserve">wallet_transaction_id</t>
  </si>
  <si>
    <t xml:space="preserve">Unique ID of a wallet ledger transaction.</t>
  </si>
  <si>
    <t xml:space="preserve">Amount requested to withdraw.</t>
  </si>
  <si>
    <t xml:space="preserve">&gt; 0, &gt;= minimum, &lt;= balance</t>
  </si>
  <si>
    <t xml:space="preserve">10.00</t>
  </si>
  <si>
    <t xml:space="preserve">withdrawal_currency</t>
  </si>
  <si>
    <t xml:space="preserve">ISO 4217 currency of payout.</t>
  </si>
  <si>
    <t xml:space="preserve">ISO 4217</t>
  </si>
  <si>
    <t xml:space="preserve">USD</t>
  </si>
  <si>
    <t xml:space="preserve">withdrawal_fee</t>
  </si>
  <si>
    <t xml:space="preserve">Fee deducted from the payout.</t>
  </si>
  <si>
    <t xml:space="preserve">0.25</t>
  </si>
  <si>
    <t xml:space="preserve">withdrawal_id</t>
  </si>
  <si>
    <t xml:space="preserve">Unique ID of a withdrawal request.</t>
  </si>
  <si>
    <t xml:space="preserve">WD-3302</t>
  </si>
  <si>
    <t xml:space="preserve">KPI ID</t>
  </si>
  <si>
    <t xml:space="preserve">KPI</t>
  </si>
  <si>
    <t xml:space="preserve">Events Depending (count)</t>
  </si>
  <si>
    <t xml:space="preserve">K01</t>
  </si>
  <si>
    <t xml:space="preserve">New registrations</t>
  </si>
  <si>
    <t xml:space="preserve">Count of unique new accounts per period.</t>
  </si>
  <si>
    <t xml:space="preserve">K02</t>
  </si>
  <si>
    <t xml:space="preserve">Activation rate</t>
  </si>
  <si>
    <t xml:space="preserve">Share of registered users who complete a first task within 7 days.</t>
  </si>
  <si>
    <t xml:space="preserve">K03</t>
  </si>
  <si>
    <t xml:space="preserve">Onboarding completion</t>
  </si>
  <si>
    <t xml:space="preserve">Share of users who start onboarding and complete it.</t>
  </si>
  <si>
    <t xml:space="preserve">K04</t>
  </si>
  <si>
    <t xml:space="preserve">DAU/WAU/MAU</t>
  </si>
  <si>
    <t xml:space="preserve">Distinct users active (login or core action) per day, week and month; DAU/MAU for stickiness.</t>
  </si>
  <si>
    <t xml:space="preserve">K05</t>
  </si>
  <si>
    <t xml:space="preserve">Retention</t>
  </si>
  <si>
    <t xml:space="preserve">Share of a signup cohort active on day 1, 7 and 30.</t>
  </si>
  <si>
    <t xml:space="preserve">K06</t>
  </si>
  <si>
    <t xml:space="preserve">Task completion rate</t>
  </si>
  <si>
    <t xml:space="preserve">task_completed / task_started (and view-to-start funnel).</t>
  </si>
  <si>
    <t xml:space="preserve">K07</t>
  </si>
  <si>
    <t xml:space="preserve">Task failure rate</t>
  </si>
  <si>
    <t xml:space="preserve">task_failed / task_started.</t>
  </si>
  <si>
    <t xml:space="preserve">K08</t>
  </si>
  <si>
    <t xml:space="preserve">Reward cost</t>
  </si>
  <si>
    <t xml:space="preserve">Total reward value credited, per active user and per completed task.</t>
  </si>
  <si>
    <t xml:space="preserve">K09</t>
  </si>
  <si>
    <t xml:space="preserve">Reward liability</t>
  </si>
  <si>
    <t xml:space="preserve">Pending plus credited-but-unwithdrawn balance owed to users.</t>
  </si>
  <si>
    <t xml:space="preserve">K10</t>
  </si>
  <si>
    <t xml:space="preserve">Reward reversal rate</t>
  </si>
  <si>
    <t xml:space="preserve">Reversed reward value / credited reward value.</t>
  </si>
  <si>
    <t xml:space="preserve">K11</t>
  </si>
  <si>
    <t xml:space="preserve">Referral conversion</t>
  </si>
  <si>
    <t xml:space="preserve">Converted referrals / registered referrals.</t>
  </si>
  <si>
    <t xml:space="preserve">K12</t>
  </si>
  <si>
    <t xml:space="preserve">Referral cost</t>
  </si>
  <si>
    <t xml:space="preserve">Reward spend on referrals per converted referral.</t>
  </si>
  <si>
    <t xml:space="preserve">K13</t>
  </si>
  <si>
    <t xml:space="preserve">Withdrawal success rate</t>
  </si>
  <si>
    <t xml:space="preserve">withdrawal_completed / withdrawal_requested.</t>
  </si>
  <si>
    <t xml:space="preserve">K14</t>
  </si>
  <si>
    <t xml:space="preserve">Time to payout</t>
  </si>
  <si>
    <t xml:space="preserve">Median time between withdrawal_requested and withdrawal_completed.</t>
  </si>
  <si>
    <t xml:space="preserve">K15</t>
  </si>
  <si>
    <t xml:space="preserve">Withdrawal rejection rate</t>
  </si>
  <si>
    <t xml:space="preserve">(withdrawal_rejected + withdrawal_reversed) / withdrawal_requested.</t>
  </si>
  <si>
    <t xml:space="preserve">K16</t>
  </si>
  <si>
    <t xml:space="preserve">Fraud rate</t>
  </si>
  <si>
    <t xml:space="preserve">Flagged users or value / total users or value.</t>
  </si>
  <si>
    <t xml:space="preserve">K17</t>
  </si>
  <si>
    <t xml:space="preserve">Engagement-mechanic participation</t>
  </si>
  <si>
    <t xml:space="preserve">Share of active users using streaks, missions, badges, spins.</t>
  </si>
  <si>
    <t xml:space="preserve">K18</t>
  </si>
  <si>
    <t xml:space="preserve">Ledger reconciliation</t>
  </si>
  <si>
    <t xml:space="preserve">Share of rewards and withdrawals matching ledger entries one-to-one.</t>
  </si>
  <si>
    <t xml:space="preserve">Minimum Event</t>
  </si>
  <si>
    <t xml:space="preserve">In Catalogue?</t>
  </si>
  <si>
    <t xml:space="preserve">Minimum events required</t>
  </si>
  <si>
    <t xml:space="preserve">Minimum events covered</t>
  </si>
  <si>
    <t xml:space="preserve">Total events in catalogue</t>
  </si>
  <si>
    <t xml:space="preserve">Analyst-added events</t>
  </si>
  <si>
    <t xml:space="preserve">Conditional events (confirm feature exists)</t>
  </si>
  <si>
    <t xml:space="preserve">Duplicate event names</t>
  </si>
  <si>
    <t xml:space="preserve">Names failing naming standard</t>
  </si>
  <si>
    <t xml:space="preserve">Events still Not started</t>
  </si>
  <si>
    <t xml:space="preserve">Overall coverage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</si>
</sst>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23.85" hidden="false" customHeight="false" outlineLevel="0" collapsed="false">
      <c r="A25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28"/>
    <col collapsed="false" customWidth="true" hidden="false" outlineLevel="0" max="10" min="10" style="0" width="22"/>
    <col collapsed="false" customWidth="true" hidden="false" outlineLevel="0" max="11" min="11" style="0" width="36"/>
    <col collapsed="false" customWidth="true" hidden="false" outlineLevel="0" max="12" min="12" style="0" width="32"/>
    <col collapsed="false" customWidth="true" hidden="false" outlineLevel="0" max="13" min="13" style="0" width="50"/>
    <col collapsed="false" customWidth="true" hidden="false" outlineLevel="0" max="14" min="14" style="0" width="44"/>
    <col collapsed="false" customWidth="true" hidden="false" outlineLevel="0" max="15" min="15" style="0" width="26"/>
    <col collapsed="false" customWidth="true" hidden="false" outlineLevel="0" max="16" min="16" style="0" width="36"/>
    <col collapsed="false" customWidth="true" hidden="false" outlineLevel="0" max="17" min="17" style="0" width="40"/>
    <col collapsed="false" customWidth="true" hidden="false" outlineLevel="0" max="18" min="18" style="0" width="16"/>
    <col collapsed="false" customWidth="true" hidden="false" outlineLevel="0" max="19" min="19" style="0" width="12"/>
  </cols>
  <sheetData>
    <row r="1" customFormat="false" ht="23.8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</row>
    <row r="2" customFormat="false" ht="35.05" hidden="false" customHeight="false" outlineLevel="0" collapsed="false">
      <c r="A2" s="5" t="s">
        <v>41</v>
      </c>
      <c r="B2" s="5" t="s">
        <v>42</v>
      </c>
      <c r="C2" s="5" t="s">
        <v>43</v>
      </c>
      <c r="D2" s="5" t="s">
        <v>44</v>
      </c>
      <c r="E2" s="5" t="s">
        <v>45</v>
      </c>
      <c r="F2" s="5" t="s">
        <v>46</v>
      </c>
      <c r="G2" s="5" t="s">
        <v>47</v>
      </c>
      <c r="H2" s="5" t="s">
        <v>48</v>
      </c>
      <c r="I2" s="5" t="s">
        <v>49</v>
      </c>
      <c r="J2" s="5" t="s">
        <v>50</v>
      </c>
      <c r="K2" s="5" t="s">
        <v>51</v>
      </c>
      <c r="L2" s="5" t="s">
        <v>52</v>
      </c>
      <c r="M2" s="5" t="s">
        <v>53</v>
      </c>
      <c r="N2" s="5" t="s">
        <v>54</v>
      </c>
      <c r="O2" s="5" t="s">
        <v>55</v>
      </c>
      <c r="P2" s="5" t="s">
        <v>56</v>
      </c>
      <c r="Q2" s="5" t="s">
        <v>57</v>
      </c>
      <c r="R2" s="5" t="s">
        <v>58</v>
      </c>
      <c r="S2" s="5" t="str">
        <f aca="false">IF(AND(EXACT(C2,LOWER(C2)),LEN(C2)&lt;=40,ISERROR(FIND(" ",C2)),ISERROR(FIND("-",C2))),"OK","CHECK")</f>
        <v>OK</v>
      </c>
    </row>
    <row r="3" customFormat="false" ht="35.05" hidden="false" customHeight="false" outlineLevel="0" collapsed="false">
      <c r="A3" s="5" t="s">
        <v>59</v>
      </c>
      <c r="B3" s="5" t="s">
        <v>42</v>
      </c>
      <c r="C3" s="5" t="s">
        <v>60</v>
      </c>
      <c r="D3" s="5" t="s">
        <v>44</v>
      </c>
      <c r="E3" s="5" t="s">
        <v>61</v>
      </c>
      <c r="F3" s="5" t="s">
        <v>62</v>
      </c>
      <c r="G3" s="5" t="s">
        <v>63</v>
      </c>
      <c r="H3" s="5" t="s">
        <v>48</v>
      </c>
      <c r="I3" s="5" t="s">
        <v>49</v>
      </c>
      <c r="J3" s="5" t="s">
        <v>50</v>
      </c>
      <c r="K3" s="5" t="s">
        <v>64</v>
      </c>
      <c r="L3" s="5" t="s">
        <v>65</v>
      </c>
      <c r="M3" s="5" t="s">
        <v>66</v>
      </c>
      <c r="N3" s="5" t="s">
        <v>67</v>
      </c>
      <c r="O3" s="5" t="s">
        <v>55</v>
      </c>
      <c r="P3" s="5" t="s">
        <v>68</v>
      </c>
      <c r="Q3" s="5" t="s">
        <v>69</v>
      </c>
      <c r="R3" s="5" t="s">
        <v>58</v>
      </c>
      <c r="S3" s="5" t="str">
        <f aca="false">IF(AND(EXACT(C3,LOWER(C3)),LEN(C3)&lt;=40,ISERROR(FIND(" ",C3)),ISERROR(FIND("-",C3))),"OK","CHECK")</f>
        <v>OK</v>
      </c>
    </row>
    <row r="4" customFormat="false" ht="35.05" hidden="false" customHeight="false" outlineLevel="0" collapsed="false">
      <c r="A4" s="5" t="s">
        <v>70</v>
      </c>
      <c r="B4" s="5" t="s">
        <v>42</v>
      </c>
      <c r="C4" s="5" t="s">
        <v>71</v>
      </c>
      <c r="D4" s="5" t="s">
        <v>44</v>
      </c>
      <c r="E4" s="5" t="s">
        <v>72</v>
      </c>
      <c r="F4" s="5" t="s">
        <v>73</v>
      </c>
      <c r="G4" s="5" t="s">
        <v>63</v>
      </c>
      <c r="H4" s="5" t="s">
        <v>48</v>
      </c>
      <c r="I4" s="5" t="s">
        <v>49</v>
      </c>
      <c r="J4" s="5" t="s">
        <v>74</v>
      </c>
      <c r="K4" s="5" t="s">
        <v>75</v>
      </c>
      <c r="L4" s="5"/>
      <c r="M4" s="5" t="s">
        <v>76</v>
      </c>
      <c r="N4" s="5" t="s">
        <v>77</v>
      </c>
      <c r="O4" s="5" t="s">
        <v>78</v>
      </c>
      <c r="P4" s="5" t="s">
        <v>79</v>
      </c>
      <c r="Q4" s="5" t="s">
        <v>80</v>
      </c>
      <c r="R4" s="5" t="s">
        <v>58</v>
      </c>
      <c r="S4" s="5" t="str">
        <f aca="false">IF(AND(EXACT(C4,LOWER(C4)),LEN(C4)&lt;=40,ISERROR(FIND(" ",C4)),ISERROR(FIND("-",C4))),"OK","CHECK")</f>
        <v>OK</v>
      </c>
    </row>
    <row r="5" customFormat="false" ht="35.05" hidden="false" customHeight="false" outlineLevel="0" collapsed="false">
      <c r="A5" s="5" t="s">
        <v>81</v>
      </c>
      <c r="B5" s="5" t="s">
        <v>42</v>
      </c>
      <c r="C5" s="5" t="s">
        <v>82</v>
      </c>
      <c r="D5" s="5" t="s">
        <v>83</v>
      </c>
      <c r="E5" s="5" t="s">
        <v>84</v>
      </c>
      <c r="F5" s="5" t="s">
        <v>85</v>
      </c>
      <c r="G5" s="5" t="s">
        <v>86</v>
      </c>
      <c r="H5" s="5" t="s">
        <v>48</v>
      </c>
      <c r="I5" s="5" t="s">
        <v>49</v>
      </c>
      <c r="J5" s="5" t="s">
        <v>50</v>
      </c>
      <c r="K5" s="5"/>
      <c r="L5" s="5" t="s">
        <v>87</v>
      </c>
      <c r="M5" s="5" t="s">
        <v>88</v>
      </c>
      <c r="N5" s="5" t="s">
        <v>89</v>
      </c>
      <c r="O5" s="5" t="s">
        <v>90</v>
      </c>
      <c r="P5" s="5" t="s">
        <v>91</v>
      </c>
      <c r="Q5" s="5" t="s">
        <v>69</v>
      </c>
      <c r="R5" s="5" t="s">
        <v>58</v>
      </c>
      <c r="S5" s="5" t="str">
        <f aca="false">IF(AND(EXACT(C5,LOWER(C5)),LEN(C5)&lt;=40,ISERROR(FIND(" ",C5)),ISERROR(FIND("-",C5))),"OK","CHECK")</f>
        <v>OK</v>
      </c>
    </row>
    <row r="6" customFormat="false" ht="35.05" hidden="false" customHeight="false" outlineLevel="0" collapsed="false">
      <c r="A6" s="5" t="s">
        <v>92</v>
      </c>
      <c r="B6" s="5" t="s">
        <v>42</v>
      </c>
      <c r="C6" s="5" t="s">
        <v>93</v>
      </c>
      <c r="D6" s="5" t="s">
        <v>44</v>
      </c>
      <c r="E6" s="5" t="s">
        <v>94</v>
      </c>
      <c r="F6" s="5" t="s">
        <v>95</v>
      </c>
      <c r="G6" s="5" t="s">
        <v>63</v>
      </c>
      <c r="H6" s="5" t="s">
        <v>48</v>
      </c>
      <c r="I6" s="5" t="s">
        <v>49</v>
      </c>
      <c r="J6" s="5" t="s">
        <v>50</v>
      </c>
      <c r="K6" s="5" t="s">
        <v>96</v>
      </c>
      <c r="L6" s="5" t="s">
        <v>97</v>
      </c>
      <c r="M6" s="5" t="s">
        <v>98</v>
      </c>
      <c r="N6" s="5" t="s">
        <v>99</v>
      </c>
      <c r="O6" s="5" t="s">
        <v>90</v>
      </c>
      <c r="P6" s="5" t="s">
        <v>100</v>
      </c>
      <c r="Q6" s="5" t="s">
        <v>101</v>
      </c>
      <c r="R6" s="5" t="s">
        <v>58</v>
      </c>
      <c r="S6" s="5" t="str">
        <f aca="false">IF(AND(EXACT(C6,LOWER(C6)),LEN(C6)&lt;=40,ISERROR(FIND(" ",C6)),ISERROR(FIND("-",C6))),"OK","CHECK")</f>
        <v>OK</v>
      </c>
    </row>
    <row r="7" customFormat="false" ht="35.05" hidden="false" customHeight="false" outlineLevel="0" collapsed="false">
      <c r="A7" s="5" t="s">
        <v>102</v>
      </c>
      <c r="B7" s="5" t="s">
        <v>42</v>
      </c>
      <c r="C7" s="5" t="s">
        <v>103</v>
      </c>
      <c r="D7" s="5" t="s">
        <v>83</v>
      </c>
      <c r="E7" s="5" t="s">
        <v>104</v>
      </c>
      <c r="F7" s="5" t="s">
        <v>105</v>
      </c>
      <c r="G7" s="5" t="s">
        <v>63</v>
      </c>
      <c r="H7" s="5" t="s">
        <v>48</v>
      </c>
      <c r="I7" s="5" t="s">
        <v>49</v>
      </c>
      <c r="J7" s="5" t="s">
        <v>50</v>
      </c>
      <c r="K7" s="5" t="s">
        <v>106</v>
      </c>
      <c r="L7" s="5" t="s">
        <v>107</v>
      </c>
      <c r="M7" s="5" t="s">
        <v>108</v>
      </c>
      <c r="N7" s="5" t="s">
        <v>109</v>
      </c>
      <c r="O7" s="5" t="s">
        <v>90</v>
      </c>
      <c r="P7" s="5" t="s">
        <v>110</v>
      </c>
      <c r="Q7" s="5" t="s">
        <v>111</v>
      </c>
      <c r="R7" s="5" t="s">
        <v>58</v>
      </c>
      <c r="S7" s="5" t="str">
        <f aca="false">IF(AND(EXACT(C7,LOWER(C7)),LEN(C7)&lt;=40,ISERROR(FIND(" ",C7)),ISERROR(FIND("-",C7))),"OK","CHECK")</f>
        <v>OK</v>
      </c>
    </row>
    <row r="8" customFormat="false" ht="35.05" hidden="false" customHeight="false" outlineLevel="0" collapsed="false">
      <c r="A8" s="5" t="s">
        <v>112</v>
      </c>
      <c r="B8" s="5" t="s">
        <v>42</v>
      </c>
      <c r="C8" s="5" t="s">
        <v>113</v>
      </c>
      <c r="D8" s="5" t="s">
        <v>44</v>
      </c>
      <c r="E8" s="5" t="s">
        <v>114</v>
      </c>
      <c r="F8" s="5" t="s">
        <v>115</v>
      </c>
      <c r="G8" s="5" t="s">
        <v>63</v>
      </c>
      <c r="H8" s="5" t="s">
        <v>48</v>
      </c>
      <c r="I8" s="5" t="s">
        <v>49</v>
      </c>
      <c r="J8" s="5" t="s">
        <v>50</v>
      </c>
      <c r="K8" s="5" t="s">
        <v>116</v>
      </c>
      <c r="L8" s="5" t="s">
        <v>117</v>
      </c>
      <c r="M8" s="5" t="s">
        <v>118</v>
      </c>
      <c r="N8" s="5" t="s">
        <v>119</v>
      </c>
      <c r="O8" s="5" t="s">
        <v>90</v>
      </c>
      <c r="P8" s="5" t="s">
        <v>120</v>
      </c>
      <c r="Q8" s="5" t="s">
        <v>101</v>
      </c>
      <c r="R8" s="5" t="s">
        <v>58</v>
      </c>
      <c r="S8" s="5" t="str">
        <f aca="false">IF(AND(EXACT(C8,LOWER(C8)),LEN(C8)&lt;=40,ISERROR(FIND(" ",C8)),ISERROR(FIND("-",C8))),"OK","CHECK")</f>
        <v>OK</v>
      </c>
    </row>
    <row r="9" customFormat="false" ht="35.05" hidden="false" customHeight="false" outlineLevel="0" collapsed="false">
      <c r="A9" s="5" t="s">
        <v>121</v>
      </c>
      <c r="B9" s="5" t="s">
        <v>42</v>
      </c>
      <c r="C9" s="5" t="s">
        <v>122</v>
      </c>
      <c r="D9" s="5" t="s">
        <v>83</v>
      </c>
      <c r="E9" s="5" t="s">
        <v>123</v>
      </c>
      <c r="F9" s="5" t="s">
        <v>124</v>
      </c>
      <c r="G9" s="5" t="s">
        <v>63</v>
      </c>
      <c r="H9" s="5" t="s">
        <v>48</v>
      </c>
      <c r="I9" s="5" t="s">
        <v>49</v>
      </c>
      <c r="J9" s="5" t="s">
        <v>125</v>
      </c>
      <c r="K9" s="5" t="s">
        <v>126</v>
      </c>
      <c r="L9" s="5"/>
      <c r="M9" s="5" t="s">
        <v>127</v>
      </c>
      <c r="N9" s="5" t="s">
        <v>128</v>
      </c>
      <c r="O9" s="5" t="s">
        <v>78</v>
      </c>
      <c r="P9" s="5" t="s">
        <v>129</v>
      </c>
      <c r="Q9" s="5" t="s">
        <v>130</v>
      </c>
      <c r="R9" s="5" t="s">
        <v>58</v>
      </c>
      <c r="S9" s="5" t="str">
        <f aca="false">IF(AND(EXACT(C9,LOWER(C9)),LEN(C9)&lt;=40,ISERROR(FIND(" ",C9)),ISERROR(FIND("-",C9))),"OK","CHECK")</f>
        <v>OK</v>
      </c>
    </row>
    <row r="10" customFormat="false" ht="35.05" hidden="false" customHeight="false" outlineLevel="0" collapsed="false">
      <c r="A10" s="5" t="s">
        <v>131</v>
      </c>
      <c r="B10" s="5" t="s">
        <v>42</v>
      </c>
      <c r="C10" s="5" t="s">
        <v>132</v>
      </c>
      <c r="D10" s="5" t="s">
        <v>83</v>
      </c>
      <c r="E10" s="5" t="s">
        <v>133</v>
      </c>
      <c r="F10" s="5" t="s">
        <v>134</v>
      </c>
      <c r="G10" s="5" t="s">
        <v>63</v>
      </c>
      <c r="H10" s="5" t="s">
        <v>48</v>
      </c>
      <c r="I10" s="5" t="s">
        <v>49</v>
      </c>
      <c r="J10" s="5" t="s">
        <v>125</v>
      </c>
      <c r="K10" s="5" t="s">
        <v>135</v>
      </c>
      <c r="L10" s="5" t="s">
        <v>136</v>
      </c>
      <c r="M10" s="5" t="s">
        <v>137</v>
      </c>
      <c r="N10" s="5" t="s">
        <v>138</v>
      </c>
      <c r="O10" s="5" t="s">
        <v>139</v>
      </c>
      <c r="P10" s="5" t="s">
        <v>140</v>
      </c>
      <c r="Q10" s="5" t="s">
        <v>141</v>
      </c>
      <c r="R10" s="5" t="s">
        <v>58</v>
      </c>
      <c r="S10" s="5" t="str">
        <f aca="false">IF(AND(EXACT(C10,LOWER(C10)),LEN(C10)&lt;=40,ISERROR(FIND(" ",C10)),ISERROR(FIND("-",C10))),"OK","CHECK")</f>
        <v>OK</v>
      </c>
    </row>
    <row r="11" customFormat="false" ht="35.05" hidden="false" customHeight="false" outlineLevel="0" collapsed="false">
      <c r="A11" s="5" t="s">
        <v>142</v>
      </c>
      <c r="B11" s="5" t="s">
        <v>143</v>
      </c>
      <c r="C11" s="5" t="s">
        <v>144</v>
      </c>
      <c r="D11" s="5" t="s">
        <v>44</v>
      </c>
      <c r="E11" s="5" t="s">
        <v>145</v>
      </c>
      <c r="F11" s="5" t="s">
        <v>146</v>
      </c>
      <c r="G11" s="5" t="s">
        <v>63</v>
      </c>
      <c r="H11" s="5" t="s">
        <v>48</v>
      </c>
      <c r="I11" s="5" t="s">
        <v>49</v>
      </c>
      <c r="J11" s="5" t="s">
        <v>50</v>
      </c>
      <c r="K11" s="5" t="s">
        <v>147</v>
      </c>
      <c r="L11" s="5" t="s">
        <v>148</v>
      </c>
      <c r="M11" s="5" t="s">
        <v>149</v>
      </c>
      <c r="N11" s="5" t="s">
        <v>150</v>
      </c>
      <c r="O11" s="5" t="s">
        <v>90</v>
      </c>
      <c r="P11" s="5" t="s">
        <v>151</v>
      </c>
      <c r="Q11" s="5" t="s">
        <v>152</v>
      </c>
      <c r="R11" s="5" t="s">
        <v>58</v>
      </c>
      <c r="S11" s="5" t="str">
        <f aca="false">IF(AND(EXACT(C11,LOWER(C11)),LEN(C11)&lt;=40,ISERROR(FIND(" ",C11)),ISERROR(FIND("-",C11))),"OK","CHECK")</f>
        <v>OK</v>
      </c>
    </row>
    <row r="12" customFormat="false" ht="35.05" hidden="false" customHeight="false" outlineLevel="0" collapsed="false">
      <c r="A12" s="5" t="s">
        <v>153</v>
      </c>
      <c r="B12" s="5" t="s">
        <v>143</v>
      </c>
      <c r="C12" s="5" t="s">
        <v>154</v>
      </c>
      <c r="D12" s="5" t="s">
        <v>44</v>
      </c>
      <c r="E12" s="5" t="s">
        <v>155</v>
      </c>
      <c r="F12" s="5" t="s">
        <v>156</v>
      </c>
      <c r="G12" s="5" t="s">
        <v>63</v>
      </c>
      <c r="H12" s="5" t="s">
        <v>48</v>
      </c>
      <c r="I12" s="5" t="s">
        <v>49</v>
      </c>
      <c r="J12" s="5" t="s">
        <v>50</v>
      </c>
      <c r="K12" s="5" t="s">
        <v>157</v>
      </c>
      <c r="L12" s="5" t="s">
        <v>158</v>
      </c>
      <c r="M12" s="5" t="s">
        <v>159</v>
      </c>
      <c r="N12" s="5" t="s">
        <v>160</v>
      </c>
      <c r="O12" s="5" t="s">
        <v>90</v>
      </c>
      <c r="P12" s="5" t="s">
        <v>161</v>
      </c>
      <c r="Q12" s="5" t="s">
        <v>152</v>
      </c>
      <c r="R12" s="5" t="s">
        <v>58</v>
      </c>
      <c r="S12" s="5" t="str">
        <f aca="false">IF(AND(EXACT(C12,LOWER(C12)),LEN(C12)&lt;=40,ISERROR(FIND(" ",C12)),ISERROR(FIND("-",C12))),"OK","CHECK")</f>
        <v>OK</v>
      </c>
    </row>
    <row r="13" customFormat="false" ht="35.05" hidden="false" customHeight="false" outlineLevel="0" collapsed="false">
      <c r="A13" s="5" t="s">
        <v>162</v>
      </c>
      <c r="B13" s="5" t="s">
        <v>143</v>
      </c>
      <c r="C13" s="5" t="s">
        <v>163</v>
      </c>
      <c r="D13" s="5" t="s">
        <v>44</v>
      </c>
      <c r="E13" s="5" t="s">
        <v>164</v>
      </c>
      <c r="F13" s="5" t="s">
        <v>165</v>
      </c>
      <c r="G13" s="5" t="s">
        <v>63</v>
      </c>
      <c r="H13" s="5" t="s">
        <v>48</v>
      </c>
      <c r="I13" s="5" t="s">
        <v>49</v>
      </c>
      <c r="J13" s="5" t="s">
        <v>50</v>
      </c>
      <c r="K13" s="5" t="s">
        <v>166</v>
      </c>
      <c r="L13" s="5" t="s">
        <v>167</v>
      </c>
      <c r="M13" s="5" t="s">
        <v>168</v>
      </c>
      <c r="N13" s="5" t="s">
        <v>169</v>
      </c>
      <c r="O13" s="5" t="s">
        <v>170</v>
      </c>
      <c r="P13" s="5" t="s">
        <v>171</v>
      </c>
      <c r="Q13" s="5" t="s">
        <v>172</v>
      </c>
      <c r="R13" s="5" t="s">
        <v>58</v>
      </c>
      <c r="S13" s="5" t="str">
        <f aca="false">IF(AND(EXACT(C13,LOWER(C13)),LEN(C13)&lt;=40,ISERROR(FIND(" ",C13)),ISERROR(FIND("-",C13))),"OK","CHECK")</f>
        <v>OK</v>
      </c>
    </row>
    <row r="14" customFormat="false" ht="35.05" hidden="false" customHeight="false" outlineLevel="0" collapsed="false">
      <c r="A14" s="5" t="s">
        <v>173</v>
      </c>
      <c r="B14" s="5" t="s">
        <v>143</v>
      </c>
      <c r="C14" s="5" t="s">
        <v>174</v>
      </c>
      <c r="D14" s="5" t="s">
        <v>44</v>
      </c>
      <c r="E14" s="5" t="s">
        <v>175</v>
      </c>
      <c r="F14" s="5" t="s">
        <v>176</v>
      </c>
      <c r="G14" s="5" t="s">
        <v>63</v>
      </c>
      <c r="H14" s="5" t="s">
        <v>48</v>
      </c>
      <c r="I14" s="5" t="s">
        <v>49</v>
      </c>
      <c r="J14" s="5" t="s">
        <v>50</v>
      </c>
      <c r="K14" s="5" t="s">
        <v>177</v>
      </c>
      <c r="L14" s="5" t="s">
        <v>178</v>
      </c>
      <c r="M14" s="5" t="s">
        <v>179</v>
      </c>
      <c r="N14" s="5" t="s">
        <v>180</v>
      </c>
      <c r="O14" s="5" t="s">
        <v>181</v>
      </c>
      <c r="P14" s="5" t="s">
        <v>182</v>
      </c>
      <c r="Q14" s="5" t="s">
        <v>183</v>
      </c>
      <c r="R14" s="5" t="s">
        <v>58</v>
      </c>
      <c r="S14" s="5" t="str">
        <f aca="false">IF(AND(EXACT(C14,LOWER(C14)),LEN(C14)&lt;=40,ISERROR(FIND(" ",C14)),ISERROR(FIND("-",C14))),"OK","CHECK")</f>
        <v>OK</v>
      </c>
    </row>
    <row r="15" customFormat="false" ht="35.05" hidden="false" customHeight="false" outlineLevel="0" collapsed="false">
      <c r="A15" s="5" t="s">
        <v>184</v>
      </c>
      <c r="B15" s="5" t="s">
        <v>143</v>
      </c>
      <c r="C15" s="5" t="s">
        <v>185</v>
      </c>
      <c r="D15" s="5" t="s">
        <v>44</v>
      </c>
      <c r="E15" s="5" t="s">
        <v>186</v>
      </c>
      <c r="F15" s="5" t="s">
        <v>187</v>
      </c>
      <c r="G15" s="5" t="s">
        <v>63</v>
      </c>
      <c r="H15" s="5" t="s">
        <v>48</v>
      </c>
      <c r="I15" s="5" t="s">
        <v>49</v>
      </c>
      <c r="J15" s="5" t="s">
        <v>50</v>
      </c>
      <c r="K15" s="5" t="s">
        <v>188</v>
      </c>
      <c r="L15" s="5" t="s">
        <v>189</v>
      </c>
      <c r="M15" s="5" t="s">
        <v>190</v>
      </c>
      <c r="N15" s="5" t="s">
        <v>191</v>
      </c>
      <c r="O15" s="5" t="s">
        <v>181</v>
      </c>
      <c r="P15" s="5" t="s">
        <v>192</v>
      </c>
      <c r="Q15" s="5" t="s">
        <v>193</v>
      </c>
      <c r="R15" s="5" t="s">
        <v>58</v>
      </c>
      <c r="S15" s="5" t="str">
        <f aca="false">IF(AND(EXACT(C15,LOWER(C15)),LEN(C15)&lt;=40,ISERROR(FIND(" ",C15)),ISERROR(FIND("-",C15))),"OK","CHECK")</f>
        <v>OK</v>
      </c>
    </row>
    <row r="16" customFormat="false" ht="35.05" hidden="false" customHeight="false" outlineLevel="0" collapsed="false">
      <c r="A16" s="5" t="s">
        <v>194</v>
      </c>
      <c r="B16" s="5" t="s">
        <v>195</v>
      </c>
      <c r="C16" s="5" t="s">
        <v>196</v>
      </c>
      <c r="D16" s="5" t="s">
        <v>44</v>
      </c>
      <c r="E16" s="5" t="s">
        <v>197</v>
      </c>
      <c r="F16" s="5" t="s">
        <v>198</v>
      </c>
      <c r="G16" s="5" t="s">
        <v>63</v>
      </c>
      <c r="H16" s="5" t="s">
        <v>48</v>
      </c>
      <c r="I16" s="5" t="s">
        <v>49</v>
      </c>
      <c r="J16" s="5" t="s">
        <v>50</v>
      </c>
      <c r="K16" s="5" t="s">
        <v>199</v>
      </c>
      <c r="L16" s="5" t="s">
        <v>200</v>
      </c>
      <c r="M16" s="5" t="s">
        <v>201</v>
      </c>
      <c r="N16" s="5" t="s">
        <v>202</v>
      </c>
      <c r="O16" s="5" t="s">
        <v>203</v>
      </c>
      <c r="P16" s="5" t="s">
        <v>204</v>
      </c>
      <c r="Q16" s="5" t="s">
        <v>205</v>
      </c>
      <c r="R16" s="5" t="s">
        <v>58</v>
      </c>
      <c r="S16" s="5" t="str">
        <f aca="false">IF(AND(EXACT(C16,LOWER(C16)),LEN(C16)&lt;=40,ISERROR(FIND(" ",C16)),ISERROR(FIND("-",C16))),"OK","CHECK")</f>
        <v>OK</v>
      </c>
    </row>
    <row r="17" customFormat="false" ht="35.05" hidden="false" customHeight="false" outlineLevel="0" collapsed="false">
      <c r="A17" s="5" t="s">
        <v>206</v>
      </c>
      <c r="B17" s="5" t="s">
        <v>195</v>
      </c>
      <c r="C17" s="5" t="s">
        <v>207</v>
      </c>
      <c r="D17" s="5" t="s">
        <v>44</v>
      </c>
      <c r="E17" s="5" t="s">
        <v>208</v>
      </c>
      <c r="F17" s="5" t="s">
        <v>209</v>
      </c>
      <c r="G17" s="5" t="s">
        <v>63</v>
      </c>
      <c r="H17" s="5" t="s">
        <v>48</v>
      </c>
      <c r="I17" s="5" t="s">
        <v>49</v>
      </c>
      <c r="J17" s="5" t="s">
        <v>50</v>
      </c>
      <c r="K17" s="5" t="s">
        <v>210</v>
      </c>
      <c r="L17" s="5" t="s">
        <v>211</v>
      </c>
      <c r="M17" s="5" t="s">
        <v>212</v>
      </c>
      <c r="N17" s="5" t="s">
        <v>213</v>
      </c>
      <c r="O17" s="5" t="s">
        <v>203</v>
      </c>
      <c r="P17" s="5" t="s">
        <v>214</v>
      </c>
      <c r="Q17" s="5" t="s">
        <v>215</v>
      </c>
      <c r="R17" s="5" t="s">
        <v>58</v>
      </c>
      <c r="S17" s="5" t="str">
        <f aca="false">IF(AND(EXACT(C17,LOWER(C17)),LEN(C17)&lt;=40,ISERROR(FIND(" ",C17)),ISERROR(FIND("-",C17))),"OK","CHECK")</f>
        <v>OK</v>
      </c>
    </row>
    <row r="18" customFormat="false" ht="35.05" hidden="false" customHeight="false" outlineLevel="0" collapsed="false">
      <c r="A18" s="5" t="s">
        <v>216</v>
      </c>
      <c r="B18" s="5" t="s">
        <v>195</v>
      </c>
      <c r="C18" s="5" t="s">
        <v>217</v>
      </c>
      <c r="D18" s="5" t="s">
        <v>44</v>
      </c>
      <c r="E18" s="5" t="s">
        <v>218</v>
      </c>
      <c r="F18" s="5" t="s">
        <v>219</v>
      </c>
      <c r="G18" s="5" t="s">
        <v>63</v>
      </c>
      <c r="H18" s="5" t="s">
        <v>48</v>
      </c>
      <c r="I18" s="5" t="s">
        <v>49</v>
      </c>
      <c r="J18" s="5" t="s">
        <v>50</v>
      </c>
      <c r="K18" s="5" t="s">
        <v>220</v>
      </c>
      <c r="L18" s="5" t="s">
        <v>221</v>
      </c>
      <c r="M18" s="5" t="s">
        <v>222</v>
      </c>
      <c r="N18" s="5" t="s">
        <v>223</v>
      </c>
      <c r="O18" s="5" t="s">
        <v>203</v>
      </c>
      <c r="P18" s="5" t="s">
        <v>224</v>
      </c>
      <c r="Q18" s="5" t="s">
        <v>225</v>
      </c>
      <c r="R18" s="5" t="s">
        <v>58</v>
      </c>
      <c r="S18" s="5" t="str">
        <f aca="false">IF(AND(EXACT(C18,LOWER(C18)),LEN(C18)&lt;=40,ISERROR(FIND(" ",C18)),ISERROR(FIND("-",C18))),"OK","CHECK")</f>
        <v>OK</v>
      </c>
    </row>
    <row r="19" customFormat="false" ht="35.05" hidden="false" customHeight="false" outlineLevel="0" collapsed="false">
      <c r="A19" s="5" t="s">
        <v>226</v>
      </c>
      <c r="B19" s="5" t="s">
        <v>195</v>
      </c>
      <c r="C19" s="5" t="s">
        <v>227</v>
      </c>
      <c r="D19" s="5" t="s">
        <v>83</v>
      </c>
      <c r="E19" s="5" t="s">
        <v>228</v>
      </c>
      <c r="F19" s="5" t="s">
        <v>229</v>
      </c>
      <c r="G19" s="5" t="s">
        <v>63</v>
      </c>
      <c r="H19" s="5" t="s">
        <v>48</v>
      </c>
      <c r="I19" s="5" t="s">
        <v>49</v>
      </c>
      <c r="J19" s="5" t="s">
        <v>230</v>
      </c>
      <c r="K19" s="5" t="s">
        <v>231</v>
      </c>
      <c r="L19" s="5"/>
      <c r="M19" s="5" t="s">
        <v>232</v>
      </c>
      <c r="N19" s="5" t="s">
        <v>233</v>
      </c>
      <c r="O19" s="5" t="s">
        <v>203</v>
      </c>
      <c r="P19" s="5" t="s">
        <v>234</v>
      </c>
      <c r="Q19" s="5" t="s">
        <v>235</v>
      </c>
      <c r="R19" s="5" t="s">
        <v>58</v>
      </c>
      <c r="S19" s="5" t="str">
        <f aca="false">IF(AND(EXACT(C19,LOWER(C19)),LEN(C19)&lt;=40,ISERROR(FIND(" ",C19)),ISERROR(FIND("-",C19))),"OK","CHECK")</f>
        <v>OK</v>
      </c>
    </row>
    <row r="20" customFormat="false" ht="35.05" hidden="false" customHeight="false" outlineLevel="0" collapsed="false">
      <c r="A20" s="5" t="s">
        <v>236</v>
      </c>
      <c r="B20" s="5" t="s">
        <v>237</v>
      </c>
      <c r="C20" s="5" t="s">
        <v>238</v>
      </c>
      <c r="D20" s="5" t="s">
        <v>239</v>
      </c>
      <c r="E20" s="5" t="s">
        <v>240</v>
      </c>
      <c r="F20" s="5" t="s">
        <v>241</v>
      </c>
      <c r="G20" s="5" t="s">
        <v>63</v>
      </c>
      <c r="H20" s="5" t="s">
        <v>48</v>
      </c>
      <c r="I20" s="5" t="s">
        <v>49</v>
      </c>
      <c r="J20" s="5" t="s">
        <v>125</v>
      </c>
      <c r="K20" s="5" t="s">
        <v>242</v>
      </c>
      <c r="L20" s="5" t="s">
        <v>243</v>
      </c>
      <c r="M20" s="5" t="s">
        <v>244</v>
      </c>
      <c r="N20" s="5" t="s">
        <v>245</v>
      </c>
      <c r="O20" s="5" t="s">
        <v>246</v>
      </c>
      <c r="P20" s="5" t="s">
        <v>247</v>
      </c>
      <c r="Q20" s="5" t="s">
        <v>248</v>
      </c>
      <c r="R20" s="5" t="s">
        <v>58</v>
      </c>
      <c r="S20" s="5" t="str">
        <f aca="false">IF(AND(EXACT(C20,LOWER(C20)),LEN(C20)&lt;=40,ISERROR(FIND(" ",C20)),ISERROR(FIND("-",C20))),"OK","CHECK")</f>
        <v>OK</v>
      </c>
    </row>
    <row r="21" customFormat="false" ht="35.05" hidden="false" customHeight="false" outlineLevel="0" collapsed="false">
      <c r="A21" s="5" t="s">
        <v>249</v>
      </c>
      <c r="B21" s="5" t="s">
        <v>237</v>
      </c>
      <c r="C21" s="5" t="s">
        <v>250</v>
      </c>
      <c r="D21" s="5" t="s">
        <v>239</v>
      </c>
      <c r="E21" s="5" t="s">
        <v>251</v>
      </c>
      <c r="F21" s="5" t="s">
        <v>252</v>
      </c>
      <c r="G21" s="5" t="s">
        <v>63</v>
      </c>
      <c r="H21" s="5" t="s">
        <v>48</v>
      </c>
      <c r="I21" s="5" t="s">
        <v>49</v>
      </c>
      <c r="J21" s="5" t="s">
        <v>125</v>
      </c>
      <c r="K21" s="5" t="s">
        <v>253</v>
      </c>
      <c r="L21" s="5"/>
      <c r="M21" s="5" t="s">
        <v>254</v>
      </c>
      <c r="N21" s="5" t="s">
        <v>255</v>
      </c>
      <c r="O21" s="5" t="s">
        <v>246</v>
      </c>
      <c r="P21" s="5" t="s">
        <v>256</v>
      </c>
      <c r="Q21" s="5" t="s">
        <v>257</v>
      </c>
      <c r="R21" s="5" t="s">
        <v>58</v>
      </c>
      <c r="S21" s="5" t="str">
        <f aca="false">IF(AND(EXACT(C21,LOWER(C21)),LEN(C21)&lt;=40,ISERROR(FIND(" ",C21)),ISERROR(FIND("-",C21))),"OK","CHECK")</f>
        <v>OK</v>
      </c>
    </row>
    <row r="22" customFormat="false" ht="35.05" hidden="false" customHeight="false" outlineLevel="0" collapsed="false">
      <c r="A22" s="5" t="s">
        <v>258</v>
      </c>
      <c r="B22" s="5" t="s">
        <v>237</v>
      </c>
      <c r="C22" s="5" t="s">
        <v>259</v>
      </c>
      <c r="D22" s="5" t="s">
        <v>239</v>
      </c>
      <c r="E22" s="5" t="s">
        <v>260</v>
      </c>
      <c r="F22" s="5" t="s">
        <v>261</v>
      </c>
      <c r="G22" s="5" t="s">
        <v>63</v>
      </c>
      <c r="H22" s="5" t="s">
        <v>48</v>
      </c>
      <c r="I22" s="5" t="s">
        <v>49</v>
      </c>
      <c r="J22" s="5" t="s">
        <v>125</v>
      </c>
      <c r="K22" s="5" t="s">
        <v>262</v>
      </c>
      <c r="L22" s="5" t="s">
        <v>263</v>
      </c>
      <c r="M22" s="5" t="s">
        <v>264</v>
      </c>
      <c r="N22" s="5" t="s">
        <v>265</v>
      </c>
      <c r="O22" s="5" t="s">
        <v>246</v>
      </c>
      <c r="P22" s="5" t="s">
        <v>266</v>
      </c>
      <c r="Q22" s="5" t="s">
        <v>267</v>
      </c>
      <c r="R22" s="5" t="s">
        <v>58</v>
      </c>
      <c r="S22" s="5" t="str">
        <f aca="false">IF(AND(EXACT(C22,LOWER(C22)),LEN(C22)&lt;=40,ISERROR(FIND(" ",C22)),ISERROR(FIND("-",C22))),"OK","CHECK")</f>
        <v>OK</v>
      </c>
    </row>
    <row r="23" customFormat="false" ht="35.05" hidden="false" customHeight="false" outlineLevel="0" collapsed="false">
      <c r="A23" s="5" t="s">
        <v>268</v>
      </c>
      <c r="B23" s="5" t="s">
        <v>237</v>
      </c>
      <c r="C23" s="5" t="s">
        <v>269</v>
      </c>
      <c r="D23" s="5" t="s">
        <v>239</v>
      </c>
      <c r="E23" s="5" t="s">
        <v>270</v>
      </c>
      <c r="F23" s="5" t="s">
        <v>271</v>
      </c>
      <c r="G23" s="5" t="s">
        <v>63</v>
      </c>
      <c r="H23" s="5" t="s">
        <v>48</v>
      </c>
      <c r="I23" s="5" t="s">
        <v>49</v>
      </c>
      <c r="J23" s="5" t="s">
        <v>125</v>
      </c>
      <c r="K23" s="5" t="s">
        <v>272</v>
      </c>
      <c r="L23" s="5" t="s">
        <v>273</v>
      </c>
      <c r="M23" s="5" t="s">
        <v>274</v>
      </c>
      <c r="N23" s="5" t="s">
        <v>275</v>
      </c>
      <c r="O23" s="5" t="s">
        <v>246</v>
      </c>
      <c r="P23" s="5" t="s">
        <v>276</v>
      </c>
      <c r="Q23" s="5" t="s">
        <v>277</v>
      </c>
      <c r="R23" s="5" t="s">
        <v>58</v>
      </c>
      <c r="S23" s="5" t="str">
        <f aca="false">IF(AND(EXACT(C23,LOWER(C23)),LEN(C23)&lt;=40,ISERROR(FIND(" ",C23)),ISERROR(FIND("-",C23))),"OK","CHECK")</f>
        <v>OK</v>
      </c>
    </row>
    <row r="24" customFormat="false" ht="35.05" hidden="false" customHeight="false" outlineLevel="0" collapsed="false">
      <c r="A24" s="5" t="s">
        <v>278</v>
      </c>
      <c r="B24" s="5" t="s">
        <v>237</v>
      </c>
      <c r="C24" s="5" t="s">
        <v>279</v>
      </c>
      <c r="D24" s="5" t="s">
        <v>239</v>
      </c>
      <c r="E24" s="5" t="s">
        <v>280</v>
      </c>
      <c r="F24" s="5" t="s">
        <v>281</v>
      </c>
      <c r="G24" s="5" t="s">
        <v>63</v>
      </c>
      <c r="H24" s="5" t="s">
        <v>48</v>
      </c>
      <c r="I24" s="5" t="s">
        <v>49</v>
      </c>
      <c r="J24" s="5" t="s">
        <v>125</v>
      </c>
      <c r="K24" s="5" t="s">
        <v>282</v>
      </c>
      <c r="L24" s="5" t="s">
        <v>283</v>
      </c>
      <c r="M24" s="5" t="s">
        <v>284</v>
      </c>
      <c r="N24" s="5" t="s">
        <v>285</v>
      </c>
      <c r="O24" s="5" t="s">
        <v>246</v>
      </c>
      <c r="P24" s="5" t="s">
        <v>286</v>
      </c>
      <c r="Q24" s="5" t="s">
        <v>267</v>
      </c>
      <c r="R24" s="5" t="s">
        <v>58</v>
      </c>
      <c r="S24" s="5" t="str">
        <f aca="false">IF(AND(EXACT(C24,LOWER(C24)),LEN(C24)&lt;=40,ISERROR(FIND(" ",C24)),ISERROR(FIND("-",C24))),"OK","CHECK")</f>
        <v>OK</v>
      </c>
    </row>
    <row r="25" customFormat="false" ht="35.05" hidden="false" customHeight="false" outlineLevel="0" collapsed="false">
      <c r="A25" s="5" t="s">
        <v>287</v>
      </c>
      <c r="B25" s="5" t="s">
        <v>237</v>
      </c>
      <c r="C25" s="5" t="s">
        <v>288</v>
      </c>
      <c r="D25" s="5" t="s">
        <v>239</v>
      </c>
      <c r="E25" s="5" t="s">
        <v>289</v>
      </c>
      <c r="F25" s="5" t="s">
        <v>290</v>
      </c>
      <c r="G25" s="5" t="s">
        <v>63</v>
      </c>
      <c r="H25" s="5" t="s">
        <v>48</v>
      </c>
      <c r="I25" s="5" t="s">
        <v>49</v>
      </c>
      <c r="J25" s="5" t="s">
        <v>125</v>
      </c>
      <c r="K25" s="5" t="s">
        <v>291</v>
      </c>
      <c r="L25" s="5"/>
      <c r="M25" s="5" t="s">
        <v>292</v>
      </c>
      <c r="N25" s="5" t="s">
        <v>293</v>
      </c>
      <c r="O25" s="5" t="s">
        <v>78</v>
      </c>
      <c r="P25" s="5" t="s">
        <v>294</v>
      </c>
      <c r="Q25" s="5" t="s">
        <v>267</v>
      </c>
      <c r="R25" s="5" t="s">
        <v>58</v>
      </c>
      <c r="S25" s="5" t="str">
        <f aca="false">IF(AND(EXACT(C25,LOWER(C25)),LEN(C25)&lt;=40,ISERROR(FIND(" ",C25)),ISERROR(FIND("-",C25))),"OK","CHECK")</f>
        <v>OK</v>
      </c>
    </row>
    <row r="26" customFormat="false" ht="35.05" hidden="false" customHeight="false" outlineLevel="0" collapsed="false">
      <c r="A26" s="5" t="s">
        <v>295</v>
      </c>
      <c r="B26" s="5" t="s">
        <v>237</v>
      </c>
      <c r="C26" s="5" t="s">
        <v>296</v>
      </c>
      <c r="D26" s="5" t="s">
        <v>239</v>
      </c>
      <c r="E26" s="5" t="s">
        <v>297</v>
      </c>
      <c r="F26" s="5" t="s">
        <v>298</v>
      </c>
      <c r="G26" s="5" t="s">
        <v>63</v>
      </c>
      <c r="H26" s="5" t="s">
        <v>48</v>
      </c>
      <c r="I26" s="5" t="s">
        <v>49</v>
      </c>
      <c r="J26" s="5" t="s">
        <v>125</v>
      </c>
      <c r="K26" s="5" t="s">
        <v>299</v>
      </c>
      <c r="L26" s="5" t="s">
        <v>273</v>
      </c>
      <c r="M26" s="5" t="s">
        <v>300</v>
      </c>
      <c r="N26" s="5" t="s">
        <v>301</v>
      </c>
      <c r="O26" s="5" t="s">
        <v>246</v>
      </c>
      <c r="P26" s="5" t="s">
        <v>302</v>
      </c>
      <c r="Q26" s="5" t="s">
        <v>277</v>
      </c>
      <c r="R26" s="5" t="s">
        <v>58</v>
      </c>
      <c r="S26" s="5" t="str">
        <f aca="false">IF(AND(EXACT(C26,LOWER(C26)),LEN(C26)&lt;=40,ISERROR(FIND(" ",C26)),ISERROR(FIND("-",C26))),"OK","CHECK")</f>
        <v>OK</v>
      </c>
    </row>
    <row r="27" customFormat="false" ht="35.05" hidden="false" customHeight="false" outlineLevel="0" collapsed="false">
      <c r="A27" s="5" t="s">
        <v>303</v>
      </c>
      <c r="B27" s="5" t="s">
        <v>304</v>
      </c>
      <c r="C27" s="5" t="s">
        <v>305</v>
      </c>
      <c r="D27" s="5" t="s">
        <v>44</v>
      </c>
      <c r="E27" s="5" t="s">
        <v>306</v>
      </c>
      <c r="F27" s="5" t="s">
        <v>307</v>
      </c>
      <c r="G27" s="5" t="s">
        <v>63</v>
      </c>
      <c r="H27" s="5" t="s">
        <v>48</v>
      </c>
      <c r="I27" s="5" t="s">
        <v>49</v>
      </c>
      <c r="J27" s="5" t="s">
        <v>50</v>
      </c>
      <c r="K27" s="5" t="s">
        <v>308</v>
      </c>
      <c r="L27" s="5"/>
      <c r="M27" s="5" t="s">
        <v>309</v>
      </c>
      <c r="N27" s="5" t="s">
        <v>310</v>
      </c>
      <c r="O27" s="5" t="s">
        <v>78</v>
      </c>
      <c r="P27" s="5" t="s">
        <v>311</v>
      </c>
      <c r="Q27" s="5" t="s">
        <v>312</v>
      </c>
      <c r="R27" s="5" t="s">
        <v>58</v>
      </c>
      <c r="S27" s="5" t="str">
        <f aca="false">IF(AND(EXACT(C27,LOWER(C27)),LEN(C27)&lt;=40,ISERROR(FIND(" ",C27)),ISERROR(FIND("-",C27))),"OK","CHECK")</f>
        <v>OK</v>
      </c>
    </row>
    <row r="28" customFormat="false" ht="35.05" hidden="false" customHeight="false" outlineLevel="0" collapsed="false">
      <c r="A28" s="5" t="s">
        <v>313</v>
      </c>
      <c r="B28" s="5" t="s">
        <v>304</v>
      </c>
      <c r="C28" s="5" t="s">
        <v>314</v>
      </c>
      <c r="D28" s="5" t="s">
        <v>44</v>
      </c>
      <c r="E28" s="5" t="s">
        <v>315</v>
      </c>
      <c r="F28" s="5" t="s">
        <v>316</v>
      </c>
      <c r="G28" s="5" t="s">
        <v>317</v>
      </c>
      <c r="H28" s="5" t="s">
        <v>48</v>
      </c>
      <c r="I28" s="5" t="s">
        <v>49</v>
      </c>
      <c r="J28" s="5" t="s">
        <v>50</v>
      </c>
      <c r="K28" s="5" t="s">
        <v>318</v>
      </c>
      <c r="L28" s="5" t="s">
        <v>319</v>
      </c>
      <c r="M28" s="5" t="s">
        <v>320</v>
      </c>
      <c r="N28" s="5" t="s">
        <v>321</v>
      </c>
      <c r="O28" s="5" t="s">
        <v>322</v>
      </c>
      <c r="P28" s="5" t="s">
        <v>323</v>
      </c>
      <c r="Q28" s="5" t="s">
        <v>324</v>
      </c>
      <c r="R28" s="5" t="s">
        <v>58</v>
      </c>
      <c r="S28" s="5" t="str">
        <f aca="false">IF(AND(EXACT(C28,LOWER(C28)),LEN(C28)&lt;=40,ISERROR(FIND(" ",C28)),ISERROR(FIND("-",C28))),"OK","CHECK")</f>
        <v>OK</v>
      </c>
    </row>
    <row r="29" customFormat="false" ht="35.05" hidden="false" customHeight="false" outlineLevel="0" collapsed="false">
      <c r="A29" s="5" t="s">
        <v>325</v>
      </c>
      <c r="B29" s="5" t="s">
        <v>304</v>
      </c>
      <c r="C29" s="5" t="s">
        <v>326</v>
      </c>
      <c r="D29" s="5" t="s">
        <v>44</v>
      </c>
      <c r="E29" s="5" t="s">
        <v>327</v>
      </c>
      <c r="F29" s="5" t="s">
        <v>328</v>
      </c>
      <c r="G29" s="5" t="s">
        <v>317</v>
      </c>
      <c r="H29" s="5" t="s">
        <v>48</v>
      </c>
      <c r="I29" s="5" t="s">
        <v>49</v>
      </c>
      <c r="J29" s="5" t="s">
        <v>50</v>
      </c>
      <c r="K29" s="5" t="s">
        <v>329</v>
      </c>
      <c r="L29" s="5"/>
      <c r="M29" s="5" t="s">
        <v>330</v>
      </c>
      <c r="N29" s="5" t="s">
        <v>331</v>
      </c>
      <c r="O29" s="5" t="s">
        <v>332</v>
      </c>
      <c r="P29" s="5" t="s">
        <v>333</v>
      </c>
      <c r="Q29" s="5" t="s">
        <v>334</v>
      </c>
      <c r="R29" s="5" t="s">
        <v>58</v>
      </c>
      <c r="S29" s="5" t="str">
        <f aca="false">IF(AND(EXACT(C29,LOWER(C29)),LEN(C29)&lt;=40,ISERROR(FIND(" ",C29)),ISERROR(FIND("-",C29))),"OK","CHECK")</f>
        <v>OK</v>
      </c>
    </row>
    <row r="30" customFormat="false" ht="35.05" hidden="false" customHeight="false" outlineLevel="0" collapsed="false">
      <c r="A30" s="5" t="s">
        <v>335</v>
      </c>
      <c r="B30" s="5" t="s">
        <v>304</v>
      </c>
      <c r="C30" s="5" t="s">
        <v>336</v>
      </c>
      <c r="D30" s="5" t="s">
        <v>44</v>
      </c>
      <c r="E30" s="5" t="s">
        <v>337</v>
      </c>
      <c r="F30" s="5" t="s">
        <v>338</v>
      </c>
      <c r="G30" s="5" t="s">
        <v>317</v>
      </c>
      <c r="H30" s="5" t="s">
        <v>48</v>
      </c>
      <c r="I30" s="5" t="s">
        <v>49</v>
      </c>
      <c r="J30" s="5" t="s">
        <v>50</v>
      </c>
      <c r="K30" s="5" t="s">
        <v>339</v>
      </c>
      <c r="L30" s="5" t="s">
        <v>340</v>
      </c>
      <c r="M30" s="5" t="s">
        <v>341</v>
      </c>
      <c r="N30" s="5" t="s">
        <v>342</v>
      </c>
      <c r="O30" s="5" t="s">
        <v>332</v>
      </c>
      <c r="P30" s="5" t="s">
        <v>343</v>
      </c>
      <c r="Q30" s="5" t="s">
        <v>344</v>
      </c>
      <c r="R30" s="5" t="s">
        <v>58</v>
      </c>
      <c r="S30" s="5" t="str">
        <f aca="false">IF(AND(EXACT(C30,LOWER(C30)),LEN(C30)&lt;=40,ISERROR(FIND(" ",C30)),ISERROR(FIND("-",C30))),"OK","CHECK")</f>
        <v>OK</v>
      </c>
    </row>
    <row r="31" customFormat="false" ht="35.05" hidden="false" customHeight="false" outlineLevel="0" collapsed="false">
      <c r="A31" s="5" t="s">
        <v>345</v>
      </c>
      <c r="B31" s="5" t="s">
        <v>346</v>
      </c>
      <c r="C31" s="5" t="s">
        <v>347</v>
      </c>
      <c r="D31" s="5" t="s">
        <v>44</v>
      </c>
      <c r="E31" s="5" t="s">
        <v>348</v>
      </c>
      <c r="F31" s="5" t="s">
        <v>349</v>
      </c>
      <c r="G31" s="5" t="s">
        <v>63</v>
      </c>
      <c r="H31" s="5" t="s">
        <v>48</v>
      </c>
      <c r="I31" s="5" t="s">
        <v>49</v>
      </c>
      <c r="J31" s="5" t="s">
        <v>50</v>
      </c>
      <c r="K31" s="5" t="s">
        <v>350</v>
      </c>
      <c r="L31" s="5" t="s">
        <v>351</v>
      </c>
      <c r="M31" s="5" t="s">
        <v>352</v>
      </c>
      <c r="N31" s="5" t="s">
        <v>353</v>
      </c>
      <c r="O31" s="5" t="s">
        <v>354</v>
      </c>
      <c r="P31" s="5" t="s">
        <v>355</v>
      </c>
      <c r="Q31" s="5" t="s">
        <v>356</v>
      </c>
      <c r="R31" s="5" t="s">
        <v>58</v>
      </c>
      <c r="S31" s="5" t="str">
        <f aca="false">IF(AND(EXACT(C31,LOWER(C31)),LEN(C31)&lt;=40,ISERROR(FIND(" ",C31)),ISERROR(FIND("-",C31))),"OK","CHECK")</f>
        <v>OK</v>
      </c>
    </row>
    <row r="32" customFormat="false" ht="46.25" hidden="false" customHeight="false" outlineLevel="0" collapsed="false">
      <c r="A32" s="5" t="s">
        <v>357</v>
      </c>
      <c r="B32" s="5" t="s">
        <v>346</v>
      </c>
      <c r="C32" s="5" t="s">
        <v>358</v>
      </c>
      <c r="D32" s="5" t="s">
        <v>44</v>
      </c>
      <c r="E32" s="5" t="s">
        <v>359</v>
      </c>
      <c r="F32" s="5" t="s">
        <v>360</v>
      </c>
      <c r="G32" s="5" t="s">
        <v>63</v>
      </c>
      <c r="H32" s="5" t="s">
        <v>48</v>
      </c>
      <c r="I32" s="5" t="s">
        <v>49</v>
      </c>
      <c r="J32" s="5" t="s">
        <v>50</v>
      </c>
      <c r="K32" s="5" t="s">
        <v>361</v>
      </c>
      <c r="L32" s="5" t="s">
        <v>351</v>
      </c>
      <c r="M32" s="5" t="s">
        <v>362</v>
      </c>
      <c r="N32" s="5" t="s">
        <v>363</v>
      </c>
      <c r="O32" s="5" t="s">
        <v>354</v>
      </c>
      <c r="P32" s="5" t="s">
        <v>364</v>
      </c>
      <c r="Q32" s="5" t="s">
        <v>356</v>
      </c>
      <c r="R32" s="5" t="s">
        <v>58</v>
      </c>
      <c r="S32" s="5" t="str">
        <f aca="false">IF(AND(EXACT(C32,LOWER(C32)),LEN(C32)&lt;=40,ISERROR(FIND(" ",C32)),ISERROR(FIND("-",C32))),"OK","CHECK")</f>
        <v>OK</v>
      </c>
    </row>
    <row r="33" customFormat="false" ht="35.05" hidden="false" customHeight="false" outlineLevel="0" collapsed="false">
      <c r="A33" s="5" t="s">
        <v>365</v>
      </c>
      <c r="B33" s="5" t="s">
        <v>346</v>
      </c>
      <c r="C33" s="5" t="s">
        <v>366</v>
      </c>
      <c r="D33" s="5" t="s">
        <v>44</v>
      </c>
      <c r="E33" s="5" t="s">
        <v>367</v>
      </c>
      <c r="F33" s="5" t="s">
        <v>368</v>
      </c>
      <c r="G33" s="5" t="s">
        <v>63</v>
      </c>
      <c r="H33" s="5" t="s">
        <v>48</v>
      </c>
      <c r="I33" s="5" t="s">
        <v>49</v>
      </c>
      <c r="J33" s="5" t="s">
        <v>50</v>
      </c>
      <c r="K33" s="5" t="s">
        <v>369</v>
      </c>
      <c r="L33" s="5" t="s">
        <v>370</v>
      </c>
      <c r="M33" s="5" t="s">
        <v>371</v>
      </c>
      <c r="N33" s="5" t="s">
        <v>372</v>
      </c>
      <c r="O33" s="5" t="s">
        <v>354</v>
      </c>
      <c r="P33" s="5" t="s">
        <v>373</v>
      </c>
      <c r="Q33" s="5" t="s">
        <v>374</v>
      </c>
      <c r="R33" s="5" t="s">
        <v>58</v>
      </c>
      <c r="S33" s="5" t="str">
        <f aca="false">IF(AND(EXACT(C33,LOWER(C33)),LEN(C33)&lt;=40,ISERROR(FIND(" ",C33)),ISERROR(FIND("-",C33))),"OK","CHECK")</f>
        <v>OK</v>
      </c>
    </row>
    <row r="34" customFormat="false" ht="46.25" hidden="false" customHeight="false" outlineLevel="0" collapsed="false">
      <c r="A34" s="5" t="s">
        <v>375</v>
      </c>
      <c r="B34" s="5" t="s">
        <v>376</v>
      </c>
      <c r="C34" s="5" t="s">
        <v>377</v>
      </c>
      <c r="D34" s="5" t="s">
        <v>44</v>
      </c>
      <c r="E34" s="5" t="s">
        <v>378</v>
      </c>
      <c r="F34" s="5" t="s">
        <v>379</v>
      </c>
      <c r="G34" s="5" t="s">
        <v>63</v>
      </c>
      <c r="H34" s="5" t="s">
        <v>48</v>
      </c>
      <c r="I34" s="5" t="s">
        <v>49</v>
      </c>
      <c r="J34" s="5" t="s">
        <v>50</v>
      </c>
      <c r="K34" s="5" t="s">
        <v>380</v>
      </c>
      <c r="L34" s="5" t="s">
        <v>381</v>
      </c>
      <c r="M34" s="5" t="s">
        <v>382</v>
      </c>
      <c r="N34" s="5" t="s">
        <v>383</v>
      </c>
      <c r="O34" s="5" t="s">
        <v>384</v>
      </c>
      <c r="P34" s="5" t="s">
        <v>385</v>
      </c>
      <c r="Q34" s="5" t="s">
        <v>130</v>
      </c>
      <c r="R34" s="5" t="s">
        <v>58</v>
      </c>
      <c r="S34" s="5" t="str">
        <f aca="false">IF(AND(EXACT(C34,LOWER(C34)),LEN(C34)&lt;=40,ISERROR(FIND(" ",C34)),ISERROR(FIND("-",C34))),"OK","CHECK")</f>
        <v>OK</v>
      </c>
    </row>
    <row r="35" customFormat="false" ht="35.05" hidden="false" customHeight="false" outlineLevel="0" collapsed="false">
      <c r="A35" s="5" t="s">
        <v>386</v>
      </c>
      <c r="B35" s="5" t="s">
        <v>376</v>
      </c>
      <c r="C35" s="5" t="s">
        <v>387</v>
      </c>
      <c r="D35" s="5" t="s">
        <v>44</v>
      </c>
      <c r="E35" s="5" t="s">
        <v>388</v>
      </c>
      <c r="F35" s="5" t="s">
        <v>389</v>
      </c>
      <c r="G35" s="5" t="s">
        <v>63</v>
      </c>
      <c r="H35" s="5" t="s">
        <v>48</v>
      </c>
      <c r="I35" s="5" t="s">
        <v>49</v>
      </c>
      <c r="J35" s="5" t="s">
        <v>50</v>
      </c>
      <c r="K35" s="5" t="s">
        <v>390</v>
      </c>
      <c r="L35" s="5" t="s">
        <v>391</v>
      </c>
      <c r="M35" s="5" t="s">
        <v>392</v>
      </c>
      <c r="N35" s="5" t="s">
        <v>393</v>
      </c>
      <c r="O35" s="5" t="s">
        <v>384</v>
      </c>
      <c r="P35" s="5" t="s">
        <v>394</v>
      </c>
      <c r="Q35" s="5" t="s">
        <v>395</v>
      </c>
      <c r="R35" s="5" t="s">
        <v>58</v>
      </c>
      <c r="S35" s="5" t="str">
        <f aca="false">IF(AND(EXACT(C35,LOWER(C35)),LEN(C35)&lt;=40,ISERROR(FIND(" ",C35)),ISERROR(FIND("-",C35))),"OK","CHECK")</f>
        <v>OK</v>
      </c>
    </row>
    <row r="36" customFormat="false" ht="35.05" hidden="false" customHeight="false" outlineLevel="0" collapsed="false">
      <c r="A36" s="5" t="s">
        <v>396</v>
      </c>
      <c r="B36" s="5" t="s">
        <v>376</v>
      </c>
      <c r="C36" s="5" t="s">
        <v>397</v>
      </c>
      <c r="D36" s="5" t="s">
        <v>44</v>
      </c>
      <c r="E36" s="5" t="s">
        <v>398</v>
      </c>
      <c r="F36" s="5" t="s">
        <v>399</v>
      </c>
      <c r="G36" s="5" t="s">
        <v>63</v>
      </c>
      <c r="H36" s="5" t="s">
        <v>48</v>
      </c>
      <c r="I36" s="5" t="s">
        <v>49</v>
      </c>
      <c r="J36" s="5" t="s">
        <v>50</v>
      </c>
      <c r="K36" s="5" t="s">
        <v>400</v>
      </c>
      <c r="L36" s="5" t="s">
        <v>401</v>
      </c>
      <c r="M36" s="5" t="s">
        <v>402</v>
      </c>
      <c r="N36" s="5" t="s">
        <v>403</v>
      </c>
      <c r="O36" s="5" t="s">
        <v>404</v>
      </c>
      <c r="P36" s="5" t="s">
        <v>405</v>
      </c>
      <c r="Q36" s="5" t="s">
        <v>406</v>
      </c>
      <c r="R36" s="5" t="s">
        <v>58</v>
      </c>
      <c r="S36" s="5" t="str">
        <f aca="false">IF(AND(EXACT(C36,LOWER(C36)),LEN(C36)&lt;=40,ISERROR(FIND(" ",C36)),ISERROR(FIND("-",C36))),"OK","CHECK")</f>
        <v>OK</v>
      </c>
    </row>
    <row r="37" customFormat="false" ht="35.05" hidden="false" customHeight="false" outlineLevel="0" collapsed="false">
      <c r="A37" s="5" t="s">
        <v>407</v>
      </c>
      <c r="B37" s="5" t="s">
        <v>376</v>
      </c>
      <c r="C37" s="5" t="s">
        <v>408</v>
      </c>
      <c r="D37" s="5" t="s">
        <v>44</v>
      </c>
      <c r="E37" s="5" t="s">
        <v>409</v>
      </c>
      <c r="F37" s="5" t="s">
        <v>410</v>
      </c>
      <c r="G37" s="5" t="s">
        <v>63</v>
      </c>
      <c r="H37" s="5" t="s">
        <v>48</v>
      </c>
      <c r="I37" s="5" t="s">
        <v>49</v>
      </c>
      <c r="J37" s="5" t="s">
        <v>50</v>
      </c>
      <c r="K37" s="5" t="s">
        <v>411</v>
      </c>
      <c r="L37" s="5" t="s">
        <v>412</v>
      </c>
      <c r="M37" s="5" t="s">
        <v>413</v>
      </c>
      <c r="N37" s="5" t="s">
        <v>414</v>
      </c>
      <c r="O37" s="5" t="s">
        <v>384</v>
      </c>
      <c r="P37" s="5" t="s">
        <v>415</v>
      </c>
      <c r="Q37" s="5" t="s">
        <v>416</v>
      </c>
      <c r="R37" s="5" t="s">
        <v>58</v>
      </c>
      <c r="S37" s="5" t="str">
        <f aca="false">IF(AND(EXACT(C37,LOWER(C37)),LEN(C37)&lt;=40,ISERROR(FIND(" ",C37)),ISERROR(FIND("-",C37))),"OK","CHECK")</f>
        <v>OK</v>
      </c>
    </row>
    <row r="38" customFormat="false" ht="35.05" hidden="false" customHeight="false" outlineLevel="0" collapsed="false">
      <c r="A38" s="5" t="s">
        <v>417</v>
      </c>
      <c r="B38" s="5" t="s">
        <v>376</v>
      </c>
      <c r="C38" s="5" t="s">
        <v>418</v>
      </c>
      <c r="D38" s="5" t="s">
        <v>44</v>
      </c>
      <c r="E38" s="5" t="s">
        <v>419</v>
      </c>
      <c r="F38" s="5" t="s">
        <v>420</v>
      </c>
      <c r="G38" s="5" t="s">
        <v>63</v>
      </c>
      <c r="H38" s="5" t="s">
        <v>48</v>
      </c>
      <c r="I38" s="5" t="s">
        <v>49</v>
      </c>
      <c r="J38" s="5" t="s">
        <v>50</v>
      </c>
      <c r="K38" s="5" t="s">
        <v>421</v>
      </c>
      <c r="L38" s="5" t="s">
        <v>391</v>
      </c>
      <c r="M38" s="5" t="s">
        <v>422</v>
      </c>
      <c r="N38" s="5" t="s">
        <v>423</v>
      </c>
      <c r="O38" s="5" t="s">
        <v>404</v>
      </c>
      <c r="P38" s="5" t="s">
        <v>424</v>
      </c>
      <c r="Q38" s="5" t="s">
        <v>425</v>
      </c>
      <c r="R38" s="5" t="s">
        <v>58</v>
      </c>
      <c r="S38" s="5" t="str">
        <f aca="false">IF(AND(EXACT(C38,LOWER(C38)),LEN(C38)&lt;=40,ISERROR(FIND(" ",C38)),ISERROR(FIND("-",C38))),"OK","CHECK")</f>
        <v>OK</v>
      </c>
    </row>
    <row r="39" customFormat="false" ht="35.05" hidden="false" customHeight="false" outlineLevel="0" collapsed="false">
      <c r="A39" s="5" t="s">
        <v>426</v>
      </c>
      <c r="B39" s="5" t="s">
        <v>376</v>
      </c>
      <c r="C39" s="5" t="s">
        <v>427</v>
      </c>
      <c r="D39" s="5" t="s">
        <v>83</v>
      </c>
      <c r="E39" s="5" t="s">
        <v>428</v>
      </c>
      <c r="F39" s="5" t="s">
        <v>429</v>
      </c>
      <c r="G39" s="5" t="s">
        <v>63</v>
      </c>
      <c r="H39" s="5" t="s">
        <v>48</v>
      </c>
      <c r="I39" s="5" t="s">
        <v>49</v>
      </c>
      <c r="J39" s="5" t="s">
        <v>50</v>
      </c>
      <c r="K39" s="5" t="s">
        <v>430</v>
      </c>
      <c r="L39" s="5"/>
      <c r="M39" s="5" t="s">
        <v>431</v>
      </c>
      <c r="N39" s="5" t="s">
        <v>432</v>
      </c>
      <c r="O39" s="5" t="s">
        <v>78</v>
      </c>
      <c r="P39" s="5" t="s">
        <v>433</v>
      </c>
      <c r="Q39" s="5" t="s">
        <v>434</v>
      </c>
      <c r="R39" s="5" t="s">
        <v>58</v>
      </c>
      <c r="S39" s="5" t="str">
        <f aca="false">IF(AND(EXACT(C39,LOWER(C39)),LEN(C39)&lt;=40,ISERROR(FIND(" ",C39)),ISERROR(FIND("-",C39))),"OK","CHECK")</f>
        <v>OK</v>
      </c>
    </row>
    <row r="40" customFormat="false" ht="35.05" hidden="false" customHeight="false" outlineLevel="0" collapsed="false">
      <c r="A40" s="5" t="s">
        <v>435</v>
      </c>
      <c r="B40" s="5" t="s">
        <v>436</v>
      </c>
      <c r="C40" s="5" t="s">
        <v>437</v>
      </c>
      <c r="D40" s="5" t="s">
        <v>83</v>
      </c>
      <c r="E40" s="5" t="s">
        <v>438</v>
      </c>
      <c r="F40" s="5" t="s">
        <v>439</v>
      </c>
      <c r="G40" s="5" t="s">
        <v>63</v>
      </c>
      <c r="H40" s="5" t="s">
        <v>48</v>
      </c>
      <c r="I40" s="5" t="s">
        <v>49</v>
      </c>
      <c r="J40" s="5" t="s">
        <v>50</v>
      </c>
      <c r="K40" s="5" t="s">
        <v>440</v>
      </c>
      <c r="L40" s="5" t="s">
        <v>441</v>
      </c>
      <c r="M40" s="5" t="s">
        <v>442</v>
      </c>
      <c r="N40" s="5" t="s">
        <v>443</v>
      </c>
      <c r="O40" s="5" t="s">
        <v>444</v>
      </c>
      <c r="P40" s="5" t="s">
        <v>445</v>
      </c>
      <c r="Q40" s="5" t="s">
        <v>446</v>
      </c>
      <c r="R40" s="5" t="s">
        <v>58</v>
      </c>
      <c r="S40" s="5" t="str">
        <f aca="false">IF(AND(EXACT(C40,LOWER(C40)),LEN(C40)&lt;=40,ISERROR(FIND(" ",C40)),ISERROR(FIND("-",C40))),"OK","CHECK")</f>
        <v>OK</v>
      </c>
    </row>
  </sheetData>
  <autoFilter ref="A1:S40"/>
  <dataValidations count="2">
    <dataValidation allowBlank="false" errorStyle="stop" operator="between" showDropDown="false" showErrorMessage="false" showInputMessage="false" sqref="J2:J100" type="list">
      <formula1>"Proposed,Proposed - confirm feature exists,Proposed - low priority,Proposed - only if rewards expire,Confirmed"</formula1>
      <formula2>0</formula2>
    </dataValidation>
    <dataValidation allowBlank="false" errorStyle="stop" operator="between" showDropDown="false" showErrorMessage="false" showInputMessage="false" sqref="R2:R100" type="list">
      <formula1>"Not started,In design,In development,In QA,Live"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4" min="3" style="0" width="32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6" t="s">
        <v>447</v>
      </c>
    </row>
    <row r="3" customFormat="false" ht="15" hidden="false" customHeight="false" outlineLevel="0" collapsed="false">
      <c r="A3" s="4" t="s">
        <v>448</v>
      </c>
      <c r="B3" s="4" t="s">
        <v>449</v>
      </c>
      <c r="C3" s="4" t="s">
        <v>450</v>
      </c>
      <c r="D3" s="4" t="s">
        <v>451</v>
      </c>
      <c r="E3" s="4" t="s">
        <v>452</v>
      </c>
    </row>
    <row r="4" customFormat="false" ht="23.85" hidden="false" customHeight="false" outlineLevel="0" collapsed="false">
      <c r="A4" s="5" t="s">
        <v>453</v>
      </c>
      <c r="B4" s="5" t="s">
        <v>454</v>
      </c>
      <c r="C4" s="5" t="s">
        <v>174</v>
      </c>
      <c r="D4" s="5" t="s">
        <v>455</v>
      </c>
      <c r="E4" s="5" t="s">
        <v>456</v>
      </c>
    </row>
    <row r="5" customFormat="false" ht="15" hidden="false" customHeight="false" outlineLevel="0" collapsed="false">
      <c r="A5" s="5" t="s">
        <v>457</v>
      </c>
      <c r="B5" s="5" t="s">
        <v>458</v>
      </c>
      <c r="C5" s="5" t="s">
        <v>377</v>
      </c>
      <c r="D5" s="5" t="s">
        <v>459</v>
      </c>
      <c r="E5" s="5" t="s">
        <v>460</v>
      </c>
    </row>
    <row r="6" customFormat="false" ht="15" hidden="false" customHeight="false" outlineLevel="0" collapsed="false">
      <c r="A6" s="5" t="s">
        <v>461</v>
      </c>
      <c r="B6" s="5" t="s">
        <v>462</v>
      </c>
      <c r="C6" s="5" t="s">
        <v>196</v>
      </c>
      <c r="D6" s="5" t="s">
        <v>463</v>
      </c>
      <c r="E6" s="5" t="s">
        <v>464</v>
      </c>
    </row>
    <row r="7" customFormat="false" ht="23.85" hidden="false" customHeight="false" outlineLevel="0" collapsed="false">
      <c r="A7" s="5" t="s">
        <v>465</v>
      </c>
      <c r="B7" s="5" t="s">
        <v>466</v>
      </c>
      <c r="C7" s="5" t="s">
        <v>347</v>
      </c>
      <c r="D7" s="5" t="s">
        <v>467</v>
      </c>
      <c r="E7" s="5" t="s">
        <v>468</v>
      </c>
    </row>
    <row r="8" customFormat="false" ht="15" hidden="false" customHeight="false" outlineLevel="0" collapsed="false">
      <c r="A8" s="5" t="s">
        <v>469</v>
      </c>
      <c r="B8" s="5" t="s">
        <v>470</v>
      </c>
      <c r="C8" s="5" t="s">
        <v>471</v>
      </c>
      <c r="D8" s="5" t="s">
        <v>472</v>
      </c>
      <c r="E8" s="5" t="s">
        <v>473</v>
      </c>
    </row>
    <row r="9" customFormat="false" ht="35.05" hidden="false" customHeight="false" outlineLevel="0" collapsed="false">
      <c r="A9" s="5" t="s">
        <v>474</v>
      </c>
      <c r="B9" s="5" t="s">
        <v>475</v>
      </c>
      <c r="C9" s="5" t="s">
        <v>408</v>
      </c>
      <c r="D9" s="5" t="s">
        <v>476</v>
      </c>
      <c r="E9" s="5" t="s">
        <v>477</v>
      </c>
    </row>
    <row r="10" customFormat="false" ht="23.85" hidden="false" customHeight="false" outlineLevel="0" collapsed="false">
      <c r="A10" s="5" t="s">
        <v>478</v>
      </c>
      <c r="B10" s="5" t="s">
        <v>479</v>
      </c>
      <c r="C10" s="5" t="s">
        <v>480</v>
      </c>
      <c r="D10" s="5" t="s">
        <v>481</v>
      </c>
      <c r="E10" s="5" t="s">
        <v>482</v>
      </c>
    </row>
    <row r="11" customFormat="false" ht="23.85" hidden="false" customHeight="false" outlineLevel="0" collapsed="false">
      <c r="A11" s="5" t="s">
        <v>483</v>
      </c>
      <c r="B11" s="5" t="s">
        <v>484</v>
      </c>
      <c r="C11" s="5" t="s">
        <v>485</v>
      </c>
      <c r="D11" s="5" t="s">
        <v>486</v>
      </c>
      <c r="E11" s="5" t="s">
        <v>487</v>
      </c>
    </row>
    <row r="12" customFormat="false" ht="23.85" hidden="false" customHeight="false" outlineLevel="0" collapsed="false">
      <c r="A12" s="5" t="s">
        <v>36</v>
      </c>
      <c r="B12" s="5" t="s">
        <v>488</v>
      </c>
      <c r="C12" s="5" t="s">
        <v>489</v>
      </c>
      <c r="D12" s="5" t="s">
        <v>490</v>
      </c>
      <c r="E12" s="5" t="s">
        <v>491</v>
      </c>
    </row>
    <row r="13" customFormat="false" ht="23.85" hidden="false" customHeight="false" outlineLevel="0" collapsed="false">
      <c r="A13" s="5" t="s">
        <v>492</v>
      </c>
      <c r="B13" s="5" t="s">
        <v>493</v>
      </c>
      <c r="C13" s="5" t="s">
        <v>494</v>
      </c>
      <c r="D13" s="5" t="s">
        <v>495</v>
      </c>
      <c r="E13" s="5" t="s">
        <v>496</v>
      </c>
    </row>
    <row r="14" customFormat="false" ht="23.85" hidden="false" customHeight="false" outlineLevel="0" collapsed="false">
      <c r="A14" s="5" t="s">
        <v>497</v>
      </c>
      <c r="B14" s="5" t="s">
        <v>498</v>
      </c>
      <c r="C14" s="5" t="s">
        <v>499</v>
      </c>
      <c r="D14" s="5" t="s">
        <v>500</v>
      </c>
      <c r="E14" s="5" t="s">
        <v>501</v>
      </c>
    </row>
    <row r="16" customFormat="false" ht="18" hidden="false" customHeight="true" outlineLevel="0" collapsed="false">
      <c r="A16" s="7" t="s">
        <v>502</v>
      </c>
      <c r="B16" s="7"/>
      <c r="C16" s="7"/>
      <c r="D16" s="7"/>
      <c r="E16" s="7"/>
    </row>
    <row r="17" customFormat="false" ht="30" hidden="false" customHeight="true" outlineLevel="0" collapsed="false">
      <c r="A17" s="8" t="s">
        <v>503</v>
      </c>
      <c r="B17" s="8"/>
      <c r="C17" s="8"/>
      <c r="D17" s="8"/>
      <c r="E17" s="8"/>
    </row>
    <row r="18" customFormat="false" ht="30" hidden="false" customHeight="true" outlineLevel="0" collapsed="false">
      <c r="A18" s="8" t="s">
        <v>504</v>
      </c>
      <c r="B18" s="8"/>
      <c r="C18" s="8"/>
      <c r="D18" s="8"/>
      <c r="E18" s="8"/>
    </row>
    <row r="19" customFormat="false" ht="30" hidden="false" customHeight="true" outlineLevel="0" collapsed="false">
      <c r="A19" s="8" t="s">
        <v>505</v>
      </c>
      <c r="B19" s="8"/>
      <c r="C19" s="8"/>
      <c r="D19" s="8"/>
      <c r="E19" s="8"/>
    </row>
    <row r="20" customFormat="false" ht="30" hidden="false" customHeight="true" outlineLevel="0" collapsed="false">
      <c r="A20" s="8" t="s">
        <v>506</v>
      </c>
      <c r="B20" s="8"/>
      <c r="C20" s="8"/>
      <c r="D20" s="8"/>
      <c r="E20" s="8"/>
    </row>
    <row r="21" customFormat="false" ht="30" hidden="false" customHeight="true" outlineLevel="0" collapsed="false">
      <c r="A21" s="8" t="s">
        <v>507</v>
      </c>
      <c r="B21" s="8"/>
      <c r="C21" s="8"/>
      <c r="D21" s="8"/>
      <c r="E21" s="8"/>
    </row>
    <row r="22" customFormat="false" ht="30" hidden="false" customHeight="true" outlineLevel="0" collapsed="false">
      <c r="A22" s="8" t="s">
        <v>508</v>
      </c>
      <c r="B22" s="8"/>
      <c r="C22" s="8"/>
      <c r="D22" s="8"/>
      <c r="E22" s="8"/>
    </row>
  </sheetData>
  <mergeCells count="7">
    <mergeCell ref="A16:E16"/>
    <mergeCell ref="A17:E17"/>
    <mergeCell ref="A18:E18"/>
    <mergeCell ref="A19:E19"/>
    <mergeCell ref="A20:E20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48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4" t="s">
        <v>509</v>
      </c>
      <c r="B1" s="4" t="s">
        <v>34</v>
      </c>
      <c r="C1" s="4" t="s">
        <v>510</v>
      </c>
      <c r="D1" s="4" t="s">
        <v>27</v>
      </c>
      <c r="E1" s="4" t="s">
        <v>35</v>
      </c>
      <c r="F1" s="4" t="s">
        <v>511</v>
      </c>
    </row>
    <row r="2" customFormat="false" ht="15" hidden="false" customHeight="false" outlineLevel="0" collapsed="false">
      <c r="A2" s="5" t="s">
        <v>512</v>
      </c>
      <c r="B2" s="5" t="s">
        <v>513</v>
      </c>
      <c r="C2" s="5" t="s">
        <v>514</v>
      </c>
      <c r="D2" s="5" t="s">
        <v>515</v>
      </c>
      <c r="E2" s="5" t="s">
        <v>516</v>
      </c>
      <c r="F2" s="5" t="s">
        <v>517</v>
      </c>
    </row>
    <row r="3" customFormat="false" ht="15" hidden="false" customHeight="false" outlineLevel="0" collapsed="false">
      <c r="A3" s="5" t="s">
        <v>518</v>
      </c>
      <c r="B3" s="5" t="s">
        <v>519</v>
      </c>
      <c r="C3" s="5" t="s">
        <v>514</v>
      </c>
      <c r="D3" s="5" t="s">
        <v>520</v>
      </c>
      <c r="E3" s="5" t="s">
        <v>521</v>
      </c>
      <c r="F3" s="5" t="s">
        <v>174</v>
      </c>
    </row>
    <row r="4" customFormat="false" ht="23.85" hidden="false" customHeight="false" outlineLevel="0" collapsed="false">
      <c r="A4" s="5" t="s">
        <v>522</v>
      </c>
      <c r="B4" s="5" t="s">
        <v>523</v>
      </c>
      <c r="C4" s="5" t="s">
        <v>514</v>
      </c>
      <c r="D4" s="5" t="s">
        <v>524</v>
      </c>
      <c r="E4" s="5" t="s">
        <v>525</v>
      </c>
      <c r="F4" s="5" t="s">
        <v>526</v>
      </c>
    </row>
    <row r="5" customFormat="false" ht="15" hidden="false" customHeight="false" outlineLevel="0" collapsed="false">
      <c r="A5" s="5" t="s">
        <v>527</v>
      </c>
      <c r="B5" s="5" t="s">
        <v>523</v>
      </c>
      <c r="C5" s="5" t="s">
        <v>514</v>
      </c>
      <c r="D5" s="5" t="s">
        <v>528</v>
      </c>
      <c r="E5" s="5" t="s">
        <v>529</v>
      </c>
      <c r="F5" s="5" t="s">
        <v>530</v>
      </c>
    </row>
    <row r="6" customFormat="false" ht="23.85" hidden="false" customHeight="false" outlineLevel="0" collapsed="false">
      <c r="A6" s="5" t="s">
        <v>531</v>
      </c>
      <c r="B6" s="5" t="s">
        <v>519</v>
      </c>
      <c r="C6" s="5" t="s">
        <v>532</v>
      </c>
      <c r="D6" s="5" t="s">
        <v>533</v>
      </c>
      <c r="E6" s="5" t="s">
        <v>534</v>
      </c>
      <c r="F6" s="5" t="s">
        <v>535</v>
      </c>
    </row>
    <row r="7" customFormat="false" ht="15" hidden="false" customHeight="false" outlineLevel="0" collapsed="false">
      <c r="A7" s="5" t="s">
        <v>536</v>
      </c>
      <c r="B7" s="5" t="s">
        <v>519</v>
      </c>
      <c r="C7" s="5" t="s">
        <v>537</v>
      </c>
      <c r="D7" s="5" t="s">
        <v>538</v>
      </c>
      <c r="E7" s="5" t="s">
        <v>539</v>
      </c>
      <c r="F7" s="5" t="s">
        <v>540</v>
      </c>
    </row>
    <row r="8" customFormat="false" ht="15" hidden="false" customHeight="false" outlineLevel="0" collapsed="false">
      <c r="A8" s="5" t="s">
        <v>541</v>
      </c>
      <c r="B8" s="5" t="s">
        <v>519</v>
      </c>
      <c r="C8" s="5" t="s">
        <v>542</v>
      </c>
      <c r="D8" s="5" t="s">
        <v>543</v>
      </c>
      <c r="E8" s="5" t="s">
        <v>544</v>
      </c>
      <c r="F8" s="5" t="s">
        <v>545</v>
      </c>
    </row>
    <row r="9" customFormat="false" ht="15" hidden="false" customHeight="false" outlineLevel="0" collapsed="false">
      <c r="A9" s="5" t="s">
        <v>546</v>
      </c>
      <c r="B9" s="5" t="s">
        <v>547</v>
      </c>
      <c r="C9" s="5" t="s">
        <v>514</v>
      </c>
      <c r="D9" s="5" t="s">
        <v>548</v>
      </c>
      <c r="E9" s="5" t="s">
        <v>549</v>
      </c>
      <c r="F9" s="5" t="s">
        <v>550</v>
      </c>
    </row>
    <row r="10" customFormat="false" ht="15" hidden="false" customHeight="false" outlineLevel="0" collapsed="false">
      <c r="A10" s="5" t="s">
        <v>551</v>
      </c>
      <c r="B10" s="5" t="s">
        <v>519</v>
      </c>
      <c r="C10" s="5" t="s">
        <v>542</v>
      </c>
      <c r="D10" s="5" t="s">
        <v>552</v>
      </c>
      <c r="E10" s="5" t="s">
        <v>553</v>
      </c>
      <c r="F10" s="5" t="s">
        <v>554</v>
      </c>
    </row>
    <row r="11" customFormat="false" ht="15" hidden="false" customHeight="false" outlineLevel="0" collapsed="false">
      <c r="A11" s="5" t="s">
        <v>555</v>
      </c>
      <c r="B11" s="5" t="s">
        <v>556</v>
      </c>
      <c r="C11" s="5" t="s">
        <v>514</v>
      </c>
      <c r="D11" s="5" t="s">
        <v>557</v>
      </c>
      <c r="E11" s="5" t="s">
        <v>558</v>
      </c>
      <c r="F11" s="5" t="s">
        <v>559</v>
      </c>
    </row>
    <row r="12" customFormat="false" ht="15" hidden="false" customHeight="false" outlineLevel="0" collapsed="false">
      <c r="A12" s="5" t="s">
        <v>560</v>
      </c>
      <c r="B12" s="5" t="s">
        <v>519</v>
      </c>
      <c r="C12" s="5" t="s">
        <v>514</v>
      </c>
      <c r="D12" s="5" t="s">
        <v>561</v>
      </c>
      <c r="E12" s="5" t="s">
        <v>562</v>
      </c>
      <c r="F12" s="5" t="s">
        <v>563</v>
      </c>
    </row>
    <row r="13" customFormat="false" ht="15" hidden="false" customHeight="false" outlineLevel="0" collapsed="false">
      <c r="A13" s="5" t="s">
        <v>564</v>
      </c>
      <c r="B13" s="5" t="s">
        <v>547</v>
      </c>
      <c r="C13" s="5" t="s">
        <v>514</v>
      </c>
      <c r="D13" s="5" t="s">
        <v>565</v>
      </c>
      <c r="E13" s="5" t="s">
        <v>566</v>
      </c>
      <c r="F13" s="5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46"/>
    <col collapsed="false" customWidth="true" hidden="false" outlineLevel="0" max="5" min="5" style="0" width="24"/>
    <col collapsed="false" customWidth="true" hidden="false" outlineLevel="0" max="7" min="6" style="0" width="16"/>
  </cols>
  <sheetData>
    <row r="1" customFormat="false" ht="35.05" hidden="false" customHeight="false" outlineLevel="0" collapsed="false">
      <c r="A1" s="4" t="s">
        <v>509</v>
      </c>
      <c r="B1" s="4" t="s">
        <v>34</v>
      </c>
      <c r="C1" s="4" t="s">
        <v>27</v>
      </c>
      <c r="D1" s="4" t="s">
        <v>568</v>
      </c>
      <c r="E1" s="4" t="s">
        <v>511</v>
      </c>
      <c r="F1" s="4" t="s">
        <v>569</v>
      </c>
      <c r="G1" s="4" t="s">
        <v>570</v>
      </c>
    </row>
    <row r="2" customFormat="false" ht="15" hidden="false" customHeight="false" outlineLevel="0" collapsed="false">
      <c r="A2" s="5" t="s">
        <v>571</v>
      </c>
      <c r="B2" s="5" t="s">
        <v>547</v>
      </c>
      <c r="C2" s="5" t="s">
        <v>572</v>
      </c>
      <c r="D2" s="5" t="s">
        <v>573</v>
      </c>
      <c r="E2" s="5" t="s">
        <v>574</v>
      </c>
      <c r="F2" s="5" t="n">
        <f aca="false">COUNTIF('Event Catalogue'!$K$2:$K$100,"*"&amp;A2&amp;"*")</f>
        <v>1</v>
      </c>
      <c r="G2" s="5" t="n">
        <f aca="false">COUNTIF('Event Catalogue'!$L$2:$L$100,"*"&amp;A2&amp;"*")</f>
        <v>0</v>
      </c>
    </row>
    <row r="3" customFormat="false" ht="15" hidden="false" customHeight="false" outlineLevel="0" collapsed="false">
      <c r="A3" s="5" t="s">
        <v>575</v>
      </c>
      <c r="B3" s="5" t="s">
        <v>519</v>
      </c>
      <c r="C3" s="5" t="s">
        <v>576</v>
      </c>
      <c r="D3" s="5"/>
      <c r="E3" s="5" t="s">
        <v>577</v>
      </c>
      <c r="F3" s="5" t="n">
        <f aca="false">COUNTIF('Event Catalogue'!$K$2:$K$100,"*"&amp;A3&amp;"*")</f>
        <v>1</v>
      </c>
      <c r="G3" s="5" t="n">
        <f aca="false">COUNTIF('Event Catalogue'!$L$2:$L$100,"*"&amp;A3&amp;"*")</f>
        <v>0</v>
      </c>
    </row>
    <row r="4" customFormat="false" ht="15" hidden="false" customHeight="false" outlineLevel="0" collapsed="false">
      <c r="A4" s="5" t="s">
        <v>282</v>
      </c>
      <c r="B4" s="5" t="s">
        <v>519</v>
      </c>
      <c r="C4" s="5" t="s">
        <v>578</v>
      </c>
      <c r="D4" s="5"/>
      <c r="E4" s="5" t="s">
        <v>579</v>
      </c>
      <c r="F4" s="5" t="n">
        <f aca="false">COUNTIF('Event Catalogue'!$K$2:$K$100,"*"&amp;A4&amp;"*")</f>
        <v>1</v>
      </c>
      <c r="G4" s="5" t="n">
        <f aca="false">COUNTIF('Event Catalogue'!$L$2:$L$100,"*"&amp;A4&amp;"*")</f>
        <v>0</v>
      </c>
    </row>
    <row r="5" customFormat="false" ht="15" hidden="false" customHeight="false" outlineLevel="0" collapsed="false">
      <c r="A5" s="5" t="s">
        <v>283</v>
      </c>
      <c r="B5" s="5" t="s">
        <v>519</v>
      </c>
      <c r="C5" s="5" t="s">
        <v>580</v>
      </c>
      <c r="D5" s="5"/>
      <c r="E5" s="5" t="s">
        <v>581</v>
      </c>
      <c r="F5" s="5" t="n">
        <f aca="false">COUNTIF('Event Catalogue'!$K$2:$K$100,"*"&amp;A5&amp;"*")</f>
        <v>0</v>
      </c>
      <c r="G5" s="5" t="n">
        <f aca="false">COUNTIF('Event Catalogue'!$L$2:$L$100,"*"&amp;A5&amp;"*")</f>
        <v>1</v>
      </c>
    </row>
    <row r="6" customFormat="false" ht="15" hidden="false" customHeight="false" outlineLevel="0" collapsed="false">
      <c r="A6" s="5" t="s">
        <v>370</v>
      </c>
      <c r="B6" s="5" t="s">
        <v>582</v>
      </c>
      <c r="C6" s="5" t="s">
        <v>583</v>
      </c>
      <c r="D6" s="5" t="s">
        <v>584</v>
      </c>
      <c r="E6" s="5" t="s">
        <v>585</v>
      </c>
      <c r="F6" s="5" t="n">
        <f aca="false">COUNTIF('Event Catalogue'!$K$2:$K$100,"*"&amp;A6&amp;"*")</f>
        <v>1</v>
      </c>
      <c r="G6" s="5" t="n">
        <f aca="false">COUNTIF('Event Catalogue'!$L$2:$L$100,"*"&amp;A6&amp;"*")</f>
        <v>1</v>
      </c>
    </row>
    <row r="7" customFormat="false" ht="15" hidden="false" customHeight="false" outlineLevel="0" collapsed="false">
      <c r="A7" s="5" t="s">
        <v>586</v>
      </c>
      <c r="B7" s="5" t="s">
        <v>556</v>
      </c>
      <c r="C7" s="5" t="s">
        <v>587</v>
      </c>
      <c r="D7" s="5" t="s">
        <v>584</v>
      </c>
      <c r="E7" s="5" t="s">
        <v>588</v>
      </c>
      <c r="F7" s="5" t="n">
        <f aca="false">COUNTIF('Event Catalogue'!$K$2:$K$100,"*"&amp;A7&amp;"*")</f>
        <v>1</v>
      </c>
      <c r="G7" s="5" t="n">
        <f aca="false">COUNTIF('Event Catalogue'!$L$2:$L$100,"*"&amp;A7&amp;"*")</f>
        <v>0</v>
      </c>
    </row>
    <row r="8" customFormat="false" ht="15" hidden="false" customHeight="false" outlineLevel="0" collapsed="false">
      <c r="A8" s="5" t="s">
        <v>589</v>
      </c>
      <c r="B8" s="5" t="s">
        <v>547</v>
      </c>
      <c r="C8" s="5" t="s">
        <v>590</v>
      </c>
      <c r="D8" s="5" t="s">
        <v>591</v>
      </c>
      <c r="E8" s="5" t="s">
        <v>592</v>
      </c>
      <c r="F8" s="5" t="n">
        <f aca="false">COUNTIF('Event Catalogue'!$K$2:$K$100,"*"&amp;A8&amp;"*")</f>
        <v>0</v>
      </c>
      <c r="G8" s="5" t="n">
        <f aca="false">COUNTIF('Event Catalogue'!$L$2:$L$100,"*"&amp;A8&amp;"*")</f>
        <v>1</v>
      </c>
    </row>
    <row r="9" customFormat="false" ht="15" hidden="false" customHeight="false" outlineLevel="0" collapsed="false">
      <c r="A9" s="5" t="s">
        <v>593</v>
      </c>
      <c r="B9" s="5" t="s">
        <v>519</v>
      </c>
      <c r="C9" s="5" t="s">
        <v>594</v>
      </c>
      <c r="D9" s="5"/>
      <c r="E9" s="5" t="s">
        <v>595</v>
      </c>
      <c r="F9" s="5" t="n">
        <f aca="false">COUNTIF('Event Catalogue'!$K$2:$K$100,"*"&amp;A9&amp;"*")</f>
        <v>1</v>
      </c>
      <c r="G9" s="5" t="n">
        <f aca="false">COUNTIF('Event Catalogue'!$L$2:$L$100,"*"&amp;A9&amp;"*")</f>
        <v>0</v>
      </c>
    </row>
    <row r="10" customFormat="false" ht="15" hidden="false" customHeight="false" outlineLevel="0" collapsed="false">
      <c r="A10" s="5" t="s">
        <v>243</v>
      </c>
      <c r="B10" s="5" t="s">
        <v>556</v>
      </c>
      <c r="C10" s="5" t="s">
        <v>596</v>
      </c>
      <c r="D10" s="5" t="s">
        <v>584</v>
      </c>
      <c r="E10" s="5" t="s">
        <v>597</v>
      </c>
      <c r="F10" s="5" t="n">
        <f aca="false">COUNTIF('Event Catalogue'!$K$2:$K$100,"*"&amp;A10&amp;"*")</f>
        <v>1</v>
      </c>
      <c r="G10" s="5" t="n">
        <f aca="false">COUNTIF('Event Catalogue'!$L$2:$L$100,"*"&amp;A10&amp;"*")</f>
        <v>1</v>
      </c>
    </row>
    <row r="11" customFormat="false" ht="15" hidden="false" customHeight="false" outlineLevel="0" collapsed="false">
      <c r="A11" s="5" t="s">
        <v>598</v>
      </c>
      <c r="B11" s="5" t="s">
        <v>556</v>
      </c>
      <c r="C11" s="5" t="s">
        <v>599</v>
      </c>
      <c r="D11" s="5" t="s">
        <v>600</v>
      </c>
      <c r="E11" s="5" t="s">
        <v>601</v>
      </c>
      <c r="F11" s="5" t="n">
        <f aca="false">COUNTIF('Event Catalogue'!$K$2:$K$100,"*"&amp;A11&amp;"*")</f>
        <v>1</v>
      </c>
      <c r="G11" s="5" t="n">
        <f aca="false">COUNTIF('Event Catalogue'!$L$2:$L$100,"*"&amp;A11&amp;"*")</f>
        <v>0</v>
      </c>
    </row>
    <row r="12" customFormat="false" ht="15" hidden="false" customHeight="false" outlineLevel="0" collapsed="false">
      <c r="A12" s="5" t="s">
        <v>602</v>
      </c>
      <c r="B12" s="5" t="s">
        <v>603</v>
      </c>
      <c r="C12" s="5" t="s">
        <v>604</v>
      </c>
      <c r="D12" s="5" t="s">
        <v>605</v>
      </c>
      <c r="E12" s="5" t="s">
        <v>606</v>
      </c>
      <c r="F12" s="5" t="n">
        <f aca="false">COUNTIF('Event Catalogue'!$K$2:$K$100,"*"&amp;A12&amp;"*")</f>
        <v>0</v>
      </c>
      <c r="G12" s="5" t="n">
        <f aca="false">COUNTIF('Event Catalogue'!$L$2:$L$100,"*"&amp;A12&amp;"*")</f>
        <v>1</v>
      </c>
    </row>
    <row r="13" customFormat="false" ht="15" hidden="false" customHeight="false" outlineLevel="0" collapsed="false">
      <c r="A13" s="5" t="s">
        <v>607</v>
      </c>
      <c r="B13" s="5" t="s">
        <v>523</v>
      </c>
      <c r="C13" s="5" t="s">
        <v>608</v>
      </c>
      <c r="D13" s="5" t="s">
        <v>609</v>
      </c>
      <c r="E13" s="5" t="s">
        <v>610</v>
      </c>
      <c r="F13" s="5" t="n">
        <f aca="false">COUNTIF('Event Catalogue'!$K$2:$K$100,"*"&amp;A13&amp;"*")</f>
        <v>0</v>
      </c>
      <c r="G13" s="5" t="n">
        <f aca="false">COUNTIF('Event Catalogue'!$L$2:$L$100,"*"&amp;A13&amp;"*")</f>
        <v>1</v>
      </c>
    </row>
    <row r="14" customFormat="false" ht="15" hidden="false" customHeight="false" outlineLevel="0" collapsed="false">
      <c r="A14" s="5" t="s">
        <v>611</v>
      </c>
      <c r="B14" s="5" t="s">
        <v>523</v>
      </c>
      <c r="C14" s="5" t="s">
        <v>612</v>
      </c>
      <c r="D14" s="5" t="s">
        <v>613</v>
      </c>
      <c r="E14" s="5" t="s">
        <v>614</v>
      </c>
      <c r="F14" s="5" t="n">
        <f aca="false">COUNTIF('Event Catalogue'!$K$2:$K$100,"*"&amp;A14&amp;"*")</f>
        <v>1</v>
      </c>
      <c r="G14" s="5" t="n">
        <f aca="false">COUNTIF('Event Catalogue'!$L$2:$L$100,"*"&amp;A14&amp;"*")</f>
        <v>0</v>
      </c>
    </row>
    <row r="15" customFormat="false" ht="23.85" hidden="false" customHeight="false" outlineLevel="0" collapsed="false">
      <c r="A15" s="5" t="s">
        <v>615</v>
      </c>
      <c r="B15" s="5" t="s">
        <v>547</v>
      </c>
      <c r="C15" s="5" t="s">
        <v>616</v>
      </c>
      <c r="D15" s="5" t="s">
        <v>617</v>
      </c>
      <c r="E15" s="5" t="s">
        <v>618</v>
      </c>
      <c r="F15" s="5" t="n">
        <f aca="false">COUNTIF('Event Catalogue'!$K$2:$K$100,"*"&amp;A15&amp;"*")</f>
        <v>1</v>
      </c>
      <c r="G15" s="5" t="n">
        <f aca="false">COUNTIF('Event Catalogue'!$L$2:$L$100,"*"&amp;A15&amp;"*")</f>
        <v>0</v>
      </c>
    </row>
    <row r="16" customFormat="false" ht="15" hidden="false" customHeight="false" outlineLevel="0" collapsed="false">
      <c r="A16" s="5" t="s">
        <v>619</v>
      </c>
      <c r="B16" s="5" t="s">
        <v>547</v>
      </c>
      <c r="C16" s="5" t="s">
        <v>620</v>
      </c>
      <c r="D16" s="5" t="s">
        <v>621</v>
      </c>
      <c r="E16" s="5" t="s">
        <v>622</v>
      </c>
      <c r="F16" s="5" t="n">
        <f aca="false">COUNTIF('Event Catalogue'!$K$2:$K$100,"*"&amp;A16&amp;"*")</f>
        <v>0</v>
      </c>
      <c r="G16" s="5" t="n">
        <f aca="false">COUNTIF('Event Catalogue'!$L$2:$L$100,"*"&amp;A16&amp;"*")</f>
        <v>1</v>
      </c>
    </row>
    <row r="17" customFormat="false" ht="15" hidden="false" customHeight="false" outlineLevel="0" collapsed="false">
      <c r="A17" s="5" t="s">
        <v>623</v>
      </c>
      <c r="B17" s="5" t="s">
        <v>547</v>
      </c>
      <c r="C17" s="5" t="s">
        <v>624</v>
      </c>
      <c r="D17" s="5" t="s">
        <v>625</v>
      </c>
      <c r="E17" s="5" t="s">
        <v>626</v>
      </c>
      <c r="F17" s="5" t="n">
        <f aca="false">COUNTIF('Event Catalogue'!$K$2:$K$100,"*"&amp;A17&amp;"*")</f>
        <v>1</v>
      </c>
      <c r="G17" s="5" t="n">
        <f aca="false">COUNTIF('Event Catalogue'!$L$2:$L$100,"*"&amp;A17&amp;"*")</f>
        <v>0</v>
      </c>
    </row>
    <row r="18" customFormat="false" ht="15" hidden="false" customHeight="false" outlineLevel="0" collapsed="false">
      <c r="A18" s="5" t="s">
        <v>627</v>
      </c>
      <c r="B18" s="5" t="s">
        <v>519</v>
      </c>
      <c r="C18" s="5" t="s">
        <v>628</v>
      </c>
      <c r="D18" s="5"/>
      <c r="E18" s="5" t="s">
        <v>629</v>
      </c>
      <c r="F18" s="5" t="n">
        <f aca="false">COUNTIF('Event Catalogue'!$K$2:$K$100,"*"&amp;A18&amp;"*")</f>
        <v>1</v>
      </c>
      <c r="G18" s="5" t="n">
        <f aca="false">COUNTIF('Event Catalogue'!$L$2:$L$100,"*"&amp;A18&amp;"*")</f>
        <v>0</v>
      </c>
    </row>
    <row r="19" customFormat="false" ht="15" hidden="false" customHeight="false" outlineLevel="0" collapsed="false">
      <c r="A19" s="5" t="s">
        <v>630</v>
      </c>
      <c r="B19" s="5" t="s">
        <v>519</v>
      </c>
      <c r="C19" s="5" t="s">
        <v>631</v>
      </c>
      <c r="D19" s="5"/>
      <c r="E19" s="5" t="s">
        <v>632</v>
      </c>
      <c r="F19" s="5" t="n">
        <f aca="false">COUNTIF('Event Catalogue'!$K$2:$K$100,"*"&amp;A19&amp;"*")</f>
        <v>1</v>
      </c>
      <c r="G19" s="5" t="n">
        <f aca="false">COUNTIF('Event Catalogue'!$L$2:$L$100,"*"&amp;A19&amp;"*")</f>
        <v>0</v>
      </c>
    </row>
    <row r="20" customFormat="false" ht="15" hidden="false" customHeight="false" outlineLevel="0" collapsed="false">
      <c r="A20" s="5" t="s">
        <v>633</v>
      </c>
      <c r="B20" s="5" t="s">
        <v>603</v>
      </c>
      <c r="C20" s="5" t="s">
        <v>634</v>
      </c>
      <c r="D20" s="5" t="s">
        <v>605</v>
      </c>
      <c r="E20" s="5" t="s">
        <v>606</v>
      </c>
      <c r="F20" s="5" t="n">
        <f aca="false">COUNTIF('Event Catalogue'!$K$2:$K$100,"*"&amp;A20&amp;"*")</f>
        <v>0</v>
      </c>
      <c r="G20" s="5" t="n">
        <f aca="false">COUNTIF('Event Catalogue'!$L$2:$L$100,"*"&amp;A20&amp;"*")</f>
        <v>1</v>
      </c>
    </row>
    <row r="21" customFormat="false" ht="15" hidden="false" customHeight="false" outlineLevel="0" collapsed="false">
      <c r="A21" s="5" t="s">
        <v>136</v>
      </c>
      <c r="B21" s="5" t="s">
        <v>547</v>
      </c>
      <c r="C21" s="5" t="s">
        <v>635</v>
      </c>
      <c r="D21" s="5" t="s">
        <v>636</v>
      </c>
      <c r="E21" s="5" t="s">
        <v>637</v>
      </c>
      <c r="F21" s="5" t="n">
        <f aca="false">COUNTIF('Event Catalogue'!$K$2:$K$100,"*"&amp;A21&amp;"*")</f>
        <v>1</v>
      </c>
      <c r="G21" s="5" t="n">
        <f aca="false">COUNTIF('Event Catalogue'!$L$2:$L$100,"*"&amp;A21&amp;"*")</f>
        <v>1</v>
      </c>
    </row>
    <row r="22" customFormat="false" ht="15" hidden="false" customHeight="false" outlineLevel="0" collapsed="false">
      <c r="A22" s="5" t="s">
        <v>638</v>
      </c>
      <c r="B22" s="5" t="s">
        <v>519</v>
      </c>
      <c r="C22" s="5" t="s">
        <v>639</v>
      </c>
      <c r="D22" s="5"/>
      <c r="E22" s="5" t="s">
        <v>640</v>
      </c>
      <c r="F22" s="5" t="n">
        <f aca="false">COUNTIF('Event Catalogue'!$K$2:$K$100,"*"&amp;A22&amp;"*")</f>
        <v>2</v>
      </c>
      <c r="G22" s="5" t="n">
        <f aca="false">COUNTIF('Event Catalogue'!$L$2:$L$100,"*"&amp;A22&amp;"*")</f>
        <v>0</v>
      </c>
    </row>
    <row r="23" customFormat="false" ht="15" hidden="false" customHeight="false" outlineLevel="0" collapsed="false">
      <c r="A23" s="5" t="s">
        <v>641</v>
      </c>
      <c r="B23" s="5" t="s">
        <v>547</v>
      </c>
      <c r="C23" s="5" t="s">
        <v>642</v>
      </c>
      <c r="D23" s="5" t="s">
        <v>643</v>
      </c>
      <c r="E23" s="5" t="s">
        <v>644</v>
      </c>
      <c r="F23" s="5" t="n">
        <f aca="false">COUNTIF('Event Catalogue'!$K$2:$K$100,"*"&amp;A23&amp;"*")</f>
        <v>1</v>
      </c>
      <c r="G23" s="5" t="n">
        <f aca="false">COUNTIF('Event Catalogue'!$L$2:$L$100,"*"&amp;A23&amp;"*")</f>
        <v>0</v>
      </c>
    </row>
    <row r="24" customFormat="false" ht="15" hidden="false" customHeight="false" outlineLevel="0" collapsed="false">
      <c r="A24" s="5" t="s">
        <v>645</v>
      </c>
      <c r="B24" s="5" t="s">
        <v>556</v>
      </c>
      <c r="C24" s="5" t="s">
        <v>646</v>
      </c>
      <c r="D24" s="5" t="s">
        <v>647</v>
      </c>
      <c r="E24" s="5" t="s">
        <v>601</v>
      </c>
      <c r="F24" s="5" t="n">
        <f aca="false">COUNTIF('Event Catalogue'!$K$2:$K$100,"*"&amp;A24&amp;"*")</f>
        <v>1</v>
      </c>
      <c r="G24" s="5" t="n">
        <f aca="false">COUNTIF('Event Catalogue'!$L$2:$L$100,"*"&amp;A24&amp;"*")</f>
        <v>1</v>
      </c>
    </row>
    <row r="25" customFormat="false" ht="15" hidden="false" customHeight="false" outlineLevel="0" collapsed="false">
      <c r="A25" s="5" t="s">
        <v>64</v>
      </c>
      <c r="B25" s="5" t="s">
        <v>547</v>
      </c>
      <c r="C25" s="5" t="s">
        <v>648</v>
      </c>
      <c r="D25" s="5" t="s">
        <v>649</v>
      </c>
      <c r="E25" s="5" t="s">
        <v>650</v>
      </c>
      <c r="F25" s="5" t="n">
        <f aca="false">COUNTIF('Event Catalogue'!$K$2:$K$100,"*"&amp;A25&amp;"*")</f>
        <v>1</v>
      </c>
      <c r="G25" s="5" t="n">
        <f aca="false">COUNTIF('Event Catalogue'!$L$2:$L$100,"*"&amp;A25&amp;"*")</f>
        <v>0</v>
      </c>
    </row>
    <row r="26" customFormat="false" ht="15" hidden="false" customHeight="false" outlineLevel="0" collapsed="false">
      <c r="A26" s="5" t="s">
        <v>75</v>
      </c>
      <c r="B26" s="5" t="s">
        <v>547</v>
      </c>
      <c r="C26" s="5" t="s">
        <v>651</v>
      </c>
      <c r="D26" s="5" t="s">
        <v>652</v>
      </c>
      <c r="E26" s="5" t="s">
        <v>653</v>
      </c>
      <c r="F26" s="5" t="n">
        <f aca="false">COUNTIF('Event Catalogue'!$K$2:$K$100,"*"&amp;A26&amp;"*")</f>
        <v>1</v>
      </c>
      <c r="G26" s="5" t="n">
        <f aca="false">COUNTIF('Event Catalogue'!$L$2:$L$100,"*"&amp;A26&amp;"*")</f>
        <v>0</v>
      </c>
    </row>
    <row r="27" customFormat="false" ht="15" hidden="false" customHeight="false" outlineLevel="0" collapsed="false">
      <c r="A27" s="5" t="s">
        <v>654</v>
      </c>
      <c r="B27" s="5" t="s">
        <v>556</v>
      </c>
      <c r="C27" s="5" t="s">
        <v>655</v>
      </c>
      <c r="D27" s="5" t="s">
        <v>584</v>
      </c>
      <c r="E27" s="5" t="s">
        <v>656</v>
      </c>
      <c r="F27" s="5" t="n">
        <f aca="false">COUNTIF('Event Catalogue'!$K$2:$K$100,"*"&amp;A27&amp;"*")</f>
        <v>1</v>
      </c>
      <c r="G27" s="5" t="n">
        <f aca="false">COUNTIF('Event Catalogue'!$L$2:$L$100,"*"&amp;A27&amp;"*")</f>
        <v>0</v>
      </c>
    </row>
    <row r="28" customFormat="false" ht="15" hidden="false" customHeight="false" outlineLevel="0" collapsed="false">
      <c r="A28" s="5" t="s">
        <v>657</v>
      </c>
      <c r="B28" s="5" t="s">
        <v>519</v>
      </c>
      <c r="C28" s="5" t="s">
        <v>658</v>
      </c>
      <c r="D28" s="5"/>
      <c r="E28" s="5" t="s">
        <v>659</v>
      </c>
      <c r="F28" s="5" t="n">
        <f aca="false">COUNTIF('Event Catalogue'!$K$2:$K$100,"*"&amp;A28&amp;"*")</f>
        <v>2</v>
      </c>
      <c r="G28" s="5" t="n">
        <f aca="false">COUNTIF('Event Catalogue'!$L$2:$L$100,"*"&amp;A28&amp;"*")</f>
        <v>0</v>
      </c>
    </row>
    <row r="29" customFormat="false" ht="15" hidden="false" customHeight="false" outlineLevel="0" collapsed="false">
      <c r="A29" s="5" t="s">
        <v>263</v>
      </c>
      <c r="B29" s="5" t="s">
        <v>556</v>
      </c>
      <c r="C29" s="5" t="s">
        <v>660</v>
      </c>
      <c r="D29" s="5" t="s">
        <v>661</v>
      </c>
      <c r="E29" s="5" t="s">
        <v>662</v>
      </c>
      <c r="F29" s="5" t="n">
        <f aca="false">COUNTIF('Event Catalogue'!$K$2:$K$100,"*"&amp;A29&amp;"*")</f>
        <v>0</v>
      </c>
      <c r="G29" s="5" t="n">
        <f aca="false">COUNTIF('Event Catalogue'!$L$2:$L$100,"*"&amp;A29&amp;"*")</f>
        <v>1</v>
      </c>
    </row>
    <row r="30" customFormat="false" ht="15" hidden="false" customHeight="false" outlineLevel="0" collapsed="false">
      <c r="A30" s="5" t="s">
        <v>663</v>
      </c>
      <c r="B30" s="5" t="s">
        <v>519</v>
      </c>
      <c r="C30" s="5" t="s">
        <v>664</v>
      </c>
      <c r="D30" s="5"/>
      <c r="E30" s="5" t="s">
        <v>665</v>
      </c>
      <c r="F30" s="5" t="n">
        <f aca="false">COUNTIF('Event Catalogue'!$K$2:$K$100,"*"&amp;A30&amp;"*")</f>
        <v>2</v>
      </c>
      <c r="G30" s="5" t="n">
        <f aca="false">COUNTIF('Event Catalogue'!$L$2:$L$100,"*"&amp;A30&amp;"*")</f>
        <v>0</v>
      </c>
    </row>
    <row r="31" customFormat="false" ht="15" hidden="false" customHeight="false" outlineLevel="0" collapsed="false">
      <c r="A31" s="5" t="s">
        <v>666</v>
      </c>
      <c r="B31" s="5" t="s">
        <v>556</v>
      </c>
      <c r="C31" s="5" t="s">
        <v>667</v>
      </c>
      <c r="D31" s="5" t="s">
        <v>668</v>
      </c>
      <c r="E31" s="5" t="s">
        <v>669</v>
      </c>
      <c r="F31" s="5" t="n">
        <f aca="false">COUNTIF('Event Catalogue'!$K$2:$K$100,"*"&amp;A31&amp;"*")</f>
        <v>1</v>
      </c>
      <c r="G31" s="5" t="n">
        <f aca="false">COUNTIF('Event Catalogue'!$L$2:$L$100,"*"&amp;A31&amp;"*")</f>
        <v>0</v>
      </c>
    </row>
    <row r="32" customFormat="false" ht="15" hidden="false" customHeight="false" outlineLevel="0" collapsed="false">
      <c r="A32" s="5" t="s">
        <v>670</v>
      </c>
      <c r="B32" s="5" t="s">
        <v>519</v>
      </c>
      <c r="C32" s="5" t="s">
        <v>671</v>
      </c>
      <c r="D32" s="5" t="s">
        <v>672</v>
      </c>
      <c r="E32" s="5" t="s">
        <v>673</v>
      </c>
      <c r="F32" s="5" t="n">
        <f aca="false">COUNTIF('Event Catalogue'!$K$2:$K$100,"*"&amp;A32&amp;"*")</f>
        <v>2</v>
      </c>
      <c r="G32" s="5" t="n">
        <f aca="false">COUNTIF('Event Catalogue'!$L$2:$L$100,"*"&amp;A32&amp;"*")</f>
        <v>0</v>
      </c>
    </row>
    <row r="33" customFormat="false" ht="15" hidden="false" customHeight="false" outlineLevel="0" collapsed="false">
      <c r="A33" s="5" t="s">
        <v>674</v>
      </c>
      <c r="B33" s="5" t="s">
        <v>519</v>
      </c>
      <c r="C33" s="5" t="s">
        <v>675</v>
      </c>
      <c r="D33" s="5" t="s">
        <v>676</v>
      </c>
      <c r="E33" s="5" t="s">
        <v>677</v>
      </c>
      <c r="F33" s="5" t="n">
        <f aca="false">COUNTIF('Event Catalogue'!$K$2:$K$100,"*"&amp;A33&amp;"*")</f>
        <v>1</v>
      </c>
      <c r="G33" s="5" t="n">
        <f aca="false">COUNTIF('Event Catalogue'!$L$2:$L$100,"*"&amp;A33&amp;"*")</f>
        <v>0</v>
      </c>
    </row>
    <row r="34" customFormat="false" ht="15" hidden="false" customHeight="false" outlineLevel="0" collapsed="false">
      <c r="A34" s="5" t="s">
        <v>678</v>
      </c>
      <c r="B34" s="5" t="s">
        <v>556</v>
      </c>
      <c r="C34" s="5" t="s">
        <v>679</v>
      </c>
      <c r="D34" s="5" t="s">
        <v>680</v>
      </c>
      <c r="E34" s="5" t="s">
        <v>681</v>
      </c>
      <c r="F34" s="5" t="n">
        <f aca="false">COUNTIF('Event Catalogue'!$K$2:$K$100,"*"&amp;A34&amp;"*")</f>
        <v>1</v>
      </c>
      <c r="G34" s="5" t="n">
        <f aca="false">COUNTIF('Event Catalogue'!$L$2:$L$100,"*"&amp;A34&amp;"*")</f>
        <v>0</v>
      </c>
    </row>
    <row r="35" customFormat="false" ht="15" hidden="false" customHeight="false" outlineLevel="0" collapsed="false">
      <c r="A35" s="5" t="s">
        <v>682</v>
      </c>
      <c r="B35" s="5" t="s">
        <v>556</v>
      </c>
      <c r="C35" s="5" t="s">
        <v>683</v>
      </c>
      <c r="D35" s="5" t="s">
        <v>680</v>
      </c>
      <c r="E35" s="5" t="s">
        <v>597</v>
      </c>
      <c r="F35" s="5" t="n">
        <f aca="false">COUNTIF('Event Catalogue'!$K$2:$K$100,"*"&amp;A35&amp;"*")</f>
        <v>1</v>
      </c>
      <c r="G35" s="5" t="n">
        <f aca="false">COUNTIF('Event Catalogue'!$L$2:$L$100,"*"&amp;A35&amp;"*")</f>
        <v>0</v>
      </c>
    </row>
    <row r="36" customFormat="false" ht="15" hidden="false" customHeight="false" outlineLevel="0" collapsed="false">
      <c r="A36" s="5" t="s">
        <v>87</v>
      </c>
      <c r="B36" s="5" t="s">
        <v>547</v>
      </c>
      <c r="C36" s="5" t="s">
        <v>684</v>
      </c>
      <c r="D36" s="5" t="s">
        <v>685</v>
      </c>
      <c r="E36" s="5" t="s">
        <v>686</v>
      </c>
      <c r="F36" s="5" t="n">
        <f aca="false">COUNTIF('Event Catalogue'!$K$2:$K$100,"*"&amp;A36&amp;"*")</f>
        <v>0</v>
      </c>
      <c r="G36" s="5" t="n">
        <f aca="false">COUNTIF('Event Catalogue'!$L$2:$L$100,"*"&amp;A36&amp;"*")</f>
        <v>1</v>
      </c>
    </row>
    <row r="37" customFormat="false" ht="15" hidden="false" customHeight="false" outlineLevel="0" collapsed="false">
      <c r="A37" s="5" t="s">
        <v>687</v>
      </c>
      <c r="B37" s="5" t="s">
        <v>547</v>
      </c>
      <c r="C37" s="5" t="s">
        <v>688</v>
      </c>
      <c r="D37" s="5" t="s">
        <v>689</v>
      </c>
      <c r="E37" s="5" t="s">
        <v>690</v>
      </c>
      <c r="F37" s="5" t="n">
        <f aca="false">COUNTIF('Event Catalogue'!$K$2:$K$100,"*"&amp;A37&amp;"*")</f>
        <v>0</v>
      </c>
      <c r="G37" s="5" t="n">
        <f aca="false">COUNTIF('Event Catalogue'!$L$2:$L$100,"*"&amp;A37&amp;"*")</f>
        <v>1</v>
      </c>
    </row>
    <row r="38" customFormat="false" ht="15" hidden="false" customHeight="false" outlineLevel="0" collapsed="false">
      <c r="A38" s="5" t="s">
        <v>691</v>
      </c>
      <c r="B38" s="5" t="s">
        <v>547</v>
      </c>
      <c r="C38" s="5" t="s">
        <v>692</v>
      </c>
      <c r="D38" s="5" t="s">
        <v>693</v>
      </c>
      <c r="E38" s="5" t="s">
        <v>694</v>
      </c>
      <c r="F38" s="5" t="n">
        <f aca="false">COUNTIF('Event Catalogue'!$K$2:$K$100,"*"&amp;A38&amp;"*")</f>
        <v>3</v>
      </c>
      <c r="G38" s="5" t="n">
        <f aca="false">COUNTIF('Event Catalogue'!$L$2:$L$100,"*"&amp;A38&amp;"*")</f>
        <v>0</v>
      </c>
    </row>
    <row r="39" customFormat="false" ht="15" hidden="false" customHeight="false" outlineLevel="0" collapsed="false">
      <c r="A39" s="5" t="s">
        <v>695</v>
      </c>
      <c r="B39" s="5" t="s">
        <v>519</v>
      </c>
      <c r="C39" s="5" t="s">
        <v>696</v>
      </c>
      <c r="D39" s="5"/>
      <c r="E39" s="5" t="s">
        <v>697</v>
      </c>
      <c r="F39" s="5" t="n">
        <f aca="false">COUNTIF('Event Catalogue'!$K$2:$K$100,"*"&amp;A39&amp;"*")</f>
        <v>1</v>
      </c>
      <c r="G39" s="5" t="n">
        <f aca="false">COUNTIF('Event Catalogue'!$L$2:$L$100,"*"&amp;A39&amp;"*")</f>
        <v>1</v>
      </c>
    </row>
    <row r="40" customFormat="false" ht="15" hidden="false" customHeight="false" outlineLevel="0" collapsed="false">
      <c r="A40" s="5" t="s">
        <v>698</v>
      </c>
      <c r="B40" s="5" t="s">
        <v>547</v>
      </c>
      <c r="C40" s="5" t="s">
        <v>699</v>
      </c>
      <c r="D40" s="5" t="s">
        <v>700</v>
      </c>
      <c r="E40" s="5" t="s">
        <v>701</v>
      </c>
      <c r="F40" s="5" t="n">
        <f aca="false">COUNTIF('Event Catalogue'!$K$2:$K$100,"*"&amp;A40&amp;"*")</f>
        <v>1</v>
      </c>
      <c r="G40" s="5" t="n">
        <f aca="false">COUNTIF('Event Catalogue'!$L$2:$L$100,"*"&amp;A40&amp;"*")</f>
        <v>0</v>
      </c>
    </row>
    <row r="41" customFormat="false" ht="15" hidden="false" customHeight="false" outlineLevel="0" collapsed="false">
      <c r="A41" s="5" t="s">
        <v>702</v>
      </c>
      <c r="B41" s="5" t="s">
        <v>556</v>
      </c>
      <c r="C41" s="5" t="s">
        <v>703</v>
      </c>
      <c r="D41" s="5" t="s">
        <v>584</v>
      </c>
      <c r="E41" s="5" t="s">
        <v>601</v>
      </c>
      <c r="F41" s="5" t="n">
        <f aca="false">COUNTIF('Event Catalogue'!$K$2:$K$100,"*"&amp;A41&amp;"*")</f>
        <v>1</v>
      </c>
      <c r="G41" s="5" t="n">
        <f aca="false">COUNTIF('Event Catalogue'!$L$2:$L$100,"*"&amp;A41&amp;"*")</f>
        <v>0</v>
      </c>
    </row>
    <row r="42" customFormat="false" ht="15" hidden="false" customHeight="false" outlineLevel="0" collapsed="false">
      <c r="A42" s="5" t="s">
        <v>401</v>
      </c>
      <c r="B42" s="5" t="s">
        <v>556</v>
      </c>
      <c r="C42" s="5" t="s">
        <v>704</v>
      </c>
      <c r="D42" s="5" t="s">
        <v>584</v>
      </c>
      <c r="E42" s="5" t="s">
        <v>705</v>
      </c>
      <c r="F42" s="5" t="n">
        <f aca="false">COUNTIF('Event Catalogue'!$K$2:$K$100,"*"&amp;A42&amp;"*")</f>
        <v>0</v>
      </c>
      <c r="G42" s="5" t="n">
        <f aca="false">COUNTIF('Event Catalogue'!$L$2:$L$100,"*"&amp;A42&amp;"*")</f>
        <v>1</v>
      </c>
    </row>
    <row r="43" customFormat="false" ht="15" hidden="false" customHeight="false" outlineLevel="0" collapsed="false">
      <c r="A43" s="5" t="s">
        <v>391</v>
      </c>
      <c r="B43" s="5" t="s">
        <v>519</v>
      </c>
      <c r="C43" s="5" t="s">
        <v>706</v>
      </c>
      <c r="D43" s="5"/>
      <c r="E43" s="5" t="s">
        <v>707</v>
      </c>
      <c r="F43" s="5" t="n">
        <f aca="false">COUNTIF('Event Catalogue'!$K$2:$K$100,"*"&amp;A43&amp;"*")</f>
        <v>1</v>
      </c>
      <c r="G43" s="5" t="n">
        <f aca="false">COUNTIF('Event Catalogue'!$L$2:$L$100,"*"&amp;A43&amp;"*")</f>
        <v>2</v>
      </c>
    </row>
    <row r="44" customFormat="false" ht="15" hidden="false" customHeight="false" outlineLevel="0" collapsed="false">
      <c r="A44" s="5" t="s">
        <v>319</v>
      </c>
      <c r="B44" s="5" t="s">
        <v>547</v>
      </c>
      <c r="C44" s="5" t="s">
        <v>708</v>
      </c>
      <c r="D44" s="5" t="s">
        <v>709</v>
      </c>
      <c r="E44" s="5" t="s">
        <v>710</v>
      </c>
      <c r="F44" s="5" t="n">
        <f aca="false">COUNTIF('Event Catalogue'!$K$2:$K$100,"*"&amp;A44&amp;"*")</f>
        <v>1</v>
      </c>
      <c r="G44" s="5" t="n">
        <f aca="false">COUNTIF('Event Catalogue'!$L$2:$L$100,"*"&amp;A44&amp;"*")</f>
        <v>1</v>
      </c>
    </row>
    <row r="45" customFormat="false" ht="15" hidden="false" customHeight="false" outlineLevel="0" collapsed="false">
      <c r="A45" s="5" t="s">
        <v>711</v>
      </c>
      <c r="B45" s="5" t="s">
        <v>519</v>
      </c>
      <c r="C45" s="5" t="s">
        <v>712</v>
      </c>
      <c r="D45" s="5" t="s">
        <v>713</v>
      </c>
      <c r="E45" s="5" t="s">
        <v>714</v>
      </c>
      <c r="F45" s="5" t="n">
        <f aca="false">COUNTIF('Event Catalogue'!$K$2:$K$100,"*"&amp;A45&amp;"*")</f>
        <v>1</v>
      </c>
      <c r="G45" s="5" t="n">
        <f aca="false">COUNTIF('Event Catalogue'!$L$2:$L$100,"*"&amp;A45&amp;"*")</f>
        <v>1</v>
      </c>
    </row>
    <row r="46" customFormat="false" ht="15" hidden="false" customHeight="false" outlineLevel="0" collapsed="false">
      <c r="A46" s="5" t="s">
        <v>715</v>
      </c>
      <c r="B46" s="5" t="s">
        <v>519</v>
      </c>
      <c r="C46" s="5" t="s">
        <v>716</v>
      </c>
      <c r="D46" s="5"/>
      <c r="E46" s="5" t="s">
        <v>717</v>
      </c>
      <c r="F46" s="5" t="n">
        <f aca="false">COUNTIF('Event Catalogue'!$K$2:$K$100,"*"&amp;A46&amp;"*")</f>
        <v>4</v>
      </c>
      <c r="G46" s="5" t="n">
        <f aca="false">COUNTIF('Event Catalogue'!$L$2:$L$100,"*"&amp;A46&amp;"*")</f>
        <v>0</v>
      </c>
    </row>
    <row r="47" customFormat="false" ht="15" hidden="false" customHeight="false" outlineLevel="0" collapsed="false">
      <c r="A47" s="5" t="s">
        <v>718</v>
      </c>
      <c r="B47" s="5" t="s">
        <v>519</v>
      </c>
      <c r="C47" s="5" t="s">
        <v>719</v>
      </c>
      <c r="D47" s="5" t="s">
        <v>720</v>
      </c>
      <c r="E47" s="5" t="s">
        <v>721</v>
      </c>
      <c r="F47" s="5" t="n">
        <f aca="false">COUNTIF('Event Catalogue'!$K$2:$K$100,"*"&amp;A47&amp;"*")</f>
        <v>3</v>
      </c>
      <c r="G47" s="5" t="n">
        <f aca="false">COUNTIF('Event Catalogue'!$L$2:$L$100,"*"&amp;A47&amp;"*")</f>
        <v>0</v>
      </c>
    </row>
    <row r="48" customFormat="false" ht="15" hidden="false" customHeight="false" outlineLevel="0" collapsed="false">
      <c r="A48" s="5" t="s">
        <v>340</v>
      </c>
      <c r="B48" s="5" t="s">
        <v>519</v>
      </c>
      <c r="C48" s="5" t="s">
        <v>722</v>
      </c>
      <c r="D48" s="5"/>
      <c r="E48" s="5" t="s">
        <v>723</v>
      </c>
      <c r="F48" s="5" t="n">
        <f aca="false">COUNTIF('Event Catalogue'!$K$2:$K$100,"*"&amp;A48&amp;"*")</f>
        <v>0</v>
      </c>
      <c r="G48" s="5" t="n">
        <f aca="false">COUNTIF('Event Catalogue'!$L$2:$L$100,"*"&amp;A48&amp;"*")</f>
        <v>1</v>
      </c>
    </row>
    <row r="49" customFormat="false" ht="15" hidden="false" customHeight="false" outlineLevel="0" collapsed="false">
      <c r="A49" s="5" t="s">
        <v>724</v>
      </c>
      <c r="B49" s="5" t="s">
        <v>519</v>
      </c>
      <c r="C49" s="5" t="s">
        <v>725</v>
      </c>
      <c r="D49" s="5" t="s">
        <v>720</v>
      </c>
      <c r="E49" s="5" t="s">
        <v>726</v>
      </c>
      <c r="F49" s="5" t="n">
        <f aca="false">COUNTIF('Event Catalogue'!$K$2:$K$100,"*"&amp;A49&amp;"*")</f>
        <v>3</v>
      </c>
      <c r="G49" s="5" t="n">
        <f aca="false">COUNTIF('Event Catalogue'!$L$2:$L$100,"*"&amp;A49&amp;"*")</f>
        <v>0</v>
      </c>
    </row>
    <row r="50" customFormat="false" ht="15" hidden="false" customHeight="false" outlineLevel="0" collapsed="false">
      <c r="A50" s="5" t="s">
        <v>727</v>
      </c>
      <c r="B50" s="5" t="s">
        <v>547</v>
      </c>
      <c r="C50" s="5" t="s">
        <v>728</v>
      </c>
      <c r="D50" s="5" t="s">
        <v>729</v>
      </c>
      <c r="E50" s="5" t="s">
        <v>730</v>
      </c>
      <c r="F50" s="5" t="n">
        <f aca="false">COUNTIF('Event Catalogue'!$K$2:$K$100,"*"&amp;A50&amp;"*")</f>
        <v>0</v>
      </c>
      <c r="G50" s="5" t="n">
        <f aca="false">COUNTIF('Event Catalogue'!$L$2:$L$100,"*"&amp;A50&amp;"*")</f>
        <v>1</v>
      </c>
    </row>
    <row r="51" customFormat="false" ht="23.85" hidden="false" customHeight="false" outlineLevel="0" collapsed="false">
      <c r="A51" s="5" t="s">
        <v>731</v>
      </c>
      <c r="B51" s="5" t="s">
        <v>547</v>
      </c>
      <c r="C51" s="5" t="s">
        <v>732</v>
      </c>
      <c r="D51" s="5" t="s">
        <v>733</v>
      </c>
      <c r="E51" s="5" t="s">
        <v>734</v>
      </c>
      <c r="F51" s="5" t="n">
        <f aca="false">COUNTIF('Event Catalogue'!$K$2:$K$100,"*"&amp;A51&amp;"*")</f>
        <v>1</v>
      </c>
      <c r="G51" s="5" t="n">
        <f aca="false">COUNTIF('Event Catalogue'!$L$2:$L$100,"*"&amp;A51&amp;"*")</f>
        <v>0</v>
      </c>
    </row>
    <row r="52" customFormat="false" ht="15" hidden="false" customHeight="false" outlineLevel="0" collapsed="false">
      <c r="A52" s="5" t="s">
        <v>735</v>
      </c>
      <c r="B52" s="5" t="s">
        <v>519</v>
      </c>
      <c r="C52" s="5" t="s">
        <v>736</v>
      </c>
      <c r="D52" s="5"/>
      <c r="E52" s="5" t="s">
        <v>737</v>
      </c>
      <c r="F52" s="5" t="n">
        <f aca="false">COUNTIF('Event Catalogue'!$K$2:$K$100,"*"&amp;A52&amp;"*")</f>
        <v>0</v>
      </c>
      <c r="G52" s="5" t="n">
        <f aca="false">COUNTIF('Event Catalogue'!$L$2:$L$100,"*"&amp;A52&amp;"*")</f>
        <v>2</v>
      </c>
    </row>
    <row r="53" customFormat="false" ht="15" hidden="false" customHeight="false" outlineLevel="0" collapsed="false">
      <c r="A53" s="5" t="s">
        <v>738</v>
      </c>
      <c r="B53" s="5" t="s">
        <v>547</v>
      </c>
      <c r="C53" s="5" t="s">
        <v>739</v>
      </c>
      <c r="D53" s="5" t="s">
        <v>740</v>
      </c>
      <c r="E53" s="5" t="s">
        <v>741</v>
      </c>
      <c r="F53" s="5" t="n">
        <f aca="false">COUNTIF('Event Catalogue'!$K$2:$K$100,"*"&amp;A53&amp;"*")</f>
        <v>0</v>
      </c>
      <c r="G53" s="5" t="n">
        <f aca="false">COUNTIF('Event Catalogue'!$L$2:$L$100,"*"&amp;A53&amp;"*")</f>
        <v>2</v>
      </c>
    </row>
    <row r="54" customFormat="false" ht="23.85" hidden="false" customHeight="false" outlineLevel="0" collapsed="false">
      <c r="A54" s="5" t="s">
        <v>742</v>
      </c>
      <c r="B54" s="5" t="s">
        <v>547</v>
      </c>
      <c r="C54" s="5" t="s">
        <v>743</v>
      </c>
      <c r="D54" s="5" t="s">
        <v>744</v>
      </c>
      <c r="E54" s="5" t="s">
        <v>745</v>
      </c>
      <c r="F54" s="5" t="n">
        <f aca="false">COUNTIF('Event Catalogue'!$K$2:$K$100,"*"&amp;A54&amp;"*")</f>
        <v>3</v>
      </c>
      <c r="G54" s="5" t="n">
        <f aca="false">COUNTIF('Event Catalogue'!$L$2:$L$100,"*"&amp;A54&amp;"*")</f>
        <v>0</v>
      </c>
    </row>
    <row r="55" customFormat="false" ht="15" hidden="false" customHeight="false" outlineLevel="0" collapsed="false">
      <c r="A55" s="5" t="s">
        <v>746</v>
      </c>
      <c r="B55" s="5" t="s">
        <v>519</v>
      </c>
      <c r="C55" s="5" t="s">
        <v>747</v>
      </c>
      <c r="D55" s="5"/>
      <c r="E55" s="5" t="s">
        <v>748</v>
      </c>
      <c r="F55" s="5" t="n">
        <f aca="false">COUNTIF('Event Catalogue'!$K$2:$K$100,"*"&amp;A55&amp;"*")</f>
        <v>1</v>
      </c>
      <c r="G55" s="5" t="n">
        <f aca="false">COUNTIF('Event Catalogue'!$L$2:$L$100,"*"&amp;A55&amp;"*")</f>
        <v>0</v>
      </c>
    </row>
    <row r="56" customFormat="false" ht="15" hidden="false" customHeight="false" outlineLevel="0" collapsed="false">
      <c r="A56" s="5" t="s">
        <v>749</v>
      </c>
      <c r="B56" s="5" t="s">
        <v>547</v>
      </c>
      <c r="C56" s="5" t="s">
        <v>750</v>
      </c>
      <c r="D56" s="5" t="s">
        <v>751</v>
      </c>
      <c r="E56" s="5" t="s">
        <v>752</v>
      </c>
      <c r="F56" s="5" t="n">
        <f aca="false">COUNTIF('Event Catalogue'!$K$2:$K$100,"*"&amp;A56&amp;"*")</f>
        <v>1</v>
      </c>
      <c r="G56" s="5" t="n">
        <f aca="false">COUNTIF('Event Catalogue'!$L$2:$L$100,"*"&amp;A56&amp;"*")</f>
        <v>0</v>
      </c>
    </row>
    <row r="57" customFormat="false" ht="15" hidden="false" customHeight="false" outlineLevel="0" collapsed="false">
      <c r="A57" s="5" t="s">
        <v>753</v>
      </c>
      <c r="B57" s="5" t="s">
        <v>582</v>
      </c>
      <c r="C57" s="5" t="s">
        <v>754</v>
      </c>
      <c r="D57" s="5" t="s">
        <v>661</v>
      </c>
      <c r="E57" s="5" t="s">
        <v>755</v>
      </c>
      <c r="F57" s="5" t="n">
        <f aca="false">COUNTIF('Event Catalogue'!$K$2:$K$100,"*"&amp;A57&amp;"*")</f>
        <v>4</v>
      </c>
      <c r="G57" s="5" t="n">
        <f aca="false">COUNTIF('Event Catalogue'!$L$2:$L$100,"*"&amp;A57&amp;"*")</f>
        <v>0</v>
      </c>
    </row>
    <row r="58" customFormat="false" ht="15" hidden="false" customHeight="false" outlineLevel="0" collapsed="false">
      <c r="A58" s="5" t="s">
        <v>273</v>
      </c>
      <c r="B58" s="5" t="s">
        <v>519</v>
      </c>
      <c r="C58" s="5" t="s">
        <v>756</v>
      </c>
      <c r="D58" s="5"/>
      <c r="E58" s="5" t="s">
        <v>737</v>
      </c>
      <c r="F58" s="5" t="n">
        <f aca="false">COUNTIF('Event Catalogue'!$K$2:$K$100,"*"&amp;A58&amp;"*")</f>
        <v>5</v>
      </c>
      <c r="G58" s="5" t="n">
        <f aca="false">COUNTIF('Event Catalogue'!$L$2:$L$100,"*"&amp;A58&amp;"*")</f>
        <v>2</v>
      </c>
    </row>
    <row r="59" customFormat="false" ht="23.85" hidden="false" customHeight="false" outlineLevel="0" collapsed="false">
      <c r="A59" s="5" t="s">
        <v>757</v>
      </c>
      <c r="B59" s="5" t="s">
        <v>547</v>
      </c>
      <c r="C59" s="5" t="s">
        <v>758</v>
      </c>
      <c r="D59" s="5" t="s">
        <v>759</v>
      </c>
      <c r="E59" s="5" t="s">
        <v>760</v>
      </c>
      <c r="F59" s="5" t="n">
        <f aca="false">COUNTIF('Event Catalogue'!$K$2:$K$100,"*"&amp;A59&amp;"*")</f>
        <v>2</v>
      </c>
      <c r="G59" s="5" t="n">
        <f aca="false">COUNTIF('Event Catalogue'!$L$2:$L$100,"*"&amp;A59&amp;"*")</f>
        <v>0</v>
      </c>
    </row>
    <row r="60" customFormat="false" ht="15" hidden="false" customHeight="false" outlineLevel="0" collapsed="false">
      <c r="A60" s="5" t="s">
        <v>761</v>
      </c>
      <c r="B60" s="5" t="s">
        <v>547</v>
      </c>
      <c r="C60" s="5" t="s">
        <v>762</v>
      </c>
      <c r="D60" s="5" t="s">
        <v>763</v>
      </c>
      <c r="E60" s="5" t="s">
        <v>764</v>
      </c>
      <c r="F60" s="5" t="n">
        <f aca="false">COUNTIF('Event Catalogue'!$K$2:$K$100,"*"&amp;A60&amp;"*")</f>
        <v>4</v>
      </c>
      <c r="G60" s="5" t="n">
        <f aca="false">COUNTIF('Event Catalogue'!$L$2:$L$100,"*"&amp;A60&amp;"*")</f>
        <v>0</v>
      </c>
    </row>
    <row r="61" customFormat="false" ht="15" hidden="false" customHeight="false" outlineLevel="0" collapsed="false">
      <c r="A61" s="5" t="s">
        <v>441</v>
      </c>
      <c r="B61" s="5" t="s">
        <v>556</v>
      </c>
      <c r="C61" s="5" t="s">
        <v>765</v>
      </c>
      <c r="D61" s="5" t="s">
        <v>766</v>
      </c>
      <c r="E61" s="5" t="s">
        <v>767</v>
      </c>
      <c r="F61" s="5" t="n">
        <f aca="false">COUNTIF('Event Catalogue'!$K$2:$K$100,"*"&amp;A61&amp;"*")</f>
        <v>0</v>
      </c>
      <c r="G61" s="5" t="n">
        <f aca="false">COUNTIF('Event Catalogue'!$L$2:$L$100,"*"&amp;A61&amp;"*")</f>
        <v>1</v>
      </c>
    </row>
    <row r="62" customFormat="false" ht="23.85" hidden="false" customHeight="false" outlineLevel="0" collapsed="false">
      <c r="A62" s="5" t="s">
        <v>768</v>
      </c>
      <c r="B62" s="5" t="s">
        <v>519</v>
      </c>
      <c r="C62" s="5" t="s">
        <v>769</v>
      </c>
      <c r="D62" s="5"/>
      <c r="E62" s="5" t="s">
        <v>770</v>
      </c>
      <c r="F62" s="5" t="n">
        <f aca="false">COUNTIF('Event Catalogue'!$K$2:$K$100,"*"&amp;A62&amp;"*")</f>
        <v>1</v>
      </c>
      <c r="G62" s="5" t="n">
        <f aca="false">COUNTIF('Event Catalogue'!$L$2:$L$100,"*"&amp;A62&amp;"*")</f>
        <v>1</v>
      </c>
    </row>
    <row r="63" customFormat="false" ht="15" hidden="false" customHeight="false" outlineLevel="0" collapsed="false">
      <c r="A63" s="5" t="s">
        <v>97</v>
      </c>
      <c r="B63" s="5" t="s">
        <v>519</v>
      </c>
      <c r="C63" s="5" t="s">
        <v>771</v>
      </c>
      <c r="D63" s="5"/>
      <c r="E63" s="5" t="s">
        <v>772</v>
      </c>
      <c r="F63" s="5" t="n">
        <f aca="false">COUNTIF('Event Catalogue'!$K$2:$K$100,"*"&amp;A63&amp;"*")</f>
        <v>0</v>
      </c>
      <c r="G63" s="5" t="n">
        <f aca="false">COUNTIF('Event Catalogue'!$L$2:$L$100,"*"&amp;A63&amp;"*")</f>
        <v>2</v>
      </c>
    </row>
    <row r="64" customFormat="false" ht="15" hidden="false" customHeight="false" outlineLevel="0" collapsed="false">
      <c r="A64" s="5" t="s">
        <v>51</v>
      </c>
      <c r="B64" s="5" t="s">
        <v>547</v>
      </c>
      <c r="C64" s="5" t="s">
        <v>773</v>
      </c>
      <c r="D64" s="5" t="s">
        <v>774</v>
      </c>
      <c r="E64" s="5" t="s">
        <v>775</v>
      </c>
      <c r="F64" s="5" t="n">
        <f aca="false">COUNTIF('Event Catalogue'!$K$2:$K$100,"*"&amp;A64&amp;"*")</f>
        <v>1</v>
      </c>
      <c r="G64" s="5" t="n">
        <f aca="false">COUNTIF('Event Catalogue'!$L$2:$L$100,"*"&amp;A64&amp;"*")</f>
        <v>0</v>
      </c>
    </row>
    <row r="65" customFormat="false" ht="15" hidden="false" customHeight="false" outlineLevel="0" collapsed="false">
      <c r="A65" s="5" t="s">
        <v>117</v>
      </c>
      <c r="B65" s="5" t="s">
        <v>556</v>
      </c>
      <c r="C65" s="5" t="s">
        <v>776</v>
      </c>
      <c r="D65" s="5" t="s">
        <v>777</v>
      </c>
      <c r="E65" s="5" t="s">
        <v>559</v>
      </c>
      <c r="F65" s="5" t="n">
        <f aca="false">COUNTIF('Event Catalogue'!$K$2:$K$100,"*"&amp;A65&amp;"*")</f>
        <v>0</v>
      </c>
      <c r="G65" s="5" t="n">
        <f aca="false">COUNTIF('Event Catalogue'!$L$2:$L$100,"*"&amp;A65&amp;"*")</f>
        <v>1</v>
      </c>
    </row>
    <row r="66" customFormat="false" ht="15" hidden="false" customHeight="false" outlineLevel="0" collapsed="false">
      <c r="A66" s="5" t="s">
        <v>778</v>
      </c>
      <c r="B66" s="5" t="s">
        <v>519</v>
      </c>
      <c r="C66" s="5" t="s">
        <v>779</v>
      </c>
      <c r="D66" s="5" t="s">
        <v>780</v>
      </c>
      <c r="E66" s="5" t="s">
        <v>781</v>
      </c>
      <c r="F66" s="5" t="n">
        <f aca="false">COUNTIF('Event Catalogue'!$K$2:$K$100,"*"&amp;A66&amp;"*")</f>
        <v>0</v>
      </c>
      <c r="G66" s="5" t="n">
        <f aca="false">COUNTIF('Event Catalogue'!$L$2:$L$100,"*"&amp;A66&amp;"*")</f>
        <v>2</v>
      </c>
    </row>
    <row r="67" customFormat="false" ht="15" hidden="false" customHeight="false" outlineLevel="0" collapsed="false">
      <c r="A67" s="5" t="s">
        <v>782</v>
      </c>
      <c r="B67" s="5" t="s">
        <v>547</v>
      </c>
      <c r="C67" s="5" t="s">
        <v>783</v>
      </c>
      <c r="D67" s="5" t="s">
        <v>784</v>
      </c>
      <c r="E67" s="5" t="s">
        <v>785</v>
      </c>
      <c r="F67" s="5" t="n">
        <f aca="false">COUNTIF('Event Catalogue'!$K$2:$K$100,"*"&amp;A67&amp;"*")</f>
        <v>1</v>
      </c>
      <c r="G67" s="5" t="n">
        <f aca="false">COUNTIF('Event Catalogue'!$L$2:$L$100,"*"&amp;A67&amp;"*")</f>
        <v>0</v>
      </c>
    </row>
    <row r="68" customFormat="false" ht="15" hidden="false" customHeight="false" outlineLevel="0" collapsed="false">
      <c r="A68" s="5" t="s">
        <v>786</v>
      </c>
      <c r="B68" s="5" t="s">
        <v>519</v>
      </c>
      <c r="C68" s="5" t="s">
        <v>787</v>
      </c>
      <c r="D68" s="5" t="s">
        <v>539</v>
      </c>
      <c r="E68" s="5" t="s">
        <v>788</v>
      </c>
      <c r="F68" s="5" t="n">
        <f aca="false">COUNTIF('Event Catalogue'!$K$2:$K$100,"*"&amp;A68&amp;"*")</f>
        <v>2</v>
      </c>
      <c r="G68" s="5" t="n">
        <f aca="false">COUNTIF('Event Catalogue'!$L$2:$L$100,"*"&amp;A68&amp;"*")</f>
        <v>0</v>
      </c>
    </row>
    <row r="69" customFormat="false" ht="15" hidden="false" customHeight="false" outlineLevel="0" collapsed="false">
      <c r="A69" s="5" t="s">
        <v>789</v>
      </c>
      <c r="B69" s="5" t="s">
        <v>547</v>
      </c>
      <c r="C69" s="5" t="s">
        <v>790</v>
      </c>
      <c r="D69" s="5" t="s">
        <v>791</v>
      </c>
      <c r="E69" s="5" t="s">
        <v>741</v>
      </c>
      <c r="F69" s="5" t="n">
        <f aca="false">COUNTIF('Event Catalogue'!$K$2:$K$100,"*"&amp;A69&amp;"*")</f>
        <v>1</v>
      </c>
      <c r="G69" s="5" t="n">
        <f aca="false">COUNTIF('Event Catalogue'!$L$2:$L$100,"*"&amp;A69&amp;"*")</f>
        <v>0</v>
      </c>
    </row>
    <row r="70" customFormat="false" ht="15" hidden="false" customHeight="false" outlineLevel="0" collapsed="false">
      <c r="A70" s="5" t="s">
        <v>107</v>
      </c>
      <c r="B70" s="5" t="s">
        <v>556</v>
      </c>
      <c r="C70" s="5" t="s">
        <v>792</v>
      </c>
      <c r="D70" s="5" t="s">
        <v>793</v>
      </c>
      <c r="E70" s="5" t="s">
        <v>794</v>
      </c>
      <c r="F70" s="5" t="n">
        <f aca="false">COUNTIF('Event Catalogue'!$K$2:$K$100,"*"&amp;A70&amp;"*")</f>
        <v>0</v>
      </c>
      <c r="G70" s="5" t="n">
        <f aca="false">COUNTIF('Event Catalogue'!$L$2:$L$100,"*"&amp;A70&amp;"*")</f>
        <v>1</v>
      </c>
    </row>
    <row r="71" customFormat="false" ht="15" hidden="false" customHeight="false" outlineLevel="0" collapsed="false">
      <c r="A71" s="5" t="s">
        <v>795</v>
      </c>
      <c r="B71" s="5" t="s">
        <v>547</v>
      </c>
      <c r="C71" s="5" t="s">
        <v>796</v>
      </c>
      <c r="D71" s="5" t="s">
        <v>797</v>
      </c>
      <c r="E71" s="5" t="s">
        <v>798</v>
      </c>
      <c r="F71" s="5" t="n">
        <f aca="false">COUNTIF('Event Catalogue'!$K$2:$K$100,"*"&amp;A71&amp;"*")</f>
        <v>1</v>
      </c>
      <c r="G71" s="5" t="n">
        <f aca="false">COUNTIF('Event Catalogue'!$L$2:$L$100,"*"&amp;A71&amp;"*")</f>
        <v>0</v>
      </c>
    </row>
    <row r="72" customFormat="false" ht="15" hidden="false" customHeight="false" outlineLevel="0" collapsed="false">
      <c r="A72" s="5" t="s">
        <v>799</v>
      </c>
      <c r="B72" s="5" t="s">
        <v>519</v>
      </c>
      <c r="C72" s="5" t="s">
        <v>800</v>
      </c>
      <c r="D72" s="5" t="s">
        <v>539</v>
      </c>
      <c r="E72" s="5" t="s">
        <v>781</v>
      </c>
      <c r="F72" s="5" t="n">
        <f aca="false">COUNTIF('Event Catalogue'!$K$2:$K$100,"*"&amp;A72&amp;"*")</f>
        <v>3</v>
      </c>
      <c r="G72" s="5" t="n">
        <f aca="false">COUNTIF('Event Catalogue'!$L$2:$L$100,"*"&amp;A72&amp;"*")</f>
        <v>0</v>
      </c>
    </row>
    <row r="73" customFormat="false" ht="15" hidden="false" customHeight="false" outlineLevel="0" collapsed="false">
      <c r="A73" s="5" t="s">
        <v>801</v>
      </c>
      <c r="B73" s="5" t="s">
        <v>519</v>
      </c>
      <c r="C73" s="5" t="s">
        <v>802</v>
      </c>
      <c r="D73" s="5"/>
      <c r="E73" s="5" t="s">
        <v>803</v>
      </c>
      <c r="F73" s="5" t="n">
        <f aca="false">COUNTIF('Event Catalogue'!$K$2:$K$100,"*"&amp;A73&amp;"*")</f>
        <v>5</v>
      </c>
      <c r="G73" s="5" t="n">
        <f aca="false">COUNTIF('Event Catalogue'!$L$2:$L$100,"*"&amp;A73&amp;"*")</f>
        <v>0</v>
      </c>
    </row>
    <row r="74" customFormat="false" ht="15" hidden="false" customHeight="false" outlineLevel="0" collapsed="false">
      <c r="A74" s="5" t="s">
        <v>804</v>
      </c>
      <c r="B74" s="5" t="s">
        <v>582</v>
      </c>
      <c r="C74" s="5" t="s">
        <v>805</v>
      </c>
      <c r="D74" s="5" t="s">
        <v>584</v>
      </c>
      <c r="E74" s="5" t="s">
        <v>755</v>
      </c>
      <c r="F74" s="5" t="n">
        <f aca="false">COUNTIF('Event Catalogue'!$K$2:$K$100,"*"&amp;A74&amp;"*")</f>
        <v>0</v>
      </c>
      <c r="G74" s="5" t="n">
        <f aca="false">COUNTIF('Event Catalogue'!$L$2:$L$100,"*"&amp;A74&amp;"*")</f>
        <v>1</v>
      </c>
    </row>
    <row r="75" customFormat="false" ht="15" hidden="false" customHeight="false" outlineLevel="0" collapsed="false">
      <c r="A75" s="5" t="s">
        <v>167</v>
      </c>
      <c r="B75" s="5" t="s">
        <v>519</v>
      </c>
      <c r="C75" s="5" t="s">
        <v>806</v>
      </c>
      <c r="D75" s="5"/>
      <c r="E75" s="5" t="s">
        <v>807</v>
      </c>
      <c r="F75" s="5" t="n">
        <f aca="false">COUNTIF('Event Catalogue'!$K$2:$K$100,"*"&amp;A75&amp;"*")</f>
        <v>0</v>
      </c>
      <c r="G75" s="5" t="n">
        <f aca="false">COUNTIF('Event Catalogue'!$L$2:$L$100,"*"&amp;A75&amp;"*")</f>
        <v>5</v>
      </c>
    </row>
    <row r="76" customFormat="false" ht="15" hidden="false" customHeight="false" outlineLevel="0" collapsed="false">
      <c r="A76" s="5" t="s">
        <v>808</v>
      </c>
      <c r="B76" s="5" t="s">
        <v>547</v>
      </c>
      <c r="C76" s="5" t="s">
        <v>809</v>
      </c>
      <c r="D76" s="5" t="s">
        <v>810</v>
      </c>
      <c r="E76" s="5" t="s">
        <v>811</v>
      </c>
      <c r="F76" s="5" t="n">
        <f aca="false">COUNTIF('Event Catalogue'!$K$2:$K$100,"*"&amp;A76&amp;"*")</f>
        <v>4</v>
      </c>
      <c r="G76" s="5" t="n">
        <f aca="false">COUNTIF('Event Catalogue'!$L$2:$L$100,"*"&amp;A76&amp;"*")</f>
        <v>0</v>
      </c>
    </row>
    <row r="77" customFormat="false" ht="15" hidden="false" customHeight="false" outlineLevel="0" collapsed="false">
      <c r="A77" s="5" t="s">
        <v>812</v>
      </c>
      <c r="B77" s="5" t="s">
        <v>582</v>
      </c>
      <c r="C77" s="5" t="s">
        <v>813</v>
      </c>
      <c r="D77" s="5" t="s">
        <v>661</v>
      </c>
      <c r="E77" s="5" t="s">
        <v>755</v>
      </c>
      <c r="F77" s="5" t="n">
        <f aca="false">COUNTIF('Event Catalogue'!$K$2:$K$100,"*"&amp;A77&amp;"*")</f>
        <v>3</v>
      </c>
      <c r="G77" s="5" t="n">
        <f aca="false">COUNTIF('Event Catalogue'!$L$2:$L$100,"*"&amp;A77&amp;"*")</f>
        <v>0</v>
      </c>
    </row>
    <row r="78" customFormat="false" ht="15" hidden="false" customHeight="false" outlineLevel="0" collapsed="false">
      <c r="A78" s="5" t="s">
        <v>814</v>
      </c>
      <c r="B78" s="5" t="s">
        <v>547</v>
      </c>
      <c r="C78" s="5" t="s">
        <v>815</v>
      </c>
      <c r="D78" s="5" t="s">
        <v>816</v>
      </c>
      <c r="E78" s="5" t="s">
        <v>817</v>
      </c>
      <c r="F78" s="5" t="n">
        <f aca="false">COUNTIF('Event Catalogue'!$K$2:$K$100,"*"&amp;A78&amp;"*")</f>
        <v>2</v>
      </c>
      <c r="G78" s="5" t="n">
        <f aca="false">COUNTIF('Event Catalogue'!$L$2:$L$100,"*"&amp;A78&amp;"*")</f>
        <v>0</v>
      </c>
    </row>
    <row r="79" customFormat="false" ht="15" hidden="false" customHeight="false" outlineLevel="0" collapsed="false">
      <c r="A79" s="5" t="s">
        <v>818</v>
      </c>
      <c r="B79" s="5" t="s">
        <v>547</v>
      </c>
      <c r="C79" s="5" t="s">
        <v>819</v>
      </c>
      <c r="D79" s="5" t="s">
        <v>763</v>
      </c>
      <c r="E79" s="5" t="s">
        <v>764</v>
      </c>
      <c r="F79" s="5" t="n">
        <f aca="false">COUNTIF('Event Catalogue'!$K$2:$K$100,"*"&amp;A79&amp;"*")</f>
        <v>2</v>
      </c>
      <c r="G79" s="5" t="n">
        <f aca="false">COUNTIF('Event Catalogue'!$L$2:$L$100,"*"&amp;A79&amp;"*")</f>
        <v>0</v>
      </c>
    </row>
    <row r="80" customFormat="false" ht="15" hidden="false" customHeight="false" outlineLevel="0" collapsed="false">
      <c r="A80" s="5" t="s">
        <v>820</v>
      </c>
      <c r="B80" s="5" t="s">
        <v>547</v>
      </c>
      <c r="C80" s="5" t="s">
        <v>821</v>
      </c>
      <c r="D80" s="5" t="s">
        <v>822</v>
      </c>
      <c r="E80" s="5" t="s">
        <v>823</v>
      </c>
      <c r="F80" s="5" t="n">
        <f aca="false">COUNTIF('Event Catalogue'!$K$2:$K$100,"*"&amp;A80&amp;"*")</f>
        <v>0</v>
      </c>
      <c r="G80" s="5" t="n">
        <f aca="false">COUNTIF('Event Catalogue'!$L$2:$L$100,"*"&amp;A80&amp;"*")</f>
        <v>2</v>
      </c>
    </row>
    <row r="81" customFormat="false" ht="15" hidden="false" customHeight="false" outlineLevel="0" collapsed="false">
      <c r="A81" s="5" t="s">
        <v>824</v>
      </c>
      <c r="B81" s="5" t="s">
        <v>519</v>
      </c>
      <c r="C81" s="5" t="s">
        <v>825</v>
      </c>
      <c r="D81" s="5"/>
      <c r="E81" s="5" t="s">
        <v>826</v>
      </c>
      <c r="F81" s="5" t="n">
        <f aca="false">COUNTIF('Event Catalogue'!$K$2:$K$100,"*"&amp;A81&amp;"*")</f>
        <v>0</v>
      </c>
      <c r="G81" s="5" t="n">
        <f aca="false">COUNTIF('Event Catalogue'!$L$2:$L$100,"*"&amp;A81&amp;"*")</f>
        <v>2</v>
      </c>
    </row>
    <row r="82" customFormat="false" ht="15" hidden="false" customHeight="false" outlineLevel="0" collapsed="false">
      <c r="A82" s="5" t="s">
        <v>827</v>
      </c>
      <c r="B82" s="5" t="s">
        <v>519</v>
      </c>
      <c r="C82" s="5" t="s">
        <v>828</v>
      </c>
      <c r="D82" s="5"/>
      <c r="E82" s="5" t="s">
        <v>826</v>
      </c>
      <c r="F82" s="5" t="n">
        <f aca="false">COUNTIF('Event Catalogue'!$K$2:$K$100,"*"&amp;A82&amp;"*")</f>
        <v>3</v>
      </c>
      <c r="G82" s="5" t="n">
        <f aca="false">COUNTIF('Event Catalogue'!$L$2:$L$100,"*"&amp;A82&amp;"*")</f>
        <v>0</v>
      </c>
    </row>
    <row r="83" customFormat="false" ht="15" hidden="false" customHeight="false" outlineLevel="0" collapsed="false">
      <c r="A83" s="5" t="s">
        <v>485</v>
      </c>
      <c r="B83" s="5" t="s">
        <v>582</v>
      </c>
      <c r="C83" s="5" t="s">
        <v>829</v>
      </c>
      <c r="D83" s="5" t="s">
        <v>830</v>
      </c>
      <c r="E83" s="5" t="s">
        <v>831</v>
      </c>
      <c r="F83" s="5" t="n">
        <f aca="false">COUNTIF('Event Catalogue'!$K$2:$K$100,"*"&amp;A83&amp;"*")</f>
        <v>3</v>
      </c>
      <c r="G83" s="5" t="n">
        <f aca="false">COUNTIF('Event Catalogue'!$L$2:$L$100,"*"&amp;A83&amp;"*")</f>
        <v>1</v>
      </c>
    </row>
    <row r="84" customFormat="false" ht="15" hidden="false" customHeight="false" outlineLevel="0" collapsed="false">
      <c r="A84" s="5" t="s">
        <v>832</v>
      </c>
      <c r="B84" s="5" t="s">
        <v>519</v>
      </c>
      <c r="C84" s="5" t="s">
        <v>833</v>
      </c>
      <c r="D84" s="5" t="s">
        <v>834</v>
      </c>
      <c r="E84" s="5" t="s">
        <v>835</v>
      </c>
      <c r="F84" s="5" t="n">
        <f aca="false">COUNTIF('Event Catalogue'!$K$2:$K$100,"*"&amp;A84&amp;"*")</f>
        <v>2</v>
      </c>
      <c r="G84" s="5" t="n">
        <f aca="false">COUNTIF('Event Catalogue'!$L$2:$L$100,"*"&amp;A84&amp;"*")</f>
        <v>0</v>
      </c>
    </row>
    <row r="85" customFormat="false" ht="15" hidden="false" customHeight="false" outlineLevel="0" collapsed="false">
      <c r="A85" s="5" t="s">
        <v>836</v>
      </c>
      <c r="B85" s="5" t="s">
        <v>582</v>
      </c>
      <c r="C85" s="5" t="s">
        <v>837</v>
      </c>
      <c r="D85" s="5" t="s">
        <v>584</v>
      </c>
      <c r="E85" s="5" t="s">
        <v>838</v>
      </c>
      <c r="F85" s="5" t="n">
        <f aca="false">COUNTIF('Event Catalogue'!$K$2:$K$100,"*"&amp;A85&amp;"*")</f>
        <v>0</v>
      </c>
      <c r="G85" s="5" t="n">
        <f aca="false">COUNTIF('Event Catalogue'!$L$2:$L$100,"*"&amp;A85&amp;"*")</f>
        <v>1</v>
      </c>
    </row>
    <row r="86" customFormat="false" ht="15" hidden="false" customHeight="false" outlineLevel="0" collapsed="false">
      <c r="A86" s="5" t="s">
        <v>839</v>
      </c>
      <c r="B86" s="5" t="s">
        <v>519</v>
      </c>
      <c r="C86" s="5" t="s">
        <v>840</v>
      </c>
      <c r="D86" s="5"/>
      <c r="E86" s="5" t="s">
        <v>841</v>
      </c>
      <c r="F86" s="5" t="n">
        <f aca="false">COUNTIF('Event Catalogue'!$K$2:$K$100,"*"&amp;A86&amp;"*")</f>
        <v>5</v>
      </c>
      <c r="G86" s="5" t="n">
        <f aca="false">COUNTIF('Event Catalogue'!$L$2:$L$100,"*"&amp;A86&amp;"*")</f>
        <v>0</v>
      </c>
    </row>
  </sheetData>
  <autoFilter ref="A1:G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4" min="4" style="0" width="20"/>
  </cols>
  <sheetData>
    <row r="1" customFormat="false" ht="23.85" hidden="false" customHeight="false" outlineLevel="0" collapsed="false">
      <c r="A1" s="4" t="s">
        <v>842</v>
      </c>
      <c r="B1" s="4" t="s">
        <v>843</v>
      </c>
      <c r="C1" s="4" t="s">
        <v>27</v>
      </c>
      <c r="D1" s="4" t="s">
        <v>844</v>
      </c>
    </row>
    <row r="2" customFormat="false" ht="15" hidden="false" customHeight="false" outlineLevel="0" collapsed="false">
      <c r="A2" s="5" t="s">
        <v>845</v>
      </c>
      <c r="B2" s="5" t="s">
        <v>846</v>
      </c>
      <c r="C2" s="5" t="s">
        <v>847</v>
      </c>
      <c r="D2" s="5" t="n">
        <f aca="false">COUNTIF('Event Catalogue'!$Q$2:$Q$100,"*"&amp;A2&amp;" *")</f>
        <v>2</v>
      </c>
    </row>
    <row r="3" customFormat="false" ht="15" hidden="false" customHeight="false" outlineLevel="0" collapsed="false">
      <c r="A3" s="5" t="s">
        <v>848</v>
      </c>
      <c r="B3" s="5" t="s">
        <v>849</v>
      </c>
      <c r="C3" s="5" t="s">
        <v>850</v>
      </c>
      <c r="D3" s="5" t="n">
        <f aca="false">COUNTIF('Event Catalogue'!$Q$2:$Q$100,"*"&amp;A3&amp;" *")</f>
        <v>5</v>
      </c>
    </row>
    <row r="4" customFormat="false" ht="15" hidden="false" customHeight="false" outlineLevel="0" collapsed="false">
      <c r="A4" s="5" t="s">
        <v>851</v>
      </c>
      <c r="B4" s="5" t="s">
        <v>852</v>
      </c>
      <c r="C4" s="5" t="s">
        <v>853</v>
      </c>
      <c r="D4" s="5" t="n">
        <f aca="false">COUNTIF('Event Catalogue'!$Q$2:$Q$100,"*"&amp;A4&amp;" *")</f>
        <v>3</v>
      </c>
    </row>
    <row r="5" customFormat="false" ht="23.85" hidden="false" customHeight="false" outlineLevel="0" collapsed="false">
      <c r="A5" s="5" t="s">
        <v>854</v>
      </c>
      <c r="B5" s="5" t="s">
        <v>855</v>
      </c>
      <c r="C5" s="5" t="s">
        <v>856</v>
      </c>
      <c r="D5" s="5" t="n">
        <f aca="false">COUNTIF('Event Catalogue'!$Q$2:$Q$100,"*"&amp;A5&amp;" *")</f>
        <v>4</v>
      </c>
    </row>
    <row r="6" customFormat="false" ht="15" hidden="false" customHeight="false" outlineLevel="0" collapsed="false">
      <c r="A6" s="5" t="s">
        <v>857</v>
      </c>
      <c r="B6" s="5" t="s">
        <v>858</v>
      </c>
      <c r="C6" s="5" t="s">
        <v>859</v>
      </c>
      <c r="D6" s="5" t="n">
        <f aca="false">COUNTIF('Event Catalogue'!$Q$2:$Q$100,"*"&amp;A6&amp;" *")</f>
        <v>4</v>
      </c>
    </row>
    <row r="7" customFormat="false" ht="15" hidden="false" customHeight="false" outlineLevel="0" collapsed="false">
      <c r="A7" s="5" t="s">
        <v>860</v>
      </c>
      <c r="B7" s="5" t="s">
        <v>861</v>
      </c>
      <c r="C7" s="5" t="s">
        <v>862</v>
      </c>
      <c r="D7" s="5" t="n">
        <f aca="false">COUNTIF('Event Catalogue'!$Q$2:$Q$100,"*"&amp;A7&amp;" *")</f>
        <v>4</v>
      </c>
    </row>
    <row r="8" customFormat="false" ht="15" hidden="false" customHeight="false" outlineLevel="0" collapsed="false">
      <c r="A8" s="5" t="s">
        <v>863</v>
      </c>
      <c r="B8" s="5" t="s">
        <v>864</v>
      </c>
      <c r="C8" s="5" t="s">
        <v>865</v>
      </c>
      <c r="D8" s="5" t="n">
        <f aca="false">COUNTIF('Event Catalogue'!$Q$2:$Q$100,"*"&amp;A8&amp;" *")</f>
        <v>2</v>
      </c>
    </row>
    <row r="9" customFormat="false" ht="15" hidden="false" customHeight="false" outlineLevel="0" collapsed="false">
      <c r="A9" s="5" t="s">
        <v>866</v>
      </c>
      <c r="B9" s="5" t="s">
        <v>867</v>
      </c>
      <c r="C9" s="5" t="s">
        <v>868</v>
      </c>
      <c r="D9" s="5" t="n">
        <f aca="false">COUNTIF('Event Catalogue'!$Q$2:$Q$100,"*"&amp;A9&amp;" *")</f>
        <v>6</v>
      </c>
    </row>
    <row r="10" customFormat="false" ht="15" hidden="false" customHeight="false" outlineLevel="0" collapsed="false">
      <c r="A10" s="5" t="s">
        <v>869</v>
      </c>
      <c r="B10" s="5" t="s">
        <v>870</v>
      </c>
      <c r="C10" s="5" t="s">
        <v>871</v>
      </c>
      <c r="D10" s="5" t="n">
        <f aca="false">COUNTIF('Event Catalogue'!$Q$2:$Q$100,"*"&amp;A10&amp;" *")</f>
        <v>6</v>
      </c>
    </row>
    <row r="11" customFormat="false" ht="15" hidden="false" customHeight="false" outlineLevel="0" collapsed="false">
      <c r="A11" s="5" t="s">
        <v>872</v>
      </c>
      <c r="B11" s="5" t="s">
        <v>873</v>
      </c>
      <c r="C11" s="5" t="s">
        <v>874</v>
      </c>
      <c r="D11" s="5" t="n">
        <f aca="false">COUNTIF('Event Catalogue'!$Q$2:$Q$100,"*"&amp;A11&amp;" *")</f>
        <v>4</v>
      </c>
    </row>
    <row r="12" customFormat="false" ht="15" hidden="false" customHeight="false" outlineLevel="0" collapsed="false">
      <c r="A12" s="5" t="s">
        <v>875</v>
      </c>
      <c r="B12" s="5" t="s">
        <v>876</v>
      </c>
      <c r="C12" s="5" t="s">
        <v>877</v>
      </c>
      <c r="D12" s="5" t="n">
        <f aca="false">COUNTIF('Event Catalogue'!$Q$2:$Q$100,"*"&amp;A12&amp;" *")</f>
        <v>5</v>
      </c>
    </row>
    <row r="13" customFormat="false" ht="15" hidden="false" customHeight="false" outlineLevel="0" collapsed="false">
      <c r="A13" s="5" t="s">
        <v>878</v>
      </c>
      <c r="B13" s="5" t="s">
        <v>879</v>
      </c>
      <c r="C13" s="5" t="s">
        <v>880</v>
      </c>
      <c r="D13" s="5" t="n">
        <f aca="false">COUNTIF('Event Catalogue'!$Q$2:$Q$100,"*"&amp;A13&amp;" *")</f>
        <v>2</v>
      </c>
    </row>
    <row r="14" customFormat="false" ht="15" hidden="false" customHeight="false" outlineLevel="0" collapsed="false">
      <c r="A14" s="5" t="s">
        <v>881</v>
      </c>
      <c r="B14" s="5" t="s">
        <v>882</v>
      </c>
      <c r="C14" s="5" t="s">
        <v>883</v>
      </c>
      <c r="D14" s="5" t="n">
        <f aca="false">COUNTIF('Event Catalogue'!$Q$2:$Q$100,"*"&amp;A14&amp;" *")</f>
        <v>6</v>
      </c>
    </row>
    <row r="15" customFormat="false" ht="15" hidden="false" customHeight="false" outlineLevel="0" collapsed="false">
      <c r="A15" s="5" t="s">
        <v>884</v>
      </c>
      <c r="B15" s="5" t="s">
        <v>885</v>
      </c>
      <c r="C15" s="5" t="s">
        <v>886</v>
      </c>
      <c r="D15" s="5" t="n">
        <f aca="false">COUNTIF('Event Catalogue'!$Q$2:$Q$100,"*"&amp;A15&amp;" *")</f>
        <v>4</v>
      </c>
    </row>
    <row r="16" customFormat="false" ht="15" hidden="false" customHeight="false" outlineLevel="0" collapsed="false">
      <c r="A16" s="5" t="s">
        <v>887</v>
      </c>
      <c r="B16" s="5" t="s">
        <v>888</v>
      </c>
      <c r="C16" s="5" t="s">
        <v>889</v>
      </c>
      <c r="D16" s="5" t="n">
        <f aca="false">COUNTIF('Event Catalogue'!$Q$2:$Q$100,"*"&amp;A16&amp;" *")</f>
        <v>3</v>
      </c>
    </row>
    <row r="17" customFormat="false" ht="15" hidden="false" customHeight="false" outlineLevel="0" collapsed="false">
      <c r="A17" s="5" t="s">
        <v>890</v>
      </c>
      <c r="B17" s="5" t="s">
        <v>891</v>
      </c>
      <c r="C17" s="5" t="s">
        <v>892</v>
      </c>
      <c r="D17" s="5" t="n">
        <f aca="false">COUNTIF('Event Catalogue'!$Q$2:$Q$100,"*"&amp;A17&amp;" *")</f>
        <v>4</v>
      </c>
    </row>
    <row r="18" customFormat="false" ht="15" hidden="false" customHeight="false" outlineLevel="0" collapsed="false">
      <c r="A18" s="5" t="s">
        <v>893</v>
      </c>
      <c r="B18" s="5" t="s">
        <v>894</v>
      </c>
      <c r="C18" s="5" t="s">
        <v>895</v>
      </c>
      <c r="D18" s="5" t="n">
        <f aca="false">COUNTIF('Event Catalogue'!$Q$2:$Q$100,"*"&amp;A18&amp;" *")</f>
        <v>7</v>
      </c>
    </row>
    <row r="19" customFormat="false" ht="15" hidden="false" customHeight="false" outlineLevel="0" collapsed="false">
      <c r="A19" s="5" t="s">
        <v>896</v>
      </c>
      <c r="B19" s="5" t="s">
        <v>897</v>
      </c>
      <c r="C19" s="5" t="s">
        <v>898</v>
      </c>
      <c r="D19" s="5" t="n">
        <f aca="false">COUNTIF('Event Catalogue'!$Q$2:$Q$100,"*"&amp;A19&amp;" *")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4" t="s">
        <v>899</v>
      </c>
      <c r="B1" s="4" t="s">
        <v>900</v>
      </c>
      <c r="C1" s="4" t="s">
        <v>31</v>
      </c>
      <c r="D1" s="4" t="s">
        <v>39</v>
      </c>
    </row>
    <row r="2" customFormat="false" ht="15" hidden="false" customHeight="false" outlineLevel="0" collapsed="false">
      <c r="A2" s="5" t="s">
        <v>43</v>
      </c>
      <c r="B2" s="5" t="str">
        <f aca="false">IF(COUNTIF('Event Catalogue'!$C$2:$C$100,A2)=1,"Covered","MISSING")</f>
        <v>Covered</v>
      </c>
      <c r="C2" s="5" t="str">
        <f aca="false">IFERROR(INDEX('Event Catalogue'!$J$2:$J$100,MATCH(A2,'Event Catalogue'!$C$2:$C$100,0)),"")</f>
        <v>Proposed</v>
      </c>
      <c r="D2" s="5" t="str">
        <f aca="false">IFERROR(INDEX('Event Catalogue'!$R$2:$R$100,MATCH(A2,'Event Catalogue'!$C$2:$C$100,0)),"")</f>
        <v>Not started</v>
      </c>
    </row>
    <row r="3" customFormat="false" ht="15" hidden="false" customHeight="false" outlineLevel="0" collapsed="false">
      <c r="A3" s="5" t="s">
        <v>60</v>
      </c>
      <c r="B3" s="5" t="str">
        <f aca="false">IF(COUNTIF('Event Catalogue'!$C$2:$C$100,A3)=1,"Covered","MISSING")</f>
        <v>Covered</v>
      </c>
      <c r="C3" s="5" t="str">
        <f aca="false">IFERROR(INDEX('Event Catalogue'!$J$2:$J$100,MATCH(A3,'Event Catalogue'!$C$2:$C$100,0)),"")</f>
        <v>Proposed</v>
      </c>
      <c r="D3" s="5" t="str">
        <f aca="false">IFERROR(INDEX('Event Catalogue'!$R$2:$R$100,MATCH(A3,'Event Catalogue'!$C$2:$C$100,0)),"")</f>
        <v>Not started</v>
      </c>
    </row>
    <row r="4" customFormat="false" ht="15" hidden="false" customHeight="false" outlineLevel="0" collapsed="false">
      <c r="A4" s="5" t="s">
        <v>71</v>
      </c>
      <c r="B4" s="5" t="str">
        <f aca="false">IF(COUNTIF('Event Catalogue'!$C$2:$C$100,A4)=1,"Covered","MISSING")</f>
        <v>Covered</v>
      </c>
      <c r="C4" s="5" t="str">
        <f aca="false">IFERROR(INDEX('Event Catalogue'!$J$2:$J$100,MATCH(A4,'Event Catalogue'!$C$2:$C$100,0)),"")</f>
        <v>Proposed - low priority</v>
      </c>
      <c r="D4" s="5" t="str">
        <f aca="false">IFERROR(INDEX('Event Catalogue'!$R$2:$R$100,MATCH(A4,'Event Catalogue'!$C$2:$C$100,0)),"")</f>
        <v>Not started</v>
      </c>
    </row>
    <row r="5" customFormat="false" ht="15" hidden="false" customHeight="false" outlineLevel="0" collapsed="false">
      <c r="A5" s="5" t="s">
        <v>93</v>
      </c>
      <c r="B5" s="5" t="str">
        <f aca="false">IF(COUNTIF('Event Catalogue'!$C$2:$C$100,A5)=1,"Covered","MISSING")</f>
        <v>Covered</v>
      </c>
      <c r="C5" s="5" t="str">
        <f aca="false">IFERROR(INDEX('Event Catalogue'!$J$2:$J$100,MATCH(A5,'Event Catalogue'!$C$2:$C$100,0)),"")</f>
        <v>Proposed</v>
      </c>
      <c r="D5" s="5" t="str">
        <f aca="false">IFERROR(INDEX('Event Catalogue'!$R$2:$R$100,MATCH(A5,'Event Catalogue'!$C$2:$C$100,0)),"")</f>
        <v>Not started</v>
      </c>
    </row>
    <row r="6" customFormat="false" ht="15" hidden="false" customHeight="false" outlineLevel="0" collapsed="false">
      <c r="A6" s="5" t="s">
        <v>113</v>
      </c>
      <c r="B6" s="5" t="str">
        <f aca="false">IF(COUNTIF('Event Catalogue'!$C$2:$C$100,A6)=1,"Covered","MISSING")</f>
        <v>Covered</v>
      </c>
      <c r="C6" s="5" t="str">
        <f aca="false">IFERROR(INDEX('Event Catalogue'!$J$2:$J$100,MATCH(A6,'Event Catalogue'!$C$2:$C$100,0)),"")</f>
        <v>Proposed</v>
      </c>
      <c r="D6" s="5" t="str">
        <f aca="false">IFERROR(INDEX('Event Catalogue'!$R$2:$R$100,MATCH(A6,'Event Catalogue'!$C$2:$C$100,0)),"")</f>
        <v>Not started</v>
      </c>
    </row>
    <row r="7" customFormat="false" ht="15" hidden="false" customHeight="false" outlineLevel="0" collapsed="false">
      <c r="A7" s="5" t="s">
        <v>144</v>
      </c>
      <c r="B7" s="5" t="str">
        <f aca="false">IF(COUNTIF('Event Catalogue'!$C$2:$C$100,A7)=1,"Covered","MISSING")</f>
        <v>Covered</v>
      </c>
      <c r="C7" s="5" t="str">
        <f aca="false">IFERROR(INDEX('Event Catalogue'!$J$2:$J$100,MATCH(A7,'Event Catalogue'!$C$2:$C$100,0)),"")</f>
        <v>Proposed</v>
      </c>
      <c r="D7" s="5" t="str">
        <f aca="false">IFERROR(INDEX('Event Catalogue'!$R$2:$R$100,MATCH(A7,'Event Catalogue'!$C$2:$C$100,0)),"")</f>
        <v>Not started</v>
      </c>
    </row>
    <row r="8" customFormat="false" ht="15" hidden="false" customHeight="false" outlineLevel="0" collapsed="false">
      <c r="A8" s="5" t="s">
        <v>154</v>
      </c>
      <c r="B8" s="5" t="str">
        <f aca="false">IF(COUNTIF('Event Catalogue'!$C$2:$C$100,A8)=1,"Covered","MISSING")</f>
        <v>Covered</v>
      </c>
      <c r="C8" s="5" t="str">
        <f aca="false">IFERROR(INDEX('Event Catalogue'!$J$2:$J$100,MATCH(A8,'Event Catalogue'!$C$2:$C$100,0)),"")</f>
        <v>Proposed</v>
      </c>
      <c r="D8" s="5" t="str">
        <f aca="false">IFERROR(INDEX('Event Catalogue'!$R$2:$R$100,MATCH(A8,'Event Catalogue'!$C$2:$C$100,0)),"")</f>
        <v>Not started</v>
      </c>
    </row>
    <row r="9" customFormat="false" ht="15" hidden="false" customHeight="false" outlineLevel="0" collapsed="false">
      <c r="A9" s="5" t="s">
        <v>163</v>
      </c>
      <c r="B9" s="5" t="str">
        <f aca="false">IF(COUNTIF('Event Catalogue'!$C$2:$C$100,A9)=1,"Covered","MISSING")</f>
        <v>Covered</v>
      </c>
      <c r="C9" s="5" t="str">
        <f aca="false">IFERROR(INDEX('Event Catalogue'!$J$2:$J$100,MATCH(A9,'Event Catalogue'!$C$2:$C$100,0)),"")</f>
        <v>Proposed</v>
      </c>
      <c r="D9" s="5" t="str">
        <f aca="false">IFERROR(INDEX('Event Catalogue'!$R$2:$R$100,MATCH(A9,'Event Catalogue'!$C$2:$C$100,0)),"")</f>
        <v>Not started</v>
      </c>
    </row>
    <row r="10" customFormat="false" ht="15" hidden="false" customHeight="false" outlineLevel="0" collapsed="false">
      <c r="A10" s="5" t="s">
        <v>174</v>
      </c>
      <c r="B10" s="5" t="str">
        <f aca="false">IF(COUNTIF('Event Catalogue'!$C$2:$C$100,A10)=1,"Covered","MISSING")</f>
        <v>Covered</v>
      </c>
      <c r="C10" s="5" t="str">
        <f aca="false">IFERROR(INDEX('Event Catalogue'!$J$2:$J$100,MATCH(A10,'Event Catalogue'!$C$2:$C$100,0)),"")</f>
        <v>Proposed</v>
      </c>
      <c r="D10" s="5" t="str">
        <f aca="false">IFERROR(INDEX('Event Catalogue'!$R$2:$R$100,MATCH(A10,'Event Catalogue'!$C$2:$C$100,0)),"")</f>
        <v>Not started</v>
      </c>
    </row>
    <row r="11" customFormat="false" ht="15" hidden="false" customHeight="false" outlineLevel="0" collapsed="false">
      <c r="A11" s="5" t="s">
        <v>185</v>
      </c>
      <c r="B11" s="5" t="str">
        <f aca="false">IF(COUNTIF('Event Catalogue'!$C$2:$C$100,A11)=1,"Covered","MISSING")</f>
        <v>Covered</v>
      </c>
      <c r="C11" s="5" t="str">
        <f aca="false">IFERROR(INDEX('Event Catalogue'!$J$2:$J$100,MATCH(A11,'Event Catalogue'!$C$2:$C$100,0)),"")</f>
        <v>Proposed</v>
      </c>
      <c r="D11" s="5" t="str">
        <f aca="false">IFERROR(INDEX('Event Catalogue'!$R$2:$R$100,MATCH(A11,'Event Catalogue'!$C$2:$C$100,0)),"")</f>
        <v>Not started</v>
      </c>
    </row>
    <row r="12" customFormat="false" ht="15" hidden="false" customHeight="false" outlineLevel="0" collapsed="false">
      <c r="A12" s="5" t="s">
        <v>196</v>
      </c>
      <c r="B12" s="5" t="str">
        <f aca="false">IF(COUNTIF('Event Catalogue'!$C$2:$C$100,A12)=1,"Covered","MISSING")</f>
        <v>Covered</v>
      </c>
      <c r="C12" s="5" t="str">
        <f aca="false">IFERROR(INDEX('Event Catalogue'!$J$2:$J$100,MATCH(A12,'Event Catalogue'!$C$2:$C$100,0)),"")</f>
        <v>Proposed</v>
      </c>
      <c r="D12" s="5" t="str">
        <f aca="false">IFERROR(INDEX('Event Catalogue'!$R$2:$R$100,MATCH(A12,'Event Catalogue'!$C$2:$C$100,0)),"")</f>
        <v>Not started</v>
      </c>
    </row>
    <row r="13" customFormat="false" ht="15" hidden="false" customHeight="false" outlineLevel="0" collapsed="false">
      <c r="A13" s="5" t="s">
        <v>207</v>
      </c>
      <c r="B13" s="5" t="str">
        <f aca="false">IF(COUNTIF('Event Catalogue'!$C$2:$C$100,A13)=1,"Covered","MISSING")</f>
        <v>Covered</v>
      </c>
      <c r="C13" s="5" t="str">
        <f aca="false">IFERROR(INDEX('Event Catalogue'!$J$2:$J$100,MATCH(A13,'Event Catalogue'!$C$2:$C$100,0)),"")</f>
        <v>Proposed</v>
      </c>
      <c r="D13" s="5" t="str">
        <f aca="false">IFERROR(INDEX('Event Catalogue'!$R$2:$R$100,MATCH(A13,'Event Catalogue'!$C$2:$C$100,0)),"")</f>
        <v>Not started</v>
      </c>
    </row>
    <row r="14" customFormat="false" ht="15" hidden="false" customHeight="false" outlineLevel="0" collapsed="false">
      <c r="A14" s="5" t="s">
        <v>217</v>
      </c>
      <c r="B14" s="5" t="str">
        <f aca="false">IF(COUNTIF('Event Catalogue'!$C$2:$C$100,A14)=1,"Covered","MISSING")</f>
        <v>Covered</v>
      </c>
      <c r="C14" s="5" t="str">
        <f aca="false">IFERROR(INDEX('Event Catalogue'!$J$2:$J$100,MATCH(A14,'Event Catalogue'!$C$2:$C$100,0)),"")</f>
        <v>Proposed</v>
      </c>
      <c r="D14" s="5" t="str">
        <f aca="false">IFERROR(INDEX('Event Catalogue'!$R$2:$R$100,MATCH(A14,'Event Catalogue'!$C$2:$C$100,0)),"")</f>
        <v>Not started</v>
      </c>
    </row>
    <row r="15" customFormat="false" ht="15" hidden="false" customHeight="false" outlineLevel="0" collapsed="false">
      <c r="A15" s="5" t="s">
        <v>238</v>
      </c>
      <c r="B15" s="5" t="str">
        <f aca="false">IF(COUNTIF('Event Catalogue'!$C$2:$C$100,A15)=1,"Covered","MISSING")</f>
        <v>Covered</v>
      </c>
      <c r="C15" s="5" t="str">
        <f aca="false">IFERROR(INDEX('Event Catalogue'!$J$2:$J$100,MATCH(A15,'Event Catalogue'!$C$2:$C$100,0)),"")</f>
        <v>Proposed - confirm feature exists</v>
      </c>
      <c r="D15" s="5" t="str">
        <f aca="false">IFERROR(INDEX('Event Catalogue'!$R$2:$R$100,MATCH(A15,'Event Catalogue'!$C$2:$C$100,0)),"")</f>
        <v>Not started</v>
      </c>
    </row>
    <row r="16" customFormat="false" ht="15" hidden="false" customHeight="false" outlineLevel="0" collapsed="false">
      <c r="A16" s="5" t="s">
        <v>250</v>
      </c>
      <c r="B16" s="5" t="str">
        <f aca="false">IF(COUNTIF('Event Catalogue'!$C$2:$C$100,A16)=1,"Covered","MISSING")</f>
        <v>Covered</v>
      </c>
      <c r="C16" s="5" t="str">
        <f aca="false">IFERROR(INDEX('Event Catalogue'!$J$2:$J$100,MATCH(A16,'Event Catalogue'!$C$2:$C$100,0)),"")</f>
        <v>Proposed - confirm feature exists</v>
      </c>
      <c r="D16" s="5" t="str">
        <f aca="false">IFERROR(INDEX('Event Catalogue'!$R$2:$R$100,MATCH(A16,'Event Catalogue'!$C$2:$C$100,0)),"")</f>
        <v>Not started</v>
      </c>
    </row>
    <row r="17" customFormat="false" ht="15" hidden="false" customHeight="false" outlineLevel="0" collapsed="false">
      <c r="A17" s="5" t="s">
        <v>259</v>
      </c>
      <c r="B17" s="5" t="str">
        <f aca="false">IF(COUNTIF('Event Catalogue'!$C$2:$C$100,A17)=1,"Covered","MISSING")</f>
        <v>Covered</v>
      </c>
      <c r="C17" s="5" t="str">
        <f aca="false">IFERROR(INDEX('Event Catalogue'!$J$2:$J$100,MATCH(A17,'Event Catalogue'!$C$2:$C$100,0)),"")</f>
        <v>Proposed - confirm feature exists</v>
      </c>
      <c r="D17" s="5" t="str">
        <f aca="false">IFERROR(INDEX('Event Catalogue'!$R$2:$R$100,MATCH(A17,'Event Catalogue'!$C$2:$C$100,0)),"")</f>
        <v>Not started</v>
      </c>
    </row>
    <row r="18" customFormat="false" ht="15" hidden="false" customHeight="false" outlineLevel="0" collapsed="false">
      <c r="A18" s="5" t="s">
        <v>269</v>
      </c>
      <c r="B18" s="5" t="str">
        <f aca="false">IF(COUNTIF('Event Catalogue'!$C$2:$C$100,A18)=1,"Covered","MISSING")</f>
        <v>Covered</v>
      </c>
      <c r="C18" s="5" t="str">
        <f aca="false">IFERROR(INDEX('Event Catalogue'!$J$2:$J$100,MATCH(A18,'Event Catalogue'!$C$2:$C$100,0)),"")</f>
        <v>Proposed - confirm feature exists</v>
      </c>
      <c r="D18" s="5" t="str">
        <f aca="false">IFERROR(INDEX('Event Catalogue'!$R$2:$R$100,MATCH(A18,'Event Catalogue'!$C$2:$C$100,0)),"")</f>
        <v>Not started</v>
      </c>
    </row>
    <row r="19" customFormat="false" ht="15" hidden="false" customHeight="false" outlineLevel="0" collapsed="false">
      <c r="A19" s="5" t="s">
        <v>279</v>
      </c>
      <c r="B19" s="5" t="str">
        <f aca="false">IF(COUNTIF('Event Catalogue'!$C$2:$C$100,A19)=1,"Covered","MISSING")</f>
        <v>Covered</v>
      </c>
      <c r="C19" s="5" t="str">
        <f aca="false">IFERROR(INDEX('Event Catalogue'!$J$2:$J$100,MATCH(A19,'Event Catalogue'!$C$2:$C$100,0)),"")</f>
        <v>Proposed - confirm feature exists</v>
      </c>
      <c r="D19" s="5" t="str">
        <f aca="false">IFERROR(INDEX('Event Catalogue'!$R$2:$R$100,MATCH(A19,'Event Catalogue'!$C$2:$C$100,0)),"")</f>
        <v>Not started</v>
      </c>
    </row>
    <row r="20" customFormat="false" ht="15" hidden="false" customHeight="false" outlineLevel="0" collapsed="false">
      <c r="A20" s="5" t="s">
        <v>288</v>
      </c>
      <c r="B20" s="5" t="str">
        <f aca="false">IF(COUNTIF('Event Catalogue'!$C$2:$C$100,A20)=1,"Covered","MISSING")</f>
        <v>Covered</v>
      </c>
      <c r="C20" s="5" t="str">
        <f aca="false">IFERROR(INDEX('Event Catalogue'!$J$2:$J$100,MATCH(A20,'Event Catalogue'!$C$2:$C$100,0)),"")</f>
        <v>Proposed - confirm feature exists</v>
      </c>
      <c r="D20" s="5" t="str">
        <f aca="false">IFERROR(INDEX('Event Catalogue'!$R$2:$R$100,MATCH(A20,'Event Catalogue'!$C$2:$C$100,0)),"")</f>
        <v>Not started</v>
      </c>
    </row>
    <row r="21" customFormat="false" ht="15" hidden="false" customHeight="false" outlineLevel="0" collapsed="false">
      <c r="A21" s="5" t="s">
        <v>296</v>
      </c>
      <c r="B21" s="5" t="str">
        <f aca="false">IF(COUNTIF('Event Catalogue'!$C$2:$C$100,A21)=1,"Covered","MISSING")</f>
        <v>Covered</v>
      </c>
      <c r="C21" s="5" t="str">
        <f aca="false">IFERROR(INDEX('Event Catalogue'!$J$2:$J$100,MATCH(A21,'Event Catalogue'!$C$2:$C$100,0)),"")</f>
        <v>Proposed - confirm feature exists</v>
      </c>
      <c r="D21" s="5" t="str">
        <f aca="false">IFERROR(INDEX('Event Catalogue'!$R$2:$R$100,MATCH(A21,'Event Catalogue'!$C$2:$C$100,0)),"")</f>
        <v>Not started</v>
      </c>
    </row>
    <row r="22" customFormat="false" ht="15" hidden="false" customHeight="false" outlineLevel="0" collapsed="false">
      <c r="A22" s="5" t="s">
        <v>305</v>
      </c>
      <c r="B22" s="5" t="str">
        <f aca="false">IF(COUNTIF('Event Catalogue'!$C$2:$C$100,A22)=1,"Covered","MISSING")</f>
        <v>Covered</v>
      </c>
      <c r="C22" s="5" t="str">
        <f aca="false">IFERROR(INDEX('Event Catalogue'!$J$2:$J$100,MATCH(A22,'Event Catalogue'!$C$2:$C$100,0)),"")</f>
        <v>Proposed</v>
      </c>
      <c r="D22" s="5" t="str">
        <f aca="false">IFERROR(INDEX('Event Catalogue'!$R$2:$R$100,MATCH(A22,'Event Catalogue'!$C$2:$C$100,0)),"")</f>
        <v>Not started</v>
      </c>
    </row>
    <row r="23" customFormat="false" ht="15" hidden="false" customHeight="false" outlineLevel="0" collapsed="false">
      <c r="A23" s="5" t="s">
        <v>314</v>
      </c>
      <c r="B23" s="5" t="str">
        <f aca="false">IF(COUNTIF('Event Catalogue'!$C$2:$C$100,A23)=1,"Covered","MISSING")</f>
        <v>Covered</v>
      </c>
      <c r="C23" s="5" t="str">
        <f aca="false">IFERROR(INDEX('Event Catalogue'!$J$2:$J$100,MATCH(A23,'Event Catalogue'!$C$2:$C$100,0)),"")</f>
        <v>Proposed</v>
      </c>
      <c r="D23" s="5" t="str">
        <f aca="false">IFERROR(INDEX('Event Catalogue'!$R$2:$R$100,MATCH(A23,'Event Catalogue'!$C$2:$C$100,0)),"")</f>
        <v>Not started</v>
      </c>
    </row>
    <row r="24" customFormat="false" ht="15" hidden="false" customHeight="false" outlineLevel="0" collapsed="false">
      <c r="A24" s="5" t="s">
        <v>326</v>
      </c>
      <c r="B24" s="5" t="str">
        <f aca="false">IF(COUNTIF('Event Catalogue'!$C$2:$C$100,A24)=1,"Covered","MISSING")</f>
        <v>Covered</v>
      </c>
      <c r="C24" s="5" t="str">
        <f aca="false">IFERROR(INDEX('Event Catalogue'!$J$2:$J$100,MATCH(A24,'Event Catalogue'!$C$2:$C$100,0)),"")</f>
        <v>Proposed</v>
      </c>
      <c r="D24" s="5" t="str">
        <f aca="false">IFERROR(INDEX('Event Catalogue'!$R$2:$R$100,MATCH(A24,'Event Catalogue'!$C$2:$C$100,0)),"")</f>
        <v>Not started</v>
      </c>
    </row>
    <row r="25" customFormat="false" ht="15" hidden="false" customHeight="false" outlineLevel="0" collapsed="false">
      <c r="A25" s="5" t="s">
        <v>336</v>
      </c>
      <c r="B25" s="5" t="str">
        <f aca="false">IF(COUNTIF('Event Catalogue'!$C$2:$C$100,A25)=1,"Covered","MISSING")</f>
        <v>Covered</v>
      </c>
      <c r="C25" s="5" t="str">
        <f aca="false">IFERROR(INDEX('Event Catalogue'!$J$2:$J$100,MATCH(A25,'Event Catalogue'!$C$2:$C$100,0)),"")</f>
        <v>Proposed</v>
      </c>
      <c r="D25" s="5" t="str">
        <f aca="false">IFERROR(INDEX('Event Catalogue'!$R$2:$R$100,MATCH(A25,'Event Catalogue'!$C$2:$C$100,0)),"")</f>
        <v>Not started</v>
      </c>
    </row>
    <row r="26" customFormat="false" ht="15" hidden="false" customHeight="false" outlineLevel="0" collapsed="false">
      <c r="A26" s="5" t="s">
        <v>347</v>
      </c>
      <c r="B26" s="5" t="str">
        <f aca="false">IF(COUNTIF('Event Catalogue'!$C$2:$C$100,A26)=1,"Covered","MISSING")</f>
        <v>Covered</v>
      </c>
      <c r="C26" s="5" t="str">
        <f aca="false">IFERROR(INDEX('Event Catalogue'!$J$2:$J$100,MATCH(A26,'Event Catalogue'!$C$2:$C$100,0)),"")</f>
        <v>Proposed</v>
      </c>
      <c r="D26" s="5" t="str">
        <f aca="false">IFERROR(INDEX('Event Catalogue'!$R$2:$R$100,MATCH(A26,'Event Catalogue'!$C$2:$C$100,0)),"")</f>
        <v>Not started</v>
      </c>
    </row>
    <row r="27" customFormat="false" ht="15" hidden="false" customHeight="false" outlineLevel="0" collapsed="false">
      <c r="A27" s="5" t="s">
        <v>358</v>
      </c>
      <c r="B27" s="5" t="str">
        <f aca="false">IF(COUNTIF('Event Catalogue'!$C$2:$C$100,A27)=1,"Covered","MISSING")</f>
        <v>Covered</v>
      </c>
      <c r="C27" s="5" t="str">
        <f aca="false">IFERROR(INDEX('Event Catalogue'!$J$2:$J$100,MATCH(A27,'Event Catalogue'!$C$2:$C$100,0)),"")</f>
        <v>Proposed</v>
      </c>
      <c r="D27" s="5" t="str">
        <f aca="false">IFERROR(INDEX('Event Catalogue'!$R$2:$R$100,MATCH(A27,'Event Catalogue'!$C$2:$C$100,0)),"")</f>
        <v>Not started</v>
      </c>
    </row>
    <row r="28" customFormat="false" ht="15" hidden="false" customHeight="false" outlineLevel="0" collapsed="false">
      <c r="A28" s="5" t="s">
        <v>366</v>
      </c>
      <c r="B28" s="5" t="str">
        <f aca="false">IF(COUNTIF('Event Catalogue'!$C$2:$C$100,A28)=1,"Covered","MISSING")</f>
        <v>Covered</v>
      </c>
      <c r="C28" s="5" t="str">
        <f aca="false">IFERROR(INDEX('Event Catalogue'!$J$2:$J$100,MATCH(A28,'Event Catalogue'!$C$2:$C$100,0)),"")</f>
        <v>Proposed</v>
      </c>
      <c r="D28" s="5" t="str">
        <f aca="false">IFERROR(INDEX('Event Catalogue'!$R$2:$R$100,MATCH(A28,'Event Catalogue'!$C$2:$C$100,0)),"")</f>
        <v>Not started</v>
      </c>
    </row>
    <row r="29" customFormat="false" ht="15" hidden="false" customHeight="false" outlineLevel="0" collapsed="false">
      <c r="A29" s="5" t="s">
        <v>377</v>
      </c>
      <c r="B29" s="5" t="str">
        <f aca="false">IF(COUNTIF('Event Catalogue'!$C$2:$C$100,A29)=1,"Covered","MISSING")</f>
        <v>Covered</v>
      </c>
      <c r="C29" s="5" t="str">
        <f aca="false">IFERROR(INDEX('Event Catalogue'!$J$2:$J$100,MATCH(A29,'Event Catalogue'!$C$2:$C$100,0)),"")</f>
        <v>Proposed</v>
      </c>
      <c r="D29" s="5" t="str">
        <f aca="false">IFERROR(INDEX('Event Catalogue'!$R$2:$R$100,MATCH(A29,'Event Catalogue'!$C$2:$C$100,0)),"")</f>
        <v>Not started</v>
      </c>
    </row>
    <row r="30" customFormat="false" ht="15" hidden="false" customHeight="false" outlineLevel="0" collapsed="false">
      <c r="A30" s="5" t="s">
        <v>387</v>
      </c>
      <c r="B30" s="5" t="str">
        <f aca="false">IF(COUNTIF('Event Catalogue'!$C$2:$C$100,A30)=1,"Covered","MISSING")</f>
        <v>Covered</v>
      </c>
      <c r="C30" s="5" t="str">
        <f aca="false">IFERROR(INDEX('Event Catalogue'!$J$2:$J$100,MATCH(A30,'Event Catalogue'!$C$2:$C$100,0)),"")</f>
        <v>Proposed</v>
      </c>
      <c r="D30" s="5" t="str">
        <f aca="false">IFERROR(INDEX('Event Catalogue'!$R$2:$R$100,MATCH(A30,'Event Catalogue'!$C$2:$C$100,0)),"")</f>
        <v>Not started</v>
      </c>
    </row>
    <row r="31" customFormat="false" ht="15" hidden="false" customHeight="false" outlineLevel="0" collapsed="false">
      <c r="A31" s="5" t="s">
        <v>397</v>
      </c>
      <c r="B31" s="5" t="str">
        <f aca="false">IF(COUNTIF('Event Catalogue'!$C$2:$C$100,A31)=1,"Covered","MISSING")</f>
        <v>Covered</v>
      </c>
      <c r="C31" s="5" t="str">
        <f aca="false">IFERROR(INDEX('Event Catalogue'!$J$2:$J$100,MATCH(A31,'Event Catalogue'!$C$2:$C$100,0)),"")</f>
        <v>Proposed</v>
      </c>
      <c r="D31" s="5" t="str">
        <f aca="false">IFERROR(INDEX('Event Catalogue'!$R$2:$R$100,MATCH(A31,'Event Catalogue'!$C$2:$C$100,0)),"")</f>
        <v>Not started</v>
      </c>
    </row>
    <row r="32" customFormat="false" ht="15" hidden="false" customHeight="false" outlineLevel="0" collapsed="false">
      <c r="A32" s="5" t="s">
        <v>408</v>
      </c>
      <c r="B32" s="5" t="str">
        <f aca="false">IF(COUNTIF('Event Catalogue'!$C$2:$C$100,A32)=1,"Covered","MISSING")</f>
        <v>Covered</v>
      </c>
      <c r="C32" s="5" t="str">
        <f aca="false">IFERROR(INDEX('Event Catalogue'!$J$2:$J$100,MATCH(A32,'Event Catalogue'!$C$2:$C$100,0)),"")</f>
        <v>Proposed</v>
      </c>
      <c r="D32" s="5" t="str">
        <f aca="false">IFERROR(INDEX('Event Catalogue'!$R$2:$R$100,MATCH(A32,'Event Catalogue'!$C$2:$C$100,0)),"")</f>
        <v>Not started</v>
      </c>
    </row>
    <row r="33" customFormat="false" ht="15" hidden="false" customHeight="false" outlineLevel="0" collapsed="false">
      <c r="A33" s="5" t="s">
        <v>418</v>
      </c>
      <c r="B33" s="5" t="str">
        <f aca="false">IF(COUNTIF('Event Catalogue'!$C$2:$C$100,A33)=1,"Covered","MISSING")</f>
        <v>Covered</v>
      </c>
      <c r="C33" s="5" t="str">
        <f aca="false">IFERROR(INDEX('Event Catalogue'!$J$2:$J$100,MATCH(A33,'Event Catalogue'!$C$2:$C$100,0)),"")</f>
        <v>Proposed</v>
      </c>
      <c r="D33" s="5" t="str">
        <f aca="false">IFERROR(INDEX('Event Catalogue'!$R$2:$R$100,MATCH(A33,'Event Catalogue'!$C$2:$C$100,0)),"")</f>
        <v>Not started</v>
      </c>
    </row>
    <row r="35" customFormat="false" ht="15" hidden="false" customHeight="false" outlineLevel="0" collapsed="false">
      <c r="A35" s="9" t="s">
        <v>901</v>
      </c>
      <c r="B35" s="9" t="n">
        <f aca="false">COUNTA(A2:A33)</f>
        <v>32</v>
      </c>
    </row>
    <row r="36" customFormat="false" ht="15" hidden="false" customHeight="false" outlineLevel="0" collapsed="false">
      <c r="A36" s="9" t="s">
        <v>902</v>
      </c>
      <c r="B36" s="9" t="n">
        <f aca="false">COUNTIF(B2:B33,"Covered")</f>
        <v>32</v>
      </c>
    </row>
    <row r="37" customFormat="false" ht="15" hidden="false" customHeight="false" outlineLevel="0" collapsed="false">
      <c r="A37" s="9" t="s">
        <v>903</v>
      </c>
      <c r="B37" s="9" t="n">
        <f aca="false">COUNTA('Event Catalogue'!$C$2:$C$100)</f>
        <v>39</v>
      </c>
    </row>
    <row r="38" customFormat="false" ht="15" hidden="false" customHeight="false" outlineLevel="0" collapsed="false">
      <c r="A38" s="9" t="s">
        <v>904</v>
      </c>
      <c r="B38" s="9" t="n">
        <f aca="false">COUNTIF('Event Catalogue'!$D$2:$D$100,"Analyst-added")</f>
        <v>7</v>
      </c>
    </row>
    <row r="39" customFormat="false" ht="15" hidden="false" customHeight="false" outlineLevel="0" collapsed="false">
      <c r="A39" s="9" t="s">
        <v>905</v>
      </c>
      <c r="B39" s="9" t="n">
        <f aca="false">COUNTIF('Event Catalogue'!$J$2:$J$100,"Proposed - confirm feature exists")</f>
        <v>9</v>
      </c>
    </row>
    <row r="40" customFormat="false" ht="15" hidden="false" customHeight="false" outlineLevel="0" collapsed="false">
      <c r="A40" s="9" t="s">
        <v>906</v>
      </c>
      <c r="B40" s="9" t="n">
        <f aca="false">SUMPRODUCT(('Event Catalogue'!$C$2:$C$100&lt;&gt;"")*(COUNTIF('Event Catalogue'!$C$2:$C$100,'Event Catalogue'!$C$2:$C$100)&gt;1))</f>
        <v>0</v>
      </c>
    </row>
    <row r="41" customFormat="false" ht="15" hidden="false" customHeight="false" outlineLevel="0" collapsed="false">
      <c r="A41" s="9" t="s">
        <v>907</v>
      </c>
      <c r="B41" s="9" t="n">
        <f aca="false">COUNTIF('Event Catalogue'!$S$2:$S$100,"CHECK")</f>
        <v>0</v>
      </c>
    </row>
    <row r="42" customFormat="false" ht="15" hidden="false" customHeight="false" outlineLevel="0" collapsed="false">
      <c r="A42" s="9" t="s">
        <v>908</v>
      </c>
      <c r="B42" s="9" t="n">
        <f aca="false">COUNTIF('Event Catalogue'!$R$2:$R$100,"Not started")</f>
        <v>39</v>
      </c>
    </row>
    <row r="43" customFormat="false" ht="15" hidden="false" customHeight="false" outlineLevel="0" collapsed="false">
      <c r="A43" s="10" t="s">
        <v>909</v>
      </c>
      <c r="B43" s="10" t="str">
        <f aca="false">IF(AND(B36=B35,B40=0,B41=0),"PASS","FAIL")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2026-10-17T08:24:22Z</dcterms:created>
  <dc:creator>openpyxl</dc:creator>
  <dc:description/>
  <dc:language>en-US</dc:language>
  <cp:lastModifiedBy/>
  <dcterms:modified xsi:type="dcterms:W3CDTF">2026-10-17T08:24:22Z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