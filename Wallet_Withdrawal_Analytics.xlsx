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Dashboard" sheetId="2" state="visible" r:id="rId4"/>
    <sheet name="Withdrawals" sheetId="3" state="visible" r:id="rId5"/>
    <sheet name="Wallet_Transactions" sheetId="4" state="visible" r:id="rId6"/>
    <sheet name="Wallet_Balances" sheetId="5" state="visible" r:id="rId7"/>
    <sheet name="Daily_Operations" sheetId="6" state="visible" r:id="rId8"/>
    <sheet name="Transaction_Types" sheetId="7" state="visible" r:id="rId9"/>
    <sheet name="Withdrawal_Lifecycle" sheetId="8" state="visible" r:id="rId10"/>
    <sheet name="Settings" sheetId="9" state="visible" r:id="rId11"/>
    <sheet name="D1_Data_Dictionary" sheetId="10" state="visible" r:id="rId12"/>
    <sheet name="D2_Data_Dictionary" sheetId="11" state="visible" r:id="rId13"/>
    <sheet name="D3_KPI_Definitions" sheetId="12" state="visible" r:id="rId14"/>
  </sheets>
  <definedNames>
    <definedName function="false" hidden="true" localSheetId="3" name="_xlnm._FilterDatabase" vbProcedure="false">Wallet_Transactions!$A$4:$R$293</definedName>
    <definedName function="false" hidden="true" localSheetId="2" name="_xlnm._FilterDatabase" vbProcedure="false">Withdrawals!$A$4:$T$52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<sst xmlns="http://schemas.openxmlformats.org/spreadsheetml/2006/main" count="3241" uniqueCount="1241">
  <si>
    <t xml:space="preserve">Work Package D - Wallet &amp; Withdrawal Analytics (VELOOP)</t>
  </si>
  <si>
    <t xml:space="preserve">Purpose</t>
  </si>
  <si>
    <t xml:space="preserve">A transaction model and KPI set that lets VELOOP understand wallet movements and the withdrawal lifecycle.</t>
  </si>
  <si>
    <t xml:space="preserve">Wallet flow</t>
  </si>
  <si>
    <t xml:space="preserve">Reward Credit (+)  |  Redemption (-)  |  Reversal (undoes a prior entry)  |  Adjustment (+/-)   -  other types are marked PROPOSED.</t>
  </si>
  <si>
    <t xml:space="preserve">Withdrawal flow</t>
  </si>
  <si>
    <t xml:space="preserve">Requested -&gt; Under Review / Processing -&gt; Completed.   Alternative end states: Rejected, Reversed (Cancelled = Proposed).</t>
  </si>
  <si>
    <t xml:space="preserve">SHEETS</t>
  </si>
  <si>
    <t xml:space="preserve">KPI_Dashboard</t>
  </si>
  <si>
    <t xml:space="preserve">Live KPIs vs targets: status counts, rates, processing times, pending queue, volume, method and reason mix, wallet KPIs, data-quality checks, charts.</t>
  </si>
  <si>
    <t xml:space="preserve">Withdrawals</t>
  </si>
  <si>
    <t xml:space="preserve">D2 - one row per withdrawal with timestamps, status, reason and calculated times / checks.</t>
  </si>
  <si>
    <t xml:space="preserve">Wallet_Transactions</t>
  </si>
  <si>
    <t xml:space="preserve">D1 - one row per ledger entry incl. reversal / correction links and automatic validation.</t>
  </si>
  <si>
    <t xml:space="preserve">Wallet_Balances</t>
  </si>
  <si>
    <t xml:space="preserve">Balance per user from Posted entries, plus pending withdrawal exposure.</t>
  </si>
  <si>
    <t xml:space="preserve">Daily_Operations</t>
  </si>
  <si>
    <t xml:space="preserve">Daily requests, completions, backlog, credits, redemptions and charts.</t>
  </si>
  <si>
    <t xml:space="preserve">Transaction_Types</t>
  </si>
  <si>
    <t xml:space="preserve">Catalogue of transaction types with Supported / Proposed status and direction.</t>
  </si>
  <si>
    <t xml:space="preserve">Withdrawal_Lifecycle</t>
  </si>
  <si>
    <t xml:space="preserve">State model, allowed transitions, reason categories and methods (all with Supported / Proposed marking).</t>
  </si>
  <si>
    <t xml:space="preserve">Settings</t>
  </si>
  <si>
    <t xml:space="preserve">As-of time, base unit, SLA, thresholds, targets and the wallet-debit timing assumption.</t>
  </si>
  <si>
    <t xml:space="preserve">D1 / D2 Data Dictionary</t>
  </si>
  <si>
    <t xml:space="preserve">Field definitions and rules for the wallet and withdrawal models.</t>
  </si>
  <si>
    <t xml:space="preserve">D3_KPI_Definitions</t>
  </si>
  <si>
    <t xml:space="preserve">Every KPI with Name, Definition, Formula, Data Required, Source, Frequency, Stakeholder Purpose, Limitation, live value.</t>
  </si>
  <si>
    <t xml:space="preserve">HOW TO USE</t>
  </si>
  <si>
    <t xml:space="preserve">1</t>
  </si>
  <si>
    <t xml:space="preserve">Replace the sample rows in Withdrawals and Wallet_Transactions (blue) with real data. All sample data is invented for illustration.</t>
  </si>
  <si>
    <t xml:space="preserve">2</t>
  </si>
  <si>
    <t xml:space="preserve">Copy the grey formula cells down for new rows. Summary formulas read to row 1000 (withdrawals) and 3000 (transactions).</t>
  </si>
  <si>
    <t xml:space="preserve">3</t>
  </si>
  <si>
    <t xml:space="preserve">Confirm the yellow assumptions in Settings and Transaction_Types, then change Proposed items to Supported once verified with Product / Engineering.</t>
  </si>
  <si>
    <t xml:space="preserve">4</t>
  </si>
  <si>
    <t xml:space="preserve">Update the As-of Timestamp on each refresh; extend Daily_Operations if the period exceeds 45 days; add users to Wallet_Balances.</t>
  </si>
  <si>
    <t xml:space="preserve">5</t>
  </si>
  <si>
    <t xml:space="preserve">Keep section 8 of the dashboard at 0 flags - these catch missing links, bad signs, wrong timestamps and wallet / withdrawal mismatches.</t>
  </si>
  <si>
    <t xml:space="preserve">KEY ASSUMPTIONS</t>
  </si>
  <si>
    <t xml:space="preserve">A</t>
  </si>
  <si>
    <t xml:space="preserve">I could not verify which transaction types, methods or reason categories exist in VELOOP. The four core types are marked Supported as an assumption; everything else is Proposed.</t>
  </si>
  <si>
    <t xml:space="preserve">B</t>
  </si>
  <si>
    <t xml:space="preserve">One base unit (Points) is used for all amounts; the currency conversion is illustrative.</t>
  </si>
  <si>
    <t xml:space="preserve">C</t>
  </si>
  <si>
    <t xml:space="preserve">The wallet is debited (Redemption) when a withdrawal is Completed; Rejected, pending and cancelled withdrawals have no wallet movement.</t>
  </si>
  <si>
    <t xml:space="preserve">D</t>
  </si>
  <si>
    <t xml:space="preserve">Targets, SLA hours and thresholds are placeholders, not benchmarks.</t>
  </si>
  <si>
    <t xml:space="preserve">COLOR LEGEND</t>
  </si>
  <si>
    <t xml:space="preserve">Blue text</t>
  </si>
  <si>
    <t xml:space="preserve">Input data / assumptions you can edit.</t>
  </si>
  <si>
    <t xml:space="preserve">Black text</t>
  </si>
  <si>
    <t xml:space="preserve">Formulas - do not overwrite.</t>
  </si>
  <si>
    <t xml:space="preserve">Green text</t>
  </si>
  <si>
    <t xml:space="preserve">Link pulled from another sheet.</t>
  </si>
  <si>
    <t xml:space="preserve">Yellow fill</t>
  </si>
  <si>
    <t xml:space="preserve">Assumption to confirm.</t>
  </si>
  <si>
    <t xml:space="preserve">Orange fill</t>
  </si>
  <si>
    <t xml:space="preserve">Proposed item - not confirmed as existing in VELOOP.</t>
  </si>
  <si>
    <t xml:space="preserve">Wallet &amp; Withdrawal KPI Dashboard</t>
  </si>
  <si>
    <t xml:space="preserve">As-of:</t>
  </si>
  <si>
    <t xml:space="preserve">1. WITHDRAWAL LIFECYCLE - STATUS COUNTS</t>
  </si>
  <si>
    <t xml:space="preserve">Count</t>
  </si>
  <si>
    <t xml:space="preserve">% of Requests</t>
  </si>
  <si>
    <t xml:space="preserve">Amount (Base Unit)</t>
  </si>
  <si>
    <t xml:space="preserve">Notes</t>
  </si>
  <si>
    <t xml:space="preserve">Requested</t>
  </si>
  <si>
    <t xml:space="preserve">Open: submitted, review not started.</t>
  </si>
  <si>
    <t xml:space="preserve">Under Review</t>
  </si>
  <si>
    <t xml:space="preserve">Open: checks in progress.</t>
  </si>
  <si>
    <t xml:space="preserve">Processing</t>
  </si>
  <si>
    <t xml:space="preserve">Open: payout in progress.</t>
  </si>
  <si>
    <t xml:space="preserve">Completed</t>
  </si>
  <si>
    <t xml:space="preserve">Final: paid out and not reversed.</t>
  </si>
  <si>
    <t xml:space="preserve">Rejected</t>
  </si>
  <si>
    <t xml:space="preserve">Final: denied.</t>
  </si>
  <si>
    <t xml:space="preserve">Reversed</t>
  </si>
  <si>
    <t xml:space="preserve">Final: paid then undone.</t>
  </si>
  <si>
    <t xml:space="preserve">Cancelled</t>
  </si>
  <si>
    <t xml:space="preserve">Final: PROPOSED state - user cancelled.</t>
  </si>
  <si>
    <t xml:space="preserve">Total Requests</t>
  </si>
  <si>
    <t xml:space="preserve">Every request is in exactly one status.</t>
  </si>
  <si>
    <t xml:space="preserve">Check: sum of statuses minus total (should be 0)</t>
  </si>
  <si>
    <t xml:space="preserve">2. WITHDRAWAL KPIs vs TARGET</t>
  </si>
  <si>
    <t xml:space="preserve">Value</t>
  </si>
  <si>
    <t xml:space="preserve">Target</t>
  </si>
  <si>
    <t xml:space="preserve">Status</t>
  </si>
  <si>
    <t xml:space="preserve">Definition</t>
  </si>
  <si>
    <t xml:space="preserve">Withdrawal Requests</t>
  </si>
  <si>
    <t xml:space="preserve">All requests created.</t>
  </si>
  <si>
    <t xml:space="preserve">Completed Withdrawals</t>
  </si>
  <si>
    <t xml:space="preserve">Status = Completed (reversed ones are excluded).</t>
  </si>
  <si>
    <t xml:space="preserve">Pending Withdrawals (queue)</t>
  </si>
  <si>
    <t xml:space="preserve">Requested + Under Review + Processing.</t>
  </si>
  <si>
    <t xml:space="preserve">Rejected Withdrawals</t>
  </si>
  <si>
    <t xml:space="preserve">Status = Rejected.</t>
  </si>
  <si>
    <t xml:space="preserve">Reversed Withdrawals</t>
  </si>
  <si>
    <t xml:space="preserve">Status = Reversed.</t>
  </si>
  <si>
    <t xml:space="preserve">Completion Rate</t>
  </si>
  <si>
    <t xml:space="preserve">Completed / all requests.</t>
  </si>
  <si>
    <t xml:space="preserve">Completion Rate of Resolved Requests</t>
  </si>
  <si>
    <t xml:space="preserve">Completed / (Completed + Rejected + Reversed). Ignores pending and cancelled.</t>
  </si>
  <si>
    <t xml:space="preserve">Rejection Rate</t>
  </si>
  <si>
    <t xml:space="preserve">Rejected / all requests.</t>
  </si>
  <si>
    <t xml:space="preserve">Reversal Rate</t>
  </si>
  <si>
    <t xml:space="preserve">Reversed / (Completed + Reversed): share of payouts later undone.</t>
  </si>
  <si>
    <t xml:space="preserve">SLA Compliance</t>
  </si>
  <si>
    <t xml:space="preserve">Completed within SLA hours / Completed.</t>
  </si>
  <si>
    <t xml:space="preserve">Avg End-to-End Processing Time (hrs)</t>
  </si>
  <si>
    <t xml:space="preserve">Requested to Final, Completed only.</t>
  </si>
  <si>
    <t xml:space="preserve">Median End-to-End Time (hrs)</t>
  </si>
  <si>
    <t xml:space="preserve">Less sensitive to outliers than the average.</t>
  </si>
  <si>
    <t xml:space="preserve">P90 End-to-End Time (hrs)</t>
  </si>
  <si>
    <t xml:space="preserve">9 in 10 completed withdrawals finish within this time.</t>
  </si>
  <si>
    <t xml:space="preserve">Avg Queue Wait (hrs)</t>
  </si>
  <si>
    <t xml:space="preserve">Requested to Processing start, all requests that started.</t>
  </si>
  <si>
    <t xml:space="preserve">Avg Processing Time (hrs)</t>
  </si>
  <si>
    <t xml:space="preserve">Processing start to Final, Completed only.</t>
  </si>
  <si>
    <t xml:space="preserve">Avg Time to Rejection (hrs)</t>
  </si>
  <si>
    <t xml:space="preserve">Requested to Final, Rejected only.</t>
  </si>
  <si>
    <t xml:space="preserve">3. PENDING QUEUE</t>
  </si>
  <si>
    <t xml:space="preserve">Pending Count</t>
  </si>
  <si>
    <t xml:space="preserve">Open requests right now.</t>
  </si>
  <si>
    <t xml:space="preserve">Pending Amount (Base Unit)</t>
  </si>
  <si>
    <t xml:space="preserve">Sum of requested amounts still open.</t>
  </si>
  <si>
    <t xml:space="preserve">Oldest Pending Age (hrs)</t>
  </si>
  <si>
    <t xml:space="preserve">Age of the longest-waiting open request at the as-of time.</t>
  </si>
  <si>
    <t xml:space="preserve">Average Pending Age (hrs)</t>
  </si>
  <si>
    <t xml:space="preserve">Mean age of open requests.</t>
  </si>
  <si>
    <t xml:space="preserve">Aged Pending (&gt; threshold)</t>
  </si>
  <si>
    <t xml:space="preserve">Open requests older than the aged-pending threshold.</t>
  </si>
  <si>
    <t xml:space="preserve">4. WITHDRAWAL VOLUME</t>
  </si>
  <si>
    <t xml:space="preserve">Base Unit</t>
  </si>
  <si>
    <t xml:space="preserve">Currency Equivalent</t>
  </si>
  <si>
    <t xml:space="preserve">% of Requested</t>
  </si>
  <si>
    <t xml:space="preserve">Requested Volume</t>
  </si>
  <si>
    <t xml:space="preserve">All requested amounts.</t>
  </si>
  <si>
    <t xml:space="preserve">Completed Volume</t>
  </si>
  <si>
    <t xml:space="preserve">Paid out and not reversed.</t>
  </si>
  <si>
    <t xml:space="preserve">Pending Volume</t>
  </si>
  <si>
    <t xml:space="preserve">Open requests.</t>
  </si>
  <si>
    <t xml:space="preserve">Rejected Volume</t>
  </si>
  <si>
    <t xml:space="preserve">Denied requests.</t>
  </si>
  <si>
    <t xml:space="preserve">Reversed Volume</t>
  </si>
  <si>
    <t xml:space="preserve">Paid then undone.</t>
  </si>
  <si>
    <t xml:space="preserve">Average Requested Amount</t>
  </si>
  <si>
    <t xml:space="preserve">Requested volume / requests.</t>
  </si>
  <si>
    <t xml:space="preserve">Unique Withdrawing Users</t>
  </si>
  <si>
    <t xml:space="preserve">Distinct users with at least one request.</t>
  </si>
  <si>
    <t xml:space="preserve">5. METHOD DISTRIBUTION</t>
  </si>
  <si>
    <t xml:space="preserve">Requests</t>
  </si>
  <si>
    <t xml:space="preserve">Avg End-to-End Hrs</t>
  </si>
  <si>
    <t xml:space="preserve">Bank Transfer</t>
  </si>
  <si>
    <t xml:space="preserve">E-Wallet</t>
  </si>
  <si>
    <t xml:space="preserve">Gift Card</t>
  </si>
  <si>
    <t xml:space="preserve">Other</t>
  </si>
  <si>
    <t xml:space="preserve">Total</t>
  </si>
  <si>
    <t xml:space="preserve">6. REJECTION &amp; REVERSAL REASONS</t>
  </si>
  <si>
    <t xml:space="preserve">% of Rejected + Reversed</t>
  </si>
  <si>
    <t xml:space="preserve">Insufficient Balance</t>
  </si>
  <si>
    <t xml:space="preserve">Verification Failed</t>
  </si>
  <si>
    <t xml:space="preserve">Suspected Fraud</t>
  </si>
  <si>
    <t xml:space="preserve">Limit / Minimum Rule</t>
  </si>
  <si>
    <t xml:space="preserve">Duplicate Request</t>
  </si>
  <si>
    <t xml:space="preserve">Payment Failure</t>
  </si>
  <si>
    <t xml:space="preserve">User Request</t>
  </si>
  <si>
    <t xml:space="preserve">7. WALLET KPIs</t>
  </si>
  <si>
    <t xml:space="preserve">Wallet Transactions (total rows)</t>
  </si>
  <si>
    <t xml:space="preserve">All ledger entries, any status.</t>
  </si>
  <si>
    <t xml:space="preserve">Reward Credit Volume (Posted)</t>
  </si>
  <si>
    <t xml:space="preserve">Value issued to wallets.</t>
  </si>
  <si>
    <t xml:space="preserve">Redemption Volume (Posted)</t>
  </si>
  <si>
    <t xml:space="preserve">Value taken out of wallets (shown positive).</t>
  </si>
  <si>
    <t xml:space="preserve">Reversal Transactions (count)</t>
  </si>
  <si>
    <t xml:space="preserve">Posted reversal entries.</t>
  </si>
  <si>
    <t xml:space="preserve">Net Reversal Volume</t>
  </si>
  <si>
    <t xml:space="preserve">Positive = value returned to users; negative = value clawed back.</t>
  </si>
  <si>
    <t xml:space="preserve">Net Adjustment Volume</t>
  </si>
  <si>
    <t xml:space="preserve">Manual corrections, net.</t>
  </si>
  <si>
    <t xml:space="preserve">Outstanding Wallet Balance (all users)</t>
  </si>
  <si>
    <t xml:space="preserve">Net Posted value held in wallets (a liability for VELOOP).</t>
  </si>
  <si>
    <t xml:space="preserve">Failed / Voided Transaction Rate</t>
  </si>
  <si>
    <t xml:space="preserve">(Failed + Voided) / all transactions.</t>
  </si>
  <si>
    <t xml:space="preserve">Wallet Reversal Rate</t>
  </si>
  <si>
    <t xml:space="preserve">Reversals / (Posted Reward Credits + Redemptions).</t>
  </si>
  <si>
    <t xml:space="preserve">Users with Negative Balance</t>
  </si>
  <si>
    <t xml:space="preserve">Should be 0; otherwise ledger error or missing credits.</t>
  </si>
  <si>
    <t xml:space="preserve">Transactions using Proposed types</t>
  </si>
  <si>
    <t xml:space="preserve">Rows whose type is not yet confirmed as supported.</t>
  </si>
  <si>
    <t xml:space="preserve">8. DATA QUALITY &amp; RECONCILIATION</t>
  </si>
  <si>
    <t xml:space="preserve">Flags</t>
  </si>
  <si>
    <t xml:space="preserve">Meaning</t>
  </si>
  <si>
    <t xml:space="preserve">Wallet_Transactions data-check flags</t>
  </si>
  <si>
    <t xml:space="preserve">Type, unit, sign or reversal-link problems.</t>
  </si>
  <si>
    <t xml:space="preserve">Withdrawals data-check flags</t>
  </si>
  <si>
    <t xml:space="preserve">Status / timestamp / reason inconsistencies.</t>
  </si>
  <si>
    <t xml:space="preserve">Withdrawal vs wallet reconciliation exceptions</t>
  </si>
  <si>
    <t xml:space="preserve">Completed without debit, reversed without reversal entry, or unexpected debit.</t>
  </si>
  <si>
    <t xml:space="preserve">9. WALLET TRANSACTION TYPES</t>
  </si>
  <si>
    <t xml:space="preserve">Transactions</t>
  </si>
  <si>
    <t xml:space="preserve">Posted Signed Volume</t>
  </si>
  <si>
    <t xml:space="preserve">Support Status</t>
  </si>
  <si>
    <t xml:space="preserve">Withdrawals (D2) - one row per withdrawal request</t>
  </si>
  <si>
    <t xml:space="preserve">Blue = input (replace sample rows with real data). Grey = formulas (copy down for new rows). Rule: Processing Timestamp = when review/payout work started; Final Timestamp = when a terminal state (Completed / Rejected / Reversed / Cancelled) was reached.</t>
  </si>
  <si>
    <t xml:space="preserve">Withdrawal ID</t>
  </si>
  <si>
    <t xml:space="preserve">User ID</t>
  </si>
  <si>
    <t xml:space="preserve">Requested Amount</t>
  </si>
  <si>
    <t xml:space="preserve">Unit</t>
  </si>
  <si>
    <t xml:space="preserve">Method</t>
  </si>
  <si>
    <t xml:space="preserve">Requested Timestamp</t>
  </si>
  <si>
    <t xml:space="preserve">Processing Timestamp</t>
  </si>
  <si>
    <t xml:space="preserve">Final Timestamp</t>
  </si>
  <si>
    <t xml:space="preserve">Reason Category</t>
  </si>
  <si>
    <t xml:space="preserve">Data Check</t>
  </si>
  <si>
    <t xml:space="preserve">Is Pending (1/0)</t>
  </si>
  <si>
    <t xml:space="preserve">Queue Wait Hrs (Requested to Processing)</t>
  </si>
  <si>
    <t xml:space="preserve">Processing Hrs (Processing to Final, Completed)</t>
  </si>
  <si>
    <t xml:space="preserve">End-to-End Hrs (Requested to Final, Completed)</t>
  </si>
  <si>
    <t xml:space="preserve">SLA Met? (Completed)</t>
  </si>
  <si>
    <t xml:space="preserve">Hrs to Rejection (Rejected)</t>
  </si>
  <si>
    <t xml:space="preserve">Pending Age Hrs (as-of)</t>
  </si>
  <si>
    <t xml:space="preserve">First Request of User (1/0)</t>
  </si>
  <si>
    <t xml:space="preserve">Wallet Reconciliation</t>
  </si>
  <si>
    <t xml:space="preserve">WD-0001</t>
  </si>
  <si>
    <t xml:space="preserve">U002</t>
  </si>
  <si>
    <t xml:space="preserve">Points</t>
  </si>
  <si>
    <t xml:space="preserve">WD-0002</t>
  </si>
  <si>
    <t xml:space="preserve">U006</t>
  </si>
  <si>
    <t xml:space="preserve">WD-0003</t>
  </si>
  <si>
    <t xml:space="preserve">U003</t>
  </si>
  <si>
    <t xml:space="preserve">WD-0004</t>
  </si>
  <si>
    <t xml:space="preserve">U015</t>
  </si>
  <si>
    <t xml:space="preserve">WD-0005</t>
  </si>
  <si>
    <t xml:space="preserve">WD-0006</t>
  </si>
  <si>
    <t xml:space="preserve">U004</t>
  </si>
  <si>
    <t xml:space="preserve">WD-0007</t>
  </si>
  <si>
    <t xml:space="preserve">U010</t>
  </si>
  <si>
    <t xml:space="preserve">WD-0008</t>
  </si>
  <si>
    <t xml:space="preserve">WD-0009</t>
  </si>
  <si>
    <t xml:space="preserve">U008</t>
  </si>
  <si>
    <t xml:space="preserve">WD-0010</t>
  </si>
  <si>
    <t xml:space="preserve">WD-0011</t>
  </si>
  <si>
    <t xml:space="preserve">U011</t>
  </si>
  <si>
    <t xml:space="preserve">WD-0012</t>
  </si>
  <si>
    <t xml:space="preserve">WD-0013</t>
  </si>
  <si>
    <t xml:space="preserve">WD-0014</t>
  </si>
  <si>
    <t xml:space="preserve">U009</t>
  </si>
  <si>
    <t xml:space="preserve">WD-0015</t>
  </si>
  <si>
    <t xml:space="preserve">WD-0016</t>
  </si>
  <si>
    <t xml:space="preserve">U020</t>
  </si>
  <si>
    <t xml:space="preserve">WD-0017</t>
  </si>
  <si>
    <t xml:space="preserve">WD-0018</t>
  </si>
  <si>
    <t xml:space="preserve">WD-0019</t>
  </si>
  <si>
    <t xml:space="preserve">WD-0020</t>
  </si>
  <si>
    <t xml:space="preserve">U018</t>
  </si>
  <si>
    <t xml:space="preserve">WD-0021</t>
  </si>
  <si>
    <t xml:space="preserve">WD-0022</t>
  </si>
  <si>
    <t xml:space="preserve">WD-0023</t>
  </si>
  <si>
    <t xml:space="preserve">WD-0024</t>
  </si>
  <si>
    <t xml:space="preserve">WD-0025</t>
  </si>
  <si>
    <t xml:space="preserve">U014</t>
  </si>
  <si>
    <t xml:space="preserve">WD-0026</t>
  </si>
  <si>
    <t xml:space="preserve">WD-0027</t>
  </si>
  <si>
    <t xml:space="preserve">U001</t>
  </si>
  <si>
    <t xml:space="preserve">WD-0028</t>
  </si>
  <si>
    <t xml:space="preserve">U013</t>
  </si>
  <si>
    <t xml:space="preserve">WD-0029</t>
  </si>
  <si>
    <t xml:space="preserve">WD-0030</t>
  </si>
  <si>
    <t xml:space="preserve">WD-0031</t>
  </si>
  <si>
    <t xml:space="preserve">U007</t>
  </si>
  <si>
    <t xml:space="preserve">WD-0032</t>
  </si>
  <si>
    <t xml:space="preserve">WD-0033</t>
  </si>
  <si>
    <t xml:space="preserve">WD-0034</t>
  </si>
  <si>
    <t xml:space="preserve">WD-0035</t>
  </si>
  <si>
    <t xml:space="preserve">WD-0036</t>
  </si>
  <si>
    <t xml:space="preserve">U019</t>
  </si>
  <si>
    <t xml:space="preserve">WD-0037</t>
  </si>
  <si>
    <t xml:space="preserve">U012</t>
  </si>
  <si>
    <t xml:space="preserve">WD-0038</t>
  </si>
  <si>
    <t xml:space="preserve">WD-0039</t>
  </si>
  <si>
    <t xml:space="preserve">WD-0040</t>
  </si>
  <si>
    <t xml:space="preserve">WD-0041</t>
  </si>
  <si>
    <t xml:space="preserve">WD-0042</t>
  </si>
  <si>
    <t xml:space="preserve">WD-0043</t>
  </si>
  <si>
    <t xml:space="preserve">WD-0044</t>
  </si>
  <si>
    <t xml:space="preserve">WD-0045</t>
  </si>
  <si>
    <t xml:space="preserve">WD-0046</t>
  </si>
  <si>
    <t xml:space="preserve">U017</t>
  </si>
  <si>
    <t xml:space="preserve">WD-0047</t>
  </si>
  <si>
    <t xml:space="preserve">U016</t>
  </si>
  <si>
    <t xml:space="preserve">WD-0048</t>
  </si>
  <si>
    <t xml:space="preserve">Wallet Transactions (D1) - one row per ledger entry</t>
  </si>
  <si>
    <t xml:space="preserve">Blue = input. Grey = formulas (copy down). Amount is SIGNED: credits positive, debits negative. A Reversal/Correction row points to the original row via Related Transaction ID. Types marked Proposed in Transaction_Types are flagged in column L.</t>
  </si>
  <si>
    <t xml:space="preserve">Transaction ID</t>
  </si>
  <si>
    <t xml:space="preserve">Timestamp</t>
  </si>
  <si>
    <t xml:space="preserve">Transaction Type</t>
  </si>
  <si>
    <t xml:space="preserve">Amount (signed)</t>
  </si>
  <si>
    <t xml:space="preserve">Source</t>
  </si>
  <si>
    <t xml:space="preserve">Reference ID</t>
  </si>
  <si>
    <t xml:space="preserve">Related Transaction ID (reversal / correction)</t>
  </si>
  <si>
    <t xml:space="preserve">Relationship</t>
  </si>
  <si>
    <t xml:space="preserve">Type Support Status</t>
  </si>
  <si>
    <t xml:space="preserve">Expected Direction</t>
  </si>
  <si>
    <t xml:space="preserve">Posted Signed Amount</t>
  </si>
  <si>
    <t xml:space="preserve">Times Reversed</t>
  </si>
  <si>
    <t xml:space="preserve">Net Effect incl. Linked Rows</t>
  </si>
  <si>
    <t xml:space="preserve">Date</t>
  </si>
  <si>
    <t xml:space="preserve">WTX-00001</t>
  </si>
  <si>
    <t xml:space="preserve">Reward Credit</t>
  </si>
  <si>
    <t xml:space="preserve">Posted</t>
  </si>
  <si>
    <t xml:space="preserve">Task Reward</t>
  </si>
  <si>
    <t xml:space="preserve">TASK-1237</t>
  </si>
  <si>
    <t xml:space="preserve">WTX-00002</t>
  </si>
  <si>
    <t xml:space="preserve">Campaign Bonus</t>
  </si>
  <si>
    <t xml:space="preserve">CMP-001</t>
  </si>
  <si>
    <t xml:space="preserve">WTX-00003</t>
  </si>
  <si>
    <t xml:space="preserve">Referral Reward</t>
  </si>
  <si>
    <t xml:space="preserve">REF-0012</t>
  </si>
  <si>
    <t xml:space="preserve">WTX-00004</t>
  </si>
  <si>
    <t xml:space="preserve">WTX-00005</t>
  </si>
  <si>
    <t xml:space="preserve">REF-0016</t>
  </si>
  <si>
    <t xml:space="preserve">WTX-00006</t>
  </si>
  <si>
    <t xml:space="preserve">WTX-00007</t>
  </si>
  <si>
    <t xml:space="preserve">TASK-1051</t>
  </si>
  <si>
    <t xml:space="preserve">WTX-00008</t>
  </si>
  <si>
    <t xml:space="preserve">TASK-1235</t>
  </si>
  <si>
    <t xml:space="preserve">WTX-00009</t>
  </si>
  <si>
    <t xml:space="preserve">WTX-00010</t>
  </si>
  <si>
    <t xml:space="preserve">TASK-1170</t>
  </si>
  <si>
    <t xml:space="preserve">WTX-00011</t>
  </si>
  <si>
    <t xml:space="preserve">TASK-1133</t>
  </si>
  <si>
    <t xml:space="preserve">WTX-00012</t>
  </si>
  <si>
    <t xml:space="preserve">TASK-1150</t>
  </si>
  <si>
    <t xml:space="preserve">WTX-00013</t>
  </si>
  <si>
    <t xml:space="preserve">REF-0013</t>
  </si>
  <si>
    <t xml:space="preserve">WTX-00014</t>
  </si>
  <si>
    <t xml:space="preserve">WTX-00015</t>
  </si>
  <si>
    <t xml:space="preserve">REF-0041</t>
  </si>
  <si>
    <t xml:space="preserve">WTX-00016</t>
  </si>
  <si>
    <t xml:space="preserve">TASK-1049</t>
  </si>
  <si>
    <t xml:space="preserve">WTX-00017</t>
  </si>
  <si>
    <t xml:space="preserve">REF-0028</t>
  </si>
  <si>
    <t xml:space="preserve">WTX-00018</t>
  </si>
  <si>
    <t xml:space="preserve">WTX-00019</t>
  </si>
  <si>
    <t xml:space="preserve">REF-0044</t>
  </si>
  <si>
    <t xml:space="preserve">WTX-00020</t>
  </si>
  <si>
    <t xml:space="preserve">REF-0058</t>
  </si>
  <si>
    <t xml:space="preserve">WTX-00021</t>
  </si>
  <si>
    <t xml:space="preserve">TASK-1020</t>
  </si>
  <si>
    <t xml:space="preserve">WTX-00022</t>
  </si>
  <si>
    <t xml:space="preserve">REF-0047</t>
  </si>
  <si>
    <t xml:space="preserve">WTX-00023</t>
  </si>
  <si>
    <t xml:space="preserve">REF-0017</t>
  </si>
  <si>
    <t xml:space="preserve">WTX-00024</t>
  </si>
  <si>
    <t xml:space="preserve">TASK-1071</t>
  </si>
  <si>
    <t xml:space="preserve">WTX-00025</t>
  </si>
  <si>
    <t xml:space="preserve">TASK-1034</t>
  </si>
  <si>
    <t xml:space="preserve">WTX-00026</t>
  </si>
  <si>
    <t xml:space="preserve">REF-0059</t>
  </si>
  <si>
    <t xml:space="preserve">WTX-00027</t>
  </si>
  <si>
    <t xml:space="preserve">TASK-1004</t>
  </si>
  <si>
    <t xml:space="preserve">WTX-00028</t>
  </si>
  <si>
    <t xml:space="preserve">TASK-1157</t>
  </si>
  <si>
    <t xml:space="preserve">WTX-00029</t>
  </si>
  <si>
    <t xml:space="preserve">REF-0053</t>
  </si>
  <si>
    <t xml:space="preserve">WTX-00030</t>
  </si>
  <si>
    <t xml:space="preserve">TASK-1224</t>
  </si>
  <si>
    <t xml:space="preserve">WTX-00031</t>
  </si>
  <si>
    <t xml:space="preserve">U005</t>
  </si>
  <si>
    <t xml:space="preserve">REF-0034</t>
  </si>
  <si>
    <t xml:space="preserve">WTX-00032</t>
  </si>
  <si>
    <t xml:space="preserve">TASK-1232</t>
  </si>
  <si>
    <t xml:space="preserve">WTX-00033</t>
  </si>
  <si>
    <t xml:space="preserve">WTX-00034</t>
  </si>
  <si>
    <t xml:space="preserve">TASK-1013</t>
  </si>
  <si>
    <t xml:space="preserve">WTX-00035</t>
  </si>
  <si>
    <t xml:space="preserve">WTX-00036</t>
  </si>
  <si>
    <t xml:space="preserve">WTX-00037</t>
  </si>
  <si>
    <t xml:space="preserve">REF-0032</t>
  </si>
  <si>
    <t xml:space="preserve">WTX-00038</t>
  </si>
  <si>
    <t xml:space="preserve">WTX-00039</t>
  </si>
  <si>
    <t xml:space="preserve">TASK-1243</t>
  </si>
  <si>
    <t xml:space="preserve">WTX-00040</t>
  </si>
  <si>
    <t xml:space="preserve">Redemption</t>
  </si>
  <si>
    <t xml:space="preserve">Withdrawal</t>
  </si>
  <si>
    <t xml:space="preserve">WTX-00041</t>
  </si>
  <si>
    <t xml:space="preserve">WTX-00042</t>
  </si>
  <si>
    <t xml:space="preserve">TASK-1096</t>
  </si>
  <si>
    <t xml:space="preserve">WTX-00043</t>
  </si>
  <si>
    <t xml:space="preserve">TASK-1112</t>
  </si>
  <si>
    <t xml:space="preserve">WTX-00044</t>
  </si>
  <si>
    <t xml:space="preserve">TASK-1055</t>
  </si>
  <si>
    <t xml:space="preserve">WTX-00045</t>
  </si>
  <si>
    <t xml:space="preserve">TASK-1010</t>
  </si>
  <si>
    <t xml:space="preserve">WTX-00046</t>
  </si>
  <si>
    <t xml:space="preserve">TASK-1041</t>
  </si>
  <si>
    <t xml:space="preserve">WTX-00047</t>
  </si>
  <si>
    <t xml:space="preserve">REF-0031</t>
  </si>
  <si>
    <t xml:space="preserve">WTX-00048</t>
  </si>
  <si>
    <t xml:space="preserve">REF-0049</t>
  </si>
  <si>
    <t xml:space="preserve">WTX-00049</t>
  </si>
  <si>
    <t xml:space="preserve">TASK-1001</t>
  </si>
  <si>
    <t xml:space="preserve">WTX-00050</t>
  </si>
  <si>
    <t xml:space="preserve">TASK-1038</t>
  </si>
  <si>
    <t xml:space="preserve">WTX-00051</t>
  </si>
  <si>
    <t xml:space="preserve">WTX-00052</t>
  </si>
  <si>
    <t xml:space="preserve">TASK-1134</t>
  </si>
  <si>
    <t xml:space="preserve">WTX-00053</t>
  </si>
  <si>
    <t xml:space="preserve">REF-0014</t>
  </si>
  <si>
    <t xml:space="preserve">WTX-00054</t>
  </si>
  <si>
    <t xml:space="preserve">TASK-1216</t>
  </si>
  <si>
    <t xml:space="preserve">WTX-00055</t>
  </si>
  <si>
    <t xml:space="preserve">REF-0006</t>
  </si>
  <si>
    <t xml:space="preserve">WTX-00056</t>
  </si>
  <si>
    <t xml:space="preserve">WTX-00057</t>
  </si>
  <si>
    <t xml:space="preserve">TASK-1100</t>
  </si>
  <si>
    <t xml:space="preserve">WTX-00058</t>
  </si>
  <si>
    <t xml:space="preserve">TASK-1072</t>
  </si>
  <si>
    <t xml:space="preserve">WTX-00059</t>
  </si>
  <si>
    <t xml:space="preserve">WTX-00060</t>
  </si>
  <si>
    <t xml:space="preserve">WTX-00061</t>
  </si>
  <si>
    <t xml:space="preserve">REF-0033</t>
  </si>
  <si>
    <t xml:space="preserve">WTX-00062</t>
  </si>
  <si>
    <t xml:space="preserve">REF-0060</t>
  </si>
  <si>
    <t xml:space="preserve">WTX-00063</t>
  </si>
  <si>
    <t xml:space="preserve">TASK-1088</t>
  </si>
  <si>
    <t xml:space="preserve">WTX-00064</t>
  </si>
  <si>
    <t xml:space="preserve">REF-0026</t>
  </si>
  <si>
    <t xml:space="preserve">WTX-00065</t>
  </si>
  <si>
    <t xml:space="preserve">TASK-1222</t>
  </si>
  <si>
    <t xml:space="preserve">WTX-00066</t>
  </si>
  <si>
    <t xml:space="preserve">TASK-1130</t>
  </si>
  <si>
    <t xml:space="preserve">WTX-00067</t>
  </si>
  <si>
    <t xml:space="preserve">TASK-1062</t>
  </si>
  <si>
    <t xml:space="preserve">WTX-00068</t>
  </si>
  <si>
    <t xml:space="preserve">TASK-1115</t>
  </si>
  <si>
    <t xml:space="preserve">WTX-00069</t>
  </si>
  <si>
    <t xml:space="preserve">TASK-1239</t>
  </si>
  <si>
    <t xml:space="preserve">WTX-00070</t>
  </si>
  <si>
    <t xml:space="preserve">TASK-1159</t>
  </si>
  <si>
    <t xml:space="preserve">WTX-00071</t>
  </si>
  <si>
    <t xml:space="preserve">TASK-1109</t>
  </si>
  <si>
    <t xml:space="preserve">WTX-00072</t>
  </si>
  <si>
    <t xml:space="preserve">TASK-1138</t>
  </si>
  <si>
    <t xml:space="preserve">WTX-00073</t>
  </si>
  <si>
    <t xml:space="preserve">TASK-1245</t>
  </si>
  <si>
    <t xml:space="preserve">WTX-00074</t>
  </si>
  <si>
    <t xml:space="preserve">TASK-1218</t>
  </si>
  <si>
    <t xml:space="preserve">WTX-00075</t>
  </si>
  <si>
    <t xml:space="preserve">TASK-1248</t>
  </si>
  <si>
    <t xml:space="preserve">WTX-00076</t>
  </si>
  <si>
    <t xml:space="preserve">WTX-00077</t>
  </si>
  <si>
    <t xml:space="preserve">WTX-00078</t>
  </si>
  <si>
    <t xml:space="preserve">TASK-1056</t>
  </si>
  <si>
    <t xml:space="preserve">WTX-00079</t>
  </si>
  <si>
    <t xml:space="preserve">TASK-1122</t>
  </si>
  <si>
    <t xml:space="preserve">WTX-00080</t>
  </si>
  <si>
    <t xml:space="preserve">WTX-00081</t>
  </si>
  <si>
    <t xml:space="preserve">WTX-00082</t>
  </si>
  <si>
    <t xml:space="preserve">WTX-00083</t>
  </si>
  <si>
    <t xml:space="preserve">WTX-00084</t>
  </si>
  <si>
    <t xml:space="preserve">TASK-1068</t>
  </si>
  <si>
    <t xml:space="preserve">WTX-00085</t>
  </si>
  <si>
    <t xml:space="preserve">REF-0019</t>
  </si>
  <si>
    <t xml:space="preserve">WTX-00086</t>
  </si>
  <si>
    <t xml:space="preserve">WTX-00087</t>
  </si>
  <si>
    <t xml:space="preserve">TASK-1187</t>
  </si>
  <si>
    <t xml:space="preserve">WTX-00088</t>
  </si>
  <si>
    <t xml:space="preserve">TASK-1190</t>
  </si>
  <si>
    <t xml:space="preserve">WTX-00089</t>
  </si>
  <si>
    <t xml:space="preserve">Adjustment</t>
  </si>
  <si>
    <t xml:space="preserve">Admin Console</t>
  </si>
  <si>
    <t xml:space="preserve">ADJ-002</t>
  </si>
  <si>
    <t xml:space="preserve">Corrects</t>
  </si>
  <si>
    <t xml:space="preserve">WTX-00090</t>
  </si>
  <si>
    <t xml:space="preserve">TASK-1217</t>
  </si>
  <si>
    <t xml:space="preserve">WTX-00091</t>
  </si>
  <si>
    <t xml:space="preserve">REF-0010</t>
  </si>
  <si>
    <t xml:space="preserve">WTX-00092</t>
  </si>
  <si>
    <t xml:space="preserve">REF-0022</t>
  </si>
  <si>
    <t xml:space="preserve">WTX-00093</t>
  </si>
  <si>
    <t xml:space="preserve">TASK-1153</t>
  </si>
  <si>
    <t xml:space="preserve">WTX-00094</t>
  </si>
  <si>
    <t xml:space="preserve">WTX-00095</t>
  </si>
  <si>
    <t xml:space="preserve">WTX-00096</t>
  </si>
  <si>
    <t xml:space="preserve">TASK-1117</t>
  </si>
  <si>
    <t xml:space="preserve">WTX-00097</t>
  </si>
  <si>
    <t xml:space="preserve">TASK-1225</t>
  </si>
  <si>
    <t xml:space="preserve">WTX-00098</t>
  </si>
  <si>
    <t xml:space="preserve">WTX-00099</t>
  </si>
  <si>
    <t xml:space="preserve">REF-0052</t>
  </si>
  <si>
    <t xml:space="preserve">WTX-00100</t>
  </si>
  <si>
    <t xml:space="preserve">TASK-1201</t>
  </si>
  <si>
    <t xml:space="preserve">WTX-00101</t>
  </si>
  <si>
    <t xml:space="preserve">TASK-1154</t>
  </si>
  <si>
    <t xml:space="preserve">WTX-00102</t>
  </si>
  <si>
    <t xml:space="preserve">WTX-00103</t>
  </si>
  <si>
    <t xml:space="preserve">REF-0046</t>
  </si>
  <si>
    <t xml:space="preserve">WTX-00104</t>
  </si>
  <si>
    <t xml:space="preserve">WTX-00105</t>
  </si>
  <si>
    <t xml:space="preserve">REF-0039</t>
  </si>
  <si>
    <t xml:space="preserve">WTX-00106</t>
  </si>
  <si>
    <t xml:space="preserve">TASK-1200</t>
  </si>
  <si>
    <t xml:space="preserve">WTX-00107</t>
  </si>
  <si>
    <t xml:space="preserve">WTX-00108</t>
  </si>
  <si>
    <t xml:space="preserve">WTX-00109</t>
  </si>
  <si>
    <t xml:space="preserve">REF-0015</t>
  </si>
  <si>
    <t xml:space="preserve">WTX-00110</t>
  </si>
  <si>
    <t xml:space="preserve">TASK-1230</t>
  </si>
  <si>
    <t xml:space="preserve">WTX-00111</t>
  </si>
  <si>
    <t xml:space="preserve">WTX-00112</t>
  </si>
  <si>
    <t xml:space="preserve">TASK-1204</t>
  </si>
  <si>
    <t xml:space="preserve">WTX-00113</t>
  </si>
  <si>
    <t xml:space="preserve">TASK-1052</t>
  </si>
  <si>
    <t xml:space="preserve">WTX-00114</t>
  </si>
  <si>
    <t xml:space="preserve">TASK-1119</t>
  </si>
  <si>
    <t xml:space="preserve">WTX-00115</t>
  </si>
  <si>
    <t xml:space="preserve">WTX-00116</t>
  </si>
  <si>
    <t xml:space="preserve">TASK-1108</t>
  </si>
  <si>
    <t xml:space="preserve">WTX-00117</t>
  </si>
  <si>
    <t xml:space="preserve">TASK-1158</t>
  </si>
  <si>
    <t xml:space="preserve">WTX-00118</t>
  </si>
  <si>
    <t xml:space="preserve">TASK-1079</t>
  </si>
  <si>
    <t xml:space="preserve">WTX-00119</t>
  </si>
  <si>
    <t xml:space="preserve">TASK-1033</t>
  </si>
  <si>
    <t xml:space="preserve">WTX-00120</t>
  </si>
  <si>
    <t xml:space="preserve">TASK-1046</t>
  </si>
  <si>
    <t xml:space="preserve">WTX-00121</t>
  </si>
  <si>
    <t xml:space="preserve">REF-0020</t>
  </si>
  <si>
    <t xml:space="preserve">WTX-00122</t>
  </si>
  <si>
    <t xml:space="preserve">WTX-00123</t>
  </si>
  <si>
    <t xml:space="preserve">TASK-1047</t>
  </si>
  <si>
    <t xml:space="preserve">WTX-00124</t>
  </si>
  <si>
    <t xml:space="preserve">WTX-00125</t>
  </si>
  <si>
    <t xml:space="preserve">TASK-1116</t>
  </si>
  <si>
    <t xml:space="preserve">WTX-00126</t>
  </si>
  <si>
    <t xml:space="preserve">TASK-1199</t>
  </si>
  <si>
    <t xml:space="preserve">WTX-00127</t>
  </si>
  <si>
    <t xml:space="preserve">TASK-1125</t>
  </si>
  <si>
    <t xml:space="preserve">WTX-00128</t>
  </si>
  <si>
    <t xml:space="preserve">WTX-00129</t>
  </si>
  <si>
    <t xml:space="preserve">TASK-1223</t>
  </si>
  <si>
    <t xml:space="preserve">WTX-00130</t>
  </si>
  <si>
    <t xml:space="preserve">WTX-00131</t>
  </si>
  <si>
    <t xml:space="preserve">TASK-1147</t>
  </si>
  <si>
    <t xml:space="preserve">WTX-00132</t>
  </si>
  <si>
    <t xml:space="preserve">TASK-1048</t>
  </si>
  <si>
    <t xml:space="preserve">WTX-00133</t>
  </si>
  <si>
    <t xml:space="preserve">TASK-1029</t>
  </si>
  <si>
    <t xml:space="preserve">WTX-00134</t>
  </si>
  <si>
    <t xml:space="preserve">TASK-1151</t>
  </si>
  <si>
    <t xml:space="preserve">WTX-00135</t>
  </si>
  <si>
    <t xml:space="preserve">WTX-00136</t>
  </si>
  <si>
    <t xml:space="preserve">WTX-00137</t>
  </si>
  <si>
    <t xml:space="preserve">TASK-1016</t>
  </si>
  <si>
    <t xml:space="preserve">WTX-00138</t>
  </si>
  <si>
    <t xml:space="preserve">TASK-1131</t>
  </si>
  <si>
    <t xml:space="preserve">WTX-00139</t>
  </si>
  <si>
    <t xml:space="preserve">WTX-00140</t>
  </si>
  <si>
    <t xml:space="preserve">TASK-1179</t>
  </si>
  <si>
    <t xml:space="preserve">WTX-00141</t>
  </si>
  <si>
    <t xml:space="preserve">TASK-1054</t>
  </si>
  <si>
    <t xml:space="preserve">WTX-00142</t>
  </si>
  <si>
    <t xml:space="preserve">WTX-00143</t>
  </si>
  <si>
    <t xml:space="preserve">TASK-1053</t>
  </si>
  <si>
    <t xml:space="preserve">WTX-00144</t>
  </si>
  <si>
    <t xml:space="preserve">TASK-1140</t>
  </si>
  <si>
    <t xml:space="preserve">WTX-00145</t>
  </si>
  <si>
    <t xml:space="preserve">WTX-00146</t>
  </si>
  <si>
    <t xml:space="preserve">WTX-00147</t>
  </si>
  <si>
    <t xml:space="preserve">REF-0008</t>
  </si>
  <si>
    <t xml:space="preserve">WTX-00148</t>
  </si>
  <si>
    <t xml:space="preserve">TASK-1185</t>
  </si>
  <si>
    <t xml:space="preserve">WTX-00149</t>
  </si>
  <si>
    <t xml:space="preserve">TASK-1173</t>
  </si>
  <si>
    <t xml:space="preserve">WTX-00150</t>
  </si>
  <si>
    <t xml:space="preserve">WTX-00151</t>
  </si>
  <si>
    <t xml:space="preserve">TASK-1162</t>
  </si>
  <si>
    <t xml:space="preserve">WTX-00152</t>
  </si>
  <si>
    <t xml:space="preserve">REF-0018</t>
  </si>
  <si>
    <t xml:space="preserve">WTX-00153</t>
  </si>
  <si>
    <t xml:space="preserve">TASK-1142</t>
  </si>
  <si>
    <t xml:space="preserve">WTX-00154</t>
  </si>
  <si>
    <t xml:space="preserve">WTX-00155</t>
  </si>
  <si>
    <t xml:space="preserve">WTX-00156</t>
  </si>
  <si>
    <t xml:space="preserve">WTX-00157</t>
  </si>
  <si>
    <t xml:space="preserve">TASK-1101</t>
  </si>
  <si>
    <t xml:space="preserve">WTX-00158</t>
  </si>
  <si>
    <t xml:space="preserve">WTX-00159</t>
  </si>
  <si>
    <t xml:space="preserve">TASK-1057</t>
  </si>
  <si>
    <t xml:space="preserve">WTX-00160</t>
  </si>
  <si>
    <t xml:space="preserve">WTX-00161</t>
  </si>
  <si>
    <t xml:space="preserve">TASK-1228</t>
  </si>
  <si>
    <t xml:space="preserve">WTX-00162</t>
  </si>
  <si>
    <t xml:space="preserve">WTX-00163</t>
  </si>
  <si>
    <t xml:space="preserve">TASK-1059</t>
  </si>
  <si>
    <t xml:space="preserve">WTX-00164</t>
  </si>
  <si>
    <t xml:space="preserve">REF-0050</t>
  </si>
  <si>
    <t xml:space="preserve">WTX-00165</t>
  </si>
  <si>
    <t xml:space="preserve">TASK-1093</t>
  </si>
  <si>
    <t xml:space="preserve">WTX-00166</t>
  </si>
  <si>
    <t xml:space="preserve">WTX-00167</t>
  </si>
  <si>
    <t xml:space="preserve">TASK-1175</t>
  </si>
  <si>
    <t xml:space="preserve">WTX-00168</t>
  </si>
  <si>
    <t xml:space="preserve">TASK-1050</t>
  </si>
  <si>
    <t xml:space="preserve">WTX-00169</t>
  </si>
  <si>
    <t xml:space="preserve">TASK-1152</t>
  </si>
  <si>
    <t xml:space="preserve">WTX-00170</t>
  </si>
  <si>
    <t xml:space="preserve">TASK-1084</t>
  </si>
  <si>
    <t xml:space="preserve">WTX-00171</t>
  </si>
  <si>
    <t xml:space="preserve">WTX-00172</t>
  </si>
  <si>
    <t xml:space="preserve">REF-0051</t>
  </si>
  <si>
    <t xml:space="preserve">WTX-00173</t>
  </si>
  <si>
    <t xml:space="preserve">TASK-1097</t>
  </si>
  <si>
    <t xml:space="preserve">WTX-00174</t>
  </si>
  <si>
    <t xml:space="preserve">WTX-00175</t>
  </si>
  <si>
    <t xml:space="preserve">REF-0021</t>
  </si>
  <si>
    <t xml:space="preserve">WTX-00176</t>
  </si>
  <si>
    <t xml:space="preserve">WTX-00177</t>
  </si>
  <si>
    <t xml:space="preserve">REF-0007</t>
  </si>
  <si>
    <t xml:space="preserve">WTX-00178</t>
  </si>
  <si>
    <t xml:space="preserve">WTX-00179</t>
  </si>
  <si>
    <t xml:space="preserve">TASK-1006</t>
  </si>
  <si>
    <t xml:space="preserve">WTX-00180</t>
  </si>
  <si>
    <t xml:space="preserve">TASK-1042</t>
  </si>
  <si>
    <t xml:space="preserve">WTX-00181</t>
  </si>
  <si>
    <t xml:space="preserve">TASK-1184</t>
  </si>
  <si>
    <t xml:space="preserve">WTX-00182</t>
  </si>
  <si>
    <t xml:space="preserve">TASK-1226</t>
  </si>
  <si>
    <t xml:space="preserve">WTX-00183</t>
  </si>
  <si>
    <t xml:space="preserve">TASK-1018</t>
  </si>
  <si>
    <t xml:space="preserve">WTX-00184</t>
  </si>
  <si>
    <t xml:space="preserve">REF-0054</t>
  </si>
  <si>
    <t xml:space="preserve">WTX-00185</t>
  </si>
  <si>
    <t xml:space="preserve">TASK-1193</t>
  </si>
  <si>
    <t xml:space="preserve">WTX-00186</t>
  </si>
  <si>
    <t xml:space="preserve">REF-0024</t>
  </si>
  <si>
    <t xml:space="preserve">WTX-00187</t>
  </si>
  <si>
    <t xml:space="preserve">TASK-1008</t>
  </si>
  <si>
    <t xml:space="preserve">WTX-00188</t>
  </si>
  <si>
    <t xml:space="preserve">TASK-1089</t>
  </si>
  <si>
    <t xml:space="preserve">WTX-00189</t>
  </si>
  <si>
    <t xml:space="preserve">TASK-1040</t>
  </si>
  <si>
    <t xml:space="preserve">WTX-00190</t>
  </si>
  <si>
    <t xml:space="preserve">TASK-1205</t>
  </si>
  <si>
    <t xml:space="preserve">WTX-00191</t>
  </si>
  <si>
    <t xml:space="preserve">WTX-00192</t>
  </si>
  <si>
    <t xml:space="preserve">TASK-1161</t>
  </si>
  <si>
    <t xml:space="preserve">WTX-00193</t>
  </si>
  <si>
    <t xml:space="preserve">WTX-00194</t>
  </si>
  <si>
    <t xml:space="preserve">TASK-1031</t>
  </si>
  <si>
    <t xml:space="preserve">WTX-00195</t>
  </si>
  <si>
    <t xml:space="preserve">WTX-00196</t>
  </si>
  <si>
    <t xml:space="preserve">WTX-00197</t>
  </si>
  <si>
    <t xml:space="preserve">WTX-00198</t>
  </si>
  <si>
    <t xml:space="preserve">WTX-00199</t>
  </si>
  <si>
    <t xml:space="preserve">REF-0037</t>
  </si>
  <si>
    <t xml:space="preserve">WTX-00200</t>
  </si>
  <si>
    <t xml:space="preserve">ADJ-001</t>
  </si>
  <si>
    <t xml:space="preserve">WTX-00201</t>
  </si>
  <si>
    <t xml:space="preserve">WTX-00202</t>
  </si>
  <si>
    <t xml:space="preserve">TASK-1078</t>
  </si>
  <si>
    <t xml:space="preserve">WTX-00203</t>
  </si>
  <si>
    <t xml:space="preserve">TASK-1145</t>
  </si>
  <si>
    <t xml:space="preserve">WTX-00204</t>
  </si>
  <si>
    <t xml:space="preserve">Reversal</t>
  </si>
  <si>
    <t xml:space="preserve">System</t>
  </si>
  <si>
    <t xml:space="preserve">Reverses</t>
  </si>
  <si>
    <t xml:space="preserve">WTX-00205</t>
  </si>
  <si>
    <t xml:space="preserve">TASK-1163</t>
  </si>
  <si>
    <t xml:space="preserve">WTX-00206</t>
  </si>
  <si>
    <t xml:space="preserve">WTX-00207</t>
  </si>
  <si>
    <t xml:space="preserve">REF-0040</t>
  </si>
  <si>
    <t xml:space="preserve">WTX-00208</t>
  </si>
  <si>
    <t xml:space="preserve">WTX-00209</t>
  </si>
  <si>
    <t xml:space="preserve">WTX-00210</t>
  </si>
  <si>
    <t xml:space="preserve">REF-0043</t>
  </si>
  <si>
    <t xml:space="preserve">WTX-00211</t>
  </si>
  <si>
    <t xml:space="preserve">TASK-1039</t>
  </si>
  <si>
    <t xml:space="preserve">WTX-00212</t>
  </si>
  <si>
    <t xml:space="preserve">TASK-1027</t>
  </si>
  <si>
    <t xml:space="preserve">WTX-00213</t>
  </si>
  <si>
    <t xml:space="preserve">ADJ-009</t>
  </si>
  <si>
    <t xml:space="preserve">WTX-00214</t>
  </si>
  <si>
    <t xml:space="preserve">TASK-1137</t>
  </si>
  <si>
    <t xml:space="preserve">WTX-00215</t>
  </si>
  <si>
    <t xml:space="preserve">TASK-1186</t>
  </si>
  <si>
    <t xml:space="preserve">WTX-00216</t>
  </si>
  <si>
    <t xml:space="preserve">WTX-00217</t>
  </si>
  <si>
    <t xml:space="preserve">WTX-00218</t>
  </si>
  <si>
    <t xml:space="preserve">REF-0002</t>
  </si>
  <si>
    <t xml:space="preserve">WTX-00219</t>
  </si>
  <si>
    <t xml:space="preserve">TASK-1106</t>
  </si>
  <si>
    <t xml:space="preserve">WTX-00220</t>
  </si>
  <si>
    <t xml:space="preserve">WTX-00221</t>
  </si>
  <si>
    <t xml:space="preserve">WTX-00222</t>
  </si>
  <si>
    <t xml:space="preserve">TASK-1244</t>
  </si>
  <si>
    <t xml:space="preserve">WTX-00223</t>
  </si>
  <si>
    <t xml:space="preserve">WTX-00224</t>
  </si>
  <si>
    <t xml:space="preserve">TASK-1080</t>
  </si>
  <si>
    <t xml:space="preserve">WTX-00225</t>
  </si>
  <si>
    <t xml:space="preserve">REF-0048</t>
  </si>
  <si>
    <t xml:space="preserve">WTX-00226</t>
  </si>
  <si>
    <t xml:space="preserve">TASK-1067</t>
  </si>
  <si>
    <t xml:space="preserve">WTX-00227</t>
  </si>
  <si>
    <t xml:space="preserve">TASK-1213</t>
  </si>
  <si>
    <t xml:space="preserve">WTX-00228</t>
  </si>
  <si>
    <t xml:space="preserve">REF-0009</t>
  </si>
  <si>
    <t xml:space="preserve">WTX-00229</t>
  </si>
  <si>
    <t xml:space="preserve">WTX-00230</t>
  </si>
  <si>
    <t xml:space="preserve">WTX-00231</t>
  </si>
  <si>
    <t xml:space="preserve">TASK-1229</t>
  </si>
  <si>
    <t xml:space="preserve">WTX-00232</t>
  </si>
  <si>
    <t xml:space="preserve">WTX-00233</t>
  </si>
  <si>
    <t xml:space="preserve">TASK-1178</t>
  </si>
  <si>
    <t xml:space="preserve">WTX-00234</t>
  </si>
  <si>
    <t xml:space="preserve">TASK-1021</t>
  </si>
  <si>
    <t xml:space="preserve">WTX-00235</t>
  </si>
  <si>
    <t xml:space="preserve">TASK-1136</t>
  </si>
  <si>
    <t xml:space="preserve">WTX-00236</t>
  </si>
  <si>
    <t xml:space="preserve">TASK-1246</t>
  </si>
  <si>
    <t xml:space="preserve">WTX-00237</t>
  </si>
  <si>
    <t xml:space="preserve">TASK-1032</t>
  </si>
  <si>
    <t xml:space="preserve">WTX-00238</t>
  </si>
  <si>
    <t xml:space="preserve">TASK-1156</t>
  </si>
  <si>
    <t xml:space="preserve">WTX-00239</t>
  </si>
  <si>
    <t xml:space="preserve">TASK-1015</t>
  </si>
  <si>
    <t xml:space="preserve">WTX-00240</t>
  </si>
  <si>
    <t xml:space="preserve">TASK-1121</t>
  </si>
  <si>
    <t xml:space="preserve">WTX-00241</t>
  </si>
  <si>
    <t xml:space="preserve">WTX-00242</t>
  </si>
  <si>
    <t xml:space="preserve">Pending</t>
  </si>
  <si>
    <t xml:space="preserve">TASK-1250</t>
  </si>
  <si>
    <t xml:space="preserve">WTX-00243</t>
  </si>
  <si>
    <t xml:space="preserve">WTX-00244</t>
  </si>
  <si>
    <t xml:space="preserve">TASK-1129</t>
  </si>
  <si>
    <t xml:space="preserve">WTX-00245</t>
  </si>
  <si>
    <t xml:space="preserve">TASK-1066</t>
  </si>
  <si>
    <t xml:space="preserve">WTX-00246</t>
  </si>
  <si>
    <t xml:space="preserve">TASK-1236</t>
  </si>
  <si>
    <t xml:space="preserve">WTX-00247</t>
  </si>
  <si>
    <t xml:space="preserve">TASK-1065</t>
  </si>
  <si>
    <t xml:space="preserve">WTX-00248</t>
  </si>
  <si>
    <t xml:space="preserve">WTX-00249</t>
  </si>
  <si>
    <t xml:space="preserve">REF-0057</t>
  </si>
  <si>
    <t xml:space="preserve">WTX-00250</t>
  </si>
  <si>
    <t xml:space="preserve">TASK-1002</t>
  </si>
  <si>
    <t xml:space="preserve">WTX-00251</t>
  </si>
  <si>
    <t xml:space="preserve">WTX-00252</t>
  </si>
  <si>
    <t xml:space="preserve">WTX-00253</t>
  </si>
  <si>
    <t xml:space="preserve">TASK-1090</t>
  </si>
  <si>
    <t xml:space="preserve">WTX-00254</t>
  </si>
  <si>
    <t xml:space="preserve">WTX-00255</t>
  </si>
  <si>
    <t xml:space="preserve">TASK-1171</t>
  </si>
  <si>
    <t xml:space="preserve">WTX-00256</t>
  </si>
  <si>
    <t xml:space="preserve">TASK-1146</t>
  </si>
  <si>
    <t xml:space="preserve">WTX-00257</t>
  </si>
  <si>
    <t xml:space="preserve">TASK-1202</t>
  </si>
  <si>
    <t xml:space="preserve">WTX-00258</t>
  </si>
  <si>
    <t xml:space="preserve">TASK-1107</t>
  </si>
  <si>
    <t xml:space="preserve">WTX-00259</t>
  </si>
  <si>
    <t xml:space="preserve">TASK-1148</t>
  </si>
  <si>
    <t xml:space="preserve">WTX-00260</t>
  </si>
  <si>
    <t xml:space="preserve">WTX-00261</t>
  </si>
  <si>
    <t xml:space="preserve">WTX-00262</t>
  </si>
  <si>
    <t xml:space="preserve">WTX-00263</t>
  </si>
  <si>
    <t xml:space="preserve">TASK-1238</t>
  </si>
  <si>
    <t xml:space="preserve">WTX-00264</t>
  </si>
  <si>
    <t xml:space="preserve">TASK-1043</t>
  </si>
  <si>
    <t xml:space="preserve">WTX-00265</t>
  </si>
  <si>
    <t xml:space="preserve">REF-0027</t>
  </si>
  <si>
    <t xml:space="preserve">WTX-00266</t>
  </si>
  <si>
    <t xml:space="preserve">TASK-1227</t>
  </si>
  <si>
    <t xml:space="preserve">WTX-00267</t>
  </si>
  <si>
    <t xml:space="preserve">TASK-1094</t>
  </si>
  <si>
    <t xml:space="preserve">WTX-00268</t>
  </si>
  <si>
    <t xml:space="preserve">WTX-00269</t>
  </si>
  <si>
    <t xml:space="preserve">TASK-1210</t>
  </si>
  <si>
    <t xml:space="preserve">WTX-00270</t>
  </si>
  <si>
    <t xml:space="preserve">TASK-1114</t>
  </si>
  <si>
    <t xml:space="preserve">WTX-00271</t>
  </si>
  <si>
    <t xml:space="preserve">WTX-00272</t>
  </si>
  <si>
    <t xml:space="preserve">WTX-00273</t>
  </si>
  <si>
    <t xml:space="preserve">Failed</t>
  </si>
  <si>
    <t xml:space="preserve">TASK-1251</t>
  </si>
  <si>
    <t xml:space="preserve">WTX-00274</t>
  </si>
  <si>
    <t xml:space="preserve">TASK-1091</t>
  </si>
  <si>
    <t xml:space="preserve">WTX-00275</t>
  </si>
  <si>
    <t xml:space="preserve">WTX-00276</t>
  </si>
  <si>
    <t xml:space="preserve">WTX-00277</t>
  </si>
  <si>
    <t xml:space="preserve">REF-0042</t>
  </si>
  <si>
    <t xml:space="preserve">WTX-00278</t>
  </si>
  <si>
    <t xml:space="preserve">TASK-1166</t>
  </si>
  <si>
    <t xml:space="preserve">WTX-00279</t>
  </si>
  <si>
    <t xml:space="preserve">WTX-00280</t>
  </si>
  <si>
    <t xml:space="preserve">WTX-00281</t>
  </si>
  <si>
    <t xml:space="preserve">WTX-00282</t>
  </si>
  <si>
    <t xml:space="preserve">TASK-1249</t>
  </si>
  <si>
    <t xml:space="preserve">WTX-00283</t>
  </si>
  <si>
    <t xml:space="preserve">TASK-1135</t>
  </si>
  <si>
    <t xml:space="preserve">WTX-00284</t>
  </si>
  <si>
    <t xml:space="preserve">Voided</t>
  </si>
  <si>
    <t xml:space="preserve">TASK-1252</t>
  </si>
  <si>
    <t xml:space="preserve">WTX-00285</t>
  </si>
  <si>
    <t xml:space="preserve">TASK-1086</t>
  </si>
  <si>
    <t xml:space="preserve">WTX-00286</t>
  </si>
  <si>
    <t xml:space="preserve">TASK-1208</t>
  </si>
  <si>
    <t xml:space="preserve">WTX-00287</t>
  </si>
  <si>
    <t xml:space="preserve">WTX-00288</t>
  </si>
  <si>
    <t xml:space="preserve">WTX-00289</t>
  </si>
  <si>
    <t xml:space="preserve">Wallet Balances by User (Posted transactions only)</t>
  </si>
  <si>
    <t xml:space="preserve">All formulas. Add a user ID in column A and copy the row down. A negative balance means the ledger is inconsistent.</t>
  </si>
  <si>
    <t xml:space="preserve">Reward Credits</t>
  </si>
  <si>
    <t xml:space="preserve">Redemptions</t>
  </si>
  <si>
    <t xml:space="preserve">Reversals</t>
  </si>
  <si>
    <t xml:space="preserve">Adjustments</t>
  </si>
  <si>
    <t xml:space="preserve">Other Types</t>
  </si>
  <si>
    <t xml:space="preserve">Wallet Balance</t>
  </si>
  <si>
    <t xml:space="preserve">Pending Withdrawal Amount</t>
  </si>
  <si>
    <t xml:space="preserve">Balance Flag</t>
  </si>
  <si>
    <t xml:space="preserve">Check: total balance minus sum of Posted signed amounts (should be 0)</t>
  </si>
  <si>
    <t xml:space="preserve">Daily Withdrawal &amp; Wallet Operations</t>
  </si>
  <si>
    <t xml:space="preserve">All formulas. Stage counts use the date each timestamp occurred. Backlog = requested on/before day end and not yet in a terminal state at day end.</t>
  </si>
  <si>
    <t xml:space="preserve">Requests Created</t>
  </si>
  <si>
    <t xml:space="preserve">Completed Amount</t>
  </si>
  <si>
    <t xml:space="preserve">Backlog at End of Day</t>
  </si>
  <si>
    <t xml:space="preserve">Cumulative Requests</t>
  </si>
  <si>
    <t xml:space="preserve">Reward Credits Issued</t>
  </si>
  <si>
    <t xml:space="preserve">Redemptions Posted</t>
  </si>
  <si>
    <t xml:space="preserve">Net Wallet Movement</t>
  </si>
  <si>
    <t xml:space="preserve">Wallet Transaction Type Catalogue</t>
  </si>
  <si>
    <t xml:space="preserve">Support Status: 'Supported' = confirmed live in VELOOP's ledger; 'Proposed' = not confirmed / new. The four core types come from the brief and are marked Supported ONLY as an assumption - verify and record who confirmed in column F.</t>
  </si>
  <si>
    <t xml:space="preserve">Typical Source</t>
  </si>
  <si>
    <t xml:space="preserve">Verified With (owner / date)</t>
  </si>
  <si>
    <t xml:space="preserve">Supported</t>
  </si>
  <si>
    <t xml:space="preserve">Credit</t>
  </si>
  <si>
    <t xml:space="preserve">Points/value added to the wallet as a reward (task, referral, campaign).</t>
  </si>
  <si>
    <t xml:space="preserve">Task Reward, Referral Reward, Campaign Bonus</t>
  </si>
  <si>
    <t xml:space="preserve">Amount must be &gt; 0.</t>
  </si>
  <si>
    <t xml:space="preserve">Debit</t>
  </si>
  <si>
    <t xml:space="preserve">Wallet value spent or withdrawn. Withdrawals link here via Reference ID = Withdrawal ID.</t>
  </si>
  <si>
    <t xml:space="preserve">Amount must be &lt; 0.</t>
  </si>
  <si>
    <t xml:space="preserve">Either</t>
  </si>
  <si>
    <t xml:space="preserve">Cancels a previous transaction in full. Must link to the original via Related Transaction ID.</t>
  </si>
  <si>
    <t xml:space="preserve">System, Admin Console</t>
  </si>
  <si>
    <t xml:space="preserve">Amount = minus original amount.</t>
  </si>
  <si>
    <t xml:space="preserve">Manual or system correction of a balance; link to the corrected transaction where one exists.</t>
  </si>
  <si>
    <t xml:space="preserve">Needs reason in Reference ID.</t>
  </si>
  <si>
    <t xml:space="preserve">Withdrawal Hold</t>
  </si>
  <si>
    <t xml:space="preserve">Proposed</t>
  </si>
  <si>
    <t xml:space="preserve">Temporarily reserves funds when a withdrawal is requested.</t>
  </si>
  <si>
    <t xml:space="preserve">Only needed if debit happens at request time.</t>
  </si>
  <si>
    <t xml:space="preserve">Hold Release</t>
  </si>
  <si>
    <t xml:space="preserve">Releases a hold when a withdrawal is rejected or cancelled.</t>
  </si>
  <si>
    <t xml:space="preserve">Pairs with Withdrawal Hold.</t>
  </si>
  <si>
    <t xml:space="preserve">Fee / Charge</t>
  </si>
  <si>
    <t xml:space="preserve">Processing or service fee on a withdrawal.</t>
  </si>
  <si>
    <t xml:space="preserve">Only if fees exist.</t>
  </si>
  <si>
    <t xml:space="preserve">Expiry</t>
  </si>
  <si>
    <t xml:space="preserve">Removal of unused value after an expiry period.</t>
  </si>
  <si>
    <t xml:space="preserve">Only if expiry rules exist.</t>
  </si>
  <si>
    <t xml:space="preserve">Withdrawal Lifecycle, Reason Categories &amp; Methods</t>
  </si>
  <si>
    <t xml:space="preserve">Flow: Requested -&gt; Under Review -&gt; Processing -&gt; Completed.  Alternative end states: Rejected, Reversed, Cancelled (Proposed).</t>
  </si>
  <si>
    <t xml:space="preserve">State</t>
  </si>
  <si>
    <t xml:space="preserve">State Type</t>
  </si>
  <si>
    <t xml:space="preserve">Timestamp Evidence</t>
  </si>
  <si>
    <t xml:space="preserve">Allowed Next States</t>
  </si>
  <si>
    <t xml:space="preserve">KPI Treatment</t>
  </si>
  <si>
    <t xml:space="preserve">Open (pending)</t>
  </si>
  <si>
    <t xml:space="preserve">User submitted the request; no review has started.</t>
  </si>
  <si>
    <t xml:space="preserve">Requested Timestamp only</t>
  </si>
  <si>
    <t xml:space="preserve">Under Review, Processing, Rejected, Cancelled</t>
  </si>
  <si>
    <t xml:space="preserve">In pending queue.</t>
  </si>
  <si>
    <t xml:space="preserve">Manual or automated checks (balance, verification, fraud) in progress.</t>
  </si>
  <si>
    <t xml:space="preserve">Processing Timestamp = review start; Final blank</t>
  </si>
  <si>
    <t xml:space="preserve">Processing, Rejected</t>
  </si>
  <si>
    <t xml:space="preserve">Approved and being paid out through the chosen method.</t>
  </si>
  <si>
    <t xml:space="preserve">Processing Timestamp set; Final blank</t>
  </si>
  <si>
    <t xml:space="preserve">Completed, Rejected, Reversed</t>
  </si>
  <si>
    <t xml:space="preserve">Final (success)</t>
  </si>
  <si>
    <t xml:space="preserve">Payout delivered to the user.</t>
  </si>
  <si>
    <t xml:space="preserve">Final Timestamp = payout time</t>
  </si>
  <si>
    <t xml:space="preserve">Counts toward completion rate, volume and processing time.</t>
  </si>
  <si>
    <t xml:space="preserve">Final (failure)</t>
  </si>
  <si>
    <t xml:space="preserve">Request denied; no payout. Reason category required.</t>
  </si>
  <si>
    <t xml:space="preserve">Final Timestamp = decision time</t>
  </si>
  <si>
    <t xml:space="preserve">-</t>
  </si>
  <si>
    <t xml:space="preserve">Counts toward rejection rate; no wallet movement.</t>
  </si>
  <si>
    <t xml:space="preserve">Final (clawback)</t>
  </si>
  <si>
    <t xml:space="preserve">Payout was made/attempted but later undone and funds returned. Reason category required.</t>
  </si>
  <si>
    <t xml:space="preserve">Final Timestamp = reversal time</t>
  </si>
  <si>
    <t xml:space="preserve">Excluded from Completed; counts toward reversal rate; wallet Reversal required.</t>
  </si>
  <si>
    <t xml:space="preserve">Final (user)</t>
  </si>
  <si>
    <t xml:space="preserve">User withdrew the request before payout.</t>
  </si>
  <si>
    <t xml:space="preserve">Final Timestamp = cancel time</t>
  </si>
  <si>
    <t xml:space="preserve">Excluded from completion/rejection rates.</t>
  </si>
  <si>
    <t xml:space="preserve">Applies To</t>
  </si>
  <si>
    <t xml:space="preserve">Wallet balance below requested amount.</t>
  </si>
  <si>
    <t xml:space="preserve">Identity / account verification not passed.</t>
  </si>
  <si>
    <t xml:space="preserve">Rejected, Reversed</t>
  </si>
  <si>
    <t xml:space="preserve">Fraud or abuse signal on the user or request.</t>
  </si>
  <si>
    <t xml:space="preserve">Below minimum or above allowed withdrawal limit.</t>
  </si>
  <si>
    <t xml:space="preserve">Same request submitted more than once.</t>
  </si>
  <si>
    <t xml:space="preserve">Payout provider or method failure; funds returned.</t>
  </si>
  <si>
    <t xml:space="preserve">Cancelled, Reversed</t>
  </si>
  <si>
    <t xml:space="preserve">User asked to cancel or return the payout.</t>
  </si>
  <si>
    <t xml:space="preserve">Any</t>
  </si>
  <si>
    <t xml:space="preserve">None of the above - add detail in notes.</t>
  </si>
  <si>
    <t xml:space="preserve">Withdrawal Method</t>
  </si>
  <si>
    <t xml:space="preserve">Payout to a bank account.</t>
  </si>
  <si>
    <t xml:space="preserve">Payout to a third-party digital wallet.</t>
  </si>
  <si>
    <t xml:space="preserve">Payout as voucher / gift card.</t>
  </si>
  <si>
    <t xml:space="preserve">Any other method.</t>
  </si>
  <si>
    <t xml:space="preserve">Orange 'Proposed' = taxonomy created by the analyst for this design; not confirmed as existing in VELOOP. Confirm, then change to Supported.</t>
  </si>
  <si>
    <t xml:space="preserve">Settings, Assumptions &amp; Targets</t>
  </si>
  <si>
    <t xml:space="preserve">Yellow cells are assumptions to confirm with Product / Finance / Engineering. Every formula in the workbook reads from here.</t>
  </si>
  <si>
    <t xml:space="preserve">Parameter</t>
  </si>
  <si>
    <t xml:space="preserve">Reporting Start Date</t>
  </si>
  <si>
    <t xml:space="preserve">First date on Daily_Operations.</t>
  </si>
  <si>
    <t xml:space="preserve">As-of Timestamp</t>
  </si>
  <si>
    <t xml:space="preserve">Used for pending-queue age and daily views. Update on every refresh.</t>
  </si>
  <si>
    <t xml:space="preserve">ASSUMPTION: all amounts are held in one base unit. Replace with VELOOP's real wallet unit.</t>
  </si>
  <si>
    <t xml:space="preserve">Currency value per 1 Base Unit</t>
  </si>
  <si>
    <t xml:space="preserve">ASSUMPTION: illustrative conversion only - confirm with Finance.</t>
  </si>
  <si>
    <t xml:space="preserve">Withdrawal SLA (hours, Requested to Completed)</t>
  </si>
  <si>
    <t xml:space="preserve">ASSUMPTION: placeholder service level.</t>
  </si>
  <si>
    <t xml:space="preserve">Aged-Pending Threshold (hours)</t>
  </si>
  <si>
    <t xml:space="preserve">ASSUMPTION: pending requests older than this are 'aged'.</t>
  </si>
  <si>
    <t xml:space="preserve">Wallet debit timing</t>
  </si>
  <si>
    <t xml:space="preserve">Redemption debit posts when withdrawal = Completed</t>
  </si>
  <si>
    <t xml:space="preserve">ASSUMPTION: Rejected / pending / cancelled withdrawals have no wallet movement. If VELOOP debits at request, add the Proposed 'Withdrawal Hold' type.</t>
  </si>
  <si>
    <t xml:space="preserve">KPI Target (placeholders - not benchmarks)</t>
  </si>
  <si>
    <t xml:space="preserve">Direction</t>
  </si>
  <si>
    <t xml:space="preserve">Completion Rate (Completed / Requests)</t>
  </si>
  <si>
    <t xml:space="preserve">Higher is better</t>
  </si>
  <si>
    <t xml:space="preserve">Rejection Rate (Rejected / Requests)</t>
  </si>
  <si>
    <t xml:space="preserve">Lower is better</t>
  </si>
  <si>
    <t xml:space="preserve">Reversal Rate (Reversed / (Completed + Reversed))</t>
  </si>
  <si>
    <t xml:space="preserve">SLA Compliance (Completed within SLA)</t>
  </si>
  <si>
    <t xml:space="preserve">Average End-to-End Time (hours)</t>
  </si>
  <si>
    <t xml:space="preserve">Aged Pending Requests (count)</t>
  </si>
  <si>
    <t xml:space="preserve">Failed / Voided Wallet Transaction Rate</t>
  </si>
  <si>
    <t xml:space="preserve">D1 - Wallet Transaction Model: Data Dictionary</t>
  </si>
  <si>
    <t xml:space="preserve">Field</t>
  </si>
  <si>
    <t xml:space="preserve">Column (Wallet_Transactions)</t>
  </si>
  <si>
    <t xml:space="preserve">Type</t>
  </si>
  <si>
    <t xml:space="preserve">Required?</t>
  </si>
  <si>
    <t xml:space="preserve">Rule / Example</t>
  </si>
  <si>
    <t xml:space="preserve">Text, unique key</t>
  </si>
  <si>
    <t xml:space="preserve">Yes</t>
  </si>
  <si>
    <t xml:space="preserve">Unique, immutable identifier of one ledger entry.</t>
  </si>
  <si>
    <t xml:space="preserve">WTX-00001. Never reused; corrections create NEW rows.</t>
  </si>
  <si>
    <t xml:space="preserve">Text (FK)</t>
  </si>
  <si>
    <t xml:space="preserve">Wallet owner.</t>
  </si>
  <si>
    <t xml:space="preserve">U001.</t>
  </si>
  <si>
    <t xml:space="preserve">Date-time</t>
  </si>
  <si>
    <t xml:space="preserve">When the entry was recorded in the ledger.</t>
  </si>
  <si>
    <t xml:space="preserve">2026-09-04 10:15.</t>
  </si>
  <si>
    <t xml:space="preserve">List (catalogue)</t>
  </si>
  <si>
    <t xml:space="preserve">Business meaning of the entry. Must exist in Transaction_Types; types not confirmed as live are marked Proposed.</t>
  </si>
  <si>
    <t xml:space="preserve">Reward Credit / Redemption / Reversal / Adjustment (+ Proposed types).</t>
  </si>
  <si>
    <t xml:space="preserve">Amount</t>
  </si>
  <si>
    <t xml:space="preserve">E</t>
  </si>
  <si>
    <t xml:space="preserve">Number (signed)</t>
  </si>
  <si>
    <t xml:space="preserve">Value of the entry. Credits positive, debits negative.</t>
  </si>
  <si>
    <t xml:space="preserve">Reward Credit +200; Redemption -1,000; Reversal = minus the original amount.</t>
  </si>
  <si>
    <t xml:space="preserve">F</t>
  </si>
  <si>
    <t xml:space="preserve">Text</t>
  </si>
  <si>
    <t xml:space="preserve">Unit of the amount. All KPIs assume the base unit in Settings.</t>
  </si>
  <si>
    <t xml:space="preserve">Points.</t>
  </si>
  <si>
    <t xml:space="preserve">G</t>
  </si>
  <si>
    <t xml:space="preserve">List</t>
  </si>
  <si>
    <t xml:space="preserve">Ledger state: Posted (counts toward balance), Pending, Failed, Voided (do not).</t>
  </si>
  <si>
    <t xml:space="preserve">Only Posted entries affect balance.</t>
  </si>
  <si>
    <t xml:space="preserve">H</t>
  </si>
  <si>
    <t xml:space="preserve">Origin of the entry.</t>
  </si>
  <si>
    <t xml:space="preserve">Task Reward, Referral Reward, Campaign Bonus, Withdrawal, Admin Console, System.</t>
  </si>
  <si>
    <t xml:space="preserve">I</t>
  </si>
  <si>
    <t xml:space="preserve">Business object that caused the entry (task, referral, campaign, withdrawal, adjustment).</t>
  </si>
  <si>
    <t xml:space="preserve">Redemption -&gt; Withdrawal ID (links to the Withdrawals sheet).</t>
  </si>
  <si>
    <t xml:space="preserve">Related Transaction ID</t>
  </si>
  <si>
    <t xml:space="preserve">J</t>
  </si>
  <si>
    <t xml:space="preserve">Text (FK to Transaction ID)</t>
  </si>
  <si>
    <t xml:space="preserve">Reversal / correction rows</t>
  </si>
  <si>
    <t xml:space="preserve">The original entry that this row reverses or corrects.</t>
  </si>
  <si>
    <t xml:space="preserve">Reversal row -&gt; original row. Must exist in the same sheet.</t>
  </si>
  <si>
    <t xml:space="preserve">K</t>
  </si>
  <si>
    <t xml:space="preserve">With Related ID</t>
  </si>
  <si>
    <t xml:space="preserve">Reverses = full cancellation; Corrects = partial fix.</t>
  </si>
  <si>
    <t xml:space="preserve">Reverses / Corrects.</t>
  </si>
  <si>
    <t xml:space="preserve">Calculated columns (do not overwrite)</t>
  </si>
  <si>
    <t xml:space="preserve">L Type Support Status</t>
  </si>
  <si>
    <t xml:space="preserve">Looked up from Transaction_Types (Supported / Proposed / Not in catalogue).</t>
  </si>
  <si>
    <t xml:space="preserve">M Expected Direction</t>
  </si>
  <si>
    <t xml:space="preserve">Credit / Debit / Either from the catalogue; drives the sign check.</t>
  </si>
  <si>
    <t xml:space="preserve">N Posted Signed Amount</t>
  </si>
  <si>
    <t xml:space="preserve">Amount if Status = Posted, else 0. Basis for every balance and volume KPI.</t>
  </si>
  <si>
    <t xml:space="preserve">O Times Reversed</t>
  </si>
  <si>
    <t xml:space="preserve">Number of Reverses rows pointing at this entry.</t>
  </si>
  <si>
    <t xml:space="preserve">P Net Effect incl. Linked Rows</t>
  </si>
  <si>
    <t xml:space="preserve">Entry plus all linked reversals/corrections (blank on the linked rows themselves).</t>
  </si>
  <si>
    <t xml:space="preserve">Q Data Check</t>
  </si>
  <si>
    <t xml:space="preserve">OK, or CHECK type / unit / sign / reversal link / reversal amount / correction link.</t>
  </si>
  <si>
    <t xml:space="preserve">R Date</t>
  </si>
  <si>
    <t xml:space="preserve">Calendar date of the timestamp, used for daily KPIs.</t>
  </si>
  <si>
    <t xml:space="preserve">D2 - Withdrawal Lifecycle: Data Dictionary</t>
  </si>
  <si>
    <t xml:space="preserve">Column (Withdrawals)</t>
  </si>
  <si>
    <t xml:space="preserve">Unique identifier of one withdrawal request.</t>
  </si>
  <si>
    <t xml:space="preserve">WD-0001.</t>
  </si>
  <si>
    <t xml:space="preserve">Requesting user.</t>
  </si>
  <si>
    <t xml:space="preserve">Number &gt; 0</t>
  </si>
  <si>
    <t xml:space="preserve">Amount the user asked to withdraw, in Unit.</t>
  </si>
  <si>
    <t xml:space="preserve">1,000.</t>
  </si>
  <si>
    <t xml:space="preserve">Unit of the amount; volume KPIs use the base unit in Settings.</t>
  </si>
  <si>
    <t xml:space="preserve">Payout channel chosen by the user.</t>
  </si>
  <si>
    <t xml:space="preserve">Bank Transfer, E-Wallet, Gift Card, Other (Proposed list).</t>
  </si>
  <si>
    <t xml:space="preserve">When the user submitted the request. Start of the lifecycle.</t>
  </si>
  <si>
    <t xml:space="preserve">Always filled.</t>
  </si>
  <si>
    <t xml:space="preserve">When review/processing starts</t>
  </si>
  <si>
    <t xml:space="preserve">When the request left the queue (review or payout work started).</t>
  </si>
  <si>
    <t xml:space="preserve">&gt;= Requested. Blank while status = Requested (or Cancelled).</t>
  </si>
  <si>
    <t xml:space="preserve">Terminal states only</t>
  </si>
  <si>
    <t xml:space="preserve">When the request reached Completed, Rejected, Reversed or Cancelled.</t>
  </si>
  <si>
    <t xml:space="preserve">&gt;= Processing. Blank for open requests.</t>
  </si>
  <si>
    <t xml:space="preserve">Current lifecycle state (see Withdrawal_Lifecycle).</t>
  </si>
  <si>
    <t xml:space="preserve">Requested, Under Review, Processing, Completed, Rejected, Reversed, Cancelled (Proposed).</t>
  </si>
  <si>
    <t xml:space="preserve">Required for Rejected / Reversed</t>
  </si>
  <si>
    <t xml:space="preserve">Why the request ended in that state (Proposed taxonomy).</t>
  </si>
  <si>
    <t xml:space="preserve">Insufficient Balance, Verification Failed, Suspected Fraud, ...</t>
  </si>
  <si>
    <t xml:space="preserve">K Data Check</t>
  </si>
  <si>
    <t xml:space="preserve">OK, or CHECK status / timestamps / order / reason.</t>
  </si>
  <si>
    <t xml:space="preserve">L Is Pending</t>
  </si>
  <si>
    <t xml:space="preserve">1 when status is Requested, Under Review or Processing.</t>
  </si>
  <si>
    <t xml:space="preserve">M Queue Wait Hrs</t>
  </si>
  <si>
    <t xml:space="preserve">Processing minus Requested, in hours.</t>
  </si>
  <si>
    <t xml:space="preserve">N Processing Hrs</t>
  </si>
  <si>
    <t xml:space="preserve">Final minus Processing, Completed only.</t>
  </si>
  <si>
    <t xml:space="preserve">O End-to-End Hrs</t>
  </si>
  <si>
    <t xml:space="preserve">Final minus Requested, Completed only.</t>
  </si>
  <si>
    <t xml:space="preserve">P SLA Met?</t>
  </si>
  <si>
    <t xml:space="preserve">Yes if End-to-End &lt;= SLA hours (Settings).</t>
  </si>
  <si>
    <t xml:space="preserve">Q Hrs to Rejection</t>
  </si>
  <si>
    <t xml:space="preserve">Final minus Requested, Rejected only.</t>
  </si>
  <si>
    <t xml:space="preserve">R Pending Age Hrs</t>
  </si>
  <si>
    <t xml:space="preserve">As-of time minus Requested for open requests.</t>
  </si>
  <si>
    <t xml:space="preserve">S First Request of User</t>
  </si>
  <si>
    <t xml:space="preserve">1 on the first row of each user; counts unique withdrawing users.</t>
  </si>
  <si>
    <t xml:space="preserve">T Wallet Reconciliation</t>
  </si>
  <si>
    <t xml:space="preserve">Completed needs a Posted Redemption; Reversed needs Redemption + Reversal; others need no debit.</t>
  </si>
  <si>
    <t xml:space="preserve">D3 - KPI Definitions</t>
  </si>
  <si>
    <t xml:space="preserve">Each KPI: Name, Definition, Formula, Data Required, Source, Frequency, Stakeholder Purpose, Limitation. 'Current Value' is live from KPI_Dashboard.</t>
  </si>
  <si>
    <t xml:space="preserve">ID</t>
  </si>
  <si>
    <t xml:space="preserve">KPI Name</t>
  </si>
  <si>
    <t xml:space="preserve">Formula</t>
  </si>
  <si>
    <t xml:space="preserve">Data Required</t>
  </si>
  <si>
    <t xml:space="preserve">Frequency</t>
  </si>
  <si>
    <t xml:space="preserve">Stakeholder Purpose</t>
  </si>
  <si>
    <t xml:space="preserve">Limitation</t>
  </si>
  <si>
    <t xml:space="preserve">Current Value</t>
  </si>
  <si>
    <t xml:space="preserve">KPI-01</t>
  </si>
  <si>
    <t xml:space="preserve">Number of withdrawal requests created.</t>
  </si>
  <si>
    <t xml:space="preserve">COUNT(Withdrawal ID)</t>
  </si>
  <si>
    <t xml:space="preserve">Withdrawal ID, Requested Timestamp</t>
  </si>
  <si>
    <t xml:space="preserve">Withdrawals sheet (production source to be confirmed: withdrawal service / payout provider)</t>
  </si>
  <si>
    <t xml:space="preserve">Daily / Weekly</t>
  </si>
  <si>
    <t xml:space="preserve">Ops &amp; Product: demand for cash-out.</t>
  </si>
  <si>
    <t xml:space="preserve">Includes duplicates and cancelled requests unless filtered.</t>
  </si>
  <si>
    <t xml:space="preserve">KPI-02</t>
  </si>
  <si>
    <t xml:space="preserve">Requests paid out and not reversed.</t>
  </si>
  <si>
    <t xml:space="preserve">COUNT(Status = Completed)</t>
  </si>
  <si>
    <t xml:space="preserve">Status, Final Timestamp</t>
  </si>
  <si>
    <t xml:space="preserve">Ops &amp; Finance: successful payouts.</t>
  </si>
  <si>
    <t xml:space="preserve">A later reversal moves the request out of Completed.</t>
  </si>
  <si>
    <t xml:space="preserve">KPI-03</t>
  </si>
  <si>
    <t xml:space="preserve">Pending Withdrawals (Pending Queue)</t>
  </si>
  <si>
    <t xml:space="preserve">Requests still open.</t>
  </si>
  <si>
    <t xml:space="preserve">COUNT(Status in Requested, Under Review, Processing)</t>
  </si>
  <si>
    <t xml:space="preserve">Daily (snapshot)</t>
  </si>
  <si>
    <t xml:space="preserve">Ops: workload and backlog.</t>
  </si>
  <si>
    <t xml:space="preserve">Point-in-time; must be snapshotted to see history (Daily_Operations backlog does this).</t>
  </si>
  <si>
    <t xml:space="preserve">KPI-04</t>
  </si>
  <si>
    <t xml:space="preserve">Requests denied.</t>
  </si>
  <si>
    <t xml:space="preserve">COUNT(Status = Rejected)</t>
  </si>
  <si>
    <t xml:space="preserve">Status, Reason Category</t>
  </si>
  <si>
    <t xml:space="preserve">Weekly</t>
  </si>
  <si>
    <t xml:space="preserve">Risk &amp; Support: denial volume.</t>
  </si>
  <si>
    <t xml:space="preserve">Reason taxonomy is Proposed; quality depends on reviewers filling it in.</t>
  </si>
  <si>
    <t xml:space="preserve">KPI-05</t>
  </si>
  <si>
    <t xml:space="preserve">Payouts that were undone and funds returned.</t>
  </si>
  <si>
    <t xml:space="preserve">COUNT(Status = Reversed)</t>
  </si>
  <si>
    <t xml:space="preserve">Status, Reason Category, wallet Reversal entry</t>
  </si>
  <si>
    <t xml:space="preserve">Finance &amp; Risk: leakage and failed payouts.</t>
  </si>
  <si>
    <t xml:space="preserve">Original completion time is not stored separately.</t>
  </si>
  <si>
    <t xml:space="preserve">KPI-06</t>
  </si>
  <si>
    <t xml:space="preserve">Share of all requests that completed.</t>
  </si>
  <si>
    <t xml:space="preserve">Completed / Requests</t>
  </si>
  <si>
    <t xml:space="preserve">Product &amp; Ops: payout success.</t>
  </si>
  <si>
    <t xml:space="preserve">Falls while the queue is large, even when nothing is wrong; compare with resolved-basis rate.</t>
  </si>
  <si>
    <t xml:space="preserve">KPI-07</t>
  </si>
  <si>
    <t xml:space="preserve">Completion rate ignoring still-open and cancelled requests.</t>
  </si>
  <si>
    <t xml:space="preserve">Completed / (Completed + Rejected + Reversed)</t>
  </si>
  <si>
    <t xml:space="preserve">Ops: true outcome mix.</t>
  </si>
  <si>
    <t xml:space="preserve">Excludes cancelled and pending; recent periods can still shift.</t>
  </si>
  <si>
    <t xml:space="preserve">KPI-08</t>
  </si>
  <si>
    <t xml:space="preserve">Share of requests rejected.</t>
  </si>
  <si>
    <t xml:space="preserve">Rejected / Requests</t>
  </si>
  <si>
    <t xml:space="preserve">Risk &amp; Support: policy friction, fraud pressure.</t>
  </si>
  <si>
    <t xml:space="preserve">Pending requests dilute the denominator.</t>
  </si>
  <si>
    <t xml:space="preserve">KPI-09</t>
  </si>
  <si>
    <t xml:space="preserve">Share of paid-out withdrawals later reversed.</t>
  </si>
  <si>
    <t xml:space="preserve">Reversed / (Completed + Reversed)</t>
  </si>
  <si>
    <t xml:space="preserve">Weekly / Monthly</t>
  </si>
  <si>
    <t xml:space="preserve">Finance: payout quality and chargeback exposure.</t>
  </si>
  <si>
    <t xml:space="preserve">Reversals can occur long after completion, so recent months look better than they are.</t>
  </si>
  <si>
    <t xml:space="preserve">KPI-10</t>
  </si>
  <si>
    <t xml:space="preserve">Share of completed withdrawals finished within the SLA.</t>
  </si>
  <si>
    <t xml:space="preserve">COUNT(End-to-End Hrs &lt;= SLA) / Completed</t>
  </si>
  <si>
    <t xml:space="preserve">Requested &amp; Final Timestamp, SLA (Settings)</t>
  </si>
  <si>
    <t xml:space="preserve">Ops: service-level adherence.</t>
  </si>
  <si>
    <t xml:space="preserve">SLA hours are an assumption; ignores wait of still-open requests.</t>
  </si>
  <si>
    <t xml:space="preserve">KPI-11</t>
  </si>
  <si>
    <t xml:space="preserve">Average End-to-End Processing Time</t>
  </si>
  <si>
    <t xml:space="preserve">Mean hours from request to completion.</t>
  </si>
  <si>
    <t xml:space="preserve">AVERAGE(Final - Requested) x 24, Completed only</t>
  </si>
  <si>
    <t xml:space="preserve">Requested &amp; Final Timestamp, Status</t>
  </si>
  <si>
    <t xml:space="preserve">Ops: speed of payout.</t>
  </si>
  <si>
    <t xml:space="preserve">Skewed by outliers; excludes open requests (survivorship).</t>
  </si>
  <si>
    <t xml:space="preserve">KPI-12</t>
  </si>
  <si>
    <t xml:space="preserve">Median End-to-End Processing Time</t>
  </si>
  <si>
    <t xml:space="preserve">Middle completion time.</t>
  </si>
  <si>
    <t xml:space="preserve">MEDIAN(Final - Requested) x 24</t>
  </si>
  <si>
    <t xml:space="preserve">Requested &amp; Final Timestamp</t>
  </si>
  <si>
    <t xml:space="preserve">Ops: typical user experience.</t>
  </si>
  <si>
    <t xml:space="preserve">Hides the slow tail - read with P90.</t>
  </si>
  <si>
    <t xml:space="preserve">KPI-13</t>
  </si>
  <si>
    <t xml:space="preserve">P90 End-to-End Processing Time</t>
  </si>
  <si>
    <t xml:space="preserve">Time within which 90% of completed withdrawals finish.</t>
  </si>
  <si>
    <t xml:space="preserve">PERCENTILE(End-to-End Hrs, 0.9)</t>
  </si>
  <si>
    <t xml:space="preserve">Ops &amp; Support: slow-tail visibility.</t>
  </si>
  <si>
    <t xml:space="preserve">Unstable with small sample sizes.</t>
  </si>
  <si>
    <t xml:space="preserve">KPI-14</t>
  </si>
  <si>
    <t xml:space="preserve">Average Queue Wait Time</t>
  </si>
  <si>
    <t xml:space="preserve">Hours a request waits before work starts.</t>
  </si>
  <si>
    <t xml:space="preserve">AVERAGE(Processing - Requested) x 24</t>
  </si>
  <si>
    <t xml:space="preserve">Requested &amp; Processing Timestamp</t>
  </si>
  <si>
    <t xml:space="preserve">Ops: staffing and automation need.</t>
  </si>
  <si>
    <t xml:space="preserve">Needs a reliable Processing Timestamp; excludes requests not yet started.</t>
  </si>
  <si>
    <t xml:space="preserve">KPI-15</t>
  </si>
  <si>
    <t xml:space="preserve">Pending Queue Amount</t>
  </si>
  <si>
    <t xml:space="preserve">Value waiting in the queue.</t>
  </si>
  <si>
    <t xml:space="preserve">SUM(Requested Amount where pending)</t>
  </si>
  <si>
    <t xml:space="preserve">Requested Amount, Status</t>
  </si>
  <si>
    <t xml:space="preserve">Daily</t>
  </si>
  <si>
    <t xml:space="preserve">Finance: near-term cash/liability need.</t>
  </si>
  <si>
    <t xml:space="preserve">Based on requested amount; some requests will be rejected.</t>
  </si>
  <si>
    <t xml:space="preserve">KPI-16</t>
  </si>
  <si>
    <t xml:space="preserve">Oldest Pending Age</t>
  </si>
  <si>
    <t xml:space="preserve">Age of the longest-waiting open request.</t>
  </si>
  <si>
    <t xml:space="preserve">MAX(As-of - Requested) x 24 where pending</t>
  </si>
  <si>
    <t xml:space="preserve">Requested Timestamp, As-of time</t>
  </si>
  <si>
    <t xml:space="preserve">Ops: stuck-request escalation.</t>
  </si>
  <si>
    <t xml:space="preserve">One outlier drives it; read with Aged Pending count.</t>
  </si>
  <si>
    <t xml:space="preserve">KPI-17</t>
  </si>
  <si>
    <t xml:space="preserve">Aged Pending Requests</t>
  </si>
  <si>
    <t xml:space="preserve">Open requests older than the aged threshold.</t>
  </si>
  <si>
    <t xml:space="preserve">COUNT(Pending Age Hrs &gt; threshold)</t>
  </si>
  <si>
    <t xml:space="preserve">Requested Timestamp, Status, threshold (Settings)</t>
  </si>
  <si>
    <t xml:space="preserve">Ops &amp; Support: complaints prevention.</t>
  </si>
  <si>
    <t xml:space="preserve">Threshold is an assumption.</t>
  </si>
  <si>
    <t xml:space="preserve">KPI-18</t>
  </si>
  <si>
    <t xml:space="preserve">Withdrawal Volume (Requested)</t>
  </si>
  <si>
    <t xml:space="preserve">Total value requested.</t>
  </si>
  <si>
    <t xml:space="preserve">SUM(Requested Amount) in base unit</t>
  </si>
  <si>
    <t xml:space="preserve">Requested Amount, Unit</t>
  </si>
  <si>
    <t xml:space="preserve">Finance: cash-out demand and liability.</t>
  </si>
  <si>
    <t xml:space="preserve">Single base unit assumed; mixed units need conversion.</t>
  </si>
  <si>
    <t xml:space="preserve">KPI-19</t>
  </si>
  <si>
    <t xml:space="preserve">Completed Withdrawal Volume</t>
  </si>
  <si>
    <t xml:space="preserve">Value actually paid out and not reversed.</t>
  </si>
  <si>
    <t xml:space="preserve">SUM(Requested Amount where Completed)</t>
  </si>
  <si>
    <t xml:space="preserve">Finance: cost of cash-outs.</t>
  </si>
  <si>
    <t xml:space="preserve">Uses requested amount; fees or partial payouts are not captured.</t>
  </si>
  <si>
    <t xml:space="preserve">KPI-20</t>
  </si>
  <si>
    <t xml:space="preserve">Distinct users who requested a withdrawal.</t>
  </si>
  <si>
    <t xml:space="preserve">COUNT DISTINCT(User ID)</t>
  </si>
  <si>
    <t xml:space="preserve">Product: adoption of cash-out.</t>
  </si>
  <si>
    <t xml:space="preserve">Needs total active users to turn into a rate.</t>
  </si>
  <si>
    <t xml:space="preserve">KPI-21</t>
  </si>
  <si>
    <t xml:space="preserve">Method Distribution</t>
  </si>
  <si>
    <t xml:space="preserve">Split of requests, completion and volume by method.</t>
  </si>
  <si>
    <t xml:space="preserve">Requests per Method / Total Requests</t>
  </si>
  <si>
    <t xml:space="preserve">Method, Status, Amount</t>
  </si>
  <si>
    <t xml:space="preserve">Product &amp; Finance: channel mix and cost.</t>
  </si>
  <si>
    <t xml:space="preserve">Method list is Proposed; small methods give noisy rates.</t>
  </si>
  <si>
    <t xml:space="preserve">KPI-22</t>
  </si>
  <si>
    <t xml:space="preserve">Rejection &amp; Reversal Reason Mix</t>
  </si>
  <si>
    <t xml:space="preserve">Distribution of reason categories.</t>
  </si>
  <si>
    <t xml:space="preserve">COUNT per Reason / Total Rejected + Reversed</t>
  </si>
  <si>
    <t xml:space="preserve">Reason Category, Status</t>
  </si>
  <si>
    <t xml:space="preserve">Monthly</t>
  </si>
  <si>
    <t xml:space="preserve">Risk &amp; Support: root causes.</t>
  </si>
  <si>
    <t xml:space="preserve">Depends on consistent reason capture; 'Other' hides detail.</t>
  </si>
  <si>
    <t xml:space="preserve">KPI-23</t>
  </si>
  <si>
    <t xml:space="preserve">Reward Credit Volume</t>
  </si>
  <si>
    <t xml:space="preserve">SUM(Posted Amount where Reward Credit)</t>
  </si>
  <si>
    <t xml:space="preserve">Amount, Type, Status</t>
  </si>
  <si>
    <t xml:space="preserve">Wallet_Transactions sheet (production source to be confirmed: wallet ledger)</t>
  </si>
  <si>
    <t xml:space="preserve">Finance &amp; Growth: reward cost.</t>
  </si>
  <si>
    <t xml:space="preserve">Posted entries only.</t>
  </si>
  <si>
    <t xml:space="preserve">KPI-24</t>
  </si>
  <si>
    <t xml:space="preserve">Redemption Volume</t>
  </si>
  <si>
    <t xml:space="preserve">Value taken out of wallets.</t>
  </si>
  <si>
    <t xml:space="preserve">-SUM(Posted Amount where Redemption)</t>
  </si>
  <si>
    <t xml:space="preserve">Finance: cash-out cost.</t>
  </si>
  <si>
    <t xml:space="preserve">Timing depends on when debit is posted (assumption in Settings).</t>
  </si>
  <si>
    <t xml:space="preserve">KPI-25</t>
  </si>
  <si>
    <t xml:space="preserve">Outstanding Wallet Balance</t>
  </si>
  <si>
    <t xml:space="preserve">Total value held in user wallets.</t>
  </si>
  <si>
    <t xml:space="preserve">SUM(Posted Signed Amount)</t>
  </si>
  <si>
    <t xml:space="preserve">Amount, Status, all types</t>
  </si>
  <si>
    <t xml:space="preserve">Finance: liability on the balance sheet.</t>
  </si>
  <si>
    <t xml:space="preserve">Complete only if the ledger holds the full history.</t>
  </si>
  <si>
    <t xml:space="preserve">KPI-26</t>
  </si>
  <si>
    <t xml:space="preserve">Reversals relative to credits and redemptions.</t>
  </si>
  <si>
    <t xml:space="preserve">Reversals / (Reward Credits + Redemptions)</t>
  </si>
  <si>
    <t xml:space="preserve">Type, Status</t>
  </si>
  <si>
    <t xml:space="preserve">Risk &amp; Finance: ledger corrections and abuse.</t>
  </si>
  <si>
    <t xml:space="preserve">Counts events, not value.</t>
  </si>
  <si>
    <t xml:space="preserve">KPI-27</t>
  </si>
  <si>
    <t xml:space="preserve">Share of ledger entries that did not post.</t>
  </si>
  <si>
    <t xml:space="preserve">(Failed + Voided) / all transactions</t>
  </si>
  <si>
    <t xml:space="preserve">Engineering: ledger reliability.</t>
  </si>
  <si>
    <t xml:space="preserve">Pending entries may become failed later.</t>
  </si>
  <si>
    <t xml:space="preserve">KPI-28</t>
  </si>
  <si>
    <t xml:space="preserve">Reconciliation Exceptions</t>
  </si>
  <si>
    <t xml:space="preserve">Withdrawals that do not match their wallet entries.</t>
  </si>
  <si>
    <t xml:space="preserve">COUNT(Wallet Reconciliation = CHECK ...)</t>
  </si>
  <si>
    <t xml:space="preserve">Withdrawal ID, Reference ID, Type, Status</t>
  </si>
  <si>
    <t xml:space="preserve">Withdrawals + Wallet_Transactions</t>
  </si>
  <si>
    <t xml:space="preserve">Finance &amp; Engineering: ledger integrity.</t>
  </si>
  <si>
    <t xml:space="preserve">Depends on Reference ID being filled on every wallet entry.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</si>
</sst>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\ hh:mm"/>
    <numFmt numFmtId="166" formatCode="#,##0"/>
    <numFmt numFmtId="167" formatCode="0.0%"/>
    <numFmt numFmtId="168" formatCode="0.0"/>
    <numFmt numFmtId="169" formatCode="#,##0.00"/>
    <numFmt numFmtId="170" formatCode="#,##0;\(#,##0\);\-"/>
    <numFmt numFmtId="171" formatCode="yyyy\-mm\-dd"/>
    <numFmt numFmtId="172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Withdrawals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KPI_Dashboard!$A$5:$A$11</c:f>
              <c:strCache>
                <c:ptCount val="7"/>
                <c:pt idx="0">
                  <c:v>Requested</c:v>
                </c:pt>
                <c:pt idx="1">
                  <c:v>Under Review</c:v>
                </c:pt>
                <c:pt idx="2">
                  <c:v>Processing</c:v>
                </c:pt>
                <c:pt idx="3">
                  <c:v>Completed</c:v>
                </c:pt>
                <c:pt idx="4">
                  <c:v>Rejected</c:v>
                </c:pt>
                <c:pt idx="5">
                  <c:v>Reversed</c:v>
                </c:pt>
                <c:pt idx="6">
                  <c:v>Cancelled</c:v>
                </c:pt>
              </c:strCache>
            </c:strRef>
          </c:cat>
          <c:val>
            <c:numRef>
              <c:f>KPI_Dashboard!$B$5:$B$11</c:f>
              <c:numCache>
                <c:formatCode>#,##0</c:formatCode>
                <c:ptCount val="7"/>
                <c:pt idx="0">
                  <c:v>0</c:v>
                </c:pt>
                <c:pt idx="1">
                  <c:v>9</c:v>
                </c:pt>
                <c:pt idx="2">
                  <c:v>2</c:v>
                </c:pt>
                <c:pt idx="3">
                  <c:v>29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</c:ser>
        <c:gapWidth val="150"/>
        <c:overlap val="0"/>
        <c:axId val="17300006"/>
        <c:axId val="42625754"/>
      </c:barChart>
      <c:catAx>
        <c:axId val="173000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25754"/>
        <c:crosses val="autoZero"/>
        <c:auto val="1"/>
        <c:lblAlgn val="ctr"/>
        <c:lblOffset val="100"/>
        <c:noMultiLvlLbl val="0"/>
      </c:catAx>
      <c:valAx>
        <c:axId val="42625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000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Requests by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KPI_Dashboard!$A$50:$A$53</c:f>
              <c:strCache>
                <c:ptCount val="4"/>
                <c:pt idx="0">
                  <c:v>Bank Transfer</c:v>
                </c:pt>
                <c:pt idx="1">
                  <c:v>E-Wallet</c:v>
                </c:pt>
                <c:pt idx="2">
                  <c:v>Gift Card</c:v>
                </c:pt>
                <c:pt idx="3">
                  <c:v>Other</c:v>
                </c:pt>
              </c:strCache>
            </c:strRef>
          </c:cat>
          <c:val>
            <c:numRef>
              <c:f>KPI_Dashboard!$B$50:$B$53</c:f>
              <c:numCache>
                <c:formatCode>#,##0</c:formatCode>
                <c:ptCount val="4"/>
                <c:pt idx="0">
                  <c:v>23</c:v>
                </c:pt>
                <c:pt idx="1">
                  <c:v>14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52978945"/>
        <c:axId val="90376738"/>
      </c:barChart>
      <c:catAx>
        <c:axId val="529789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76738"/>
        <c:crosses val="autoZero"/>
        <c:auto val="1"/>
        <c:lblAlgn val="ctr"/>
        <c:lblOffset val="100"/>
        <c:noMultiLvlLbl val="0"/>
      </c:catAx>
      <c:valAx>
        <c:axId val="903767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789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Rejection &amp; Reversal Reasons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KPI_Dashboard!$A$57:$A$64</c:f>
              <c:strCache>
                <c:ptCount val="8"/>
                <c:pt idx="0">
                  <c:v>Insufficient Balance</c:v>
                </c:pt>
                <c:pt idx="1">
                  <c:v>Verification Failed</c:v>
                </c:pt>
                <c:pt idx="2">
                  <c:v>Suspected Fraud</c:v>
                </c:pt>
                <c:pt idx="3">
                  <c:v>Limit / Minimum Rule</c:v>
                </c:pt>
                <c:pt idx="4">
                  <c:v>Duplicate Request</c:v>
                </c:pt>
                <c:pt idx="5">
                  <c:v>Payment Failure</c:v>
                </c:pt>
                <c:pt idx="6">
                  <c:v>User Request</c:v>
                </c:pt>
                <c:pt idx="7">
                  <c:v>Other</c:v>
                </c:pt>
              </c:strCache>
            </c:strRef>
          </c:cat>
          <c:val>
            <c:numRef>
              <c:f>KPI_Dashboard!$D$57:$D$64</c:f>
              <c:numCache>
                <c:formatCode>#,##0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79189052"/>
        <c:axId val="9119017"/>
      </c:barChart>
      <c:catAx>
        <c:axId val="791890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9017"/>
        <c:crosses val="autoZero"/>
        <c:auto val="1"/>
        <c:lblAlgn val="ctr"/>
        <c:lblOffset val="100"/>
        <c:noMultiLvlLbl val="0"/>
      </c:catAx>
      <c:valAx>
        <c:axId val="9119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890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Withdrawal Backlog (end of 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Daily_Operations!H4</c:f>
              <c:strCache>
                <c:ptCount val="1"/>
                <c:pt idx="0">
                  <c:v>Backlog at End of Day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Daily_Operations!$A$5:$A$49</c:f>
              <c:strCache>
                <c:ptCount val="45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  <c:pt idx="30">
                  <c:v>2026-10-01</c:v>
                </c:pt>
                <c:pt idx="31">
                  <c:v>2026-10-02</c:v>
                </c:pt>
                <c:pt idx="32">
                  <c:v>2026-10-03</c:v>
                </c:pt>
                <c:pt idx="33">
                  <c:v>2026-10-04</c:v>
                </c:pt>
                <c:pt idx="34">
                  <c:v>2026-10-05</c:v>
                </c:pt>
                <c:pt idx="35">
                  <c:v>2026-10-06</c:v>
                </c:pt>
                <c:pt idx="36">
                  <c:v>2026-10-07</c:v>
                </c:pt>
                <c:pt idx="37">
                  <c:v>2026-10-08</c:v>
                </c:pt>
                <c:pt idx="38">
                  <c:v>2026-10-09</c:v>
                </c:pt>
                <c:pt idx="39">
                  <c:v>2026-10-10</c:v>
                </c:pt>
                <c:pt idx="40">
                  <c:v>2026-10-11</c:v>
                </c:pt>
                <c:pt idx="41">
                  <c:v>2026-10-12</c:v>
                </c:pt>
                <c:pt idx="42">
                  <c:v>2026-10-13</c:v>
                </c:pt>
                <c:pt idx="43">
                  <c:v>2026-10-14</c:v>
                </c:pt>
                <c:pt idx="44">
                  <c:v>2026-10-15</c:v>
                </c:pt>
              </c:strCache>
            </c:strRef>
          </c:cat>
          <c:val>
            <c:numRef>
              <c:f>Daily_Operations!$H$5:$H$49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5</c:v>
                </c:pt>
                <c:pt idx="39">
                  <c:v>5</c:v>
                </c:pt>
                <c:pt idx="40">
                  <c:v>4</c:v>
                </c:pt>
                <c:pt idx="41">
                  <c:v>4</c:v>
                </c:pt>
                <c:pt idx="42">
                  <c:v>6</c:v>
                </c:pt>
                <c:pt idx="43">
                  <c:v>10</c:v>
                </c:pt>
                <c:pt idx="44">
                  <c:v>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137448"/>
        <c:axId val="29175448"/>
      </c:lineChart>
      <c:catAx>
        <c:axId val="67137448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75448"/>
        <c:crosses val="autoZero"/>
        <c:auto val="1"/>
        <c:lblAlgn val="ctr"/>
        <c:lblOffset val="100"/>
        <c:noMultiLvlLbl val="0"/>
      </c:catAx>
      <c:valAx>
        <c:axId val="29175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374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Requests vs Completed per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Daily_Operations!B4</c:f>
              <c:strCache>
                <c:ptCount val="1"/>
                <c:pt idx="0">
                  <c:v>Requests Created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Daily_Operations!$A$5:$A$49</c:f>
              <c:strCache>
                <c:ptCount val="45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  <c:pt idx="30">
                  <c:v>2026-10-01</c:v>
                </c:pt>
                <c:pt idx="31">
                  <c:v>2026-10-02</c:v>
                </c:pt>
                <c:pt idx="32">
                  <c:v>2026-10-03</c:v>
                </c:pt>
                <c:pt idx="33">
                  <c:v>2026-10-04</c:v>
                </c:pt>
                <c:pt idx="34">
                  <c:v>2026-10-05</c:v>
                </c:pt>
                <c:pt idx="35">
                  <c:v>2026-10-06</c:v>
                </c:pt>
                <c:pt idx="36">
                  <c:v>2026-10-07</c:v>
                </c:pt>
                <c:pt idx="37">
                  <c:v>2026-10-08</c:v>
                </c:pt>
                <c:pt idx="38">
                  <c:v>2026-10-09</c:v>
                </c:pt>
                <c:pt idx="39">
                  <c:v>2026-10-10</c:v>
                </c:pt>
                <c:pt idx="40">
                  <c:v>2026-10-11</c:v>
                </c:pt>
                <c:pt idx="41">
                  <c:v>2026-10-12</c:v>
                </c:pt>
                <c:pt idx="42">
                  <c:v>2026-10-13</c:v>
                </c:pt>
                <c:pt idx="43">
                  <c:v>2026-10-14</c:v>
                </c:pt>
                <c:pt idx="44">
                  <c:v>2026-10-15</c:v>
                </c:pt>
              </c:strCache>
            </c:strRef>
          </c:cat>
          <c:val>
            <c:numRef>
              <c:f>Daily_Operations!$B$5:$B$49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0</c:v>
                </c:pt>
                <c:pt idx="25">
                  <c:v>1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4</c:v>
                </c:pt>
                <c:pt idx="44">
                  <c:v>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Daily_Operations!D4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Daily_Operations!$A$5:$A$49</c:f>
              <c:strCache>
                <c:ptCount val="45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  <c:pt idx="30">
                  <c:v>2026-10-01</c:v>
                </c:pt>
                <c:pt idx="31">
                  <c:v>2026-10-02</c:v>
                </c:pt>
                <c:pt idx="32">
                  <c:v>2026-10-03</c:v>
                </c:pt>
                <c:pt idx="33">
                  <c:v>2026-10-04</c:v>
                </c:pt>
                <c:pt idx="34">
                  <c:v>2026-10-05</c:v>
                </c:pt>
                <c:pt idx="35">
                  <c:v>2026-10-06</c:v>
                </c:pt>
                <c:pt idx="36">
                  <c:v>2026-10-07</c:v>
                </c:pt>
                <c:pt idx="37">
                  <c:v>2026-10-08</c:v>
                </c:pt>
                <c:pt idx="38">
                  <c:v>2026-10-09</c:v>
                </c:pt>
                <c:pt idx="39">
                  <c:v>2026-10-10</c:v>
                </c:pt>
                <c:pt idx="40">
                  <c:v>2026-10-11</c:v>
                </c:pt>
                <c:pt idx="41">
                  <c:v>2026-10-12</c:v>
                </c:pt>
                <c:pt idx="42">
                  <c:v>2026-10-13</c:v>
                </c:pt>
                <c:pt idx="43">
                  <c:v>2026-10-14</c:v>
                </c:pt>
                <c:pt idx="44">
                  <c:v>2026-10-15</c:v>
                </c:pt>
              </c:strCache>
            </c:strRef>
          </c:cat>
          <c:val>
            <c:numRef>
              <c:f>Daily_Operations!$D$5:$D$49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716946"/>
        <c:axId val="71376691"/>
      </c:lineChart>
      <c:catAx>
        <c:axId val="2671694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76691"/>
        <c:crosses val="autoZero"/>
        <c:auto val="1"/>
        <c:lblAlgn val="ctr"/>
        <c:lblOffset val="100"/>
        <c:noMultiLvlLbl val="0"/>
      </c:catAx>
      <c:valAx>
        <c:axId val="713766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169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17</xdr:col>
      <xdr:colOff>147600</xdr:colOff>
      <xdr:row>10</xdr:row>
      <xdr:rowOff>146880</xdr:rowOff>
    </xdr:to>
    <xdr:graphicFrame>
      <xdr:nvGraphicFramePr>
        <xdr:cNvPr id="0" name="Chart 1"/>
        <xdr:cNvGraphicFramePr/>
      </xdr:nvGraphicFramePr>
      <xdr:xfrm>
        <a:off x="1167768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294120</xdr:rowOff>
    </xdr:from>
    <xdr:to>
      <xdr:col>17</xdr:col>
      <xdr:colOff>147600</xdr:colOff>
      <xdr:row>25</xdr:row>
      <xdr:rowOff>222840</xdr:rowOff>
    </xdr:to>
    <xdr:graphicFrame>
      <xdr:nvGraphicFramePr>
        <xdr:cNvPr id="1" name="Chart 2"/>
        <xdr:cNvGraphicFramePr/>
      </xdr:nvGraphicFramePr>
      <xdr:xfrm>
        <a:off x="11677680" y="53150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32</xdr:row>
      <xdr:rowOff>370440</xdr:rowOff>
    </xdr:from>
    <xdr:to>
      <xdr:col>17</xdr:col>
      <xdr:colOff>147600</xdr:colOff>
      <xdr:row>41</xdr:row>
      <xdr:rowOff>316080</xdr:rowOff>
    </xdr:to>
    <xdr:graphicFrame>
      <xdr:nvGraphicFramePr>
        <xdr:cNvPr id="2" name="Chart 3"/>
        <xdr:cNvGraphicFramePr/>
      </xdr:nvGraphicFramePr>
      <xdr:xfrm>
        <a:off x="11677680" y="101156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23</xdr:col>
      <xdr:colOff>364680</xdr:colOff>
      <xdr:row>16</xdr:row>
      <xdr:rowOff>11520</xdr:rowOff>
    </xdr:to>
    <xdr:graphicFrame>
      <xdr:nvGraphicFramePr>
        <xdr:cNvPr id="3" name="Chart 1"/>
        <xdr:cNvGraphicFramePr/>
      </xdr:nvGraphicFramePr>
      <xdr:xfrm>
        <a:off x="1245312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19</xdr:row>
      <xdr:rowOff>160920</xdr:rowOff>
    </xdr:from>
    <xdr:to>
      <xdr:col>23</xdr:col>
      <xdr:colOff>364680</xdr:colOff>
      <xdr:row>34</xdr:row>
      <xdr:rowOff>182880</xdr:rowOff>
    </xdr:to>
    <xdr:graphicFrame>
      <xdr:nvGraphicFramePr>
        <xdr:cNvPr id="4" name="Chart 2"/>
        <xdr:cNvGraphicFramePr/>
      </xdr:nvGraphicFramePr>
      <xdr:xfrm>
        <a:off x="12453120" y="41720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4" t="s">
        <v>7</v>
      </c>
      <c r="B7" s="5"/>
    </row>
    <row r="8" customFormat="false" ht="23.8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5" customFormat="false" ht="1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 t="s">
        <v>24</v>
      </c>
      <c r="B16" s="3" t="s">
        <v>25</v>
      </c>
    </row>
    <row r="17" customFormat="false" ht="15" hidden="false" customHeight="false" outlineLevel="0" collapsed="false">
      <c r="A17" s="2" t="s">
        <v>26</v>
      </c>
      <c r="B17" s="3" t="s">
        <v>27</v>
      </c>
    </row>
    <row r="18" customFormat="false" ht="15" hidden="false" customHeight="false" outlineLevel="0" collapsed="false">
      <c r="A18" s="2"/>
      <c r="B18" s="3"/>
    </row>
    <row r="19" customFormat="false" ht="15" hidden="false" customHeight="false" outlineLevel="0" collapsed="false">
      <c r="A19" s="4" t="s">
        <v>28</v>
      </c>
      <c r="B19" s="5"/>
    </row>
    <row r="20" customFormat="false" ht="15" hidden="false" customHeight="false" outlineLevel="0" collapsed="false">
      <c r="A20" s="2" t="s">
        <v>29</v>
      </c>
      <c r="B20" s="3" t="s">
        <v>30</v>
      </c>
    </row>
    <row r="21" customFormat="false" ht="15" hidden="false" customHeight="false" outlineLevel="0" collapsed="false">
      <c r="A21" s="2" t="s">
        <v>31</v>
      </c>
      <c r="B21" s="3" t="s">
        <v>32</v>
      </c>
    </row>
    <row r="22" customFormat="false" ht="23.85" hidden="false" customHeight="false" outlineLevel="0" collapsed="false">
      <c r="A22" s="2" t="s">
        <v>33</v>
      </c>
      <c r="B22" s="3" t="s">
        <v>34</v>
      </c>
    </row>
    <row r="23" customFormat="false" ht="15" hidden="false" customHeight="false" outlineLevel="0" collapsed="false">
      <c r="A23" s="2" t="s">
        <v>35</v>
      </c>
      <c r="B23" s="3" t="s">
        <v>36</v>
      </c>
    </row>
    <row r="24" customFormat="false" ht="15" hidden="false" customHeight="false" outlineLevel="0" collapsed="false">
      <c r="A24" s="2" t="s">
        <v>37</v>
      </c>
      <c r="B24" s="3" t="s">
        <v>38</v>
      </c>
    </row>
    <row r="25" customFormat="false" ht="15" hidden="false" customHeight="false" outlineLevel="0" collapsed="false">
      <c r="A25" s="2"/>
      <c r="B25" s="3"/>
    </row>
    <row r="26" customFormat="false" ht="15" hidden="false" customHeight="false" outlineLevel="0" collapsed="false">
      <c r="A26" s="4" t="s">
        <v>39</v>
      </c>
      <c r="B26" s="5"/>
    </row>
    <row r="27" customFormat="false" ht="23.85" hidden="false" customHeight="false" outlineLevel="0" collapsed="false">
      <c r="A27" s="2" t="s">
        <v>40</v>
      </c>
      <c r="B27" s="3" t="s">
        <v>41</v>
      </c>
    </row>
    <row r="28" customFormat="false" ht="15" hidden="false" customHeight="false" outlineLevel="0" collapsed="false">
      <c r="A28" s="2" t="s">
        <v>42</v>
      </c>
      <c r="B28" s="3" t="s">
        <v>43</v>
      </c>
    </row>
    <row r="29" customFormat="false" ht="15" hidden="false" customHeight="false" outlineLevel="0" collapsed="false">
      <c r="A29" s="2" t="s">
        <v>44</v>
      </c>
      <c r="B29" s="3" t="s">
        <v>45</v>
      </c>
    </row>
    <row r="30" customFormat="false" ht="15" hidden="false" customHeight="false" outlineLevel="0" collapsed="false">
      <c r="A30" s="2" t="s">
        <v>46</v>
      </c>
      <c r="B30" s="3" t="s">
        <v>47</v>
      </c>
    </row>
    <row r="31" customFormat="false" ht="15" hidden="false" customHeight="false" outlineLevel="0" collapsed="false">
      <c r="A31" s="2"/>
      <c r="B31" s="3"/>
    </row>
    <row r="32" customFormat="false" ht="15" hidden="false" customHeight="false" outlineLevel="0" collapsed="false">
      <c r="A32" s="4" t="s">
        <v>48</v>
      </c>
      <c r="B32" s="5"/>
    </row>
    <row r="33" customFormat="false" ht="15" hidden="false" customHeight="false" outlineLevel="0" collapsed="false">
      <c r="A33" s="6" t="s">
        <v>49</v>
      </c>
      <c r="B33" s="3" t="s">
        <v>50</v>
      </c>
    </row>
    <row r="34" customFormat="false" ht="15" hidden="false" customHeight="false" outlineLevel="0" collapsed="false">
      <c r="A34" s="2" t="s">
        <v>51</v>
      </c>
      <c r="B34" s="3" t="s">
        <v>52</v>
      </c>
    </row>
    <row r="35" customFormat="false" ht="15" hidden="false" customHeight="false" outlineLevel="0" collapsed="false">
      <c r="A35" s="7" t="s">
        <v>53</v>
      </c>
      <c r="B35" s="3" t="s">
        <v>54</v>
      </c>
    </row>
    <row r="36" customFormat="false" ht="15" hidden="false" customHeight="false" outlineLevel="0" collapsed="false">
      <c r="A36" s="8" t="s">
        <v>55</v>
      </c>
      <c r="B36" s="3" t="s">
        <v>56</v>
      </c>
    </row>
    <row r="37" customFormat="false" ht="15" hidden="false" customHeight="false" outlineLevel="0" collapsed="false">
      <c r="A37" s="9" t="s">
        <v>57</v>
      </c>
      <c r="B37" s="3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5"/>
    <col collapsed="false" customWidth="true" hidden="false" outlineLevel="0" max="4" min="4" style="0" width="17"/>
    <col collapsed="false" customWidth="true" hidden="false" outlineLevel="0" max="8" min="5" style="0" width="16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10" t="s">
        <v>60</v>
      </c>
      <c r="B2" s="11" t="n">
        <f aca="false">Settings!B5</f>
        <v>46310.75</v>
      </c>
    </row>
    <row r="4" customFormat="false" ht="31.5" hidden="false" customHeight="true" outlineLevel="0" collapsed="false">
      <c r="A4" s="12" t="s">
        <v>61</v>
      </c>
      <c r="B4" s="12" t="s">
        <v>62</v>
      </c>
      <c r="C4" s="12" t="s">
        <v>63</v>
      </c>
      <c r="D4" s="12" t="s">
        <v>64</v>
      </c>
      <c r="E4" s="12" t="s">
        <v>65</v>
      </c>
      <c r="F4" s="12"/>
      <c r="G4" s="12"/>
      <c r="H4" s="12"/>
    </row>
    <row r="5" customFormat="false" ht="25.5" hidden="false" customHeight="true" outlineLevel="0" collapsed="false">
      <c r="A5" s="13" t="s">
        <v>66</v>
      </c>
      <c r="B5" s="14" t="n">
        <f aca="false">COUNTIF(Withdrawals!$I$5:$I$1000,$A5)</f>
        <v>0</v>
      </c>
      <c r="C5" s="15" t="n">
        <f aca="false">IFERROR(B5/$B$12,0)</f>
        <v>0</v>
      </c>
      <c r="D5" s="14" t="n">
        <f aca="false">SUMIFS(Withdrawals!$C$5:$C$1000,Withdrawals!$I$5:$I$1000,$A5,Withdrawals!$D$5:$D$1000,Settings!$B$6)</f>
        <v>0</v>
      </c>
      <c r="E5" s="16" t="s">
        <v>67</v>
      </c>
      <c r="F5" s="16"/>
      <c r="G5" s="16"/>
      <c r="H5" s="16"/>
    </row>
    <row r="6" customFormat="false" ht="25.5" hidden="false" customHeight="true" outlineLevel="0" collapsed="false">
      <c r="A6" s="13" t="s">
        <v>68</v>
      </c>
      <c r="B6" s="14" t="n">
        <f aca="false">COUNTIF(Withdrawals!$I$5:$I$1000,$A6)</f>
        <v>9</v>
      </c>
      <c r="C6" s="15" t="n">
        <f aca="false">IFERROR(B6/$B$12,0)</f>
        <v>0.1875</v>
      </c>
      <c r="D6" s="14" t="n">
        <f aca="false">SUMIFS(Withdrawals!$C$5:$C$1000,Withdrawals!$I$5:$I$1000,$A6,Withdrawals!$D$5:$D$1000,Settings!$B$6)</f>
        <v>8600</v>
      </c>
      <c r="E6" s="16" t="s">
        <v>69</v>
      </c>
      <c r="F6" s="16"/>
      <c r="G6" s="16"/>
      <c r="H6" s="16"/>
    </row>
    <row r="7" customFormat="false" ht="25.5" hidden="false" customHeight="true" outlineLevel="0" collapsed="false">
      <c r="A7" s="13" t="s">
        <v>70</v>
      </c>
      <c r="B7" s="14" t="n">
        <f aca="false">COUNTIF(Withdrawals!$I$5:$I$1000,$A7)</f>
        <v>2</v>
      </c>
      <c r="C7" s="15" t="n">
        <f aca="false">IFERROR(B7/$B$12,0)</f>
        <v>0.0416666666666667</v>
      </c>
      <c r="D7" s="14" t="n">
        <f aca="false">SUMIFS(Withdrawals!$C$5:$C$1000,Withdrawals!$I$5:$I$1000,$A7,Withdrawals!$D$5:$D$1000,Settings!$B$6)</f>
        <v>1500</v>
      </c>
      <c r="E7" s="16" t="s">
        <v>71</v>
      </c>
      <c r="F7" s="16"/>
      <c r="G7" s="16"/>
      <c r="H7" s="16"/>
    </row>
    <row r="8" customFormat="false" ht="25.5" hidden="false" customHeight="true" outlineLevel="0" collapsed="false">
      <c r="A8" s="13" t="s">
        <v>72</v>
      </c>
      <c r="B8" s="14" t="n">
        <f aca="false">COUNTIF(Withdrawals!$I$5:$I$1000,$A8)</f>
        <v>29</v>
      </c>
      <c r="C8" s="15" t="n">
        <f aca="false">IFERROR(B8/$B$12,0)</f>
        <v>0.604166666666667</v>
      </c>
      <c r="D8" s="14" t="n">
        <f aca="false">SUMIFS(Withdrawals!$C$5:$C$1000,Withdrawals!$I$5:$I$1000,$A8,Withdrawals!$D$5:$D$1000,Settings!$B$6)</f>
        <v>29650</v>
      </c>
      <c r="E8" s="16" t="s">
        <v>73</v>
      </c>
      <c r="F8" s="16"/>
      <c r="G8" s="16"/>
      <c r="H8" s="16"/>
    </row>
    <row r="9" customFormat="false" ht="25.5" hidden="false" customHeight="true" outlineLevel="0" collapsed="false">
      <c r="A9" s="13" t="s">
        <v>74</v>
      </c>
      <c r="B9" s="14" t="n">
        <f aca="false">COUNTIF(Withdrawals!$I$5:$I$1000,$A9)</f>
        <v>5</v>
      </c>
      <c r="C9" s="15" t="n">
        <f aca="false">IFERROR(B9/$B$12,0)</f>
        <v>0.104166666666667</v>
      </c>
      <c r="D9" s="14" t="n">
        <f aca="false">SUMIFS(Withdrawals!$C$5:$C$1000,Withdrawals!$I$5:$I$1000,$A9,Withdrawals!$D$5:$D$1000,Settings!$B$6)</f>
        <v>6450</v>
      </c>
      <c r="E9" s="16" t="s">
        <v>75</v>
      </c>
      <c r="F9" s="16"/>
      <c r="G9" s="16"/>
      <c r="H9" s="16"/>
    </row>
    <row r="10" customFormat="false" ht="25.5" hidden="false" customHeight="true" outlineLevel="0" collapsed="false">
      <c r="A10" s="13" t="s">
        <v>76</v>
      </c>
      <c r="B10" s="14" t="n">
        <f aca="false">COUNTIF(Withdrawals!$I$5:$I$1000,$A10)</f>
        <v>1</v>
      </c>
      <c r="C10" s="15" t="n">
        <f aca="false">IFERROR(B10/$B$12,0)</f>
        <v>0.0208333333333333</v>
      </c>
      <c r="D10" s="14" t="n">
        <f aca="false">SUMIFS(Withdrawals!$C$5:$C$1000,Withdrawals!$I$5:$I$1000,$A10,Withdrawals!$D$5:$D$1000,Settings!$B$6)</f>
        <v>550</v>
      </c>
      <c r="E10" s="16" t="s">
        <v>77</v>
      </c>
      <c r="F10" s="16"/>
      <c r="G10" s="16"/>
      <c r="H10" s="16"/>
    </row>
    <row r="11" customFormat="false" ht="25.5" hidden="false" customHeight="true" outlineLevel="0" collapsed="false">
      <c r="A11" s="13" t="s">
        <v>78</v>
      </c>
      <c r="B11" s="14" t="n">
        <f aca="false">COUNTIF(Withdrawals!$I$5:$I$1000,$A11)</f>
        <v>2</v>
      </c>
      <c r="C11" s="15" t="n">
        <f aca="false">IFERROR(B11/$B$12,0)</f>
        <v>0.0416666666666667</v>
      </c>
      <c r="D11" s="14" t="n">
        <f aca="false">SUMIFS(Withdrawals!$C$5:$C$1000,Withdrawals!$I$5:$I$1000,$A11,Withdrawals!$D$5:$D$1000,Settings!$B$6)</f>
        <v>3350</v>
      </c>
      <c r="E11" s="16" t="s">
        <v>79</v>
      </c>
      <c r="F11" s="16"/>
      <c r="G11" s="16"/>
      <c r="H11" s="16"/>
    </row>
    <row r="12" customFormat="false" ht="25.5" hidden="false" customHeight="true" outlineLevel="0" collapsed="false">
      <c r="A12" s="13" t="s">
        <v>80</v>
      </c>
      <c r="B12" s="17" t="n">
        <f aca="false">COUNTA(Withdrawals!$A$5:$A$1000)</f>
        <v>48</v>
      </c>
      <c r="C12" s="18" t="n">
        <f aca="false">IFERROR(SUM(C5:C11),0)</f>
        <v>1</v>
      </c>
      <c r="D12" s="17" t="n">
        <f aca="false">SUM(D5:D11)</f>
        <v>50100</v>
      </c>
      <c r="E12" s="16" t="s">
        <v>81</v>
      </c>
      <c r="F12" s="16"/>
      <c r="G12" s="16"/>
      <c r="H12" s="16"/>
    </row>
    <row r="13" customFormat="false" ht="15" hidden="false" customHeight="false" outlineLevel="0" collapsed="false">
      <c r="A13" s="19" t="s">
        <v>82</v>
      </c>
      <c r="B13" s="20" t="n">
        <f aca="false">SUM(B5:B11)-B12</f>
        <v>0</v>
      </c>
    </row>
    <row r="15" customFormat="false" ht="31.5" hidden="false" customHeight="true" outlineLevel="0" collapsed="false">
      <c r="A15" s="12" t="s">
        <v>83</v>
      </c>
      <c r="B15" s="12" t="s">
        <v>84</v>
      </c>
      <c r="C15" s="12" t="s">
        <v>85</v>
      </c>
      <c r="D15" s="12" t="s">
        <v>86</v>
      </c>
      <c r="E15" s="12" t="s">
        <v>87</v>
      </c>
      <c r="F15" s="12"/>
      <c r="G15" s="12"/>
      <c r="H15" s="12"/>
    </row>
    <row r="16" customFormat="false" ht="25.5" hidden="false" customHeight="true" outlineLevel="0" collapsed="false">
      <c r="A16" s="21" t="s">
        <v>88</v>
      </c>
      <c r="B16" s="14" t="n">
        <f aca="false">B12</f>
        <v>48</v>
      </c>
      <c r="C16" s="21"/>
      <c r="D16" s="21"/>
      <c r="E16" s="16" t="s">
        <v>89</v>
      </c>
      <c r="F16" s="16"/>
      <c r="G16" s="16"/>
      <c r="H16" s="16"/>
    </row>
    <row r="17" customFormat="false" ht="25.5" hidden="false" customHeight="true" outlineLevel="0" collapsed="false">
      <c r="A17" s="21" t="s">
        <v>90</v>
      </c>
      <c r="B17" s="14" t="n">
        <f aca="false">B8</f>
        <v>29</v>
      </c>
      <c r="C17" s="21"/>
      <c r="D17" s="21"/>
      <c r="E17" s="16" t="s">
        <v>91</v>
      </c>
      <c r="F17" s="16"/>
      <c r="G17" s="16"/>
      <c r="H17" s="16"/>
    </row>
    <row r="18" customFormat="false" ht="25.5" hidden="false" customHeight="true" outlineLevel="0" collapsed="false">
      <c r="A18" s="21" t="s">
        <v>92</v>
      </c>
      <c r="B18" s="14" t="n">
        <f aca="false">B5+B6+B7</f>
        <v>11</v>
      </c>
      <c r="C18" s="21"/>
      <c r="D18" s="21"/>
      <c r="E18" s="16" t="s">
        <v>93</v>
      </c>
      <c r="F18" s="16"/>
      <c r="G18" s="16"/>
      <c r="H18" s="16"/>
    </row>
    <row r="19" customFormat="false" ht="25.5" hidden="false" customHeight="true" outlineLevel="0" collapsed="false">
      <c r="A19" s="21" t="s">
        <v>94</v>
      </c>
      <c r="B19" s="14" t="n">
        <f aca="false">B9</f>
        <v>5</v>
      </c>
      <c r="C19" s="21"/>
      <c r="D19" s="21"/>
      <c r="E19" s="16" t="s">
        <v>95</v>
      </c>
      <c r="F19" s="16"/>
      <c r="G19" s="16"/>
      <c r="H19" s="16"/>
    </row>
    <row r="20" customFormat="false" ht="25.5" hidden="false" customHeight="true" outlineLevel="0" collapsed="false">
      <c r="A20" s="21" t="s">
        <v>96</v>
      </c>
      <c r="B20" s="14" t="n">
        <f aca="false">B10</f>
        <v>1</v>
      </c>
      <c r="C20" s="21"/>
      <c r="D20" s="21"/>
      <c r="E20" s="16" t="s">
        <v>97</v>
      </c>
      <c r="F20" s="16"/>
      <c r="G20" s="16"/>
      <c r="H20" s="16"/>
    </row>
    <row r="21" customFormat="false" ht="25.5" hidden="false" customHeight="true" outlineLevel="0" collapsed="false">
      <c r="A21" s="13" t="s">
        <v>98</v>
      </c>
      <c r="B21" s="15" t="n">
        <f aca="false">IFERROR(B17/B16,0)</f>
        <v>0.604166666666667</v>
      </c>
      <c r="C21" s="22" t="n">
        <f aca="false">Settings!B13</f>
        <v>0.8</v>
      </c>
      <c r="D21" s="23" t="str">
        <f aca="false">IF(B21&gt;=C21,"On track","Below target")</f>
        <v>Below target</v>
      </c>
      <c r="E21" s="16" t="s">
        <v>99</v>
      </c>
      <c r="F21" s="16"/>
      <c r="G21" s="16"/>
      <c r="H21" s="16"/>
    </row>
    <row r="22" customFormat="false" ht="25.5" hidden="false" customHeight="true" outlineLevel="0" collapsed="false">
      <c r="A22" s="21" t="s">
        <v>100</v>
      </c>
      <c r="B22" s="15" t="n">
        <f aca="false">IFERROR(B17/(B17+B19+B20),0)</f>
        <v>0.828571428571429</v>
      </c>
      <c r="C22" s="21"/>
      <c r="D22" s="21"/>
      <c r="E22" s="16" t="s">
        <v>101</v>
      </c>
      <c r="F22" s="16"/>
      <c r="G22" s="16"/>
      <c r="H22" s="16"/>
    </row>
    <row r="23" customFormat="false" ht="25.5" hidden="false" customHeight="true" outlineLevel="0" collapsed="false">
      <c r="A23" s="13" t="s">
        <v>102</v>
      </c>
      <c r="B23" s="15" t="n">
        <f aca="false">IFERROR(B19/B16,0)</f>
        <v>0.104166666666667</v>
      </c>
      <c r="C23" s="22" t="n">
        <f aca="false">Settings!B14</f>
        <v>0.15</v>
      </c>
      <c r="D23" s="23" t="str">
        <f aca="false">IF(B23&lt;=C23,"On track","Above target")</f>
        <v>On track</v>
      </c>
      <c r="E23" s="16" t="s">
        <v>103</v>
      </c>
      <c r="F23" s="16"/>
      <c r="G23" s="16"/>
      <c r="H23" s="16"/>
    </row>
    <row r="24" customFormat="false" ht="25.5" hidden="false" customHeight="true" outlineLevel="0" collapsed="false">
      <c r="A24" s="13" t="s">
        <v>104</v>
      </c>
      <c r="B24" s="15" t="n">
        <f aca="false">IFERROR(B20/(B17+B20),0)</f>
        <v>0.0333333333333333</v>
      </c>
      <c r="C24" s="22" t="n">
        <f aca="false">Settings!B15</f>
        <v>0.03</v>
      </c>
      <c r="D24" s="23" t="str">
        <f aca="false">IF(B24&lt;=C24,"On track","Above target")</f>
        <v>Above target</v>
      </c>
      <c r="E24" s="16" t="s">
        <v>105</v>
      </c>
      <c r="F24" s="16"/>
      <c r="G24" s="16"/>
      <c r="H24" s="16"/>
    </row>
    <row r="25" customFormat="false" ht="25.5" hidden="false" customHeight="true" outlineLevel="0" collapsed="false">
      <c r="A25" s="13" t="s">
        <v>106</v>
      </c>
      <c r="B25" s="15" t="n">
        <f aca="false">IFERROR(COUNTIF(Withdrawals!$P$5:$P$1000,"Yes")/B17,0)</f>
        <v>0.655172413793103</v>
      </c>
      <c r="C25" s="22" t="n">
        <f aca="false">Settings!B16</f>
        <v>0.9</v>
      </c>
      <c r="D25" s="23" t="str">
        <f aca="false">IF(B25&gt;=C25,"On track","Below target")</f>
        <v>Below target</v>
      </c>
      <c r="E25" s="16" t="s">
        <v>107</v>
      </c>
      <c r="F25" s="16"/>
      <c r="G25" s="16"/>
      <c r="H25" s="16"/>
    </row>
    <row r="26" customFormat="false" ht="25.5" hidden="false" customHeight="true" outlineLevel="0" collapsed="false">
      <c r="A26" s="13" t="s">
        <v>108</v>
      </c>
      <c r="B26" s="24" t="n">
        <f aca="false">IFERROR(AVERAGE(Withdrawals!$O$5:$O$1000),0)</f>
        <v>44.3644222391563</v>
      </c>
      <c r="C26" s="25" t="n">
        <f aca="false">Settings!B17</f>
        <v>36</v>
      </c>
      <c r="D26" s="23" t="str">
        <f aca="false">IF(B26&lt;=C26,"On track","Above target")</f>
        <v>Above target</v>
      </c>
      <c r="E26" s="16" t="s">
        <v>109</v>
      </c>
      <c r="F26" s="16"/>
      <c r="G26" s="16"/>
      <c r="H26" s="16"/>
    </row>
    <row r="27" customFormat="false" ht="25.5" hidden="false" customHeight="true" outlineLevel="0" collapsed="false">
      <c r="A27" s="21" t="s">
        <v>110</v>
      </c>
      <c r="B27" s="24" t="n">
        <f aca="false">IFERROR(MEDIAN(Withdrawals!$O$5:$O$1000),0)</f>
        <v>43.7189083015544</v>
      </c>
      <c r="C27" s="21"/>
      <c r="D27" s="21"/>
      <c r="E27" s="16" t="s">
        <v>111</v>
      </c>
      <c r="F27" s="16"/>
      <c r="G27" s="16"/>
      <c r="H27" s="16"/>
    </row>
    <row r="28" customFormat="false" ht="25.5" hidden="false" customHeight="true" outlineLevel="0" collapsed="false">
      <c r="A28" s="21" t="s">
        <v>112</v>
      </c>
      <c r="B28" s="24" t="n">
        <f aca="false">IFERROR(PERCENTILE(Withdrawals!$O$5:$O$1000,0.9),0)</f>
        <v>71.2233951571513</v>
      </c>
      <c r="C28" s="21"/>
      <c r="D28" s="21"/>
      <c r="E28" s="16" t="s">
        <v>113</v>
      </c>
      <c r="F28" s="16"/>
      <c r="G28" s="16"/>
      <c r="H28" s="16"/>
    </row>
    <row r="29" customFormat="false" ht="25.5" hidden="false" customHeight="true" outlineLevel="0" collapsed="false">
      <c r="A29" s="21" t="s">
        <v>114</v>
      </c>
      <c r="B29" s="24" t="n">
        <f aca="false">IFERROR(AVERAGE(Withdrawals!$M$5:$M$1000),0)</f>
        <v>12.8186410484257</v>
      </c>
      <c r="C29" s="21"/>
      <c r="D29" s="21"/>
      <c r="E29" s="16" t="s">
        <v>115</v>
      </c>
      <c r="F29" s="16"/>
      <c r="G29" s="16"/>
      <c r="H29" s="16"/>
    </row>
    <row r="30" customFormat="false" ht="25.5" hidden="false" customHeight="true" outlineLevel="0" collapsed="false">
      <c r="A30" s="21" t="s">
        <v>116</v>
      </c>
      <c r="B30" s="24" t="n">
        <f aca="false">IFERROR(AVERAGE(Withdrawals!$N$5:$N$1000),0)</f>
        <v>30.0785280574144</v>
      </c>
      <c r="C30" s="21"/>
      <c r="D30" s="21"/>
      <c r="E30" s="16" t="s">
        <v>117</v>
      </c>
      <c r="F30" s="16"/>
      <c r="G30" s="16"/>
      <c r="H30" s="16"/>
    </row>
    <row r="31" customFormat="false" ht="25.5" hidden="false" customHeight="true" outlineLevel="0" collapsed="false">
      <c r="A31" s="21" t="s">
        <v>118</v>
      </c>
      <c r="B31" s="24" t="n">
        <f aca="false">IFERROR(AVERAGE(Withdrawals!$Q$5:$Q$1000),0)</f>
        <v>32.3444347672279</v>
      </c>
      <c r="C31" s="21"/>
      <c r="D31" s="21"/>
      <c r="E31" s="16" t="s">
        <v>119</v>
      </c>
      <c r="F31" s="16"/>
      <c r="G31" s="16"/>
      <c r="H31" s="16"/>
    </row>
    <row r="33" customFormat="false" ht="31.5" hidden="false" customHeight="true" outlineLevel="0" collapsed="false">
      <c r="A33" s="12" t="s">
        <v>120</v>
      </c>
      <c r="B33" s="12" t="s">
        <v>84</v>
      </c>
      <c r="C33" s="12" t="s">
        <v>85</v>
      </c>
      <c r="D33" s="12" t="s">
        <v>86</v>
      </c>
      <c r="E33" s="12" t="s">
        <v>87</v>
      </c>
      <c r="F33" s="12"/>
      <c r="G33" s="12"/>
      <c r="H33" s="12"/>
    </row>
    <row r="34" customFormat="false" ht="25.5" hidden="false" customHeight="true" outlineLevel="0" collapsed="false">
      <c r="A34" s="21" t="s">
        <v>121</v>
      </c>
      <c r="B34" s="14" t="n">
        <f aca="false">B18</f>
        <v>11</v>
      </c>
      <c r="C34" s="21"/>
      <c r="D34" s="21"/>
      <c r="E34" s="16" t="s">
        <v>122</v>
      </c>
      <c r="F34" s="16"/>
      <c r="G34" s="16"/>
      <c r="H34" s="16"/>
    </row>
    <row r="35" customFormat="false" ht="25.5" hidden="false" customHeight="true" outlineLevel="0" collapsed="false">
      <c r="A35" s="21" t="s">
        <v>123</v>
      </c>
      <c r="B35" s="14" t="n">
        <f aca="false">D5+D6+D7</f>
        <v>10100</v>
      </c>
      <c r="C35" s="21"/>
      <c r="D35" s="21"/>
      <c r="E35" s="16" t="s">
        <v>124</v>
      </c>
      <c r="F35" s="16"/>
      <c r="G35" s="16"/>
      <c r="H35" s="16"/>
    </row>
    <row r="36" customFormat="false" ht="25.5" hidden="false" customHeight="true" outlineLevel="0" collapsed="false">
      <c r="A36" s="21" t="s">
        <v>125</v>
      </c>
      <c r="B36" s="24" t="n">
        <f aca="false">IFERROR(MAX(Withdrawals!$R$5:$R$1000),0)</f>
        <v>217.983333333333</v>
      </c>
      <c r="C36" s="21"/>
      <c r="D36" s="21"/>
      <c r="E36" s="16" t="s">
        <v>126</v>
      </c>
      <c r="F36" s="16"/>
      <c r="G36" s="16"/>
      <c r="H36" s="16"/>
    </row>
    <row r="37" customFormat="false" ht="25.5" hidden="false" customHeight="true" outlineLevel="0" collapsed="false">
      <c r="A37" s="21" t="s">
        <v>127</v>
      </c>
      <c r="B37" s="24" t="n">
        <f aca="false">IFERROR(AVERAGE(Withdrawals!$R$5:$R$1000),0)</f>
        <v>77.3601254556567</v>
      </c>
      <c r="C37" s="21"/>
      <c r="D37" s="21"/>
      <c r="E37" s="16" t="s">
        <v>128</v>
      </c>
      <c r="F37" s="16"/>
      <c r="G37" s="16"/>
      <c r="H37" s="16"/>
    </row>
    <row r="38" customFormat="false" ht="25.5" hidden="false" customHeight="true" outlineLevel="0" collapsed="false">
      <c r="A38" s="21" t="s">
        <v>129</v>
      </c>
      <c r="B38" s="14" t="n">
        <f aca="false">COUNTIF(Withdrawals!$R$5:$R$1000,"&gt;"&amp;Settings!B9)</f>
        <v>4</v>
      </c>
      <c r="C38" s="26" t="n">
        <f aca="false">Settings!B18</f>
        <v>0</v>
      </c>
      <c r="D38" s="23" t="str">
        <f aca="false">IF(B38&lt;=C38,"On track","Above target")</f>
        <v>Above target</v>
      </c>
      <c r="E38" s="16" t="s">
        <v>130</v>
      </c>
      <c r="F38" s="16"/>
      <c r="G38" s="16"/>
      <c r="H38" s="16"/>
    </row>
    <row r="40" customFormat="false" ht="31.5" hidden="false" customHeight="true" outlineLevel="0" collapsed="false">
      <c r="A40" s="12" t="s">
        <v>131</v>
      </c>
      <c r="B40" s="12" t="s">
        <v>132</v>
      </c>
      <c r="C40" s="12" t="s">
        <v>133</v>
      </c>
      <c r="D40" s="12" t="s">
        <v>134</v>
      </c>
      <c r="E40" s="12" t="s">
        <v>87</v>
      </c>
      <c r="F40" s="12"/>
      <c r="G40" s="12"/>
      <c r="H40" s="12"/>
    </row>
    <row r="41" customFormat="false" ht="25.5" hidden="false" customHeight="true" outlineLevel="0" collapsed="false">
      <c r="A41" s="21" t="s">
        <v>135</v>
      </c>
      <c r="B41" s="14" t="n">
        <f aca="false">SUMIFS(Withdrawals!$C$5:$C$1000,Withdrawals!$D$5:$D$1000,Settings!$B$6)</f>
        <v>50100</v>
      </c>
      <c r="C41" s="27" t="n">
        <f aca="false">B41*Settings!$B$7</f>
        <v>501</v>
      </c>
      <c r="D41" s="15"/>
      <c r="E41" s="16" t="s">
        <v>136</v>
      </c>
      <c r="F41" s="16"/>
      <c r="G41" s="16"/>
      <c r="H41" s="16"/>
    </row>
    <row r="42" customFormat="false" ht="25.5" hidden="false" customHeight="true" outlineLevel="0" collapsed="false">
      <c r="A42" s="21" t="s">
        <v>137</v>
      </c>
      <c r="B42" s="14" t="n">
        <f aca="false">D8</f>
        <v>29650</v>
      </c>
      <c r="C42" s="27" t="n">
        <f aca="false">B42*Settings!$B$7</f>
        <v>296.5</v>
      </c>
      <c r="D42" s="15" t="n">
        <f aca="false">IFERROR(B42/$B$41,0)</f>
        <v>0.591816367265469</v>
      </c>
      <c r="E42" s="16" t="s">
        <v>138</v>
      </c>
      <c r="F42" s="16"/>
      <c r="G42" s="16"/>
      <c r="H42" s="16"/>
    </row>
    <row r="43" customFormat="false" ht="25.5" hidden="false" customHeight="true" outlineLevel="0" collapsed="false">
      <c r="A43" s="21" t="s">
        <v>139</v>
      </c>
      <c r="B43" s="14" t="n">
        <f aca="false">D5+D6+D7</f>
        <v>10100</v>
      </c>
      <c r="C43" s="27" t="n">
        <f aca="false">B43*Settings!$B$7</f>
        <v>101</v>
      </c>
      <c r="D43" s="15" t="n">
        <f aca="false">IFERROR(B43/$B$41,0)</f>
        <v>0.201596806387226</v>
      </c>
      <c r="E43" s="16" t="s">
        <v>140</v>
      </c>
      <c r="F43" s="16"/>
      <c r="G43" s="16"/>
      <c r="H43" s="16"/>
    </row>
    <row r="44" customFormat="false" ht="25.5" hidden="false" customHeight="true" outlineLevel="0" collapsed="false">
      <c r="A44" s="21" t="s">
        <v>141</v>
      </c>
      <c r="B44" s="14" t="n">
        <f aca="false">D9</f>
        <v>6450</v>
      </c>
      <c r="C44" s="27" t="n">
        <f aca="false">B44*Settings!$B$7</f>
        <v>64.5</v>
      </c>
      <c r="D44" s="15" t="n">
        <f aca="false">IFERROR(B44/$B$41,0)</f>
        <v>0.12874251497006</v>
      </c>
      <c r="E44" s="16" t="s">
        <v>142</v>
      </c>
      <c r="F44" s="16"/>
      <c r="G44" s="16"/>
      <c r="H44" s="16"/>
    </row>
    <row r="45" customFormat="false" ht="25.5" hidden="false" customHeight="true" outlineLevel="0" collapsed="false">
      <c r="A45" s="21" t="s">
        <v>143</v>
      </c>
      <c r="B45" s="14" t="n">
        <f aca="false">D10</f>
        <v>550</v>
      </c>
      <c r="C45" s="27" t="n">
        <f aca="false">B45*Settings!$B$7</f>
        <v>5.5</v>
      </c>
      <c r="D45" s="15" t="n">
        <f aca="false">IFERROR(B45/$B$41,0)</f>
        <v>0.0109780439121756</v>
      </c>
      <c r="E45" s="16" t="s">
        <v>144</v>
      </c>
      <c r="F45" s="16"/>
      <c r="G45" s="16"/>
      <c r="H45" s="16"/>
    </row>
    <row r="46" customFormat="false" ht="25.5" hidden="false" customHeight="true" outlineLevel="0" collapsed="false">
      <c r="A46" s="21" t="s">
        <v>145</v>
      </c>
      <c r="B46" s="14" t="n">
        <f aca="false">IFERROR(B41/B16,0)</f>
        <v>1043.75</v>
      </c>
      <c r="C46" s="27" t="n">
        <f aca="false">B46*Settings!$B$7</f>
        <v>10.4375</v>
      </c>
      <c r="D46" s="15"/>
      <c r="E46" s="16" t="s">
        <v>146</v>
      </c>
      <c r="F46" s="16"/>
      <c r="G46" s="16"/>
      <c r="H46" s="16"/>
    </row>
    <row r="47" customFormat="false" ht="25.5" hidden="false" customHeight="true" outlineLevel="0" collapsed="false">
      <c r="A47" s="21" t="s">
        <v>147</v>
      </c>
      <c r="B47" s="14" t="n">
        <f aca="false">SUM(Withdrawals!$S$5:$S$1000)</f>
        <v>19</v>
      </c>
      <c r="C47" s="21"/>
      <c r="D47" s="21"/>
      <c r="E47" s="16" t="s">
        <v>148</v>
      </c>
      <c r="F47" s="16"/>
      <c r="G47" s="16"/>
      <c r="H47" s="16"/>
    </row>
    <row r="49" customFormat="false" ht="31.5" hidden="false" customHeight="true" outlineLevel="0" collapsed="false">
      <c r="A49" s="12" t="s">
        <v>149</v>
      </c>
      <c r="B49" s="12" t="s">
        <v>150</v>
      </c>
      <c r="C49" s="12" t="s">
        <v>63</v>
      </c>
      <c r="D49" s="12" t="s">
        <v>72</v>
      </c>
      <c r="E49" s="12" t="s">
        <v>98</v>
      </c>
      <c r="F49" s="12" t="s">
        <v>135</v>
      </c>
      <c r="G49" s="12" t="s">
        <v>137</v>
      </c>
      <c r="H49" s="12" t="s">
        <v>151</v>
      </c>
    </row>
    <row r="50" customFormat="false" ht="15" hidden="false" customHeight="false" outlineLevel="0" collapsed="false">
      <c r="A50" s="28" t="s">
        <v>152</v>
      </c>
      <c r="B50" s="14" t="n">
        <f aca="false">COUNTIF(Withdrawals!$E$5:$E$1000,$A50)</f>
        <v>23</v>
      </c>
      <c r="C50" s="15" t="n">
        <f aca="false">IFERROR(B50/$B$54,0)</f>
        <v>0.479166666666667</v>
      </c>
      <c r="D50" s="14" t="n">
        <f aca="false">COUNTIFS(Withdrawals!$E$5:$E$1000,$A50,Withdrawals!$I$5:$I$1000,"Completed")</f>
        <v>14</v>
      </c>
      <c r="E50" s="15" t="n">
        <f aca="false">IFERROR(D50/B50,0)</f>
        <v>0.608695652173913</v>
      </c>
      <c r="F50" s="14" t="n">
        <f aca="false">SUMIFS(Withdrawals!$C$5:$C$1000,Withdrawals!$E$5:$E$1000,$A50,Withdrawals!$D$5:$D$1000,Settings!$B$6)</f>
        <v>21900</v>
      </c>
      <c r="G50" s="14" t="n">
        <f aca="false">SUMIFS(Withdrawals!$C$5:$C$1000,Withdrawals!$E$5:$E$1000,$A50,Withdrawals!$I$5:$I$1000,"Completed",Withdrawals!$D$5:$D$1000,Settings!$B$6)</f>
        <v>12150</v>
      </c>
      <c r="H50" s="24" t="n">
        <f aca="false">IFERROR(AVERAGEIFS(Withdrawals!$O$5:$O$1000,Withdrawals!$E$5:$E$1000,$A50),0)</f>
        <v>40.8141389915294</v>
      </c>
    </row>
    <row r="51" customFormat="false" ht="15" hidden="false" customHeight="false" outlineLevel="0" collapsed="false">
      <c r="A51" s="28" t="s">
        <v>153</v>
      </c>
      <c r="B51" s="14" t="n">
        <f aca="false">COUNTIF(Withdrawals!$E$5:$E$1000,$A51)</f>
        <v>14</v>
      </c>
      <c r="C51" s="15" t="n">
        <f aca="false">IFERROR(B51/$B$54,0)</f>
        <v>0.291666666666667</v>
      </c>
      <c r="D51" s="14" t="n">
        <f aca="false">COUNTIFS(Withdrawals!$E$5:$E$1000,$A51,Withdrawals!$I$5:$I$1000,"Completed")</f>
        <v>9</v>
      </c>
      <c r="E51" s="15" t="n">
        <f aca="false">IFERROR(D51/B51,0)</f>
        <v>0.642857142857143</v>
      </c>
      <c r="F51" s="14" t="n">
        <f aca="false">SUMIFS(Withdrawals!$C$5:$C$1000,Withdrawals!$E$5:$E$1000,$A51,Withdrawals!$D$5:$D$1000,Settings!$B$6)</f>
        <v>17950</v>
      </c>
      <c r="G51" s="14" t="n">
        <f aca="false">SUMIFS(Withdrawals!$C$5:$C$1000,Withdrawals!$E$5:$E$1000,$A51,Withdrawals!$I$5:$I$1000,"Completed",Withdrawals!$D$5:$D$1000,Settings!$B$6)</f>
        <v>10850</v>
      </c>
      <c r="H51" s="24" t="n">
        <f aca="false">IFERROR(AVERAGEIFS(Withdrawals!$O$5:$O$1000,Withdrawals!$E$5:$E$1000,$A51),0)</f>
        <v>44.7790580549431</v>
      </c>
    </row>
    <row r="52" customFormat="false" ht="15" hidden="false" customHeight="false" outlineLevel="0" collapsed="false">
      <c r="A52" s="28" t="s">
        <v>154</v>
      </c>
      <c r="B52" s="14" t="n">
        <f aca="false">COUNTIF(Withdrawals!$E$5:$E$1000,$A52)</f>
        <v>8</v>
      </c>
      <c r="C52" s="15" t="n">
        <f aca="false">IFERROR(B52/$B$54,0)</f>
        <v>0.166666666666667</v>
      </c>
      <c r="D52" s="14" t="n">
        <f aca="false">COUNTIFS(Withdrawals!$E$5:$E$1000,$A52,Withdrawals!$I$5:$I$1000,"Completed")</f>
        <v>4</v>
      </c>
      <c r="E52" s="15" t="n">
        <f aca="false">IFERROR(D52/B52,0)</f>
        <v>0.5</v>
      </c>
      <c r="F52" s="14" t="n">
        <f aca="false">SUMIFS(Withdrawals!$C$5:$C$1000,Withdrawals!$E$5:$E$1000,$A52,Withdrawals!$D$5:$D$1000,Settings!$B$6)</f>
        <v>7700</v>
      </c>
      <c r="G52" s="14" t="n">
        <f aca="false">SUMIFS(Withdrawals!$C$5:$C$1000,Withdrawals!$E$5:$E$1000,$A52,Withdrawals!$I$5:$I$1000,"Completed",Withdrawals!$D$5:$D$1000,Settings!$B$6)</f>
        <v>5200</v>
      </c>
      <c r="H52" s="24" t="n">
        <f aca="false">IFERROR(AVERAGEIFS(Withdrawals!$O$5:$O$1000,Withdrawals!$E$5:$E$1000,$A52),0)</f>
        <v>51.6308057727145</v>
      </c>
    </row>
    <row r="53" customFormat="false" ht="15" hidden="false" customHeight="false" outlineLevel="0" collapsed="false">
      <c r="A53" s="28" t="s">
        <v>155</v>
      </c>
      <c r="B53" s="14" t="n">
        <f aca="false">COUNTIF(Withdrawals!$E$5:$E$1000,$A53)</f>
        <v>3</v>
      </c>
      <c r="C53" s="15" t="n">
        <f aca="false">IFERROR(B53/$B$54,0)</f>
        <v>0.0625</v>
      </c>
      <c r="D53" s="14" t="n">
        <f aca="false">COUNTIFS(Withdrawals!$E$5:$E$1000,$A53,Withdrawals!$I$5:$I$1000,"Completed")</f>
        <v>2</v>
      </c>
      <c r="E53" s="15" t="n">
        <f aca="false">IFERROR(D53/B53,0)</f>
        <v>0.666666666666667</v>
      </c>
      <c r="F53" s="14" t="n">
        <f aca="false">SUMIFS(Withdrawals!$C$5:$C$1000,Withdrawals!$E$5:$E$1000,$A53,Withdrawals!$D$5:$D$1000,Settings!$B$6)</f>
        <v>2550</v>
      </c>
      <c r="G53" s="14" t="n">
        <f aca="false">SUMIFS(Withdrawals!$C$5:$C$1000,Withdrawals!$E$5:$E$1000,$A53,Withdrawals!$I$5:$I$1000,"Completed",Withdrawals!$D$5:$D$1000,Settings!$B$6)</f>
        <v>1450</v>
      </c>
      <c r="H53" s="24" t="n">
        <f aca="false">IFERROR(AVERAGEIFS(Withdrawals!$O$5:$O$1000,Withdrawals!$E$5:$E$1000,$A53),0)</f>
        <v>52.8177767343875</v>
      </c>
    </row>
    <row r="54" customFormat="false" ht="15" hidden="false" customHeight="false" outlineLevel="0" collapsed="false">
      <c r="A54" s="13" t="s">
        <v>156</v>
      </c>
      <c r="B54" s="17" t="n">
        <f aca="false">SUM(B50:B53)</f>
        <v>48</v>
      </c>
      <c r="C54" s="18" t="n">
        <f aca="false">SUM(C50:C53)</f>
        <v>1</v>
      </c>
      <c r="D54" s="17" t="n">
        <f aca="false">SUM(D50:D53)</f>
        <v>29</v>
      </c>
      <c r="E54" s="18" t="n">
        <f aca="false">IFERROR(D54/B54,0)</f>
        <v>0.604166666666667</v>
      </c>
      <c r="F54" s="17" t="n">
        <f aca="false">SUM(F50:F53)</f>
        <v>50100</v>
      </c>
      <c r="G54" s="17" t="n">
        <f aca="false">SUM(G50:G53)</f>
        <v>29650</v>
      </c>
      <c r="H54" s="29" t="n">
        <f aca="false">IFERROR(AVERAGE(Withdrawals!$O$5:$O$1000),0)</f>
        <v>44.3644222391563</v>
      </c>
    </row>
    <row r="56" customFormat="false" ht="31.5" hidden="false" customHeight="true" outlineLevel="0" collapsed="false">
      <c r="A56" s="12" t="s">
        <v>157</v>
      </c>
      <c r="B56" s="12" t="s">
        <v>74</v>
      </c>
      <c r="C56" s="12" t="s">
        <v>76</v>
      </c>
      <c r="D56" s="12" t="s">
        <v>156</v>
      </c>
      <c r="E56" s="12" t="s">
        <v>158</v>
      </c>
      <c r="F56" s="12"/>
      <c r="G56" s="12"/>
      <c r="H56" s="12"/>
    </row>
    <row r="57" customFormat="false" ht="15" hidden="false" customHeight="false" outlineLevel="0" collapsed="false">
      <c r="A57" s="28" t="s">
        <v>159</v>
      </c>
      <c r="B57" s="14" t="n">
        <f aca="false">COUNTIFS(Withdrawals!$J$5:$J$1000,$A57,Withdrawals!$I$5:$I$1000,"Rejected")</f>
        <v>0</v>
      </c>
      <c r="C57" s="14" t="n">
        <f aca="false">COUNTIFS(Withdrawals!$J$5:$J$1000,$A57,Withdrawals!$I$5:$I$1000,"Reversed")</f>
        <v>0</v>
      </c>
      <c r="D57" s="14" t="n">
        <f aca="false">B57+C57</f>
        <v>0</v>
      </c>
      <c r="E57" s="15" t="n">
        <f aca="false">IFERROR(D57/$D$65,0)</f>
        <v>0</v>
      </c>
    </row>
    <row r="58" customFormat="false" ht="15" hidden="false" customHeight="false" outlineLevel="0" collapsed="false">
      <c r="A58" s="28" t="s">
        <v>160</v>
      </c>
      <c r="B58" s="14" t="n">
        <f aca="false">COUNTIFS(Withdrawals!$J$5:$J$1000,$A58,Withdrawals!$I$5:$I$1000,"Rejected")</f>
        <v>2</v>
      </c>
      <c r="C58" s="14" t="n">
        <f aca="false">COUNTIFS(Withdrawals!$J$5:$J$1000,$A58,Withdrawals!$I$5:$I$1000,"Reversed")</f>
        <v>0</v>
      </c>
      <c r="D58" s="14" t="n">
        <f aca="false">B58+C58</f>
        <v>2</v>
      </c>
      <c r="E58" s="15" t="n">
        <f aca="false">IFERROR(D58/$D$65,0)</f>
        <v>0.333333333333333</v>
      </c>
    </row>
    <row r="59" customFormat="false" ht="15" hidden="false" customHeight="false" outlineLevel="0" collapsed="false">
      <c r="A59" s="28" t="s">
        <v>161</v>
      </c>
      <c r="B59" s="14" t="n">
        <f aca="false">COUNTIFS(Withdrawals!$J$5:$J$1000,$A59,Withdrawals!$I$5:$I$1000,"Rejected")</f>
        <v>2</v>
      </c>
      <c r="C59" s="14" t="n">
        <f aca="false">COUNTIFS(Withdrawals!$J$5:$J$1000,$A59,Withdrawals!$I$5:$I$1000,"Reversed")</f>
        <v>0</v>
      </c>
      <c r="D59" s="14" t="n">
        <f aca="false">B59+C59</f>
        <v>2</v>
      </c>
      <c r="E59" s="15" t="n">
        <f aca="false">IFERROR(D59/$D$65,0)</f>
        <v>0.333333333333333</v>
      </c>
    </row>
    <row r="60" customFormat="false" ht="15" hidden="false" customHeight="false" outlineLevel="0" collapsed="false">
      <c r="A60" s="28" t="s">
        <v>162</v>
      </c>
      <c r="B60" s="14" t="n">
        <f aca="false">COUNTIFS(Withdrawals!$J$5:$J$1000,$A60,Withdrawals!$I$5:$I$1000,"Rejected")</f>
        <v>0</v>
      </c>
      <c r="C60" s="14" t="n">
        <f aca="false">COUNTIFS(Withdrawals!$J$5:$J$1000,$A60,Withdrawals!$I$5:$I$1000,"Reversed")</f>
        <v>0</v>
      </c>
      <c r="D60" s="14" t="n">
        <f aca="false">B60+C60</f>
        <v>0</v>
      </c>
      <c r="E60" s="15" t="n">
        <f aca="false">IFERROR(D60/$D$65,0)</f>
        <v>0</v>
      </c>
    </row>
    <row r="61" customFormat="false" ht="15" hidden="false" customHeight="false" outlineLevel="0" collapsed="false">
      <c r="A61" s="28" t="s">
        <v>163</v>
      </c>
      <c r="B61" s="14" t="n">
        <f aca="false">COUNTIFS(Withdrawals!$J$5:$J$1000,$A61,Withdrawals!$I$5:$I$1000,"Rejected")</f>
        <v>1</v>
      </c>
      <c r="C61" s="14" t="n">
        <f aca="false">COUNTIFS(Withdrawals!$J$5:$J$1000,$A61,Withdrawals!$I$5:$I$1000,"Reversed")</f>
        <v>1</v>
      </c>
      <c r="D61" s="14" t="n">
        <f aca="false">B61+C61</f>
        <v>2</v>
      </c>
      <c r="E61" s="15" t="n">
        <f aca="false">IFERROR(D61/$D$65,0)</f>
        <v>0.333333333333333</v>
      </c>
    </row>
    <row r="62" customFormat="false" ht="15" hidden="false" customHeight="false" outlineLevel="0" collapsed="false">
      <c r="A62" s="28" t="s">
        <v>164</v>
      </c>
      <c r="B62" s="14" t="n">
        <f aca="false">COUNTIFS(Withdrawals!$J$5:$J$1000,$A62,Withdrawals!$I$5:$I$1000,"Rejected")</f>
        <v>0</v>
      </c>
      <c r="C62" s="14" t="n">
        <f aca="false">COUNTIFS(Withdrawals!$J$5:$J$1000,$A62,Withdrawals!$I$5:$I$1000,"Reversed")</f>
        <v>0</v>
      </c>
      <c r="D62" s="14" t="n">
        <f aca="false">B62+C62</f>
        <v>0</v>
      </c>
      <c r="E62" s="15" t="n">
        <f aca="false">IFERROR(D62/$D$65,0)</f>
        <v>0</v>
      </c>
    </row>
    <row r="63" customFormat="false" ht="15" hidden="false" customHeight="false" outlineLevel="0" collapsed="false">
      <c r="A63" s="28" t="s">
        <v>165</v>
      </c>
      <c r="B63" s="14" t="n">
        <f aca="false">COUNTIFS(Withdrawals!$J$5:$J$1000,$A63,Withdrawals!$I$5:$I$1000,"Rejected")</f>
        <v>0</v>
      </c>
      <c r="C63" s="14" t="n">
        <f aca="false">COUNTIFS(Withdrawals!$J$5:$J$1000,$A63,Withdrawals!$I$5:$I$1000,"Reversed")</f>
        <v>0</v>
      </c>
      <c r="D63" s="14" t="n">
        <f aca="false">B63+C63</f>
        <v>0</v>
      </c>
      <c r="E63" s="15" t="n">
        <f aca="false">IFERROR(D63/$D$65,0)</f>
        <v>0</v>
      </c>
    </row>
    <row r="64" customFormat="false" ht="15" hidden="false" customHeight="false" outlineLevel="0" collapsed="false">
      <c r="A64" s="28" t="s">
        <v>155</v>
      </c>
      <c r="B64" s="14" t="n">
        <f aca="false">COUNTIFS(Withdrawals!$J$5:$J$1000,$A64,Withdrawals!$I$5:$I$1000,"Rejected")</f>
        <v>0</v>
      </c>
      <c r="C64" s="14" t="n">
        <f aca="false">COUNTIFS(Withdrawals!$J$5:$J$1000,$A64,Withdrawals!$I$5:$I$1000,"Reversed")</f>
        <v>0</v>
      </c>
      <c r="D64" s="14" t="n">
        <f aca="false">B64+C64</f>
        <v>0</v>
      </c>
      <c r="E64" s="15" t="n">
        <f aca="false">IFERROR(D64/$D$65,0)</f>
        <v>0</v>
      </c>
    </row>
    <row r="65" customFormat="false" ht="15" hidden="false" customHeight="false" outlineLevel="0" collapsed="false">
      <c r="A65" s="13" t="s">
        <v>156</v>
      </c>
      <c r="B65" s="17" t="n">
        <f aca="false">SUM(B57:B64)</f>
        <v>5</v>
      </c>
      <c r="C65" s="17" t="n">
        <f aca="false">SUM(C57:C64)</f>
        <v>1</v>
      </c>
      <c r="D65" s="17" t="n">
        <f aca="false">SUM(D57:D64)</f>
        <v>6</v>
      </c>
      <c r="E65" s="18" t="n">
        <f aca="false">SUM(E57:E64)</f>
        <v>1</v>
      </c>
    </row>
    <row r="67" customFormat="false" ht="31.5" hidden="false" customHeight="true" outlineLevel="0" collapsed="false">
      <c r="A67" s="12" t="s">
        <v>166</v>
      </c>
      <c r="B67" s="12" t="s">
        <v>84</v>
      </c>
      <c r="C67" s="12" t="s">
        <v>85</v>
      </c>
      <c r="D67" s="12" t="s">
        <v>86</v>
      </c>
      <c r="E67" s="12" t="s">
        <v>87</v>
      </c>
      <c r="F67" s="12"/>
      <c r="G67" s="12"/>
      <c r="H67" s="12"/>
    </row>
    <row r="68" customFormat="false" ht="25.5" hidden="false" customHeight="true" outlineLevel="0" collapsed="false">
      <c r="A68" s="21" t="s">
        <v>167</v>
      </c>
      <c r="B68" s="14" t="n">
        <f aca="false">COUNTA(Wallet_Transactions!$A$5:$A$3000)</f>
        <v>289</v>
      </c>
      <c r="C68" s="21"/>
      <c r="D68" s="21"/>
      <c r="E68" s="16" t="s">
        <v>168</v>
      </c>
      <c r="F68" s="16"/>
      <c r="G68" s="16"/>
      <c r="H68" s="16"/>
    </row>
    <row r="69" customFormat="false" ht="25.5" hidden="false" customHeight="true" outlineLevel="0" collapsed="false">
      <c r="A69" s="21" t="s">
        <v>169</v>
      </c>
      <c r="B69" s="14" t="n">
        <f aca="false">SUMIFS(Wallet_Transactions!$N$5:$N$3000,Wallet_Transactions!$D$5:$D$3000,"Reward Credit")</f>
        <v>63500</v>
      </c>
      <c r="C69" s="21"/>
      <c r="D69" s="21"/>
      <c r="E69" s="16" t="s">
        <v>170</v>
      </c>
      <c r="F69" s="16"/>
      <c r="G69" s="16"/>
      <c r="H69" s="16"/>
    </row>
    <row r="70" customFormat="false" ht="25.5" hidden="false" customHeight="true" outlineLevel="0" collapsed="false">
      <c r="A70" s="21" t="s">
        <v>171</v>
      </c>
      <c r="B70" s="14" t="n">
        <f aca="false">-SUMIFS(Wallet_Transactions!$N$5:$N$3000,Wallet_Transactions!$D$5:$D$3000,"Redemption")</f>
        <v>30200</v>
      </c>
      <c r="C70" s="21"/>
      <c r="D70" s="21"/>
      <c r="E70" s="16" t="s">
        <v>172</v>
      </c>
      <c r="F70" s="16"/>
      <c r="G70" s="16"/>
      <c r="H70" s="16"/>
    </row>
    <row r="71" customFormat="false" ht="25.5" hidden="false" customHeight="true" outlineLevel="0" collapsed="false">
      <c r="A71" s="21" t="s">
        <v>173</v>
      </c>
      <c r="B71" s="14" t="n">
        <f aca="false">COUNTIFS(Wallet_Transactions!$D$5:$D$3000,"Reversal",Wallet_Transactions!$G$5:$G$3000,"Posted")</f>
        <v>4</v>
      </c>
      <c r="C71" s="21"/>
      <c r="D71" s="21"/>
      <c r="E71" s="16" t="s">
        <v>174</v>
      </c>
      <c r="F71" s="16"/>
      <c r="G71" s="16"/>
      <c r="H71" s="16"/>
    </row>
    <row r="72" customFormat="false" ht="25.5" hidden="false" customHeight="true" outlineLevel="0" collapsed="false">
      <c r="A72" s="21" t="s">
        <v>175</v>
      </c>
      <c r="B72" s="30" t="n">
        <f aca="false">SUMIFS(Wallet_Transactions!$N$5:$N$3000,Wallet_Transactions!$D$5:$D$3000,"Reversal")</f>
        <v>100</v>
      </c>
      <c r="C72" s="21"/>
      <c r="D72" s="21"/>
      <c r="E72" s="16" t="s">
        <v>176</v>
      </c>
      <c r="F72" s="16"/>
      <c r="G72" s="16"/>
      <c r="H72" s="16"/>
    </row>
    <row r="73" customFormat="false" ht="25.5" hidden="false" customHeight="true" outlineLevel="0" collapsed="false">
      <c r="A73" s="21" t="s">
        <v>177</v>
      </c>
      <c r="B73" s="30" t="n">
        <f aca="false">SUMIFS(Wallet_Transactions!$N$5:$N$3000,Wallet_Transactions!$D$5:$D$3000,"Adjustment")</f>
        <v>0</v>
      </c>
      <c r="C73" s="21"/>
      <c r="D73" s="21"/>
      <c r="E73" s="16" t="s">
        <v>178</v>
      </c>
      <c r="F73" s="16"/>
      <c r="G73" s="16"/>
      <c r="H73" s="16"/>
    </row>
    <row r="74" customFormat="false" ht="25.5" hidden="false" customHeight="true" outlineLevel="0" collapsed="false">
      <c r="A74" s="13" t="s">
        <v>179</v>
      </c>
      <c r="B74" s="14" t="n">
        <f aca="false">SUM(Wallet_Transactions!$N$5:$N$3000)</f>
        <v>33400</v>
      </c>
      <c r="C74" s="21"/>
      <c r="D74" s="21"/>
      <c r="E74" s="16" t="s">
        <v>180</v>
      </c>
      <c r="F74" s="16"/>
      <c r="G74" s="16"/>
      <c r="H74" s="16"/>
    </row>
    <row r="75" customFormat="false" ht="25.5" hidden="false" customHeight="true" outlineLevel="0" collapsed="false">
      <c r="A75" s="21" t="s">
        <v>181</v>
      </c>
      <c r="B75" s="15" t="n">
        <f aca="false">IFERROR((COUNTIF(Wallet_Transactions!$G$5:$G$3000,"Failed")+COUNTIF(Wallet_Transactions!$G$5:$G$3000,"Voided"))/B68,0)</f>
        <v>0.0069204152249135</v>
      </c>
      <c r="C75" s="22" t="n">
        <f aca="false">Settings!B19</f>
        <v>0.02</v>
      </c>
      <c r="D75" s="23" t="str">
        <f aca="false">IF(B75&lt;=C75,"On track","Above target")</f>
        <v>On track</v>
      </c>
      <c r="E75" s="16" t="s">
        <v>182</v>
      </c>
      <c r="F75" s="16"/>
      <c r="G75" s="16"/>
      <c r="H75" s="16"/>
    </row>
    <row r="76" customFormat="false" ht="25.5" hidden="false" customHeight="true" outlineLevel="0" collapsed="false">
      <c r="A76" s="21" t="s">
        <v>183</v>
      </c>
      <c r="B76" s="15" t="n">
        <f aca="false">IFERROR(B71/(COUNTIFS(Wallet_Transactions!$D$5:$D$3000,"Reward Credit",Wallet_Transactions!$G$5:$G$3000,"Posted")+COUNTIFS(Wallet_Transactions!$D$5:$D$3000,"Redemption",Wallet_Transactions!$G$5:$G$3000,"Posted")),0)</f>
        <v>0.0143884892086331</v>
      </c>
      <c r="C76" s="21"/>
      <c r="D76" s="21"/>
      <c r="E76" s="16" t="s">
        <v>184</v>
      </c>
      <c r="F76" s="16"/>
      <c r="G76" s="16"/>
      <c r="H76" s="16"/>
    </row>
    <row r="77" customFormat="false" ht="25.5" hidden="false" customHeight="true" outlineLevel="0" collapsed="false">
      <c r="A77" s="21" t="s">
        <v>185</v>
      </c>
      <c r="B77" s="14" t="n">
        <f aca="false">COUNTIF(Wallet_Balances!$G$5:$G$24,"&lt;0")</f>
        <v>0</v>
      </c>
      <c r="C77" s="21"/>
      <c r="D77" s="21"/>
      <c r="E77" s="16" t="s">
        <v>186</v>
      </c>
      <c r="F77" s="16"/>
      <c r="G77" s="16"/>
      <c r="H77" s="16"/>
    </row>
    <row r="78" customFormat="false" ht="25.5" hidden="false" customHeight="true" outlineLevel="0" collapsed="false">
      <c r="A78" s="21" t="s">
        <v>187</v>
      </c>
      <c r="B78" s="14" t="n">
        <f aca="false">COUNTIF(Wallet_Transactions!$L$5:$L$3000,"Proposed")</f>
        <v>0</v>
      </c>
      <c r="C78" s="21"/>
      <c r="D78" s="21"/>
      <c r="E78" s="16" t="s">
        <v>188</v>
      </c>
      <c r="F78" s="16"/>
      <c r="G78" s="16"/>
      <c r="H78" s="16"/>
    </row>
    <row r="80" customFormat="false" ht="31.5" hidden="false" customHeight="true" outlineLevel="0" collapsed="false">
      <c r="A80" s="12" t="s">
        <v>189</v>
      </c>
      <c r="B80" s="12" t="s">
        <v>190</v>
      </c>
      <c r="C80" s="12" t="s">
        <v>85</v>
      </c>
      <c r="D80" s="12" t="s">
        <v>86</v>
      </c>
      <c r="E80" s="12" t="s">
        <v>191</v>
      </c>
      <c r="F80" s="12"/>
      <c r="G80" s="12"/>
      <c r="H80" s="12"/>
    </row>
    <row r="81" customFormat="false" ht="25.5" hidden="false" customHeight="true" outlineLevel="0" collapsed="false">
      <c r="A81" s="21" t="s">
        <v>192</v>
      </c>
      <c r="B81" s="14" t="n">
        <f aca="false">COUNTIF(Wallet_Transactions!$Q$5:$Q$3000,"CHECK*")</f>
        <v>0</v>
      </c>
      <c r="C81" s="31" t="n">
        <v>0</v>
      </c>
      <c r="D81" s="23" t="str">
        <f aca="false">IF(B81&lt;=C81,"On track","Above target")</f>
        <v>On track</v>
      </c>
      <c r="E81" s="16" t="s">
        <v>193</v>
      </c>
      <c r="F81" s="16"/>
      <c r="G81" s="16"/>
      <c r="H81" s="16"/>
    </row>
    <row r="82" customFormat="false" ht="25.5" hidden="false" customHeight="true" outlineLevel="0" collapsed="false">
      <c r="A82" s="21" t="s">
        <v>194</v>
      </c>
      <c r="B82" s="14" t="n">
        <f aca="false">COUNTIF(Withdrawals!$K$5:$K$1000,"CHECK*")</f>
        <v>0</v>
      </c>
      <c r="C82" s="31" t="n">
        <v>0</v>
      </c>
      <c r="D82" s="23" t="str">
        <f aca="false">IF(B82&lt;=C82,"On track","Above target")</f>
        <v>On track</v>
      </c>
      <c r="E82" s="16" t="s">
        <v>195</v>
      </c>
      <c r="F82" s="16"/>
      <c r="G82" s="16"/>
      <c r="H82" s="16"/>
    </row>
    <row r="83" customFormat="false" ht="25.5" hidden="false" customHeight="true" outlineLevel="0" collapsed="false">
      <c r="A83" s="21" t="s">
        <v>196</v>
      </c>
      <c r="B83" s="14" t="n">
        <f aca="false">COUNTIF(Withdrawals!$T$5:$T$1000,"CHECK*")</f>
        <v>0</v>
      </c>
      <c r="C83" s="31" t="n">
        <v>0</v>
      </c>
      <c r="D83" s="23" t="str">
        <f aca="false">IF(B83&lt;=C83,"On track","Above target")</f>
        <v>On track</v>
      </c>
      <c r="E83" s="16" t="s">
        <v>197</v>
      </c>
      <c r="F83" s="16"/>
      <c r="G83" s="16"/>
      <c r="H83" s="16"/>
    </row>
    <row r="85" customFormat="false" ht="31.5" hidden="false" customHeight="true" outlineLevel="0" collapsed="false">
      <c r="A85" s="12" t="s">
        <v>198</v>
      </c>
      <c r="B85" s="12" t="s">
        <v>199</v>
      </c>
      <c r="C85" s="12" t="s">
        <v>200</v>
      </c>
      <c r="D85" s="12" t="s">
        <v>201</v>
      </c>
      <c r="E85" s="12"/>
      <c r="F85" s="12"/>
      <c r="G85" s="12"/>
      <c r="H85" s="12"/>
    </row>
    <row r="86" customFormat="false" ht="15" hidden="false" customHeight="false" outlineLevel="0" collapsed="false">
      <c r="A86" s="32" t="str">
        <f aca="false">Transaction_Types!A5</f>
        <v>Reward Credit</v>
      </c>
      <c r="B86" s="14" t="n">
        <f aca="false">COUNTIF(Wallet_Transactions!$D$5:$D$3000,$A86)</f>
        <v>252</v>
      </c>
      <c r="C86" s="30" t="n">
        <f aca="false">SUMIFS(Wallet_Transactions!$N$5:$N$3000,Wallet_Transactions!$D$5:$D$3000,$A86)</f>
        <v>63500</v>
      </c>
      <c r="D86" s="32" t="str">
        <f aca="false">Transaction_Types!B5</f>
        <v>Supported</v>
      </c>
    </row>
    <row r="87" customFormat="false" ht="15" hidden="false" customHeight="false" outlineLevel="0" collapsed="false">
      <c r="A87" s="32" t="str">
        <f aca="false">Transaction_Types!A6</f>
        <v>Redemption</v>
      </c>
      <c r="B87" s="14" t="n">
        <f aca="false">COUNTIF(Wallet_Transactions!$D$5:$D$3000,$A87)</f>
        <v>30</v>
      </c>
      <c r="C87" s="30" t="n">
        <f aca="false">SUMIFS(Wallet_Transactions!$N$5:$N$3000,Wallet_Transactions!$D$5:$D$3000,$A87)</f>
        <v>-30200</v>
      </c>
      <c r="D87" s="32" t="str">
        <f aca="false">Transaction_Types!B6</f>
        <v>Supported</v>
      </c>
    </row>
    <row r="88" customFormat="false" ht="15" hidden="false" customHeight="false" outlineLevel="0" collapsed="false">
      <c r="A88" s="32" t="str">
        <f aca="false">Transaction_Types!A7</f>
        <v>Reversal</v>
      </c>
      <c r="B88" s="14" t="n">
        <f aca="false">COUNTIF(Wallet_Transactions!$D$5:$D$3000,$A88)</f>
        <v>4</v>
      </c>
      <c r="C88" s="30" t="n">
        <f aca="false">SUMIFS(Wallet_Transactions!$N$5:$N$3000,Wallet_Transactions!$D$5:$D$3000,$A88)</f>
        <v>100</v>
      </c>
      <c r="D88" s="32" t="str">
        <f aca="false">Transaction_Types!B7</f>
        <v>Supported</v>
      </c>
    </row>
    <row r="89" customFormat="false" ht="15" hidden="false" customHeight="false" outlineLevel="0" collapsed="false">
      <c r="A89" s="32" t="str">
        <f aca="false">Transaction_Types!A8</f>
        <v>Adjustment</v>
      </c>
      <c r="B89" s="14" t="n">
        <f aca="false">COUNTIF(Wallet_Transactions!$D$5:$D$3000,$A89)</f>
        <v>3</v>
      </c>
      <c r="C89" s="30" t="n">
        <f aca="false">SUMIFS(Wallet_Transactions!$N$5:$N$3000,Wallet_Transactions!$D$5:$D$3000,$A89)</f>
        <v>0</v>
      </c>
      <c r="D89" s="32" t="str">
        <f aca="false">Transaction_Types!B8</f>
        <v>Supported</v>
      </c>
    </row>
    <row r="90" customFormat="false" ht="15" hidden="false" customHeight="false" outlineLevel="0" collapsed="false">
      <c r="A90" s="32" t="str">
        <f aca="false">Transaction_Types!A9</f>
        <v>Withdrawal Hold</v>
      </c>
      <c r="B90" s="14" t="n">
        <f aca="false">COUNTIF(Wallet_Transactions!$D$5:$D$3000,$A90)</f>
        <v>0</v>
      </c>
      <c r="C90" s="30" t="n">
        <f aca="false">SUMIFS(Wallet_Transactions!$N$5:$N$3000,Wallet_Transactions!$D$5:$D$3000,$A90)</f>
        <v>0</v>
      </c>
      <c r="D90" s="32" t="str">
        <f aca="false">Transaction_Types!B9</f>
        <v>Proposed</v>
      </c>
    </row>
    <row r="91" customFormat="false" ht="15" hidden="false" customHeight="false" outlineLevel="0" collapsed="false">
      <c r="A91" s="32" t="str">
        <f aca="false">Transaction_Types!A10</f>
        <v>Hold Release</v>
      </c>
      <c r="B91" s="14" t="n">
        <f aca="false">COUNTIF(Wallet_Transactions!$D$5:$D$3000,$A91)</f>
        <v>0</v>
      </c>
      <c r="C91" s="30" t="n">
        <f aca="false">SUMIFS(Wallet_Transactions!$N$5:$N$3000,Wallet_Transactions!$D$5:$D$3000,$A91)</f>
        <v>0</v>
      </c>
      <c r="D91" s="32" t="str">
        <f aca="false">Transaction_Types!B10</f>
        <v>Proposed</v>
      </c>
    </row>
    <row r="92" customFormat="false" ht="15" hidden="false" customHeight="false" outlineLevel="0" collapsed="false">
      <c r="A92" s="32" t="str">
        <f aca="false">Transaction_Types!A11</f>
        <v>Fee / Charge</v>
      </c>
      <c r="B92" s="14" t="n">
        <f aca="false">COUNTIF(Wallet_Transactions!$D$5:$D$3000,$A92)</f>
        <v>0</v>
      </c>
      <c r="C92" s="30" t="n">
        <f aca="false">SUMIFS(Wallet_Transactions!$N$5:$N$3000,Wallet_Transactions!$D$5:$D$3000,$A92)</f>
        <v>0</v>
      </c>
      <c r="D92" s="32" t="str">
        <f aca="false">Transaction_Types!B11</f>
        <v>Proposed</v>
      </c>
    </row>
    <row r="93" customFormat="false" ht="15" hidden="false" customHeight="false" outlineLevel="0" collapsed="false">
      <c r="A93" s="32" t="str">
        <f aca="false">Transaction_Types!A12</f>
        <v>Expiry</v>
      </c>
      <c r="B93" s="14" t="n">
        <f aca="false">COUNTIF(Wallet_Transactions!$D$5:$D$3000,$A93)</f>
        <v>0</v>
      </c>
      <c r="C93" s="30" t="n">
        <f aca="false">SUMIFS(Wallet_Transactions!$N$5:$N$3000,Wallet_Transactions!$D$5:$D$3000,$A93)</f>
        <v>0</v>
      </c>
      <c r="D93" s="32" t="str">
        <f aca="false">Transaction_Types!B12</f>
        <v>Proposed</v>
      </c>
    </row>
  </sheetData>
  <mergeCells count="56">
    <mergeCell ref="E4:H4"/>
    <mergeCell ref="E5:H5"/>
    <mergeCell ref="E6:H6"/>
    <mergeCell ref="E7:H7"/>
    <mergeCell ref="E8:H8"/>
    <mergeCell ref="E9:H9"/>
    <mergeCell ref="E10:H10"/>
    <mergeCell ref="E11:H11"/>
    <mergeCell ref="E12:H12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3:H33"/>
    <mergeCell ref="E34:H34"/>
    <mergeCell ref="E35:H35"/>
    <mergeCell ref="E36:H36"/>
    <mergeCell ref="E37:H37"/>
    <mergeCell ref="E38:H38"/>
    <mergeCell ref="E40:H40"/>
    <mergeCell ref="E41:H41"/>
    <mergeCell ref="E42:H42"/>
    <mergeCell ref="E43:H43"/>
    <mergeCell ref="E44:H44"/>
    <mergeCell ref="E45:H45"/>
    <mergeCell ref="E46:H46"/>
    <mergeCell ref="E47:H47"/>
    <mergeCell ref="E67:H67"/>
    <mergeCell ref="E68:H68"/>
    <mergeCell ref="E69:H69"/>
    <mergeCell ref="E70:H70"/>
    <mergeCell ref="E71:H71"/>
    <mergeCell ref="E72:H72"/>
    <mergeCell ref="E73:H73"/>
    <mergeCell ref="E74:H74"/>
    <mergeCell ref="E75:H75"/>
    <mergeCell ref="E76:H76"/>
    <mergeCell ref="E77:H77"/>
    <mergeCell ref="E78:H78"/>
    <mergeCell ref="E80:H80"/>
    <mergeCell ref="E81:H81"/>
    <mergeCell ref="E82:H82"/>
    <mergeCell ref="E83:H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8" min="6" style="0" width="17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5"/>
    <col collapsed="false" customWidth="true" hidden="false" outlineLevel="0" max="15" min="14" style="0" width="16"/>
    <col collapsed="false" customWidth="true" hidden="false" outlineLevel="0" max="16" min="16" style="0" width="12"/>
    <col collapsed="false" customWidth="true" hidden="false" outlineLevel="0" max="18" min="17" style="0" width="13"/>
    <col collapsed="false" customWidth="true" hidden="false" outlineLevel="0" max="19" min="19" style="0" width="12"/>
    <col collapsed="false" customWidth="true" hidden="false" outlineLevel="0" max="20" min="20" style="0" width="20"/>
  </cols>
  <sheetData>
    <row r="1" customFormat="false" ht="17.3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33" t="s">
        <v>203</v>
      </c>
    </row>
    <row r="4" customFormat="false" ht="57.75" hidden="false" customHeight="true" outlineLevel="0" collapsed="false">
      <c r="A4" s="12" t="s">
        <v>204</v>
      </c>
      <c r="B4" s="12" t="s">
        <v>205</v>
      </c>
      <c r="C4" s="12" t="s">
        <v>206</v>
      </c>
      <c r="D4" s="12" t="s">
        <v>207</v>
      </c>
      <c r="E4" s="12" t="s">
        <v>208</v>
      </c>
      <c r="F4" s="12" t="s">
        <v>209</v>
      </c>
      <c r="G4" s="12" t="s">
        <v>210</v>
      </c>
      <c r="H4" s="12" t="s">
        <v>211</v>
      </c>
      <c r="I4" s="12" t="s">
        <v>86</v>
      </c>
      <c r="J4" s="12" t="s">
        <v>212</v>
      </c>
      <c r="K4" s="12" t="s">
        <v>213</v>
      </c>
      <c r="L4" s="12" t="s">
        <v>214</v>
      </c>
      <c r="M4" s="12" t="s">
        <v>215</v>
      </c>
      <c r="N4" s="12" t="s">
        <v>216</v>
      </c>
      <c r="O4" s="12" t="s">
        <v>217</v>
      </c>
      <c r="P4" s="12" t="s">
        <v>218</v>
      </c>
      <c r="Q4" s="12" t="s">
        <v>219</v>
      </c>
      <c r="R4" s="12" t="s">
        <v>220</v>
      </c>
      <c r="S4" s="12" t="s">
        <v>221</v>
      </c>
      <c r="T4" s="12" t="s">
        <v>222</v>
      </c>
    </row>
    <row r="5" customFormat="false" ht="15" hidden="false" customHeight="false" outlineLevel="0" collapsed="false">
      <c r="A5" s="28" t="s">
        <v>223</v>
      </c>
      <c r="B5" s="28" t="s">
        <v>224</v>
      </c>
      <c r="C5" s="34" t="n">
        <v>800</v>
      </c>
      <c r="D5" s="28" t="s">
        <v>225</v>
      </c>
      <c r="E5" s="28" t="s">
        <v>153</v>
      </c>
      <c r="F5" s="35" t="n">
        <v>46270.3069444444</v>
      </c>
      <c r="G5" s="35" t="n">
        <v>46271.0605173856</v>
      </c>
      <c r="H5" s="35" t="n">
        <v>46272.1476976422</v>
      </c>
      <c r="I5" s="28" t="s">
        <v>72</v>
      </c>
      <c r="J5" s="28"/>
      <c r="K5" s="36" t="str">
        <f aca="false">IF(ISNA(MATCH(I5,Withdrawal_Lifecycle!$A$5:$A$11,0)),"CHECK status",IF(AND(I5="Requested",OR(G5&lt;&gt;"",H5&lt;&gt;"")),"CHECK timestamps",IF(AND(OR(I5="Under Review",I5="Processing"),OR(G5="",H5&lt;&gt;"")),"CHECK timestamps",IF(AND(OR(I5="Completed",I5="Reversed",I5="Rejected"),OR(G5="",H5="")),"CHECK timestamps",IF(AND(I5="Cancelled",H5=""),"CHECK timestamps",IF(OR(AND(G5&lt;&gt;"",G5&lt;F5),AND(H5&lt;&gt;"",H5&lt;IF(G5&lt;&gt;"",G5,F5))),"CHECK order",IF(AND(OR(I5="Rejected",I5="Reversed"),J5=""),"CHECK reason","OK")))))))</f>
        <v>OK</v>
      </c>
      <c r="L5" s="36" t="n">
        <f aca="false">IF(OR(I5="Requested",I5="Under Review",I5="Processing"),1,0)</f>
        <v>0</v>
      </c>
      <c r="M5" s="37" t="n">
        <f aca="false">IF(G5="","",(G5-F5)*24)</f>
        <v>18.0857505887397</v>
      </c>
      <c r="N5" s="37" t="n">
        <f aca="false">IF(AND(I5="Completed",G5&lt;&gt;"",H5&lt;&gt;""),(H5-G5)*24,"")</f>
        <v>26.0923261570858</v>
      </c>
      <c r="O5" s="37" t="n">
        <f aca="false">IF(AND(I5="Completed",H5&lt;&gt;""),(H5-F5)*24,"")</f>
        <v>44.1780767458256</v>
      </c>
      <c r="P5" s="36" t="str">
        <f aca="false">IF(O5="","",IF(O5&lt;=Settings!$B$8,"Yes","No"))</f>
        <v>Yes</v>
      </c>
      <c r="Q5" s="37" t="str">
        <f aca="false">IF(AND(I5="Rejected",H5&lt;&gt;""),(H5-F5)*24,"")</f>
        <v/>
      </c>
      <c r="R5" s="37" t="str">
        <f aca="false">IF(L5=1,(Settings!$B$5-F5)*24,"")</f>
        <v/>
      </c>
      <c r="S5" s="36" t="n">
        <f aca="false">IF(COUNTIF($B$5:B5,B5)=1,1,0)</f>
        <v>1</v>
      </c>
      <c r="T5" s="36" t="str">
        <f aca="false">IF(I5="Completed",IF(COUNTIFS(Wallet_Transactions!$I$5:$I$3000,A5,Wallet_Transactions!$D$5:$D$3000,"Redemption",Wallet_Transactions!$G$5:$G$3000,"Posted")&gt;=1,"OK","CHECK no debit"),IF(I5="Reversed",IF(AND(COUNTIFS(Wallet_Transactions!$I$5:$I$3000,A5,Wallet_Transactions!$D$5:$D$3000,"Redemption",Wallet_Transactions!$G$5:$G$3000,"Posted")&gt;=1,COUNTIFS(Wallet_Transactions!$I$5:$I$3000,A5,Wallet_Transactions!$D$5:$D$3000,"Reversal",Wallet_Transactions!$G$5:$G$3000,"Posted")&gt;=1),"OK","CHECK no reversal"),IF(COUNTIFS(Wallet_Transactions!$I$5:$I$3000,A5,Wallet_Transactions!$D$5:$D$3000,"Redemption",Wallet_Transactions!$G$5:$G$3000,"Posted")&gt;0,"CHECK unexpected debit","OK")))</f>
        <v>OK</v>
      </c>
    </row>
    <row r="6" customFormat="false" ht="15" hidden="false" customHeight="false" outlineLevel="0" collapsed="false">
      <c r="A6" s="28" t="s">
        <v>226</v>
      </c>
      <c r="B6" s="28" t="s">
        <v>227</v>
      </c>
      <c r="C6" s="34" t="n">
        <v>1100</v>
      </c>
      <c r="D6" s="28" t="s">
        <v>225</v>
      </c>
      <c r="E6" s="28" t="s">
        <v>152</v>
      </c>
      <c r="F6" s="35" t="n">
        <v>46271.5513888889</v>
      </c>
      <c r="G6" s="35" t="n">
        <v>46272.4474315977</v>
      </c>
      <c r="H6" s="35" t="n">
        <v>46273.2900815184</v>
      </c>
      <c r="I6" s="28" t="s">
        <v>72</v>
      </c>
      <c r="J6" s="28"/>
      <c r="K6" s="36" t="str">
        <f aca="false">IF(ISNA(MATCH(I6,Withdrawal_Lifecycle!$A$5:$A$11,0)),"CHECK status",IF(AND(I6="Requested",OR(G6&lt;&gt;"",H6&lt;&gt;"")),"CHECK timestamps",IF(AND(OR(I6="Under Review",I6="Processing"),OR(G6="",H6&lt;&gt;"")),"CHECK timestamps",IF(AND(OR(I6="Completed",I6="Reversed",I6="Rejected"),OR(G6="",H6="")),"CHECK timestamps",IF(AND(I6="Cancelled",H6=""),"CHECK timestamps",IF(OR(AND(G6&lt;&gt;"",G6&lt;F6),AND(H6&lt;&gt;"",H6&lt;IF(G6&lt;&gt;"",G6,F6))),"CHECK order",IF(AND(OR(I6="Rejected",I6="Reversed"),J6=""),"CHECK reason","OK")))))))</f>
        <v>OK</v>
      </c>
      <c r="L6" s="36" t="n">
        <f aca="false">IF(OR(I6="Requested",I6="Under Review",I6="Processing"),1,0)</f>
        <v>0</v>
      </c>
      <c r="M6" s="37" t="n">
        <f aca="false">IF(G6="","",(G6-F6)*24)</f>
        <v>21.505025010905</v>
      </c>
      <c r="N6" s="37" t="n">
        <f aca="false">IF(AND(I6="Completed",G6&lt;&gt;"",H6&lt;&gt;""),(H6-G6)*24,"")</f>
        <v>20.2235980965778</v>
      </c>
      <c r="O6" s="37" t="n">
        <f aca="false">IF(AND(I6="Completed",H6&lt;&gt;""),(H6-F6)*24,"")</f>
        <v>41.7286231074831</v>
      </c>
      <c r="P6" s="36" t="str">
        <f aca="false">IF(O6="","",IF(O6&lt;=Settings!$B$8,"Yes","No"))</f>
        <v>Yes</v>
      </c>
      <c r="Q6" s="37" t="str">
        <f aca="false">IF(AND(I6="Rejected",H6&lt;&gt;""),(H6-F6)*24,"")</f>
        <v/>
      </c>
      <c r="R6" s="37" t="str">
        <f aca="false">IF(L6=1,(Settings!$B$5-F6)*24,"")</f>
        <v/>
      </c>
      <c r="S6" s="36" t="n">
        <f aca="false">IF(COUNTIF($B$5:B6,B6)=1,1,0)</f>
        <v>1</v>
      </c>
      <c r="T6" s="36" t="str">
        <f aca="false">IF(I6="Completed",IF(COUNTIFS(Wallet_Transactions!$I$5:$I$3000,A6,Wallet_Transactions!$D$5:$D$3000,"Redemption",Wallet_Transactions!$G$5:$G$3000,"Posted")&gt;=1,"OK","CHECK no debit"),IF(I6="Reversed",IF(AND(COUNTIFS(Wallet_Transactions!$I$5:$I$3000,A6,Wallet_Transactions!$D$5:$D$3000,"Redemption",Wallet_Transactions!$G$5:$G$3000,"Posted")&gt;=1,COUNTIFS(Wallet_Transactions!$I$5:$I$3000,A6,Wallet_Transactions!$D$5:$D$3000,"Reversal",Wallet_Transactions!$G$5:$G$3000,"Posted")&gt;=1),"OK","CHECK no reversal"),IF(COUNTIFS(Wallet_Transactions!$I$5:$I$3000,A6,Wallet_Transactions!$D$5:$D$3000,"Redemption",Wallet_Transactions!$G$5:$G$3000,"Posted")&gt;0,"CHECK unexpected debit","OK")))</f>
        <v>OK</v>
      </c>
    </row>
    <row r="7" customFormat="false" ht="15" hidden="false" customHeight="false" outlineLevel="0" collapsed="false">
      <c r="A7" s="28" t="s">
        <v>228</v>
      </c>
      <c r="B7" s="28" t="s">
        <v>229</v>
      </c>
      <c r="C7" s="34" t="n">
        <v>1950</v>
      </c>
      <c r="D7" s="28" t="s">
        <v>225</v>
      </c>
      <c r="E7" s="28" t="s">
        <v>153</v>
      </c>
      <c r="F7" s="35" t="n">
        <v>46273.06875</v>
      </c>
      <c r="G7" s="35" t="n">
        <v>46273.3239651633</v>
      </c>
      <c r="H7" s="35" t="n">
        <v>46274.9840967644</v>
      </c>
      <c r="I7" s="28" t="s">
        <v>72</v>
      </c>
      <c r="J7" s="28"/>
      <c r="K7" s="36" t="str">
        <f aca="false">IF(ISNA(MATCH(I7,Withdrawal_Lifecycle!$A$5:$A$11,0)),"CHECK status",IF(AND(I7="Requested",OR(G7&lt;&gt;"",H7&lt;&gt;"")),"CHECK timestamps",IF(AND(OR(I7="Under Review",I7="Processing"),OR(G7="",H7&lt;&gt;"")),"CHECK timestamps",IF(AND(OR(I7="Completed",I7="Reversed",I7="Rejected"),OR(G7="",H7="")),"CHECK timestamps",IF(AND(I7="Cancelled",H7=""),"CHECK timestamps",IF(OR(AND(G7&lt;&gt;"",G7&lt;F7),AND(H7&lt;&gt;"",H7&lt;IF(G7&lt;&gt;"",G7,F7))),"CHECK order",IF(AND(OR(I7="Rejected",I7="Reversed"),J7=""),"CHECK reason","OK")))))))</f>
        <v>OK</v>
      </c>
      <c r="L7" s="36" t="n">
        <f aca="false">IF(OR(I7="Requested",I7="Under Review",I7="Processing"),1,0)</f>
        <v>0</v>
      </c>
      <c r="M7" s="37" t="n">
        <f aca="false">IF(G7="","",(G7-F7)*24)</f>
        <v>6.12516391987444</v>
      </c>
      <c r="N7" s="37" t="n">
        <f aca="false">IF(AND(I7="Completed",G7&lt;&gt;"",H7&lt;&gt;""),(H7-G7)*24,"")</f>
        <v>39.8431584262289</v>
      </c>
      <c r="O7" s="37" t="n">
        <f aca="false">IF(AND(I7="Completed",H7&lt;&gt;""),(H7-F7)*24,"")</f>
        <v>45.9683223461033</v>
      </c>
      <c r="P7" s="36" t="str">
        <f aca="false">IF(O7="","",IF(O7&lt;=Settings!$B$8,"Yes","No"))</f>
        <v>Yes</v>
      </c>
      <c r="Q7" s="37" t="str">
        <f aca="false">IF(AND(I7="Rejected",H7&lt;&gt;""),(H7-F7)*24,"")</f>
        <v/>
      </c>
      <c r="R7" s="37" t="str">
        <f aca="false">IF(L7=1,(Settings!$B$5-F7)*24,"")</f>
        <v/>
      </c>
      <c r="S7" s="36" t="n">
        <f aca="false">IF(COUNTIF($B$5:B7,B7)=1,1,0)</f>
        <v>1</v>
      </c>
      <c r="T7" s="36" t="str">
        <f aca="false">IF(I7="Completed",IF(COUNTIFS(Wallet_Transactions!$I$5:$I$3000,A7,Wallet_Transactions!$D$5:$D$3000,"Redemption",Wallet_Transactions!$G$5:$G$3000,"Posted")&gt;=1,"OK","CHECK no debit"),IF(I7="Reversed",IF(AND(COUNTIFS(Wallet_Transactions!$I$5:$I$3000,A7,Wallet_Transactions!$D$5:$D$3000,"Redemption",Wallet_Transactions!$G$5:$G$3000,"Posted")&gt;=1,COUNTIFS(Wallet_Transactions!$I$5:$I$3000,A7,Wallet_Transactions!$D$5:$D$3000,"Reversal",Wallet_Transactions!$G$5:$G$3000,"Posted")&gt;=1),"OK","CHECK no reversal"),IF(COUNTIFS(Wallet_Transactions!$I$5:$I$3000,A7,Wallet_Transactions!$D$5:$D$3000,"Redemption",Wallet_Transactions!$G$5:$G$3000,"Posted")&gt;0,"CHECK unexpected debit","OK")))</f>
        <v>OK</v>
      </c>
    </row>
    <row r="8" customFormat="false" ht="15" hidden="false" customHeight="false" outlineLevel="0" collapsed="false">
      <c r="A8" s="28" t="s">
        <v>230</v>
      </c>
      <c r="B8" s="28" t="s">
        <v>231</v>
      </c>
      <c r="C8" s="34" t="n">
        <v>550</v>
      </c>
      <c r="D8" s="28" t="s">
        <v>225</v>
      </c>
      <c r="E8" s="28" t="s">
        <v>155</v>
      </c>
      <c r="F8" s="35" t="n">
        <v>46274.9604166667</v>
      </c>
      <c r="G8" s="35" t="n">
        <v>46275.8728596183</v>
      </c>
      <c r="H8" s="35" t="n">
        <v>46277.9840832004</v>
      </c>
      <c r="I8" s="28" t="s">
        <v>72</v>
      </c>
      <c r="J8" s="28"/>
      <c r="K8" s="36" t="str">
        <f aca="false">IF(ISNA(MATCH(I8,Withdrawal_Lifecycle!$A$5:$A$11,0)),"CHECK status",IF(AND(I8="Requested",OR(G8&lt;&gt;"",H8&lt;&gt;"")),"CHECK timestamps",IF(AND(OR(I8="Under Review",I8="Processing"),OR(G8="",H8&lt;&gt;"")),"CHECK timestamps",IF(AND(OR(I8="Completed",I8="Reversed",I8="Rejected"),OR(G8="",H8="")),"CHECK timestamps",IF(AND(I8="Cancelled",H8=""),"CHECK timestamps",IF(OR(AND(G8&lt;&gt;"",G8&lt;F8),AND(H8&lt;&gt;"",H8&lt;IF(G8&lt;&gt;"",G8,F8))),"CHECK order",IF(AND(OR(I8="Rejected",I8="Reversed"),J8=""),"CHECK reason","OK")))))))</f>
        <v>OK</v>
      </c>
      <c r="L8" s="36" t="n">
        <f aca="false">IF(OR(I8="Requested",I8="Under Review",I8="Processing"),1,0)</f>
        <v>0</v>
      </c>
      <c r="M8" s="37" t="n">
        <f aca="false">IF(G8="","",(G8-F8)*24)</f>
        <v>21.8986308401797</v>
      </c>
      <c r="N8" s="37" t="n">
        <f aca="false">IF(AND(I8="Completed",G8&lt;&gt;"",H8&lt;&gt;""),(H8-G8)*24,"")</f>
        <v>50.6693659698356</v>
      </c>
      <c r="O8" s="37" t="n">
        <f aca="false">IF(AND(I8="Completed",H8&lt;&gt;""),(H8-F8)*24,"")</f>
        <v>72.5679968100156</v>
      </c>
      <c r="P8" s="36" t="str">
        <f aca="false">IF(O8="","",IF(O8&lt;=Settings!$B$8,"Yes","No"))</f>
        <v>No</v>
      </c>
      <c r="Q8" s="37" t="str">
        <f aca="false">IF(AND(I8="Rejected",H8&lt;&gt;""),(H8-F8)*24,"")</f>
        <v/>
      </c>
      <c r="R8" s="37" t="str">
        <f aca="false">IF(L8=1,(Settings!$B$5-F8)*24,"")</f>
        <v/>
      </c>
      <c r="S8" s="36" t="n">
        <f aca="false">IF(COUNTIF($B$5:B8,B8)=1,1,0)</f>
        <v>1</v>
      </c>
      <c r="T8" s="36" t="str">
        <f aca="false">IF(I8="Completed",IF(COUNTIFS(Wallet_Transactions!$I$5:$I$3000,A8,Wallet_Transactions!$D$5:$D$3000,"Redemption",Wallet_Transactions!$G$5:$G$3000,"Posted")&gt;=1,"OK","CHECK no debit"),IF(I8="Reversed",IF(AND(COUNTIFS(Wallet_Transactions!$I$5:$I$3000,A8,Wallet_Transactions!$D$5:$D$3000,"Redemption",Wallet_Transactions!$G$5:$G$3000,"Posted")&gt;=1,COUNTIFS(Wallet_Transactions!$I$5:$I$3000,A8,Wallet_Transactions!$D$5:$D$3000,"Reversal",Wallet_Transactions!$G$5:$G$3000,"Posted")&gt;=1),"OK","CHECK no reversal"),IF(COUNTIFS(Wallet_Transactions!$I$5:$I$3000,A8,Wallet_Transactions!$D$5:$D$3000,"Redemption",Wallet_Transactions!$G$5:$G$3000,"Posted")&gt;0,"CHECK unexpected debit","OK")))</f>
        <v>OK</v>
      </c>
    </row>
    <row r="9" customFormat="false" ht="15" hidden="false" customHeight="false" outlineLevel="0" collapsed="false">
      <c r="A9" s="28" t="s">
        <v>232</v>
      </c>
      <c r="B9" s="28" t="s">
        <v>231</v>
      </c>
      <c r="C9" s="34" t="n">
        <v>750</v>
      </c>
      <c r="D9" s="28" t="s">
        <v>225</v>
      </c>
      <c r="E9" s="28" t="s">
        <v>152</v>
      </c>
      <c r="F9" s="35" t="n">
        <v>46278.5243055556</v>
      </c>
      <c r="G9" s="35" t="n">
        <v>46278.6413113638</v>
      </c>
      <c r="H9" s="35" t="n">
        <v>46278.9198218748</v>
      </c>
      <c r="I9" s="28" t="s">
        <v>72</v>
      </c>
      <c r="J9" s="28"/>
      <c r="K9" s="36" t="str">
        <f aca="false">IF(ISNA(MATCH(I9,Withdrawal_Lifecycle!$A$5:$A$11,0)),"CHECK status",IF(AND(I9="Requested",OR(G9&lt;&gt;"",H9&lt;&gt;"")),"CHECK timestamps",IF(AND(OR(I9="Under Review",I9="Processing"),OR(G9="",H9&lt;&gt;"")),"CHECK timestamps",IF(AND(OR(I9="Completed",I9="Reversed",I9="Rejected"),OR(G9="",H9="")),"CHECK timestamps",IF(AND(I9="Cancelled",H9=""),"CHECK timestamps",IF(OR(AND(G9&lt;&gt;"",G9&lt;F9),AND(H9&lt;&gt;"",H9&lt;IF(G9&lt;&gt;"",G9,F9))),"CHECK order",IF(AND(OR(I9="Rejected",I9="Reversed"),J9=""),"CHECK reason","OK")))))))</f>
        <v>OK</v>
      </c>
      <c r="L9" s="36" t="n">
        <f aca="false">IF(OR(I9="Requested",I9="Under Review",I9="Processing"),1,0)</f>
        <v>0</v>
      </c>
      <c r="M9" s="37" t="n">
        <f aca="false">IF(G9="","",(G9-F9)*24)</f>
        <v>2.80813939712222</v>
      </c>
      <c r="N9" s="37" t="n">
        <f aca="false">IF(AND(I9="Completed",G9&lt;&gt;"",H9&lt;&gt;""),(H9-G9)*24,"")</f>
        <v>6.68425226525861</v>
      </c>
      <c r="O9" s="37" t="n">
        <f aca="false">IF(AND(I9="Completed",H9&lt;&gt;""),(H9-F9)*24,"")</f>
        <v>9.49239166238111</v>
      </c>
      <c r="P9" s="36" t="str">
        <f aca="false">IF(O9="","",IF(O9&lt;=Settings!$B$8,"Yes","No"))</f>
        <v>Yes</v>
      </c>
      <c r="Q9" s="37" t="str">
        <f aca="false">IF(AND(I9="Rejected",H9&lt;&gt;""),(H9-F9)*24,"")</f>
        <v/>
      </c>
      <c r="R9" s="37" t="str">
        <f aca="false">IF(L9=1,(Settings!$B$5-F9)*24,"")</f>
        <v/>
      </c>
      <c r="S9" s="36" t="n">
        <f aca="false">IF(COUNTIF($B$5:B9,B9)=1,1,0)</f>
        <v>0</v>
      </c>
      <c r="T9" s="36" t="str">
        <f aca="false">IF(I9="Completed",IF(COUNTIFS(Wallet_Transactions!$I$5:$I$3000,A9,Wallet_Transactions!$D$5:$D$3000,"Redemption",Wallet_Transactions!$G$5:$G$3000,"Posted")&gt;=1,"OK","CHECK no debit"),IF(I9="Reversed",IF(AND(COUNTIFS(Wallet_Transactions!$I$5:$I$3000,A9,Wallet_Transactions!$D$5:$D$3000,"Redemption",Wallet_Transactions!$G$5:$G$3000,"Posted")&gt;=1,COUNTIFS(Wallet_Transactions!$I$5:$I$3000,A9,Wallet_Transactions!$D$5:$D$3000,"Reversal",Wallet_Transactions!$G$5:$G$3000,"Posted")&gt;=1),"OK","CHECK no reversal"),IF(COUNTIFS(Wallet_Transactions!$I$5:$I$3000,A9,Wallet_Transactions!$D$5:$D$3000,"Redemption",Wallet_Transactions!$G$5:$G$3000,"Posted")&gt;0,"CHECK unexpected debit","OK")))</f>
        <v>OK</v>
      </c>
    </row>
    <row r="10" customFormat="false" ht="15" hidden="false" customHeight="false" outlineLevel="0" collapsed="false">
      <c r="A10" s="28" t="s">
        <v>233</v>
      </c>
      <c r="B10" s="28" t="s">
        <v>234</v>
      </c>
      <c r="C10" s="34" t="n">
        <v>1350</v>
      </c>
      <c r="D10" s="28" t="s">
        <v>225</v>
      </c>
      <c r="E10" s="28" t="s">
        <v>152</v>
      </c>
      <c r="F10" s="35" t="n">
        <v>46278.8256944444</v>
      </c>
      <c r="G10" s="35"/>
      <c r="H10" s="35" t="n">
        <v>46279.0051347853</v>
      </c>
      <c r="I10" s="28" t="s">
        <v>78</v>
      </c>
      <c r="J10" s="28" t="s">
        <v>165</v>
      </c>
      <c r="K10" s="36" t="str">
        <f aca="false">IF(ISNA(MATCH(I10,Withdrawal_Lifecycle!$A$5:$A$11,0)),"CHECK status",IF(AND(I10="Requested",OR(G10&lt;&gt;"",H10&lt;&gt;"")),"CHECK timestamps",IF(AND(OR(I10="Under Review",I10="Processing"),OR(G10="",H10&lt;&gt;"")),"CHECK timestamps",IF(AND(OR(I10="Completed",I10="Reversed",I10="Rejected"),OR(G10="",H10="")),"CHECK timestamps",IF(AND(I10="Cancelled",H10=""),"CHECK timestamps",IF(OR(AND(G10&lt;&gt;"",G10&lt;F10),AND(H10&lt;&gt;"",H10&lt;IF(G10&lt;&gt;"",G10,F10))),"CHECK order",IF(AND(OR(I10="Rejected",I10="Reversed"),J10=""),"CHECK reason","OK")))))))</f>
        <v>OK</v>
      </c>
      <c r="L10" s="36" t="n">
        <f aca="false">IF(OR(I10="Requested",I10="Under Review",I10="Processing"),1,0)</f>
        <v>0</v>
      </c>
      <c r="M10" s="37" t="str">
        <f aca="false">IF(G10="","",(G10-F10)*24)</f>
        <v/>
      </c>
      <c r="N10" s="37" t="str">
        <f aca="false">IF(AND(I10="Completed",G10&lt;&gt;"",H10&lt;&gt;""),(H10-G10)*24,"")</f>
        <v/>
      </c>
      <c r="O10" s="37" t="str">
        <f aca="false">IF(AND(I10="Completed",H10&lt;&gt;""),(H10-F10)*24,"")</f>
        <v/>
      </c>
      <c r="P10" s="36" t="str">
        <f aca="false">IF(O10="","",IF(O10&lt;=Settings!$B$8,"Yes","No"))</f>
        <v/>
      </c>
      <c r="Q10" s="37" t="str">
        <f aca="false">IF(AND(I10="Rejected",H10&lt;&gt;""),(H10-F10)*24,"")</f>
        <v/>
      </c>
      <c r="R10" s="37" t="str">
        <f aca="false">IF(L10=1,(Settings!$B$5-F10)*24,"")</f>
        <v/>
      </c>
      <c r="S10" s="36" t="n">
        <f aca="false">IF(COUNTIF($B$5:B10,B10)=1,1,0)</f>
        <v>1</v>
      </c>
      <c r="T10" s="36" t="str">
        <f aca="false">IF(I10="Completed",IF(COUNTIFS(Wallet_Transactions!$I$5:$I$3000,A10,Wallet_Transactions!$D$5:$D$3000,"Redemption",Wallet_Transactions!$G$5:$G$3000,"Posted")&gt;=1,"OK","CHECK no debit"),IF(I10="Reversed",IF(AND(COUNTIFS(Wallet_Transactions!$I$5:$I$3000,A10,Wallet_Transactions!$D$5:$D$3000,"Redemption",Wallet_Transactions!$G$5:$G$3000,"Posted")&gt;=1,COUNTIFS(Wallet_Transactions!$I$5:$I$3000,A10,Wallet_Transactions!$D$5:$D$3000,"Reversal",Wallet_Transactions!$G$5:$G$3000,"Posted")&gt;=1),"OK","CHECK no reversal"),IF(COUNTIFS(Wallet_Transactions!$I$5:$I$3000,A10,Wallet_Transactions!$D$5:$D$3000,"Redemption",Wallet_Transactions!$G$5:$G$3000,"Posted")&gt;0,"CHECK unexpected debit","OK")))</f>
        <v>OK</v>
      </c>
    </row>
    <row r="11" customFormat="false" ht="15" hidden="false" customHeight="false" outlineLevel="0" collapsed="false">
      <c r="A11" s="28" t="s">
        <v>235</v>
      </c>
      <c r="B11" s="28" t="s">
        <v>236</v>
      </c>
      <c r="C11" s="34" t="n">
        <v>1800</v>
      </c>
      <c r="D11" s="28" t="s">
        <v>225</v>
      </c>
      <c r="E11" s="28" t="s">
        <v>153</v>
      </c>
      <c r="F11" s="35" t="n">
        <v>46279.0145833333</v>
      </c>
      <c r="G11" s="35" t="n">
        <v>46279.1432886561</v>
      </c>
      <c r="H11" s="35" t="n">
        <v>46280.3309971157</v>
      </c>
      <c r="I11" s="28" t="s">
        <v>74</v>
      </c>
      <c r="J11" s="28" t="s">
        <v>160</v>
      </c>
      <c r="K11" s="36" t="str">
        <f aca="false">IF(ISNA(MATCH(I11,Withdrawal_Lifecycle!$A$5:$A$11,0)),"CHECK status",IF(AND(I11="Requested",OR(G11&lt;&gt;"",H11&lt;&gt;"")),"CHECK timestamps",IF(AND(OR(I11="Under Review",I11="Processing"),OR(G11="",H11&lt;&gt;"")),"CHECK timestamps",IF(AND(OR(I11="Completed",I11="Reversed",I11="Rejected"),OR(G11="",H11="")),"CHECK timestamps",IF(AND(I11="Cancelled",H11=""),"CHECK timestamps",IF(OR(AND(G11&lt;&gt;"",G11&lt;F11),AND(H11&lt;&gt;"",H11&lt;IF(G11&lt;&gt;"",G11,F11))),"CHECK order",IF(AND(OR(I11="Rejected",I11="Reversed"),J11=""),"CHECK reason","OK")))))))</f>
        <v>OK</v>
      </c>
      <c r="L11" s="36" t="n">
        <f aca="false">IF(OR(I11="Requested",I11="Under Review",I11="Processing"),1,0)</f>
        <v>0</v>
      </c>
      <c r="M11" s="37" t="n">
        <f aca="false">IF(G11="","",(G11-F11)*24)</f>
        <v>3.08892774581889</v>
      </c>
      <c r="N11" s="37" t="str">
        <f aca="false">IF(AND(I11="Completed",G11&lt;&gt;"",H11&lt;&gt;""),(H11-G11)*24,"")</f>
        <v/>
      </c>
      <c r="O11" s="37" t="str">
        <f aca="false">IF(AND(I11="Completed",H11&lt;&gt;""),(H11-F11)*24,"")</f>
        <v/>
      </c>
      <c r="P11" s="36" t="str">
        <f aca="false">IF(O11="","",IF(O11&lt;=Settings!$B$8,"Yes","No"))</f>
        <v/>
      </c>
      <c r="Q11" s="37" t="n">
        <f aca="false">IF(AND(I11="Rejected",H11&lt;&gt;""),(H11-F11)*24,"")</f>
        <v>31.5939307766964</v>
      </c>
      <c r="R11" s="37" t="str">
        <f aca="false">IF(L11=1,(Settings!$B$5-F11)*24,"")</f>
        <v/>
      </c>
      <c r="S11" s="36" t="n">
        <f aca="false">IF(COUNTIF($B$5:B11,B11)=1,1,0)</f>
        <v>1</v>
      </c>
      <c r="T11" s="36" t="str">
        <f aca="false">IF(I11="Completed",IF(COUNTIFS(Wallet_Transactions!$I$5:$I$3000,A11,Wallet_Transactions!$D$5:$D$3000,"Redemption",Wallet_Transactions!$G$5:$G$3000,"Posted")&gt;=1,"OK","CHECK no debit"),IF(I11="Reversed",IF(AND(COUNTIFS(Wallet_Transactions!$I$5:$I$3000,A11,Wallet_Transactions!$D$5:$D$3000,"Redemption",Wallet_Transactions!$G$5:$G$3000,"Posted")&gt;=1,COUNTIFS(Wallet_Transactions!$I$5:$I$3000,A11,Wallet_Transactions!$D$5:$D$3000,"Reversal",Wallet_Transactions!$G$5:$G$3000,"Posted")&gt;=1),"OK","CHECK no reversal"),IF(COUNTIFS(Wallet_Transactions!$I$5:$I$3000,A11,Wallet_Transactions!$D$5:$D$3000,"Redemption",Wallet_Transactions!$G$5:$G$3000,"Posted")&gt;0,"CHECK unexpected debit","OK")))</f>
        <v>OK</v>
      </c>
    </row>
    <row r="12" customFormat="false" ht="15" hidden="false" customHeight="false" outlineLevel="0" collapsed="false">
      <c r="A12" s="28" t="s">
        <v>237</v>
      </c>
      <c r="B12" s="28" t="s">
        <v>231</v>
      </c>
      <c r="C12" s="34" t="n">
        <v>800</v>
      </c>
      <c r="D12" s="28" t="s">
        <v>225</v>
      </c>
      <c r="E12" s="28" t="s">
        <v>153</v>
      </c>
      <c r="F12" s="35" t="n">
        <v>46279.1208333333</v>
      </c>
      <c r="G12" s="35" t="n">
        <v>46280.0479555924</v>
      </c>
      <c r="H12" s="35" t="n">
        <v>46281.2780802484</v>
      </c>
      <c r="I12" s="28" t="s">
        <v>72</v>
      </c>
      <c r="J12" s="28"/>
      <c r="K12" s="36" t="str">
        <f aca="false">IF(ISNA(MATCH(I12,Withdrawal_Lifecycle!$A$5:$A$11,0)),"CHECK status",IF(AND(I12="Requested",OR(G12&lt;&gt;"",H12&lt;&gt;"")),"CHECK timestamps",IF(AND(OR(I12="Under Review",I12="Processing"),OR(G12="",H12&lt;&gt;"")),"CHECK timestamps",IF(AND(OR(I12="Completed",I12="Reversed",I12="Rejected"),OR(G12="",H12="")),"CHECK timestamps",IF(AND(I12="Cancelled",H12=""),"CHECK timestamps",IF(OR(AND(G12&lt;&gt;"",G12&lt;F12),AND(H12&lt;&gt;"",H12&lt;IF(G12&lt;&gt;"",G12,F12))),"CHECK order",IF(AND(OR(I12="Rejected",I12="Reversed"),J12=""),"CHECK reason","OK")))))))</f>
        <v>OK</v>
      </c>
      <c r="L12" s="36" t="n">
        <f aca="false">IF(OR(I12="Requested",I12="Under Review",I12="Processing"),1,0)</f>
        <v>0</v>
      </c>
      <c r="M12" s="37" t="n">
        <f aca="false">IF(G12="","",(G12-F12)*24)</f>
        <v>22.2509342169506</v>
      </c>
      <c r="N12" s="37" t="n">
        <f aca="false">IF(AND(I12="Completed",G12&lt;&gt;"",H12&lt;&gt;""),(H12-G12)*24,"")</f>
        <v>29.5229917447431</v>
      </c>
      <c r="O12" s="37" t="n">
        <f aca="false">IF(AND(I12="Completed",H12&lt;&gt;""),(H12-F12)*24,"")</f>
        <v>51.7739259616936</v>
      </c>
      <c r="P12" s="36" t="str">
        <f aca="false">IF(O12="","",IF(O12&lt;=Settings!$B$8,"Yes","No"))</f>
        <v>No</v>
      </c>
      <c r="Q12" s="37" t="str">
        <f aca="false">IF(AND(I12="Rejected",H12&lt;&gt;""),(H12-F12)*24,"")</f>
        <v/>
      </c>
      <c r="R12" s="37" t="str">
        <f aca="false">IF(L12=1,(Settings!$B$5-F12)*24,"")</f>
        <v/>
      </c>
      <c r="S12" s="36" t="n">
        <f aca="false">IF(COUNTIF($B$5:B12,B12)=1,1,0)</f>
        <v>0</v>
      </c>
      <c r="T12" s="36" t="str">
        <f aca="false">IF(I12="Completed",IF(COUNTIFS(Wallet_Transactions!$I$5:$I$3000,A12,Wallet_Transactions!$D$5:$D$3000,"Redemption",Wallet_Transactions!$G$5:$G$3000,"Posted")&gt;=1,"OK","CHECK no debit"),IF(I12="Reversed",IF(AND(COUNTIFS(Wallet_Transactions!$I$5:$I$3000,A12,Wallet_Transactions!$D$5:$D$3000,"Redemption",Wallet_Transactions!$G$5:$G$3000,"Posted")&gt;=1,COUNTIFS(Wallet_Transactions!$I$5:$I$3000,A12,Wallet_Transactions!$D$5:$D$3000,"Reversal",Wallet_Transactions!$G$5:$G$3000,"Posted")&gt;=1),"OK","CHECK no reversal"),IF(COUNTIFS(Wallet_Transactions!$I$5:$I$3000,A12,Wallet_Transactions!$D$5:$D$3000,"Redemption",Wallet_Transactions!$G$5:$G$3000,"Posted")&gt;0,"CHECK unexpected debit","OK")))</f>
        <v>OK</v>
      </c>
    </row>
    <row r="13" customFormat="false" ht="15" hidden="false" customHeight="false" outlineLevel="0" collapsed="false">
      <c r="A13" s="28" t="s">
        <v>238</v>
      </c>
      <c r="B13" s="28" t="s">
        <v>239</v>
      </c>
      <c r="C13" s="34" t="n">
        <v>1750</v>
      </c>
      <c r="D13" s="28" t="s">
        <v>225</v>
      </c>
      <c r="E13" s="28" t="s">
        <v>153</v>
      </c>
      <c r="F13" s="35" t="n">
        <v>46279.3395833333</v>
      </c>
      <c r="G13" s="35" t="n">
        <v>46279.8579496662</v>
      </c>
      <c r="H13" s="35" t="n">
        <v>46280.8489048445</v>
      </c>
      <c r="I13" s="28" t="s">
        <v>72</v>
      </c>
      <c r="J13" s="28"/>
      <c r="K13" s="36" t="str">
        <f aca="false">IF(ISNA(MATCH(I13,Withdrawal_Lifecycle!$A$5:$A$11,0)),"CHECK status",IF(AND(I13="Requested",OR(G13&lt;&gt;"",H13&lt;&gt;"")),"CHECK timestamps",IF(AND(OR(I13="Under Review",I13="Processing"),OR(G13="",H13&lt;&gt;"")),"CHECK timestamps",IF(AND(OR(I13="Completed",I13="Reversed",I13="Rejected"),OR(G13="",H13="")),"CHECK timestamps",IF(AND(I13="Cancelled",H13=""),"CHECK timestamps",IF(OR(AND(G13&lt;&gt;"",G13&lt;F13),AND(H13&lt;&gt;"",H13&lt;IF(G13&lt;&gt;"",G13,F13))),"CHECK order",IF(AND(OR(I13="Rejected",I13="Reversed"),J13=""),"CHECK reason","OK")))))))</f>
        <v>OK</v>
      </c>
      <c r="L13" s="36" t="n">
        <f aca="false">IF(OR(I13="Requested",I13="Under Review",I13="Processing"),1,0)</f>
        <v>0</v>
      </c>
      <c r="M13" s="37" t="n">
        <f aca="false">IF(G13="","",(G13-F13)*24)</f>
        <v>12.4407919883958</v>
      </c>
      <c r="N13" s="37" t="n">
        <f aca="false">IF(AND(I13="Completed",G13&lt;&gt;"",H13&lt;&gt;""),(H13-G13)*24,"")</f>
        <v>23.7829242796869</v>
      </c>
      <c r="O13" s="37" t="n">
        <f aca="false">IF(AND(I13="Completed",H13&lt;&gt;""),(H13-F13)*24,"")</f>
        <v>36.2237162680831</v>
      </c>
      <c r="P13" s="36" t="str">
        <f aca="false">IF(O13="","",IF(O13&lt;=Settings!$B$8,"Yes","No"))</f>
        <v>Yes</v>
      </c>
      <c r="Q13" s="37" t="str">
        <f aca="false">IF(AND(I13="Rejected",H13&lt;&gt;""),(H13-F13)*24,"")</f>
        <v/>
      </c>
      <c r="R13" s="37" t="str">
        <f aca="false">IF(L13=1,(Settings!$B$5-F13)*24,"")</f>
        <v/>
      </c>
      <c r="S13" s="36" t="n">
        <f aca="false">IF(COUNTIF($B$5:B13,B13)=1,1,0)</f>
        <v>1</v>
      </c>
      <c r="T13" s="36" t="str">
        <f aca="false">IF(I13="Completed",IF(COUNTIFS(Wallet_Transactions!$I$5:$I$3000,A13,Wallet_Transactions!$D$5:$D$3000,"Redemption",Wallet_Transactions!$G$5:$G$3000,"Posted")&gt;=1,"OK","CHECK no debit"),IF(I13="Reversed",IF(AND(COUNTIFS(Wallet_Transactions!$I$5:$I$3000,A13,Wallet_Transactions!$D$5:$D$3000,"Redemption",Wallet_Transactions!$G$5:$G$3000,"Posted")&gt;=1,COUNTIFS(Wallet_Transactions!$I$5:$I$3000,A13,Wallet_Transactions!$D$5:$D$3000,"Reversal",Wallet_Transactions!$G$5:$G$3000,"Posted")&gt;=1),"OK","CHECK no reversal"),IF(COUNTIFS(Wallet_Transactions!$I$5:$I$3000,A13,Wallet_Transactions!$D$5:$D$3000,"Redemption",Wallet_Transactions!$G$5:$G$3000,"Posted")&gt;0,"CHECK unexpected debit","OK")))</f>
        <v>OK</v>
      </c>
    </row>
    <row r="14" customFormat="false" ht="15" hidden="false" customHeight="false" outlineLevel="0" collapsed="false">
      <c r="A14" s="28" t="s">
        <v>240</v>
      </c>
      <c r="B14" s="28" t="s">
        <v>224</v>
      </c>
      <c r="C14" s="34" t="n">
        <v>900</v>
      </c>
      <c r="D14" s="28" t="s">
        <v>225</v>
      </c>
      <c r="E14" s="28" t="s">
        <v>152</v>
      </c>
      <c r="F14" s="35" t="n">
        <v>46280.0777777778</v>
      </c>
      <c r="G14" s="35" t="n">
        <v>46280.1758663763</v>
      </c>
      <c r="H14" s="35" t="n">
        <v>46281.7227724079</v>
      </c>
      <c r="I14" s="28" t="s">
        <v>72</v>
      </c>
      <c r="J14" s="28"/>
      <c r="K14" s="36" t="str">
        <f aca="false">IF(ISNA(MATCH(I14,Withdrawal_Lifecycle!$A$5:$A$11,0)),"CHECK status",IF(AND(I14="Requested",OR(G14&lt;&gt;"",H14&lt;&gt;"")),"CHECK timestamps",IF(AND(OR(I14="Under Review",I14="Processing"),OR(G14="",H14&lt;&gt;"")),"CHECK timestamps",IF(AND(OR(I14="Completed",I14="Reversed",I14="Rejected"),OR(G14="",H14="")),"CHECK timestamps",IF(AND(I14="Cancelled",H14=""),"CHECK timestamps",IF(OR(AND(G14&lt;&gt;"",G14&lt;F14),AND(H14&lt;&gt;"",H14&lt;IF(G14&lt;&gt;"",G14,F14))),"CHECK order",IF(AND(OR(I14="Rejected",I14="Reversed"),J14=""),"CHECK reason","OK")))))))</f>
        <v>OK</v>
      </c>
      <c r="L14" s="36" t="n">
        <f aca="false">IF(OR(I14="Requested",I14="Under Review",I14="Processing"),1,0)</f>
        <v>0</v>
      </c>
      <c r="M14" s="37" t="n">
        <f aca="false">IF(G14="","",(G14-F14)*24)</f>
        <v>2.35412636410889</v>
      </c>
      <c r="N14" s="37" t="n">
        <f aca="false">IF(AND(I14="Completed",G14&lt;&gt;"",H14&lt;&gt;""),(H14-G14)*24,"")</f>
        <v>37.1257447575917</v>
      </c>
      <c r="O14" s="37" t="n">
        <f aca="false">IF(AND(I14="Completed",H14&lt;&gt;""),(H14-F14)*24,"")</f>
        <v>39.4798711217008</v>
      </c>
      <c r="P14" s="36" t="str">
        <f aca="false">IF(O14="","",IF(O14&lt;=Settings!$B$8,"Yes","No"))</f>
        <v>Yes</v>
      </c>
      <c r="Q14" s="37" t="str">
        <f aca="false">IF(AND(I14="Rejected",H14&lt;&gt;""),(H14-F14)*24,"")</f>
        <v/>
      </c>
      <c r="R14" s="37" t="str">
        <f aca="false">IF(L14=1,(Settings!$B$5-F14)*24,"")</f>
        <v/>
      </c>
      <c r="S14" s="36" t="n">
        <f aca="false">IF(COUNTIF($B$5:B14,B14)=1,1,0)</f>
        <v>0</v>
      </c>
      <c r="T14" s="36" t="str">
        <f aca="false">IF(I14="Completed",IF(COUNTIFS(Wallet_Transactions!$I$5:$I$3000,A14,Wallet_Transactions!$D$5:$D$3000,"Redemption",Wallet_Transactions!$G$5:$G$3000,"Posted")&gt;=1,"OK","CHECK no debit"),IF(I14="Reversed",IF(AND(COUNTIFS(Wallet_Transactions!$I$5:$I$3000,A14,Wallet_Transactions!$D$5:$D$3000,"Redemption",Wallet_Transactions!$G$5:$G$3000,"Posted")&gt;=1,COUNTIFS(Wallet_Transactions!$I$5:$I$3000,A14,Wallet_Transactions!$D$5:$D$3000,"Reversal",Wallet_Transactions!$G$5:$G$3000,"Posted")&gt;=1),"OK","CHECK no reversal"),IF(COUNTIFS(Wallet_Transactions!$I$5:$I$3000,A14,Wallet_Transactions!$D$5:$D$3000,"Redemption",Wallet_Transactions!$G$5:$G$3000,"Posted")&gt;0,"CHECK unexpected debit","OK")))</f>
        <v>OK</v>
      </c>
    </row>
    <row r="15" customFormat="false" ht="15" hidden="false" customHeight="false" outlineLevel="0" collapsed="false">
      <c r="A15" s="28" t="s">
        <v>241</v>
      </c>
      <c r="B15" s="28" t="s">
        <v>242</v>
      </c>
      <c r="C15" s="34" t="n">
        <v>2000</v>
      </c>
      <c r="D15" s="28" t="s">
        <v>225</v>
      </c>
      <c r="E15" s="28" t="s">
        <v>153</v>
      </c>
      <c r="F15" s="35" t="n">
        <v>46280.3208333333</v>
      </c>
      <c r="G15" s="35"/>
      <c r="H15" s="35" t="n">
        <v>46280.3651247563</v>
      </c>
      <c r="I15" s="28" t="s">
        <v>78</v>
      </c>
      <c r="J15" s="28" t="s">
        <v>165</v>
      </c>
      <c r="K15" s="36" t="str">
        <f aca="false">IF(ISNA(MATCH(I15,Withdrawal_Lifecycle!$A$5:$A$11,0)),"CHECK status",IF(AND(I15="Requested",OR(G15&lt;&gt;"",H15&lt;&gt;"")),"CHECK timestamps",IF(AND(OR(I15="Under Review",I15="Processing"),OR(G15="",H15&lt;&gt;"")),"CHECK timestamps",IF(AND(OR(I15="Completed",I15="Reversed",I15="Rejected"),OR(G15="",H15="")),"CHECK timestamps",IF(AND(I15="Cancelled",H15=""),"CHECK timestamps",IF(OR(AND(G15&lt;&gt;"",G15&lt;F15),AND(H15&lt;&gt;"",H15&lt;IF(G15&lt;&gt;"",G15,F15))),"CHECK order",IF(AND(OR(I15="Rejected",I15="Reversed"),J15=""),"CHECK reason","OK")))))))</f>
        <v>OK</v>
      </c>
      <c r="L15" s="36" t="n">
        <f aca="false">IF(OR(I15="Requested",I15="Under Review",I15="Processing"),1,0)</f>
        <v>0</v>
      </c>
      <c r="M15" s="37" t="str">
        <f aca="false">IF(G15="","",(G15-F15)*24)</f>
        <v/>
      </c>
      <c r="N15" s="37" t="str">
        <f aca="false">IF(AND(I15="Completed",G15&lt;&gt;"",H15&lt;&gt;""),(H15-G15)*24,"")</f>
        <v/>
      </c>
      <c r="O15" s="37" t="str">
        <f aca="false">IF(AND(I15="Completed",H15&lt;&gt;""),(H15-F15)*24,"")</f>
        <v/>
      </c>
      <c r="P15" s="36" t="str">
        <f aca="false">IF(O15="","",IF(O15&lt;=Settings!$B$8,"Yes","No"))</f>
        <v/>
      </c>
      <c r="Q15" s="37" t="str">
        <f aca="false">IF(AND(I15="Rejected",H15&lt;&gt;""),(H15-F15)*24,"")</f>
        <v/>
      </c>
      <c r="R15" s="37" t="str">
        <f aca="false">IF(L15=1,(Settings!$B$5-F15)*24,"")</f>
        <v/>
      </c>
      <c r="S15" s="36" t="n">
        <f aca="false">IF(COUNTIF($B$5:B15,B15)=1,1,0)</f>
        <v>1</v>
      </c>
      <c r="T15" s="36" t="str">
        <f aca="false">IF(I15="Completed",IF(COUNTIFS(Wallet_Transactions!$I$5:$I$3000,A15,Wallet_Transactions!$D$5:$D$3000,"Redemption",Wallet_Transactions!$G$5:$G$3000,"Posted")&gt;=1,"OK","CHECK no debit"),IF(I15="Reversed",IF(AND(COUNTIFS(Wallet_Transactions!$I$5:$I$3000,A15,Wallet_Transactions!$D$5:$D$3000,"Redemption",Wallet_Transactions!$G$5:$G$3000,"Posted")&gt;=1,COUNTIFS(Wallet_Transactions!$I$5:$I$3000,A15,Wallet_Transactions!$D$5:$D$3000,"Reversal",Wallet_Transactions!$G$5:$G$3000,"Posted")&gt;=1),"OK","CHECK no reversal"),IF(COUNTIFS(Wallet_Transactions!$I$5:$I$3000,A15,Wallet_Transactions!$D$5:$D$3000,"Redemption",Wallet_Transactions!$G$5:$G$3000,"Posted")&gt;0,"CHECK unexpected debit","OK")))</f>
        <v>OK</v>
      </c>
    </row>
    <row r="16" customFormat="false" ht="15" hidden="false" customHeight="false" outlineLevel="0" collapsed="false">
      <c r="A16" s="28" t="s">
        <v>243</v>
      </c>
      <c r="B16" s="28" t="s">
        <v>242</v>
      </c>
      <c r="C16" s="34" t="n">
        <v>1950</v>
      </c>
      <c r="D16" s="28" t="s">
        <v>225</v>
      </c>
      <c r="E16" s="28" t="s">
        <v>154</v>
      </c>
      <c r="F16" s="35" t="n">
        <v>46280.36875</v>
      </c>
      <c r="G16" s="35" t="n">
        <v>46280.3942192779</v>
      </c>
      <c r="H16" s="35" t="n">
        <v>46282.3037125115</v>
      </c>
      <c r="I16" s="28" t="s">
        <v>72</v>
      </c>
      <c r="J16" s="28"/>
      <c r="K16" s="36" t="str">
        <f aca="false">IF(ISNA(MATCH(I16,Withdrawal_Lifecycle!$A$5:$A$11,0)),"CHECK status",IF(AND(I16="Requested",OR(G16&lt;&gt;"",H16&lt;&gt;"")),"CHECK timestamps",IF(AND(OR(I16="Under Review",I16="Processing"),OR(G16="",H16&lt;&gt;"")),"CHECK timestamps",IF(AND(OR(I16="Completed",I16="Reversed",I16="Rejected"),OR(G16="",H16="")),"CHECK timestamps",IF(AND(I16="Cancelled",H16=""),"CHECK timestamps",IF(OR(AND(G16&lt;&gt;"",G16&lt;F16),AND(H16&lt;&gt;"",H16&lt;IF(G16&lt;&gt;"",G16,F16))),"CHECK order",IF(AND(OR(I16="Rejected",I16="Reversed"),J16=""),"CHECK reason","OK")))))))</f>
        <v>OK</v>
      </c>
      <c r="L16" s="36" t="n">
        <f aca="false">IF(OR(I16="Requested",I16="Under Review",I16="Processing"),1,0)</f>
        <v>0</v>
      </c>
      <c r="M16" s="37" t="n">
        <f aca="false">IF(G16="","",(G16-F16)*24)</f>
        <v>0.611262669728333</v>
      </c>
      <c r="N16" s="37" t="n">
        <f aca="false">IF(AND(I16="Completed",G16&lt;&gt;"",H16&lt;&gt;""),(H16-G16)*24,"")</f>
        <v>45.8278376055531</v>
      </c>
      <c r="O16" s="37" t="n">
        <f aca="false">IF(AND(I16="Completed",H16&lt;&gt;""),(H16-F16)*24,"")</f>
        <v>46.4391002752817</v>
      </c>
      <c r="P16" s="36" t="str">
        <f aca="false">IF(O16="","",IF(O16&lt;=Settings!$B$8,"Yes","No"))</f>
        <v>Yes</v>
      </c>
      <c r="Q16" s="37" t="str">
        <f aca="false">IF(AND(I16="Rejected",H16&lt;&gt;""),(H16-F16)*24,"")</f>
        <v/>
      </c>
      <c r="R16" s="37" t="str">
        <f aca="false">IF(L16=1,(Settings!$B$5-F16)*24,"")</f>
        <v/>
      </c>
      <c r="S16" s="36" t="n">
        <f aca="false">IF(COUNTIF($B$5:B16,B16)=1,1,0)</f>
        <v>0</v>
      </c>
      <c r="T16" s="36" t="str">
        <f aca="false">IF(I16="Completed",IF(COUNTIFS(Wallet_Transactions!$I$5:$I$3000,A16,Wallet_Transactions!$D$5:$D$3000,"Redemption",Wallet_Transactions!$G$5:$G$3000,"Posted")&gt;=1,"OK","CHECK no debit"),IF(I16="Reversed",IF(AND(COUNTIFS(Wallet_Transactions!$I$5:$I$3000,A16,Wallet_Transactions!$D$5:$D$3000,"Redemption",Wallet_Transactions!$G$5:$G$3000,"Posted")&gt;=1,COUNTIFS(Wallet_Transactions!$I$5:$I$3000,A16,Wallet_Transactions!$D$5:$D$3000,"Reversal",Wallet_Transactions!$G$5:$G$3000,"Posted")&gt;=1),"OK","CHECK no reversal"),IF(COUNTIFS(Wallet_Transactions!$I$5:$I$3000,A16,Wallet_Transactions!$D$5:$D$3000,"Redemption",Wallet_Transactions!$G$5:$G$3000,"Posted")&gt;0,"CHECK unexpected debit","OK")))</f>
        <v>OK</v>
      </c>
    </row>
    <row r="17" customFormat="false" ht="15" hidden="false" customHeight="false" outlineLevel="0" collapsed="false">
      <c r="A17" s="28" t="s">
        <v>244</v>
      </c>
      <c r="B17" s="28" t="s">
        <v>229</v>
      </c>
      <c r="C17" s="34" t="n">
        <v>500</v>
      </c>
      <c r="D17" s="28" t="s">
        <v>225</v>
      </c>
      <c r="E17" s="28" t="s">
        <v>154</v>
      </c>
      <c r="F17" s="35" t="n">
        <v>46280.5041666667</v>
      </c>
      <c r="G17" s="35" t="n">
        <v>46280.6568421015</v>
      </c>
      <c r="H17" s="35" t="n">
        <v>46281.8613119472</v>
      </c>
      <c r="I17" s="28" t="s">
        <v>74</v>
      </c>
      <c r="J17" s="28" t="s">
        <v>161</v>
      </c>
      <c r="K17" s="36" t="str">
        <f aca="false">IF(ISNA(MATCH(I17,Withdrawal_Lifecycle!$A$5:$A$11,0)),"CHECK status",IF(AND(I17="Requested",OR(G17&lt;&gt;"",H17&lt;&gt;"")),"CHECK timestamps",IF(AND(OR(I17="Under Review",I17="Processing"),OR(G17="",H17&lt;&gt;"")),"CHECK timestamps",IF(AND(OR(I17="Completed",I17="Reversed",I17="Rejected"),OR(G17="",H17="")),"CHECK timestamps",IF(AND(I17="Cancelled",H17=""),"CHECK timestamps",IF(OR(AND(G17&lt;&gt;"",G17&lt;F17),AND(H17&lt;&gt;"",H17&lt;IF(G17&lt;&gt;"",G17,F17))),"CHECK order",IF(AND(OR(I17="Rejected",I17="Reversed"),J17=""),"CHECK reason","OK")))))))</f>
        <v>OK</v>
      </c>
      <c r="L17" s="36" t="n">
        <f aca="false">IF(OR(I17="Requested",I17="Under Review",I17="Processing"),1,0)</f>
        <v>0</v>
      </c>
      <c r="M17" s="37" t="n">
        <f aca="false">IF(G17="","",(G17-F17)*24)</f>
        <v>3.66421043488639</v>
      </c>
      <c r="N17" s="37" t="str">
        <f aca="false">IF(AND(I17="Completed",G17&lt;&gt;"",H17&lt;&gt;""),(H17-G17)*24,"")</f>
        <v/>
      </c>
      <c r="O17" s="37" t="str">
        <f aca="false">IF(AND(I17="Completed",H17&lt;&gt;""),(H17-F17)*24,"")</f>
        <v/>
      </c>
      <c r="P17" s="36" t="str">
        <f aca="false">IF(O17="","",IF(O17&lt;=Settings!$B$8,"Yes","No"))</f>
        <v/>
      </c>
      <c r="Q17" s="37" t="n">
        <f aca="false">IF(AND(I17="Rejected",H17&lt;&gt;""),(H17-F17)*24,"")</f>
        <v>32.5714867321075</v>
      </c>
      <c r="R17" s="37" t="str">
        <f aca="false">IF(L17=1,(Settings!$B$5-F17)*24,"")</f>
        <v/>
      </c>
      <c r="S17" s="36" t="n">
        <f aca="false">IF(COUNTIF($B$5:B17,B17)=1,1,0)</f>
        <v>0</v>
      </c>
      <c r="T17" s="36" t="str">
        <f aca="false">IF(I17="Completed",IF(COUNTIFS(Wallet_Transactions!$I$5:$I$3000,A17,Wallet_Transactions!$D$5:$D$3000,"Redemption",Wallet_Transactions!$G$5:$G$3000,"Posted")&gt;=1,"OK","CHECK no debit"),IF(I17="Reversed",IF(AND(COUNTIFS(Wallet_Transactions!$I$5:$I$3000,A17,Wallet_Transactions!$D$5:$D$3000,"Redemption",Wallet_Transactions!$G$5:$G$3000,"Posted")&gt;=1,COUNTIFS(Wallet_Transactions!$I$5:$I$3000,A17,Wallet_Transactions!$D$5:$D$3000,"Reversal",Wallet_Transactions!$G$5:$G$3000,"Posted")&gt;=1),"OK","CHECK no reversal"),IF(COUNTIFS(Wallet_Transactions!$I$5:$I$3000,A17,Wallet_Transactions!$D$5:$D$3000,"Redemption",Wallet_Transactions!$G$5:$G$3000,"Posted")&gt;0,"CHECK unexpected debit","OK")))</f>
        <v>OK</v>
      </c>
    </row>
    <row r="18" customFormat="false" ht="15" hidden="false" customHeight="false" outlineLevel="0" collapsed="false">
      <c r="A18" s="28" t="s">
        <v>245</v>
      </c>
      <c r="B18" s="28" t="s">
        <v>246</v>
      </c>
      <c r="C18" s="34" t="n">
        <v>1950</v>
      </c>
      <c r="D18" s="28" t="s">
        <v>225</v>
      </c>
      <c r="E18" s="28" t="s">
        <v>152</v>
      </c>
      <c r="F18" s="35" t="n">
        <v>46281.7076388889</v>
      </c>
      <c r="G18" s="35" t="n">
        <v>46282.3350338218</v>
      </c>
      <c r="H18" s="35" t="n">
        <v>46284.6612740866</v>
      </c>
      <c r="I18" s="28" t="s">
        <v>72</v>
      </c>
      <c r="J18" s="28"/>
      <c r="K18" s="36" t="str">
        <f aca="false">IF(ISNA(MATCH(I18,Withdrawal_Lifecycle!$A$5:$A$11,0)),"CHECK status",IF(AND(I18="Requested",OR(G18&lt;&gt;"",H18&lt;&gt;"")),"CHECK timestamps",IF(AND(OR(I18="Under Review",I18="Processing"),OR(G18="",H18&lt;&gt;"")),"CHECK timestamps",IF(AND(OR(I18="Completed",I18="Reversed",I18="Rejected"),OR(G18="",H18="")),"CHECK timestamps",IF(AND(I18="Cancelled",H18=""),"CHECK timestamps",IF(OR(AND(G18&lt;&gt;"",G18&lt;F18),AND(H18&lt;&gt;"",H18&lt;IF(G18&lt;&gt;"",G18,F18))),"CHECK order",IF(AND(OR(I18="Rejected",I18="Reversed"),J18=""),"CHECK reason","OK")))))))</f>
        <v>OK</v>
      </c>
      <c r="L18" s="36" t="n">
        <f aca="false">IF(OR(I18="Requested",I18="Under Review",I18="Processing"),1,0)</f>
        <v>0</v>
      </c>
      <c r="M18" s="37" t="n">
        <f aca="false">IF(G18="","",(G18-F18)*24)</f>
        <v>15.0574783900519</v>
      </c>
      <c r="N18" s="37" t="n">
        <f aca="false">IF(AND(I18="Completed",G18&lt;&gt;"",H18&lt;&gt;""),(H18-G18)*24,"")</f>
        <v>55.8297663538831</v>
      </c>
      <c r="O18" s="37" t="n">
        <f aca="false">IF(AND(I18="Completed",H18&lt;&gt;""),(H18-F18)*24,"")</f>
        <v>70.8872447439353</v>
      </c>
      <c r="P18" s="36" t="str">
        <f aca="false">IF(O18="","",IF(O18&lt;=Settings!$B$8,"Yes","No"))</f>
        <v>No</v>
      </c>
      <c r="Q18" s="37" t="str">
        <f aca="false">IF(AND(I18="Rejected",H18&lt;&gt;""),(H18-F18)*24,"")</f>
        <v/>
      </c>
      <c r="R18" s="37" t="str">
        <f aca="false">IF(L18=1,(Settings!$B$5-F18)*24,"")</f>
        <v/>
      </c>
      <c r="S18" s="36" t="n">
        <f aca="false">IF(COUNTIF($B$5:B18,B18)=1,1,0)</f>
        <v>1</v>
      </c>
      <c r="T18" s="36" t="str">
        <f aca="false">IF(I18="Completed",IF(COUNTIFS(Wallet_Transactions!$I$5:$I$3000,A18,Wallet_Transactions!$D$5:$D$3000,"Redemption",Wallet_Transactions!$G$5:$G$3000,"Posted")&gt;=1,"OK","CHECK no debit"),IF(I18="Reversed",IF(AND(COUNTIFS(Wallet_Transactions!$I$5:$I$3000,A18,Wallet_Transactions!$D$5:$D$3000,"Redemption",Wallet_Transactions!$G$5:$G$3000,"Posted")&gt;=1,COUNTIFS(Wallet_Transactions!$I$5:$I$3000,A18,Wallet_Transactions!$D$5:$D$3000,"Reversal",Wallet_Transactions!$G$5:$G$3000,"Posted")&gt;=1),"OK","CHECK no reversal"),IF(COUNTIFS(Wallet_Transactions!$I$5:$I$3000,A18,Wallet_Transactions!$D$5:$D$3000,"Redemption",Wallet_Transactions!$G$5:$G$3000,"Posted")&gt;0,"CHECK unexpected debit","OK")))</f>
        <v>OK</v>
      </c>
    </row>
    <row r="19" customFormat="false" ht="15" hidden="false" customHeight="false" outlineLevel="0" collapsed="false">
      <c r="A19" s="28" t="s">
        <v>247</v>
      </c>
      <c r="B19" s="28" t="s">
        <v>236</v>
      </c>
      <c r="C19" s="34" t="n">
        <v>1800</v>
      </c>
      <c r="D19" s="28" t="s">
        <v>225</v>
      </c>
      <c r="E19" s="28" t="s">
        <v>153</v>
      </c>
      <c r="F19" s="35" t="n">
        <v>46282.0611111111</v>
      </c>
      <c r="G19" s="35" t="n">
        <v>46282.2679360834</v>
      </c>
      <c r="H19" s="35" t="n">
        <v>46282.6933343306</v>
      </c>
      <c r="I19" s="28" t="s">
        <v>74</v>
      </c>
      <c r="J19" s="28" t="s">
        <v>163</v>
      </c>
      <c r="K19" s="36" t="str">
        <f aca="false">IF(ISNA(MATCH(I19,Withdrawal_Lifecycle!$A$5:$A$11,0)),"CHECK status",IF(AND(I19="Requested",OR(G19&lt;&gt;"",H19&lt;&gt;"")),"CHECK timestamps",IF(AND(OR(I19="Under Review",I19="Processing"),OR(G19="",H19&lt;&gt;"")),"CHECK timestamps",IF(AND(OR(I19="Completed",I19="Reversed",I19="Rejected"),OR(G19="",H19="")),"CHECK timestamps",IF(AND(I19="Cancelled",H19=""),"CHECK timestamps",IF(OR(AND(G19&lt;&gt;"",G19&lt;F19),AND(H19&lt;&gt;"",H19&lt;IF(G19&lt;&gt;"",G19,F19))),"CHECK order",IF(AND(OR(I19="Rejected",I19="Reversed"),J19=""),"CHECK reason","OK")))))))</f>
        <v>OK</v>
      </c>
      <c r="L19" s="36" t="n">
        <f aca="false">IF(OR(I19="Requested",I19="Under Review",I19="Processing"),1,0)</f>
        <v>0</v>
      </c>
      <c r="M19" s="37" t="n">
        <f aca="false">IF(G19="","",(G19-F19)*24)</f>
        <v>4.96379933453861</v>
      </c>
      <c r="N19" s="37" t="str">
        <f aca="false">IF(AND(I19="Completed",G19&lt;&gt;"",H19&lt;&gt;""),(H19-G19)*24,"")</f>
        <v/>
      </c>
      <c r="O19" s="37" t="str">
        <f aca="false">IF(AND(I19="Completed",H19&lt;&gt;""),(H19-F19)*24,"")</f>
        <v/>
      </c>
      <c r="P19" s="36" t="str">
        <f aca="false">IF(O19="","",IF(O19&lt;=Settings!$B$8,"Yes","No"))</f>
        <v/>
      </c>
      <c r="Q19" s="37" t="n">
        <f aca="false">IF(AND(I19="Rejected",H19&lt;&gt;""),(H19-F19)*24,"")</f>
        <v>15.1733572683878</v>
      </c>
      <c r="R19" s="37" t="str">
        <f aca="false">IF(L19=1,(Settings!$B$5-F19)*24,"")</f>
        <v/>
      </c>
      <c r="S19" s="36" t="n">
        <f aca="false">IF(COUNTIF($B$5:B19,B19)=1,1,0)</f>
        <v>0</v>
      </c>
      <c r="T19" s="36" t="str">
        <f aca="false">IF(I19="Completed",IF(COUNTIFS(Wallet_Transactions!$I$5:$I$3000,A19,Wallet_Transactions!$D$5:$D$3000,"Redemption",Wallet_Transactions!$G$5:$G$3000,"Posted")&gt;=1,"OK","CHECK no debit"),IF(I19="Reversed",IF(AND(COUNTIFS(Wallet_Transactions!$I$5:$I$3000,A19,Wallet_Transactions!$D$5:$D$3000,"Redemption",Wallet_Transactions!$G$5:$G$3000,"Posted")&gt;=1,COUNTIFS(Wallet_Transactions!$I$5:$I$3000,A19,Wallet_Transactions!$D$5:$D$3000,"Reversal",Wallet_Transactions!$G$5:$G$3000,"Posted")&gt;=1),"OK","CHECK no reversal"),IF(COUNTIFS(Wallet_Transactions!$I$5:$I$3000,A19,Wallet_Transactions!$D$5:$D$3000,"Redemption",Wallet_Transactions!$G$5:$G$3000,"Posted")&gt;0,"CHECK unexpected debit","OK")))</f>
        <v>OK</v>
      </c>
    </row>
    <row r="20" customFormat="false" ht="15" hidden="false" customHeight="false" outlineLevel="0" collapsed="false">
      <c r="A20" s="28" t="s">
        <v>248</v>
      </c>
      <c r="B20" s="28" t="s">
        <v>249</v>
      </c>
      <c r="C20" s="34" t="n">
        <v>600</v>
      </c>
      <c r="D20" s="28" t="s">
        <v>225</v>
      </c>
      <c r="E20" s="28" t="s">
        <v>152</v>
      </c>
      <c r="F20" s="35" t="n">
        <v>46283.29375</v>
      </c>
      <c r="G20" s="35" t="n">
        <v>46283.7960299825</v>
      </c>
      <c r="H20" s="35" t="n">
        <v>46284.2658786595</v>
      </c>
      <c r="I20" s="28" t="s">
        <v>72</v>
      </c>
      <c r="J20" s="28"/>
      <c r="K20" s="36" t="str">
        <f aca="false">IF(ISNA(MATCH(I20,Withdrawal_Lifecycle!$A$5:$A$11,0)),"CHECK status",IF(AND(I20="Requested",OR(G20&lt;&gt;"",H20&lt;&gt;"")),"CHECK timestamps",IF(AND(OR(I20="Under Review",I20="Processing"),OR(G20="",H20&lt;&gt;"")),"CHECK timestamps",IF(AND(OR(I20="Completed",I20="Reversed",I20="Rejected"),OR(G20="",H20="")),"CHECK timestamps",IF(AND(I20="Cancelled",H20=""),"CHECK timestamps",IF(OR(AND(G20&lt;&gt;"",G20&lt;F20),AND(H20&lt;&gt;"",H20&lt;IF(G20&lt;&gt;"",G20,F20))),"CHECK order",IF(AND(OR(I20="Rejected",I20="Reversed"),J20=""),"CHECK reason","OK")))))))</f>
        <v>OK</v>
      </c>
      <c r="L20" s="36" t="n">
        <f aca="false">IF(OR(I20="Requested",I20="Under Review",I20="Processing"),1,0)</f>
        <v>0</v>
      </c>
      <c r="M20" s="37" t="n">
        <f aca="false">IF(G20="","",(G20-F20)*24)</f>
        <v>12.0547195800461</v>
      </c>
      <c r="N20" s="37" t="n">
        <f aca="false">IF(AND(I20="Completed",G20&lt;&gt;"",H20&lt;&gt;""),(H20-G20)*24,"")</f>
        <v>11.2763682483344</v>
      </c>
      <c r="O20" s="37" t="n">
        <f aca="false">IF(AND(I20="Completed",H20&lt;&gt;""),(H20-F20)*24,"")</f>
        <v>23.3310878283808</v>
      </c>
      <c r="P20" s="36" t="str">
        <f aca="false">IF(O20="","",IF(O20&lt;=Settings!$B$8,"Yes","No"))</f>
        <v>Yes</v>
      </c>
      <c r="Q20" s="37" t="str">
        <f aca="false">IF(AND(I20="Rejected",H20&lt;&gt;""),(H20-F20)*24,"")</f>
        <v/>
      </c>
      <c r="R20" s="37" t="str">
        <f aca="false">IF(L20=1,(Settings!$B$5-F20)*24,"")</f>
        <v/>
      </c>
      <c r="S20" s="36" t="n">
        <f aca="false">IF(COUNTIF($B$5:B20,B20)=1,1,0)</f>
        <v>1</v>
      </c>
      <c r="T20" s="36" t="str">
        <f aca="false">IF(I20="Completed",IF(COUNTIFS(Wallet_Transactions!$I$5:$I$3000,A20,Wallet_Transactions!$D$5:$D$3000,"Redemption",Wallet_Transactions!$G$5:$G$3000,"Posted")&gt;=1,"OK","CHECK no debit"),IF(I20="Reversed",IF(AND(COUNTIFS(Wallet_Transactions!$I$5:$I$3000,A20,Wallet_Transactions!$D$5:$D$3000,"Redemption",Wallet_Transactions!$G$5:$G$3000,"Posted")&gt;=1,COUNTIFS(Wallet_Transactions!$I$5:$I$3000,A20,Wallet_Transactions!$D$5:$D$3000,"Reversal",Wallet_Transactions!$G$5:$G$3000,"Posted")&gt;=1),"OK","CHECK no reversal"),IF(COUNTIFS(Wallet_Transactions!$I$5:$I$3000,A20,Wallet_Transactions!$D$5:$D$3000,"Redemption",Wallet_Transactions!$G$5:$G$3000,"Posted")&gt;0,"CHECK unexpected debit","OK")))</f>
        <v>OK</v>
      </c>
    </row>
    <row r="21" customFormat="false" ht="15" hidden="false" customHeight="false" outlineLevel="0" collapsed="false">
      <c r="A21" s="28" t="s">
        <v>250</v>
      </c>
      <c r="B21" s="28" t="s">
        <v>224</v>
      </c>
      <c r="C21" s="34" t="n">
        <v>1250</v>
      </c>
      <c r="D21" s="28" t="s">
        <v>225</v>
      </c>
      <c r="E21" s="28" t="s">
        <v>154</v>
      </c>
      <c r="F21" s="35" t="n">
        <v>46283.4222222222</v>
      </c>
      <c r="G21" s="35" t="n">
        <v>46283.8434668658</v>
      </c>
      <c r="H21" s="35" t="n">
        <v>46286.2957516454</v>
      </c>
      <c r="I21" s="28" t="s">
        <v>72</v>
      </c>
      <c r="J21" s="28"/>
      <c r="K21" s="36" t="str">
        <f aca="false">IF(ISNA(MATCH(I21,Withdrawal_Lifecycle!$A$5:$A$11,0)),"CHECK status",IF(AND(I21="Requested",OR(G21&lt;&gt;"",H21&lt;&gt;"")),"CHECK timestamps",IF(AND(OR(I21="Under Review",I21="Processing"),OR(G21="",H21&lt;&gt;"")),"CHECK timestamps",IF(AND(OR(I21="Completed",I21="Reversed",I21="Rejected"),OR(G21="",H21="")),"CHECK timestamps",IF(AND(I21="Cancelled",H21=""),"CHECK timestamps",IF(OR(AND(G21&lt;&gt;"",G21&lt;F21),AND(H21&lt;&gt;"",H21&lt;IF(G21&lt;&gt;"",G21,F21))),"CHECK order",IF(AND(OR(I21="Rejected",I21="Reversed"),J21=""),"CHECK reason","OK")))))))</f>
        <v>OK</v>
      </c>
      <c r="L21" s="36" t="n">
        <f aca="false">IF(OR(I21="Requested",I21="Under Review",I21="Processing"),1,0)</f>
        <v>0</v>
      </c>
      <c r="M21" s="37" t="n">
        <f aca="false">IF(G21="","",(G21-F21)*24)</f>
        <v>10.1098714451653</v>
      </c>
      <c r="N21" s="37" t="n">
        <f aca="false">IF(AND(I21="Completed",G21&lt;&gt;"",H21&lt;&gt;""),(H21-G21)*24,"")</f>
        <v>58.8548347110044</v>
      </c>
      <c r="O21" s="37" t="n">
        <f aca="false">IF(AND(I21="Completed",H21&lt;&gt;""),(H21-F21)*24,"")</f>
        <v>68.9647061561697</v>
      </c>
      <c r="P21" s="36" t="str">
        <f aca="false">IF(O21="","",IF(O21&lt;=Settings!$B$8,"Yes","No"))</f>
        <v>No</v>
      </c>
      <c r="Q21" s="37" t="str">
        <f aca="false">IF(AND(I21="Rejected",H21&lt;&gt;""),(H21-F21)*24,"")</f>
        <v/>
      </c>
      <c r="R21" s="37" t="str">
        <f aca="false">IF(L21=1,(Settings!$B$5-F21)*24,"")</f>
        <v/>
      </c>
      <c r="S21" s="36" t="n">
        <f aca="false">IF(COUNTIF($B$5:B21,B21)=1,1,0)</f>
        <v>0</v>
      </c>
      <c r="T21" s="36" t="str">
        <f aca="false">IF(I21="Completed",IF(COUNTIFS(Wallet_Transactions!$I$5:$I$3000,A21,Wallet_Transactions!$D$5:$D$3000,"Redemption",Wallet_Transactions!$G$5:$G$3000,"Posted")&gt;=1,"OK","CHECK no debit"),IF(I21="Reversed",IF(AND(COUNTIFS(Wallet_Transactions!$I$5:$I$3000,A21,Wallet_Transactions!$D$5:$D$3000,"Redemption",Wallet_Transactions!$G$5:$G$3000,"Posted")&gt;=1,COUNTIFS(Wallet_Transactions!$I$5:$I$3000,A21,Wallet_Transactions!$D$5:$D$3000,"Reversal",Wallet_Transactions!$G$5:$G$3000,"Posted")&gt;=1),"OK","CHECK no reversal"),IF(COUNTIFS(Wallet_Transactions!$I$5:$I$3000,A21,Wallet_Transactions!$D$5:$D$3000,"Redemption",Wallet_Transactions!$G$5:$G$3000,"Posted")&gt;0,"CHECK unexpected debit","OK")))</f>
        <v>OK</v>
      </c>
    </row>
    <row r="22" customFormat="false" ht="15" hidden="false" customHeight="false" outlineLevel="0" collapsed="false">
      <c r="A22" s="28" t="s">
        <v>251</v>
      </c>
      <c r="B22" s="28" t="s">
        <v>229</v>
      </c>
      <c r="C22" s="34" t="n">
        <v>900</v>
      </c>
      <c r="D22" s="28" t="s">
        <v>225</v>
      </c>
      <c r="E22" s="28" t="s">
        <v>155</v>
      </c>
      <c r="F22" s="35" t="n">
        <v>46284.1861111111</v>
      </c>
      <c r="G22" s="35" t="n">
        <v>46284.4630303066</v>
      </c>
      <c r="H22" s="35" t="n">
        <v>46285.5639259719</v>
      </c>
      <c r="I22" s="28" t="s">
        <v>72</v>
      </c>
      <c r="J22" s="28"/>
      <c r="K22" s="36" t="str">
        <f aca="false">IF(ISNA(MATCH(I22,Withdrawal_Lifecycle!$A$5:$A$11,0)),"CHECK status",IF(AND(I22="Requested",OR(G22&lt;&gt;"",H22&lt;&gt;"")),"CHECK timestamps",IF(AND(OR(I22="Under Review",I22="Processing"),OR(G22="",H22&lt;&gt;"")),"CHECK timestamps",IF(AND(OR(I22="Completed",I22="Reversed",I22="Rejected"),OR(G22="",H22="")),"CHECK timestamps",IF(AND(I22="Cancelled",H22=""),"CHECK timestamps",IF(OR(AND(G22&lt;&gt;"",G22&lt;F22),AND(H22&lt;&gt;"",H22&lt;IF(G22&lt;&gt;"",G22,F22))),"CHECK order",IF(AND(OR(I22="Rejected",I22="Reversed"),J22=""),"CHECK reason","OK")))))))</f>
        <v>OK</v>
      </c>
      <c r="L22" s="36" t="n">
        <f aca="false">IF(OR(I22="Requested",I22="Under Review",I22="Processing"),1,0)</f>
        <v>0</v>
      </c>
      <c r="M22" s="37" t="n">
        <f aca="false">IF(G22="","",(G22-F22)*24)</f>
        <v>6.64606069272833</v>
      </c>
      <c r="N22" s="37" t="n">
        <f aca="false">IF(AND(I22="Completed",G22&lt;&gt;"",H22&lt;&gt;""),(H22-G22)*24,"")</f>
        <v>26.4214959660311</v>
      </c>
      <c r="O22" s="37" t="n">
        <f aca="false">IF(AND(I22="Completed",H22&lt;&gt;""),(H22-F22)*24,"")</f>
        <v>33.0675566587594</v>
      </c>
      <c r="P22" s="36" t="str">
        <f aca="false">IF(O22="","",IF(O22&lt;=Settings!$B$8,"Yes","No"))</f>
        <v>Yes</v>
      </c>
      <c r="Q22" s="37" t="str">
        <f aca="false">IF(AND(I22="Rejected",H22&lt;&gt;""),(H22-F22)*24,"")</f>
        <v/>
      </c>
      <c r="R22" s="37" t="str">
        <f aca="false">IF(L22=1,(Settings!$B$5-F22)*24,"")</f>
        <v/>
      </c>
      <c r="S22" s="36" t="n">
        <f aca="false">IF(COUNTIF($B$5:B22,B22)=1,1,0)</f>
        <v>0</v>
      </c>
      <c r="T22" s="36" t="str">
        <f aca="false">IF(I22="Completed",IF(COUNTIFS(Wallet_Transactions!$I$5:$I$3000,A22,Wallet_Transactions!$D$5:$D$3000,"Redemption",Wallet_Transactions!$G$5:$G$3000,"Posted")&gt;=1,"OK","CHECK no debit"),IF(I22="Reversed",IF(AND(COUNTIFS(Wallet_Transactions!$I$5:$I$3000,A22,Wallet_Transactions!$D$5:$D$3000,"Redemption",Wallet_Transactions!$G$5:$G$3000,"Posted")&gt;=1,COUNTIFS(Wallet_Transactions!$I$5:$I$3000,A22,Wallet_Transactions!$D$5:$D$3000,"Reversal",Wallet_Transactions!$G$5:$G$3000,"Posted")&gt;=1),"OK","CHECK no reversal"),IF(COUNTIFS(Wallet_Transactions!$I$5:$I$3000,A22,Wallet_Transactions!$D$5:$D$3000,"Redemption",Wallet_Transactions!$G$5:$G$3000,"Posted")&gt;0,"CHECK unexpected debit","OK")))</f>
        <v>OK</v>
      </c>
    </row>
    <row r="23" customFormat="false" ht="15" hidden="false" customHeight="false" outlineLevel="0" collapsed="false">
      <c r="A23" s="28" t="s">
        <v>252</v>
      </c>
      <c r="B23" s="28" t="s">
        <v>231</v>
      </c>
      <c r="C23" s="34" t="n">
        <v>750</v>
      </c>
      <c r="D23" s="28" t="s">
        <v>225</v>
      </c>
      <c r="E23" s="28" t="s">
        <v>153</v>
      </c>
      <c r="F23" s="35" t="n">
        <v>46285.3847222222</v>
      </c>
      <c r="G23" s="35" t="n">
        <v>46285.9179221648</v>
      </c>
      <c r="H23" s="35" t="n">
        <v>46287.500332309</v>
      </c>
      <c r="I23" s="28" t="s">
        <v>72</v>
      </c>
      <c r="J23" s="28"/>
      <c r="K23" s="36" t="str">
        <f aca="false">IF(ISNA(MATCH(I23,Withdrawal_Lifecycle!$A$5:$A$11,0)),"CHECK status",IF(AND(I23="Requested",OR(G23&lt;&gt;"",H23&lt;&gt;"")),"CHECK timestamps",IF(AND(OR(I23="Under Review",I23="Processing"),OR(G23="",H23&lt;&gt;"")),"CHECK timestamps",IF(AND(OR(I23="Completed",I23="Reversed",I23="Rejected"),OR(G23="",H23="")),"CHECK timestamps",IF(AND(I23="Cancelled",H23=""),"CHECK timestamps",IF(OR(AND(G23&lt;&gt;"",G23&lt;F23),AND(H23&lt;&gt;"",H23&lt;IF(G23&lt;&gt;"",G23,F23))),"CHECK order",IF(AND(OR(I23="Rejected",I23="Reversed"),J23=""),"CHECK reason","OK")))))))</f>
        <v>OK</v>
      </c>
      <c r="L23" s="36" t="n">
        <f aca="false">IF(OR(I23="Requested",I23="Under Review",I23="Processing"),1,0)</f>
        <v>0</v>
      </c>
      <c r="M23" s="37" t="n">
        <f aca="false">IF(G23="","",(G23-F23)*24)</f>
        <v>12.7967986213042</v>
      </c>
      <c r="N23" s="37" t="n">
        <f aca="false">IF(AND(I23="Completed",G23&lt;&gt;"",H23&lt;&gt;""),(H23-G23)*24,"")</f>
        <v>37.9778434609178</v>
      </c>
      <c r="O23" s="37" t="n">
        <f aca="false">IF(AND(I23="Completed",H23&lt;&gt;""),(H23-F23)*24,"")</f>
        <v>50.7746420822222</v>
      </c>
      <c r="P23" s="36" t="str">
        <f aca="false">IF(O23="","",IF(O23&lt;=Settings!$B$8,"Yes","No"))</f>
        <v>No</v>
      </c>
      <c r="Q23" s="37" t="str">
        <f aca="false">IF(AND(I23="Rejected",H23&lt;&gt;""),(H23-F23)*24,"")</f>
        <v/>
      </c>
      <c r="R23" s="37" t="str">
        <f aca="false">IF(L23=1,(Settings!$B$5-F23)*24,"")</f>
        <v/>
      </c>
      <c r="S23" s="36" t="n">
        <f aca="false">IF(COUNTIF($B$5:B23,B23)=1,1,0)</f>
        <v>0</v>
      </c>
      <c r="T23" s="36" t="str">
        <f aca="false">IF(I23="Completed",IF(COUNTIFS(Wallet_Transactions!$I$5:$I$3000,A23,Wallet_Transactions!$D$5:$D$3000,"Redemption",Wallet_Transactions!$G$5:$G$3000,"Posted")&gt;=1,"OK","CHECK no debit"),IF(I23="Reversed",IF(AND(COUNTIFS(Wallet_Transactions!$I$5:$I$3000,A23,Wallet_Transactions!$D$5:$D$3000,"Redemption",Wallet_Transactions!$G$5:$G$3000,"Posted")&gt;=1,COUNTIFS(Wallet_Transactions!$I$5:$I$3000,A23,Wallet_Transactions!$D$5:$D$3000,"Reversal",Wallet_Transactions!$G$5:$G$3000,"Posted")&gt;=1),"OK","CHECK no reversal"),IF(COUNTIFS(Wallet_Transactions!$I$5:$I$3000,A23,Wallet_Transactions!$D$5:$D$3000,"Redemption",Wallet_Transactions!$G$5:$G$3000,"Posted")&gt;0,"CHECK unexpected debit","OK")))</f>
        <v>OK</v>
      </c>
    </row>
    <row r="24" customFormat="false" ht="15" hidden="false" customHeight="false" outlineLevel="0" collapsed="false">
      <c r="A24" s="28" t="s">
        <v>253</v>
      </c>
      <c r="B24" s="28" t="s">
        <v>254</v>
      </c>
      <c r="C24" s="34" t="n">
        <v>1850</v>
      </c>
      <c r="D24" s="28" t="s">
        <v>225</v>
      </c>
      <c r="E24" s="28" t="s">
        <v>152</v>
      </c>
      <c r="F24" s="35" t="n">
        <v>46286.4888888889</v>
      </c>
      <c r="G24" s="35" t="n">
        <v>46287.4433562212</v>
      </c>
      <c r="H24" s="35" t="n">
        <v>46288.7521175996</v>
      </c>
      <c r="I24" s="28" t="s">
        <v>74</v>
      </c>
      <c r="J24" s="28" t="s">
        <v>160</v>
      </c>
      <c r="K24" s="36" t="str">
        <f aca="false">IF(ISNA(MATCH(I24,Withdrawal_Lifecycle!$A$5:$A$11,0)),"CHECK status",IF(AND(I24="Requested",OR(G24&lt;&gt;"",H24&lt;&gt;"")),"CHECK timestamps",IF(AND(OR(I24="Under Review",I24="Processing"),OR(G24="",H24&lt;&gt;"")),"CHECK timestamps",IF(AND(OR(I24="Completed",I24="Reversed",I24="Rejected"),OR(G24="",H24="")),"CHECK timestamps",IF(AND(I24="Cancelled",H24=""),"CHECK timestamps",IF(OR(AND(G24&lt;&gt;"",G24&lt;F24),AND(H24&lt;&gt;"",H24&lt;IF(G24&lt;&gt;"",G24,F24))),"CHECK order",IF(AND(OR(I24="Rejected",I24="Reversed"),J24=""),"CHECK reason","OK")))))))</f>
        <v>OK</v>
      </c>
      <c r="L24" s="36" t="n">
        <f aca="false">IF(OR(I24="Requested",I24="Under Review",I24="Processing"),1,0)</f>
        <v>0</v>
      </c>
      <c r="M24" s="37" t="n">
        <f aca="false">IF(G24="","",(G24-F24)*24)</f>
        <v>22.9072159756322</v>
      </c>
      <c r="N24" s="37" t="str">
        <f aca="false">IF(AND(I24="Completed",G24&lt;&gt;"",H24&lt;&gt;""),(H24-G24)*24,"")</f>
        <v/>
      </c>
      <c r="O24" s="37" t="str">
        <f aca="false">IF(AND(I24="Completed",H24&lt;&gt;""),(H24-F24)*24,"")</f>
        <v/>
      </c>
      <c r="P24" s="36" t="str">
        <f aca="false">IF(O24="","",IF(O24&lt;=Settings!$B$8,"Yes","No"))</f>
        <v/>
      </c>
      <c r="Q24" s="37" t="n">
        <f aca="false">IF(AND(I24="Rejected",H24&lt;&gt;""),(H24-F24)*24,"")</f>
        <v>54.3174890569061</v>
      </c>
      <c r="R24" s="37" t="str">
        <f aca="false">IF(L24=1,(Settings!$B$5-F24)*24,"")</f>
        <v/>
      </c>
      <c r="S24" s="36" t="n">
        <f aca="false">IF(COUNTIF($B$5:B24,B24)=1,1,0)</f>
        <v>1</v>
      </c>
      <c r="T24" s="36" t="str">
        <f aca="false">IF(I24="Completed",IF(COUNTIFS(Wallet_Transactions!$I$5:$I$3000,A24,Wallet_Transactions!$D$5:$D$3000,"Redemption",Wallet_Transactions!$G$5:$G$3000,"Posted")&gt;=1,"OK","CHECK no debit"),IF(I24="Reversed",IF(AND(COUNTIFS(Wallet_Transactions!$I$5:$I$3000,A24,Wallet_Transactions!$D$5:$D$3000,"Redemption",Wallet_Transactions!$G$5:$G$3000,"Posted")&gt;=1,COUNTIFS(Wallet_Transactions!$I$5:$I$3000,A24,Wallet_Transactions!$D$5:$D$3000,"Reversal",Wallet_Transactions!$G$5:$G$3000,"Posted")&gt;=1),"OK","CHECK no reversal"),IF(COUNTIFS(Wallet_Transactions!$I$5:$I$3000,A24,Wallet_Transactions!$D$5:$D$3000,"Redemption",Wallet_Transactions!$G$5:$G$3000,"Posted")&gt;0,"CHECK unexpected debit","OK")))</f>
        <v>OK</v>
      </c>
    </row>
    <row r="25" customFormat="false" ht="15" hidden="false" customHeight="false" outlineLevel="0" collapsed="false">
      <c r="A25" s="28" t="s">
        <v>255</v>
      </c>
      <c r="B25" s="28" t="s">
        <v>246</v>
      </c>
      <c r="C25" s="34" t="n">
        <v>750</v>
      </c>
      <c r="D25" s="28" t="s">
        <v>225</v>
      </c>
      <c r="E25" s="28" t="s">
        <v>152</v>
      </c>
      <c r="F25" s="35" t="n">
        <v>46286.8486111111</v>
      </c>
      <c r="G25" s="35" t="n">
        <v>46287.1894396125</v>
      </c>
      <c r="H25" s="35" t="n">
        <v>46288.3346508697</v>
      </c>
      <c r="I25" s="28" t="s">
        <v>72</v>
      </c>
      <c r="J25" s="28"/>
      <c r="K25" s="36" t="str">
        <f aca="false">IF(ISNA(MATCH(I25,Withdrawal_Lifecycle!$A$5:$A$11,0)),"CHECK status",IF(AND(I25="Requested",OR(G25&lt;&gt;"",H25&lt;&gt;"")),"CHECK timestamps",IF(AND(OR(I25="Under Review",I25="Processing"),OR(G25="",H25&lt;&gt;"")),"CHECK timestamps",IF(AND(OR(I25="Completed",I25="Reversed",I25="Rejected"),OR(G25="",H25="")),"CHECK timestamps",IF(AND(I25="Cancelled",H25=""),"CHECK timestamps",IF(OR(AND(G25&lt;&gt;"",G25&lt;F25),AND(H25&lt;&gt;"",H25&lt;IF(G25&lt;&gt;"",G25,F25))),"CHECK order",IF(AND(OR(I25="Rejected",I25="Reversed"),J25=""),"CHECK reason","OK")))))))</f>
        <v>OK</v>
      </c>
      <c r="L25" s="36" t="n">
        <f aca="false">IF(OR(I25="Requested",I25="Under Review",I25="Processing"),1,0)</f>
        <v>0</v>
      </c>
      <c r="M25" s="37" t="n">
        <f aca="false">IF(G25="","",(G25-F25)*24)</f>
        <v>8.17988403432528</v>
      </c>
      <c r="N25" s="37" t="n">
        <f aca="false">IF(AND(I25="Completed",G25&lt;&gt;"",H25&lt;&gt;""),(H25-G25)*24,"")</f>
        <v>27.4850701712419</v>
      </c>
      <c r="O25" s="37" t="n">
        <f aca="false">IF(AND(I25="Completed",H25&lt;&gt;""),(H25-F25)*24,"")</f>
        <v>35.6649542055672</v>
      </c>
      <c r="P25" s="36" t="str">
        <f aca="false">IF(O25="","",IF(O25&lt;=Settings!$B$8,"Yes","No"))</f>
        <v>Yes</v>
      </c>
      <c r="Q25" s="37" t="str">
        <f aca="false">IF(AND(I25="Rejected",H25&lt;&gt;""),(H25-F25)*24,"")</f>
        <v/>
      </c>
      <c r="R25" s="37" t="str">
        <f aca="false">IF(L25=1,(Settings!$B$5-F25)*24,"")</f>
        <v/>
      </c>
      <c r="S25" s="36" t="n">
        <f aca="false">IF(COUNTIF($B$5:B25,B25)=1,1,0)</f>
        <v>0</v>
      </c>
      <c r="T25" s="36" t="str">
        <f aca="false">IF(I25="Completed",IF(COUNTIFS(Wallet_Transactions!$I$5:$I$3000,A25,Wallet_Transactions!$D$5:$D$3000,"Redemption",Wallet_Transactions!$G$5:$G$3000,"Posted")&gt;=1,"OK","CHECK no debit"),IF(I25="Reversed",IF(AND(COUNTIFS(Wallet_Transactions!$I$5:$I$3000,A25,Wallet_Transactions!$D$5:$D$3000,"Redemption",Wallet_Transactions!$G$5:$G$3000,"Posted")&gt;=1,COUNTIFS(Wallet_Transactions!$I$5:$I$3000,A25,Wallet_Transactions!$D$5:$D$3000,"Reversal",Wallet_Transactions!$G$5:$G$3000,"Posted")&gt;=1),"OK","CHECK no reversal"),IF(COUNTIFS(Wallet_Transactions!$I$5:$I$3000,A25,Wallet_Transactions!$D$5:$D$3000,"Redemption",Wallet_Transactions!$G$5:$G$3000,"Posted")&gt;0,"CHECK unexpected debit","OK")))</f>
        <v>OK</v>
      </c>
    </row>
    <row r="26" customFormat="false" ht="15" hidden="false" customHeight="false" outlineLevel="0" collapsed="false">
      <c r="A26" s="28" t="s">
        <v>256</v>
      </c>
      <c r="B26" s="28" t="s">
        <v>239</v>
      </c>
      <c r="C26" s="34" t="n">
        <v>700</v>
      </c>
      <c r="D26" s="28" t="s">
        <v>225</v>
      </c>
      <c r="E26" s="28" t="s">
        <v>152</v>
      </c>
      <c r="F26" s="35" t="n">
        <v>46288.0381944445</v>
      </c>
      <c r="G26" s="35" t="n">
        <v>46289.1745803915</v>
      </c>
      <c r="H26" s="35" t="n">
        <v>46289.7128515494</v>
      </c>
      <c r="I26" s="28" t="s">
        <v>72</v>
      </c>
      <c r="J26" s="28"/>
      <c r="K26" s="36" t="str">
        <f aca="false">IF(ISNA(MATCH(I26,Withdrawal_Lifecycle!$A$5:$A$11,0)),"CHECK status",IF(AND(I26="Requested",OR(G26&lt;&gt;"",H26&lt;&gt;"")),"CHECK timestamps",IF(AND(OR(I26="Under Review",I26="Processing"),OR(G26="",H26&lt;&gt;"")),"CHECK timestamps",IF(AND(OR(I26="Completed",I26="Reversed",I26="Rejected"),OR(G26="",H26="")),"CHECK timestamps",IF(AND(I26="Cancelled",H26=""),"CHECK timestamps",IF(OR(AND(G26&lt;&gt;"",G26&lt;F26),AND(H26&lt;&gt;"",H26&lt;IF(G26&lt;&gt;"",G26,F26))),"CHECK order",IF(AND(OR(I26="Rejected",I26="Reversed"),J26=""),"CHECK reason","OK")))))))</f>
        <v>OK</v>
      </c>
      <c r="L26" s="36" t="n">
        <f aca="false">IF(OR(I26="Requested",I26="Under Review",I26="Processing"),1,0)</f>
        <v>0</v>
      </c>
      <c r="M26" s="37" t="n">
        <f aca="false">IF(G26="","",(G26-F26)*24)</f>
        <v>27.27326272818</v>
      </c>
      <c r="N26" s="37" t="n">
        <f aca="false">IF(AND(I26="Completed",G26&lt;&gt;"",H26&lt;&gt;""),(H26-G26)*24,"")</f>
        <v>12.9185077913569</v>
      </c>
      <c r="O26" s="37" t="n">
        <f aca="false">IF(AND(I26="Completed",H26&lt;&gt;""),(H26-F26)*24,"")</f>
        <v>40.1917705195372</v>
      </c>
      <c r="P26" s="36" t="str">
        <f aca="false">IF(O26="","",IF(O26&lt;=Settings!$B$8,"Yes","No"))</f>
        <v>Yes</v>
      </c>
      <c r="Q26" s="37" t="str">
        <f aca="false">IF(AND(I26="Rejected",H26&lt;&gt;""),(H26-F26)*24,"")</f>
        <v/>
      </c>
      <c r="R26" s="37" t="str">
        <f aca="false">IF(L26=1,(Settings!$B$5-F26)*24,"")</f>
        <v/>
      </c>
      <c r="S26" s="36" t="n">
        <f aca="false">IF(COUNTIF($B$5:B26,B26)=1,1,0)</f>
        <v>0</v>
      </c>
      <c r="T26" s="36" t="str">
        <f aca="false">IF(I26="Completed",IF(COUNTIFS(Wallet_Transactions!$I$5:$I$3000,A26,Wallet_Transactions!$D$5:$D$3000,"Redemption",Wallet_Transactions!$G$5:$G$3000,"Posted")&gt;=1,"OK","CHECK no debit"),IF(I26="Reversed",IF(AND(COUNTIFS(Wallet_Transactions!$I$5:$I$3000,A26,Wallet_Transactions!$D$5:$D$3000,"Redemption",Wallet_Transactions!$G$5:$G$3000,"Posted")&gt;=1,COUNTIFS(Wallet_Transactions!$I$5:$I$3000,A26,Wallet_Transactions!$D$5:$D$3000,"Reversal",Wallet_Transactions!$G$5:$G$3000,"Posted")&gt;=1),"OK","CHECK no reversal"),IF(COUNTIFS(Wallet_Transactions!$I$5:$I$3000,A26,Wallet_Transactions!$D$5:$D$3000,"Redemption",Wallet_Transactions!$G$5:$G$3000,"Posted")&gt;0,"CHECK unexpected debit","OK")))</f>
        <v>OK</v>
      </c>
    </row>
    <row r="27" customFormat="false" ht="15" hidden="false" customHeight="false" outlineLevel="0" collapsed="false">
      <c r="A27" s="28" t="s">
        <v>257</v>
      </c>
      <c r="B27" s="28" t="s">
        <v>236</v>
      </c>
      <c r="C27" s="34" t="n">
        <v>850</v>
      </c>
      <c r="D27" s="28" t="s">
        <v>225</v>
      </c>
      <c r="E27" s="28" t="s">
        <v>153</v>
      </c>
      <c r="F27" s="35" t="n">
        <v>46289.1395833333</v>
      </c>
      <c r="G27" s="35" t="n">
        <v>46289.4448224107</v>
      </c>
      <c r="H27" s="35" t="n">
        <v>46291.4818927316</v>
      </c>
      <c r="I27" s="28" t="s">
        <v>72</v>
      </c>
      <c r="J27" s="28"/>
      <c r="K27" s="36" t="str">
        <f aca="false">IF(ISNA(MATCH(I27,Withdrawal_Lifecycle!$A$5:$A$11,0)),"CHECK status",IF(AND(I27="Requested",OR(G27&lt;&gt;"",H27&lt;&gt;"")),"CHECK timestamps",IF(AND(OR(I27="Under Review",I27="Processing"),OR(G27="",H27&lt;&gt;"")),"CHECK timestamps",IF(AND(OR(I27="Completed",I27="Reversed",I27="Rejected"),OR(G27="",H27="")),"CHECK timestamps",IF(AND(I27="Cancelled",H27=""),"CHECK timestamps",IF(OR(AND(G27&lt;&gt;"",G27&lt;F27),AND(H27&lt;&gt;"",H27&lt;IF(G27&lt;&gt;"",G27,F27))),"CHECK order",IF(AND(OR(I27="Rejected",I27="Reversed"),J27=""),"CHECK reason","OK")))))))</f>
        <v>OK</v>
      </c>
      <c r="L27" s="36" t="n">
        <f aca="false">IF(OR(I27="Requested",I27="Under Review",I27="Processing"),1,0)</f>
        <v>0</v>
      </c>
      <c r="M27" s="37" t="n">
        <f aca="false">IF(G27="","",(G27-F27)*24)</f>
        <v>7.32573785766722</v>
      </c>
      <c r="N27" s="37" t="n">
        <f aca="false">IF(AND(I27="Completed",G27&lt;&gt;"",H27&lt;&gt;""),(H27-G27)*24,"")</f>
        <v>48.8896877004881</v>
      </c>
      <c r="O27" s="37" t="n">
        <f aca="false">IF(AND(I27="Completed",H27&lt;&gt;""),(H27-F27)*24,"")</f>
        <v>56.2154255581553</v>
      </c>
      <c r="P27" s="36" t="str">
        <f aca="false">IF(O27="","",IF(O27&lt;=Settings!$B$8,"Yes","No"))</f>
        <v>No</v>
      </c>
      <c r="Q27" s="37" t="str">
        <f aca="false">IF(AND(I27="Rejected",H27&lt;&gt;""),(H27-F27)*24,"")</f>
        <v/>
      </c>
      <c r="R27" s="37" t="str">
        <f aca="false">IF(L27=1,(Settings!$B$5-F27)*24,"")</f>
        <v/>
      </c>
      <c r="S27" s="36" t="n">
        <f aca="false">IF(COUNTIF($B$5:B27,B27)=1,1,0)</f>
        <v>0</v>
      </c>
      <c r="T27" s="36" t="str">
        <f aca="false">IF(I27="Completed",IF(COUNTIFS(Wallet_Transactions!$I$5:$I$3000,A27,Wallet_Transactions!$D$5:$D$3000,"Redemption",Wallet_Transactions!$G$5:$G$3000,"Posted")&gt;=1,"OK","CHECK no debit"),IF(I27="Reversed",IF(AND(COUNTIFS(Wallet_Transactions!$I$5:$I$3000,A27,Wallet_Transactions!$D$5:$D$3000,"Redemption",Wallet_Transactions!$G$5:$G$3000,"Posted")&gt;=1,COUNTIFS(Wallet_Transactions!$I$5:$I$3000,A27,Wallet_Transactions!$D$5:$D$3000,"Reversal",Wallet_Transactions!$G$5:$G$3000,"Posted")&gt;=1),"OK","CHECK no reversal"),IF(COUNTIFS(Wallet_Transactions!$I$5:$I$3000,A27,Wallet_Transactions!$D$5:$D$3000,"Redemption",Wallet_Transactions!$G$5:$G$3000,"Posted")&gt;0,"CHECK unexpected debit","OK")))</f>
        <v>OK</v>
      </c>
    </row>
    <row r="28" customFormat="false" ht="15" hidden="false" customHeight="false" outlineLevel="0" collapsed="false">
      <c r="A28" s="28" t="s">
        <v>258</v>
      </c>
      <c r="B28" s="28" t="s">
        <v>224</v>
      </c>
      <c r="C28" s="34" t="n">
        <v>550</v>
      </c>
      <c r="D28" s="28" t="s">
        <v>225</v>
      </c>
      <c r="E28" s="28" t="s">
        <v>152</v>
      </c>
      <c r="F28" s="35" t="n">
        <v>46289.3111111111</v>
      </c>
      <c r="G28" s="35" t="n">
        <v>46290.4170835353</v>
      </c>
      <c r="H28" s="35" t="n">
        <v>46291.0589413036</v>
      </c>
      <c r="I28" s="28" t="s">
        <v>72</v>
      </c>
      <c r="J28" s="28"/>
      <c r="K28" s="36" t="str">
        <f aca="false">IF(ISNA(MATCH(I28,Withdrawal_Lifecycle!$A$5:$A$11,0)),"CHECK status",IF(AND(I28="Requested",OR(G28&lt;&gt;"",H28&lt;&gt;"")),"CHECK timestamps",IF(AND(OR(I28="Under Review",I28="Processing"),OR(G28="",H28&lt;&gt;"")),"CHECK timestamps",IF(AND(OR(I28="Completed",I28="Reversed",I28="Rejected"),OR(G28="",H28="")),"CHECK timestamps",IF(AND(I28="Cancelled",H28=""),"CHECK timestamps",IF(OR(AND(G28&lt;&gt;"",G28&lt;F28),AND(H28&lt;&gt;"",H28&lt;IF(G28&lt;&gt;"",G28,F28))),"CHECK order",IF(AND(OR(I28="Rejected",I28="Reversed"),J28=""),"CHECK reason","OK")))))))</f>
        <v>OK</v>
      </c>
      <c r="L28" s="36" t="n">
        <f aca="false">IF(OR(I28="Requested",I28="Under Review",I28="Processing"),1,0)</f>
        <v>0</v>
      </c>
      <c r="M28" s="37" t="n">
        <f aca="false">IF(G28="","",(G28-F28)*24)</f>
        <v>26.5433381808106</v>
      </c>
      <c r="N28" s="37" t="n">
        <f aca="false">IF(AND(I28="Completed",G28&lt;&gt;"",H28&lt;&gt;""),(H28-G28)*24,"")</f>
        <v>15.4045864400686</v>
      </c>
      <c r="O28" s="37" t="n">
        <f aca="false">IF(AND(I28="Completed",H28&lt;&gt;""),(H28-F28)*24,"")</f>
        <v>41.9479246208792</v>
      </c>
      <c r="P28" s="36" t="str">
        <f aca="false">IF(O28="","",IF(O28&lt;=Settings!$B$8,"Yes","No"))</f>
        <v>Yes</v>
      </c>
      <c r="Q28" s="37" t="str">
        <f aca="false">IF(AND(I28="Rejected",H28&lt;&gt;""),(H28-F28)*24,"")</f>
        <v/>
      </c>
      <c r="R28" s="37" t="str">
        <f aca="false">IF(L28=1,(Settings!$B$5-F28)*24,"")</f>
        <v/>
      </c>
      <c r="S28" s="36" t="n">
        <f aca="false">IF(COUNTIF($B$5:B28,B28)=1,1,0)</f>
        <v>0</v>
      </c>
      <c r="T28" s="36" t="str">
        <f aca="false">IF(I28="Completed",IF(COUNTIFS(Wallet_Transactions!$I$5:$I$3000,A28,Wallet_Transactions!$D$5:$D$3000,"Redemption",Wallet_Transactions!$G$5:$G$3000,"Posted")&gt;=1,"OK","CHECK no debit"),IF(I28="Reversed",IF(AND(COUNTIFS(Wallet_Transactions!$I$5:$I$3000,A28,Wallet_Transactions!$D$5:$D$3000,"Redemption",Wallet_Transactions!$G$5:$G$3000,"Posted")&gt;=1,COUNTIFS(Wallet_Transactions!$I$5:$I$3000,A28,Wallet_Transactions!$D$5:$D$3000,"Reversal",Wallet_Transactions!$G$5:$G$3000,"Posted")&gt;=1),"OK","CHECK no reversal"),IF(COUNTIFS(Wallet_Transactions!$I$5:$I$3000,A28,Wallet_Transactions!$D$5:$D$3000,"Redemption",Wallet_Transactions!$G$5:$G$3000,"Posted")&gt;0,"CHECK unexpected debit","OK")))</f>
        <v>OK</v>
      </c>
    </row>
    <row r="29" customFormat="false" ht="15" hidden="false" customHeight="false" outlineLevel="0" collapsed="false">
      <c r="A29" s="28" t="s">
        <v>259</v>
      </c>
      <c r="B29" s="28" t="s">
        <v>260</v>
      </c>
      <c r="C29" s="34" t="n">
        <v>550</v>
      </c>
      <c r="D29" s="28" t="s">
        <v>225</v>
      </c>
      <c r="E29" s="28" t="s">
        <v>152</v>
      </c>
      <c r="F29" s="35" t="n">
        <v>46291.1673611111</v>
      </c>
      <c r="G29" s="35" t="n">
        <v>46291.4744583613</v>
      </c>
      <c r="H29" s="35" t="n">
        <v>46295.0791179818</v>
      </c>
      <c r="I29" s="28" t="s">
        <v>76</v>
      </c>
      <c r="J29" s="28" t="s">
        <v>163</v>
      </c>
      <c r="K29" s="36" t="str">
        <f aca="false">IF(ISNA(MATCH(I29,Withdrawal_Lifecycle!$A$5:$A$11,0)),"CHECK status",IF(AND(I29="Requested",OR(G29&lt;&gt;"",H29&lt;&gt;"")),"CHECK timestamps",IF(AND(OR(I29="Under Review",I29="Processing"),OR(G29="",H29&lt;&gt;"")),"CHECK timestamps",IF(AND(OR(I29="Completed",I29="Reversed",I29="Rejected"),OR(G29="",H29="")),"CHECK timestamps",IF(AND(I29="Cancelled",H29=""),"CHECK timestamps",IF(OR(AND(G29&lt;&gt;"",G29&lt;F29),AND(H29&lt;&gt;"",H29&lt;IF(G29&lt;&gt;"",G29,F29))),"CHECK order",IF(AND(OR(I29="Rejected",I29="Reversed"),J29=""),"CHECK reason","OK")))))))</f>
        <v>OK</v>
      </c>
      <c r="L29" s="36" t="n">
        <f aca="false">IF(OR(I29="Requested",I29="Under Review",I29="Processing"),1,0)</f>
        <v>0</v>
      </c>
      <c r="M29" s="37" t="n">
        <f aca="false">IF(G29="","",(G29-F29)*24)</f>
        <v>7.37033400329528</v>
      </c>
      <c r="N29" s="37" t="str">
        <f aca="false">IF(AND(I29="Completed",G29&lt;&gt;"",H29&lt;&gt;""),(H29-G29)*24,"")</f>
        <v/>
      </c>
      <c r="O29" s="37" t="str">
        <f aca="false">IF(AND(I29="Completed",H29&lt;&gt;""),(H29-F29)*24,"")</f>
        <v/>
      </c>
      <c r="P29" s="36" t="str">
        <f aca="false">IF(O29="","",IF(O29&lt;=Settings!$B$8,"Yes","No"))</f>
        <v/>
      </c>
      <c r="Q29" s="37" t="str">
        <f aca="false">IF(AND(I29="Rejected",H29&lt;&gt;""),(H29-F29)*24,"")</f>
        <v/>
      </c>
      <c r="R29" s="37" t="str">
        <f aca="false">IF(L29=1,(Settings!$B$5-F29)*24,"")</f>
        <v/>
      </c>
      <c r="S29" s="36" t="n">
        <f aca="false">IF(COUNTIF($B$5:B29,B29)=1,1,0)</f>
        <v>1</v>
      </c>
      <c r="T29" s="36" t="str">
        <f aca="false">IF(I29="Completed",IF(COUNTIFS(Wallet_Transactions!$I$5:$I$3000,A29,Wallet_Transactions!$D$5:$D$3000,"Redemption",Wallet_Transactions!$G$5:$G$3000,"Posted")&gt;=1,"OK","CHECK no debit"),IF(I29="Reversed",IF(AND(COUNTIFS(Wallet_Transactions!$I$5:$I$3000,A29,Wallet_Transactions!$D$5:$D$3000,"Redemption",Wallet_Transactions!$G$5:$G$3000,"Posted")&gt;=1,COUNTIFS(Wallet_Transactions!$I$5:$I$3000,A29,Wallet_Transactions!$D$5:$D$3000,"Reversal",Wallet_Transactions!$G$5:$G$3000,"Posted")&gt;=1),"OK","CHECK no reversal"),IF(COUNTIFS(Wallet_Transactions!$I$5:$I$3000,A29,Wallet_Transactions!$D$5:$D$3000,"Redemption",Wallet_Transactions!$G$5:$G$3000,"Posted")&gt;0,"CHECK unexpected debit","OK")))</f>
        <v>OK</v>
      </c>
    </row>
    <row r="30" customFormat="false" ht="15" hidden="false" customHeight="false" outlineLevel="0" collapsed="false">
      <c r="A30" s="28" t="s">
        <v>261</v>
      </c>
      <c r="B30" s="28" t="s">
        <v>234</v>
      </c>
      <c r="C30" s="34" t="n">
        <v>1050</v>
      </c>
      <c r="D30" s="28" t="s">
        <v>225</v>
      </c>
      <c r="E30" s="28" t="s">
        <v>154</v>
      </c>
      <c r="F30" s="35" t="n">
        <v>46292.4340277778</v>
      </c>
      <c r="G30" s="35" t="n">
        <v>46292.6733565517</v>
      </c>
      <c r="H30" s="35" t="n">
        <v>46294.2140418375</v>
      </c>
      <c r="I30" s="28" t="s">
        <v>72</v>
      </c>
      <c r="J30" s="28"/>
      <c r="K30" s="36" t="str">
        <f aca="false">IF(ISNA(MATCH(I30,Withdrawal_Lifecycle!$A$5:$A$11,0)),"CHECK status",IF(AND(I30="Requested",OR(G30&lt;&gt;"",H30&lt;&gt;"")),"CHECK timestamps",IF(AND(OR(I30="Under Review",I30="Processing"),OR(G30="",H30&lt;&gt;"")),"CHECK timestamps",IF(AND(OR(I30="Completed",I30="Reversed",I30="Rejected"),OR(G30="",H30="")),"CHECK timestamps",IF(AND(I30="Cancelled",H30=""),"CHECK timestamps",IF(OR(AND(G30&lt;&gt;"",G30&lt;F30),AND(H30&lt;&gt;"",H30&lt;IF(G30&lt;&gt;"",G30,F30))),"CHECK order",IF(AND(OR(I30="Rejected",I30="Reversed"),J30=""),"CHECK reason","OK")))))))</f>
        <v>OK</v>
      </c>
      <c r="L30" s="36" t="n">
        <f aca="false">IF(OR(I30="Requested",I30="Under Review",I30="Processing"),1,0)</f>
        <v>0</v>
      </c>
      <c r="M30" s="37" t="n">
        <f aca="false">IF(G30="","",(G30-F30)*24)</f>
        <v>5.74389057402722</v>
      </c>
      <c r="N30" s="37" t="n">
        <f aca="false">IF(AND(I30="Completed",G30&lt;&gt;"",H30&lt;&gt;""),(H30-G30)*24,"")</f>
        <v>36.9764468598878</v>
      </c>
      <c r="O30" s="37" t="n">
        <f aca="false">IF(AND(I30="Completed",H30&lt;&gt;""),(H30-F30)*24,"")</f>
        <v>42.720337433915</v>
      </c>
      <c r="P30" s="36" t="str">
        <f aca="false">IF(O30="","",IF(O30&lt;=Settings!$B$8,"Yes","No"))</f>
        <v>Yes</v>
      </c>
      <c r="Q30" s="37" t="str">
        <f aca="false">IF(AND(I30="Rejected",H30&lt;&gt;""),(H30-F30)*24,"")</f>
        <v/>
      </c>
      <c r="R30" s="37" t="str">
        <f aca="false">IF(L30=1,(Settings!$B$5-F30)*24,"")</f>
        <v/>
      </c>
      <c r="S30" s="36" t="n">
        <f aca="false">IF(COUNTIF($B$5:B30,B30)=1,1,0)</f>
        <v>0</v>
      </c>
      <c r="T30" s="36" t="str">
        <f aca="false">IF(I30="Completed",IF(COUNTIFS(Wallet_Transactions!$I$5:$I$3000,A30,Wallet_Transactions!$D$5:$D$3000,"Redemption",Wallet_Transactions!$G$5:$G$3000,"Posted")&gt;=1,"OK","CHECK no debit"),IF(I30="Reversed",IF(AND(COUNTIFS(Wallet_Transactions!$I$5:$I$3000,A30,Wallet_Transactions!$D$5:$D$3000,"Redemption",Wallet_Transactions!$G$5:$G$3000,"Posted")&gt;=1,COUNTIFS(Wallet_Transactions!$I$5:$I$3000,A30,Wallet_Transactions!$D$5:$D$3000,"Reversal",Wallet_Transactions!$G$5:$G$3000,"Posted")&gt;=1),"OK","CHECK no reversal"),IF(COUNTIFS(Wallet_Transactions!$I$5:$I$3000,A30,Wallet_Transactions!$D$5:$D$3000,"Redemption",Wallet_Transactions!$G$5:$G$3000,"Posted")&gt;0,"CHECK unexpected debit","OK")))</f>
        <v>OK</v>
      </c>
    </row>
    <row r="31" customFormat="false" ht="15" hidden="false" customHeight="false" outlineLevel="0" collapsed="false">
      <c r="A31" s="28" t="s">
        <v>262</v>
      </c>
      <c r="B31" s="28" t="s">
        <v>263</v>
      </c>
      <c r="C31" s="34" t="n">
        <v>650</v>
      </c>
      <c r="D31" s="28" t="s">
        <v>225</v>
      </c>
      <c r="E31" s="28" t="s">
        <v>152</v>
      </c>
      <c r="F31" s="35" t="n">
        <v>46292.5590277778</v>
      </c>
      <c r="G31" s="35" t="n">
        <v>46293.4522081954</v>
      </c>
      <c r="H31" s="35" t="n">
        <v>46294.380648957</v>
      </c>
      <c r="I31" s="28" t="s">
        <v>72</v>
      </c>
      <c r="J31" s="28"/>
      <c r="K31" s="36" t="str">
        <f aca="false">IF(ISNA(MATCH(I31,Withdrawal_Lifecycle!$A$5:$A$11,0)),"CHECK status",IF(AND(I31="Requested",OR(G31&lt;&gt;"",H31&lt;&gt;"")),"CHECK timestamps",IF(AND(OR(I31="Under Review",I31="Processing"),OR(G31="",H31&lt;&gt;"")),"CHECK timestamps",IF(AND(OR(I31="Completed",I31="Reversed",I31="Rejected"),OR(G31="",H31="")),"CHECK timestamps",IF(AND(I31="Cancelled",H31=""),"CHECK timestamps",IF(OR(AND(G31&lt;&gt;"",G31&lt;F31),AND(H31&lt;&gt;"",H31&lt;IF(G31&lt;&gt;"",G31,F31))),"CHECK order",IF(AND(OR(I31="Rejected",I31="Reversed"),J31=""),"CHECK reason","OK")))))))</f>
        <v>OK</v>
      </c>
      <c r="L31" s="36" t="n">
        <f aca="false">IF(OR(I31="Requested",I31="Under Review",I31="Processing"),1,0)</f>
        <v>0</v>
      </c>
      <c r="M31" s="37" t="n">
        <f aca="false">IF(G31="","",(G31-F31)*24)</f>
        <v>21.4363300222903</v>
      </c>
      <c r="N31" s="37" t="n">
        <f aca="false">IF(AND(I31="Completed",G31&lt;&gt;"",H31&lt;&gt;""),(H31-G31)*24,"")</f>
        <v>22.2825782792642</v>
      </c>
      <c r="O31" s="37" t="n">
        <f aca="false">IF(AND(I31="Completed",H31&lt;&gt;""),(H31-F31)*24,"")</f>
        <v>43.7189083015544</v>
      </c>
      <c r="P31" s="36" t="str">
        <f aca="false">IF(O31="","",IF(O31&lt;=Settings!$B$8,"Yes","No"))</f>
        <v>Yes</v>
      </c>
      <c r="Q31" s="37" t="str">
        <f aca="false">IF(AND(I31="Rejected",H31&lt;&gt;""),(H31-F31)*24,"")</f>
        <v/>
      </c>
      <c r="R31" s="37" t="str">
        <f aca="false">IF(L31=1,(Settings!$B$5-F31)*24,"")</f>
        <v/>
      </c>
      <c r="S31" s="36" t="n">
        <f aca="false">IF(COUNTIF($B$5:B31,B31)=1,1,0)</f>
        <v>1</v>
      </c>
      <c r="T31" s="36" t="str">
        <f aca="false">IF(I31="Completed",IF(COUNTIFS(Wallet_Transactions!$I$5:$I$3000,A31,Wallet_Transactions!$D$5:$D$3000,"Redemption",Wallet_Transactions!$G$5:$G$3000,"Posted")&gt;=1,"OK","CHECK no debit"),IF(I31="Reversed",IF(AND(COUNTIFS(Wallet_Transactions!$I$5:$I$3000,A31,Wallet_Transactions!$D$5:$D$3000,"Redemption",Wallet_Transactions!$G$5:$G$3000,"Posted")&gt;=1,COUNTIFS(Wallet_Transactions!$I$5:$I$3000,A31,Wallet_Transactions!$D$5:$D$3000,"Reversal",Wallet_Transactions!$G$5:$G$3000,"Posted")&gt;=1),"OK","CHECK no reversal"),IF(COUNTIFS(Wallet_Transactions!$I$5:$I$3000,A31,Wallet_Transactions!$D$5:$D$3000,"Redemption",Wallet_Transactions!$G$5:$G$3000,"Posted")&gt;0,"CHECK unexpected debit","OK")))</f>
        <v>OK</v>
      </c>
    </row>
    <row r="32" customFormat="false" ht="15" hidden="false" customHeight="false" outlineLevel="0" collapsed="false">
      <c r="A32" s="28" t="s">
        <v>264</v>
      </c>
      <c r="B32" s="28" t="s">
        <v>265</v>
      </c>
      <c r="C32" s="34" t="n">
        <v>700</v>
      </c>
      <c r="D32" s="28" t="s">
        <v>225</v>
      </c>
      <c r="E32" s="28" t="s">
        <v>153</v>
      </c>
      <c r="F32" s="35" t="n">
        <v>46292.5625</v>
      </c>
      <c r="G32" s="35" t="n">
        <v>46293.8123448291</v>
      </c>
      <c r="H32" s="35" t="n">
        <v>46293.988081821</v>
      </c>
      <c r="I32" s="28" t="s">
        <v>72</v>
      </c>
      <c r="J32" s="28"/>
      <c r="K32" s="36" t="str">
        <f aca="false">IF(ISNA(MATCH(I32,Withdrawal_Lifecycle!$A$5:$A$11,0)),"CHECK status",IF(AND(I32="Requested",OR(G32&lt;&gt;"",H32&lt;&gt;"")),"CHECK timestamps",IF(AND(OR(I32="Under Review",I32="Processing"),OR(G32="",H32&lt;&gt;"")),"CHECK timestamps",IF(AND(OR(I32="Completed",I32="Reversed",I32="Rejected"),OR(G32="",H32="")),"CHECK timestamps",IF(AND(I32="Cancelled",H32=""),"CHECK timestamps",IF(OR(AND(G32&lt;&gt;"",G32&lt;F32),AND(H32&lt;&gt;"",H32&lt;IF(G32&lt;&gt;"",G32,F32))),"CHECK order",IF(AND(OR(I32="Rejected",I32="Reversed"),J32=""),"CHECK reason","OK")))))))</f>
        <v>OK</v>
      </c>
      <c r="L32" s="36" t="n">
        <f aca="false">IF(OR(I32="Requested",I32="Under Review",I32="Processing"),1,0)</f>
        <v>0</v>
      </c>
      <c r="M32" s="37" t="n">
        <f aca="false">IF(G32="","",(G32-F32)*24)</f>
        <v>29.9962758984183</v>
      </c>
      <c r="N32" s="37" t="n">
        <f aca="false">IF(AND(I32="Completed",G32&lt;&gt;"",H32&lt;&gt;""),(H32-G32)*24,"")</f>
        <v>4.21768780576528</v>
      </c>
      <c r="O32" s="37" t="n">
        <f aca="false">IF(AND(I32="Completed",H32&lt;&gt;""),(H32-F32)*24,"")</f>
        <v>34.2139637041836</v>
      </c>
      <c r="P32" s="36" t="str">
        <f aca="false">IF(O32="","",IF(O32&lt;=Settings!$B$8,"Yes","No"))</f>
        <v>Yes</v>
      </c>
      <c r="Q32" s="37" t="str">
        <f aca="false">IF(AND(I32="Rejected",H32&lt;&gt;""),(H32-F32)*24,"")</f>
        <v/>
      </c>
      <c r="R32" s="37" t="str">
        <f aca="false">IF(L32=1,(Settings!$B$5-F32)*24,"")</f>
        <v/>
      </c>
      <c r="S32" s="36" t="n">
        <f aca="false">IF(COUNTIF($B$5:B32,B32)=1,1,0)</f>
        <v>1</v>
      </c>
      <c r="T32" s="36" t="str">
        <f aca="false">IF(I32="Completed",IF(COUNTIFS(Wallet_Transactions!$I$5:$I$3000,A32,Wallet_Transactions!$D$5:$D$3000,"Redemption",Wallet_Transactions!$G$5:$G$3000,"Posted")&gt;=1,"OK","CHECK no debit"),IF(I32="Reversed",IF(AND(COUNTIFS(Wallet_Transactions!$I$5:$I$3000,A32,Wallet_Transactions!$D$5:$D$3000,"Redemption",Wallet_Transactions!$G$5:$G$3000,"Posted")&gt;=1,COUNTIFS(Wallet_Transactions!$I$5:$I$3000,A32,Wallet_Transactions!$D$5:$D$3000,"Reversal",Wallet_Transactions!$G$5:$G$3000,"Posted")&gt;=1),"OK","CHECK no reversal"),IF(COUNTIFS(Wallet_Transactions!$I$5:$I$3000,A32,Wallet_Transactions!$D$5:$D$3000,"Redemption",Wallet_Transactions!$G$5:$G$3000,"Posted")&gt;0,"CHECK unexpected debit","OK")))</f>
        <v>OK</v>
      </c>
    </row>
    <row r="33" customFormat="false" ht="15" hidden="false" customHeight="false" outlineLevel="0" collapsed="false">
      <c r="A33" s="28" t="s">
        <v>266</v>
      </c>
      <c r="B33" s="28" t="s">
        <v>239</v>
      </c>
      <c r="C33" s="34" t="n">
        <v>500</v>
      </c>
      <c r="D33" s="28" t="s">
        <v>225</v>
      </c>
      <c r="E33" s="28" t="s">
        <v>152</v>
      </c>
      <c r="F33" s="35" t="n">
        <v>46292.9770833333</v>
      </c>
      <c r="G33" s="35" t="n">
        <v>46293.5006395594</v>
      </c>
      <c r="H33" s="35" t="n">
        <v>46294.1464962501</v>
      </c>
      <c r="I33" s="28" t="s">
        <v>74</v>
      </c>
      <c r="J33" s="28" t="s">
        <v>161</v>
      </c>
      <c r="K33" s="36" t="str">
        <f aca="false">IF(ISNA(MATCH(I33,Withdrawal_Lifecycle!$A$5:$A$11,0)),"CHECK status",IF(AND(I33="Requested",OR(G33&lt;&gt;"",H33&lt;&gt;"")),"CHECK timestamps",IF(AND(OR(I33="Under Review",I33="Processing"),OR(G33="",H33&lt;&gt;"")),"CHECK timestamps",IF(AND(OR(I33="Completed",I33="Reversed",I33="Rejected"),OR(G33="",H33="")),"CHECK timestamps",IF(AND(I33="Cancelled",H33=""),"CHECK timestamps",IF(OR(AND(G33&lt;&gt;"",G33&lt;F33),AND(H33&lt;&gt;"",H33&lt;IF(G33&lt;&gt;"",G33,F33))),"CHECK order",IF(AND(OR(I33="Rejected",I33="Reversed"),J33=""),"CHECK reason","OK")))))))</f>
        <v>OK</v>
      </c>
      <c r="L33" s="36" t="n">
        <f aca="false">IF(OR(I33="Requested",I33="Under Review",I33="Processing"),1,0)</f>
        <v>0</v>
      </c>
      <c r="M33" s="37" t="n">
        <f aca="false">IF(G33="","",(G33-F33)*24)</f>
        <v>12.5653494260622</v>
      </c>
      <c r="N33" s="37" t="str">
        <f aca="false">IF(AND(I33="Completed",G33&lt;&gt;"",H33&lt;&gt;""),(H33-G33)*24,"")</f>
        <v/>
      </c>
      <c r="O33" s="37" t="str">
        <f aca="false">IF(AND(I33="Completed",H33&lt;&gt;""),(H33-F33)*24,"")</f>
        <v/>
      </c>
      <c r="P33" s="36" t="str">
        <f aca="false">IF(O33="","",IF(O33&lt;=Settings!$B$8,"Yes","No"))</f>
        <v/>
      </c>
      <c r="Q33" s="37" t="n">
        <f aca="false">IF(AND(I33="Rejected",H33&lt;&gt;""),(H33-F33)*24,"")</f>
        <v>28.0659100020419</v>
      </c>
      <c r="R33" s="37" t="str">
        <f aca="false">IF(L33=1,(Settings!$B$5-F33)*24,"")</f>
        <v/>
      </c>
      <c r="S33" s="36" t="n">
        <f aca="false">IF(COUNTIF($B$5:B33,B33)=1,1,0)</f>
        <v>0</v>
      </c>
      <c r="T33" s="36" t="str">
        <f aca="false">IF(I33="Completed",IF(COUNTIFS(Wallet_Transactions!$I$5:$I$3000,A33,Wallet_Transactions!$D$5:$D$3000,"Redemption",Wallet_Transactions!$G$5:$G$3000,"Posted")&gt;=1,"OK","CHECK no debit"),IF(I33="Reversed",IF(AND(COUNTIFS(Wallet_Transactions!$I$5:$I$3000,A33,Wallet_Transactions!$D$5:$D$3000,"Redemption",Wallet_Transactions!$G$5:$G$3000,"Posted")&gt;=1,COUNTIFS(Wallet_Transactions!$I$5:$I$3000,A33,Wallet_Transactions!$D$5:$D$3000,"Reversal",Wallet_Transactions!$G$5:$G$3000,"Posted")&gt;=1),"OK","CHECK no reversal"),IF(COUNTIFS(Wallet_Transactions!$I$5:$I$3000,A33,Wallet_Transactions!$D$5:$D$3000,"Redemption",Wallet_Transactions!$G$5:$G$3000,"Posted")&gt;0,"CHECK unexpected debit","OK")))</f>
        <v>OK</v>
      </c>
    </row>
    <row r="34" customFormat="false" ht="15" hidden="false" customHeight="false" outlineLevel="0" collapsed="false">
      <c r="A34" s="28" t="s">
        <v>267</v>
      </c>
      <c r="B34" s="28" t="s">
        <v>229</v>
      </c>
      <c r="C34" s="34" t="n">
        <v>850</v>
      </c>
      <c r="D34" s="28" t="s">
        <v>225</v>
      </c>
      <c r="E34" s="28" t="s">
        <v>152</v>
      </c>
      <c r="F34" s="35" t="n">
        <v>46297.7659722222</v>
      </c>
      <c r="G34" s="35" t="n">
        <v>46297.8645762563</v>
      </c>
      <c r="H34" s="35" t="n">
        <v>46298.1929300276</v>
      </c>
      <c r="I34" s="28" t="s">
        <v>72</v>
      </c>
      <c r="J34" s="28"/>
      <c r="K34" s="36" t="str">
        <f aca="false">IF(ISNA(MATCH(I34,Withdrawal_Lifecycle!$A$5:$A$11,0)),"CHECK status",IF(AND(I34="Requested",OR(G34&lt;&gt;"",H34&lt;&gt;"")),"CHECK timestamps",IF(AND(OR(I34="Under Review",I34="Processing"),OR(G34="",H34&lt;&gt;"")),"CHECK timestamps",IF(AND(OR(I34="Completed",I34="Reversed",I34="Rejected"),OR(G34="",H34="")),"CHECK timestamps",IF(AND(I34="Cancelled",H34=""),"CHECK timestamps",IF(OR(AND(G34&lt;&gt;"",G34&lt;F34),AND(H34&lt;&gt;"",H34&lt;IF(G34&lt;&gt;"",G34,F34))),"CHECK order",IF(AND(OR(I34="Rejected",I34="Reversed"),J34=""),"CHECK reason","OK")))))))</f>
        <v>OK</v>
      </c>
      <c r="L34" s="36" t="n">
        <f aca="false">IF(OR(I34="Requested",I34="Under Review",I34="Processing"),1,0)</f>
        <v>0</v>
      </c>
      <c r="M34" s="37" t="n">
        <f aca="false">IF(G34="","",(G34-F34)*24)</f>
        <v>2.36649681668472</v>
      </c>
      <c r="N34" s="37" t="n">
        <f aca="false">IF(AND(I34="Completed",G34&lt;&gt;"",H34&lt;&gt;""),(H34-G34)*24,"")</f>
        <v>7.88049051276167</v>
      </c>
      <c r="O34" s="37" t="n">
        <f aca="false">IF(AND(I34="Completed",H34&lt;&gt;""),(H34-F34)*24,"")</f>
        <v>10.2469873294467</v>
      </c>
      <c r="P34" s="36" t="str">
        <f aca="false">IF(O34="","",IF(O34&lt;=Settings!$B$8,"Yes","No"))</f>
        <v>Yes</v>
      </c>
      <c r="Q34" s="37" t="str">
        <f aca="false">IF(AND(I34="Rejected",H34&lt;&gt;""),(H34-F34)*24,"")</f>
        <v/>
      </c>
      <c r="R34" s="37" t="str">
        <f aca="false">IF(L34=1,(Settings!$B$5-F34)*24,"")</f>
        <v/>
      </c>
      <c r="S34" s="36" t="n">
        <f aca="false">IF(COUNTIF($B$5:B34,B34)=1,1,0)</f>
        <v>0</v>
      </c>
      <c r="T34" s="36" t="str">
        <f aca="false">IF(I34="Completed",IF(COUNTIFS(Wallet_Transactions!$I$5:$I$3000,A34,Wallet_Transactions!$D$5:$D$3000,"Redemption",Wallet_Transactions!$G$5:$G$3000,"Posted")&gt;=1,"OK","CHECK no debit"),IF(I34="Reversed",IF(AND(COUNTIFS(Wallet_Transactions!$I$5:$I$3000,A34,Wallet_Transactions!$D$5:$D$3000,"Redemption",Wallet_Transactions!$G$5:$G$3000,"Posted")&gt;=1,COUNTIFS(Wallet_Transactions!$I$5:$I$3000,A34,Wallet_Transactions!$D$5:$D$3000,"Reversal",Wallet_Transactions!$G$5:$G$3000,"Posted")&gt;=1),"OK","CHECK no reversal"),IF(COUNTIFS(Wallet_Transactions!$I$5:$I$3000,A34,Wallet_Transactions!$D$5:$D$3000,"Redemption",Wallet_Transactions!$G$5:$G$3000,"Posted")&gt;0,"CHECK unexpected debit","OK")))</f>
        <v>OK</v>
      </c>
    </row>
    <row r="35" customFormat="false" ht="15" hidden="false" customHeight="false" outlineLevel="0" collapsed="false">
      <c r="A35" s="28" t="s">
        <v>268</v>
      </c>
      <c r="B35" s="28" t="s">
        <v>269</v>
      </c>
      <c r="C35" s="34" t="n">
        <v>1500</v>
      </c>
      <c r="D35" s="28" t="s">
        <v>225</v>
      </c>
      <c r="E35" s="28" t="s">
        <v>152</v>
      </c>
      <c r="F35" s="35" t="n">
        <v>46298.3805555556</v>
      </c>
      <c r="G35" s="35" t="n">
        <v>46299.2041064457</v>
      </c>
      <c r="H35" s="35" t="n">
        <v>46300.2487224292</v>
      </c>
      <c r="I35" s="28" t="s">
        <v>72</v>
      </c>
      <c r="J35" s="28"/>
      <c r="K35" s="36" t="str">
        <f aca="false">IF(ISNA(MATCH(I35,Withdrawal_Lifecycle!$A$5:$A$11,0)),"CHECK status",IF(AND(I35="Requested",OR(G35&lt;&gt;"",H35&lt;&gt;"")),"CHECK timestamps",IF(AND(OR(I35="Under Review",I35="Processing"),OR(G35="",H35&lt;&gt;"")),"CHECK timestamps",IF(AND(OR(I35="Completed",I35="Reversed",I35="Rejected"),OR(G35="",H35="")),"CHECK timestamps",IF(AND(I35="Cancelled",H35=""),"CHECK timestamps",IF(OR(AND(G35&lt;&gt;"",G35&lt;F35),AND(H35&lt;&gt;"",H35&lt;IF(G35&lt;&gt;"",G35,F35))),"CHECK order",IF(AND(OR(I35="Rejected",I35="Reversed"),J35=""),"CHECK reason","OK")))))))</f>
        <v>OK</v>
      </c>
      <c r="L35" s="36" t="n">
        <f aca="false">IF(OR(I35="Requested",I35="Under Review",I35="Processing"),1,0)</f>
        <v>0</v>
      </c>
      <c r="M35" s="37" t="n">
        <f aca="false">IF(G35="","",(G35-F35)*24)</f>
        <v>19.7652213635736</v>
      </c>
      <c r="N35" s="37" t="n">
        <f aca="false">IF(AND(I35="Completed",G35&lt;&gt;"",H35&lt;&gt;""),(H35-G35)*24,"")</f>
        <v>25.0707836025394</v>
      </c>
      <c r="O35" s="37" t="n">
        <f aca="false">IF(AND(I35="Completed",H35&lt;&gt;""),(H35-F35)*24,"")</f>
        <v>44.8360049661131</v>
      </c>
      <c r="P35" s="36" t="str">
        <f aca="false">IF(O35="","",IF(O35&lt;=Settings!$B$8,"Yes","No"))</f>
        <v>Yes</v>
      </c>
      <c r="Q35" s="37" t="str">
        <f aca="false">IF(AND(I35="Rejected",H35&lt;&gt;""),(H35-F35)*24,"")</f>
        <v/>
      </c>
      <c r="R35" s="37" t="str">
        <f aca="false">IF(L35=1,(Settings!$B$5-F35)*24,"")</f>
        <v/>
      </c>
      <c r="S35" s="36" t="n">
        <f aca="false">IF(COUNTIF($B$5:B35,B35)=1,1,0)</f>
        <v>1</v>
      </c>
      <c r="T35" s="36" t="str">
        <f aca="false">IF(I35="Completed",IF(COUNTIFS(Wallet_Transactions!$I$5:$I$3000,A35,Wallet_Transactions!$D$5:$D$3000,"Redemption",Wallet_Transactions!$G$5:$G$3000,"Posted")&gt;=1,"OK","CHECK no debit"),IF(I35="Reversed",IF(AND(COUNTIFS(Wallet_Transactions!$I$5:$I$3000,A35,Wallet_Transactions!$D$5:$D$3000,"Redemption",Wallet_Transactions!$G$5:$G$3000,"Posted")&gt;=1,COUNTIFS(Wallet_Transactions!$I$5:$I$3000,A35,Wallet_Transactions!$D$5:$D$3000,"Reversal",Wallet_Transactions!$G$5:$G$3000,"Posted")&gt;=1),"OK","CHECK no reversal"),IF(COUNTIFS(Wallet_Transactions!$I$5:$I$3000,A35,Wallet_Transactions!$D$5:$D$3000,"Redemption",Wallet_Transactions!$G$5:$G$3000,"Posted")&gt;0,"CHECK unexpected debit","OK")))</f>
        <v>OK</v>
      </c>
    </row>
    <row r="36" customFormat="false" ht="15" hidden="false" customHeight="false" outlineLevel="0" collapsed="false">
      <c r="A36" s="28" t="s">
        <v>270</v>
      </c>
      <c r="B36" s="28" t="s">
        <v>265</v>
      </c>
      <c r="C36" s="34" t="n">
        <v>1550</v>
      </c>
      <c r="D36" s="28" t="s">
        <v>225</v>
      </c>
      <c r="E36" s="28" t="s">
        <v>153</v>
      </c>
      <c r="F36" s="35" t="n">
        <v>46300.3715277778</v>
      </c>
      <c r="G36" s="35" t="n">
        <v>46301.5639890565</v>
      </c>
      <c r="H36" s="35" t="n">
        <v>46302.4021969494</v>
      </c>
      <c r="I36" s="28" t="s">
        <v>72</v>
      </c>
      <c r="J36" s="28"/>
      <c r="K36" s="36" t="str">
        <f aca="false">IF(ISNA(MATCH(I36,Withdrawal_Lifecycle!$A$5:$A$11,0)),"CHECK status",IF(AND(I36="Requested",OR(G36&lt;&gt;"",H36&lt;&gt;"")),"CHECK timestamps",IF(AND(OR(I36="Under Review",I36="Processing"),OR(G36="",H36&lt;&gt;"")),"CHECK timestamps",IF(AND(OR(I36="Completed",I36="Reversed",I36="Rejected"),OR(G36="",H36="")),"CHECK timestamps",IF(AND(I36="Cancelled",H36=""),"CHECK timestamps",IF(OR(AND(G36&lt;&gt;"",G36&lt;F36),AND(H36&lt;&gt;"",H36&lt;IF(G36&lt;&gt;"",G36,F36))),"CHECK order",IF(AND(OR(I36="Rejected",I36="Reversed"),J36=""),"CHECK reason","OK")))))))</f>
        <v>OK</v>
      </c>
      <c r="L36" s="36" t="n">
        <f aca="false">IF(OR(I36="Requested",I36="Under Review",I36="Processing"),1,0)</f>
        <v>0</v>
      </c>
      <c r="M36" s="37" t="n">
        <f aca="false">IF(G36="","",(G36-F36)*24)</f>
        <v>28.6190706902997</v>
      </c>
      <c r="N36" s="37" t="n">
        <f aca="false">IF(AND(I36="Completed",G36&lt;&gt;"",H36&lt;&gt;""),(H36-G36)*24,"")</f>
        <v>20.1169894280028</v>
      </c>
      <c r="O36" s="37" t="n">
        <f aca="false">IF(AND(I36="Completed",H36&lt;&gt;""),(H36-F36)*24,"")</f>
        <v>48.7360601183025</v>
      </c>
      <c r="P36" s="36" t="str">
        <f aca="false">IF(O36="","",IF(O36&lt;=Settings!$B$8,"Yes","No"))</f>
        <v>No</v>
      </c>
      <c r="Q36" s="37" t="str">
        <f aca="false">IF(AND(I36="Rejected",H36&lt;&gt;""),(H36-F36)*24,"")</f>
        <v/>
      </c>
      <c r="R36" s="37" t="str">
        <f aca="false">IF(L36=1,(Settings!$B$5-F36)*24,"")</f>
        <v/>
      </c>
      <c r="S36" s="36" t="n">
        <f aca="false">IF(COUNTIF($B$5:B36,B36)=1,1,0)</f>
        <v>0</v>
      </c>
      <c r="T36" s="36" t="str">
        <f aca="false">IF(I36="Completed",IF(COUNTIFS(Wallet_Transactions!$I$5:$I$3000,A36,Wallet_Transactions!$D$5:$D$3000,"Redemption",Wallet_Transactions!$G$5:$G$3000,"Posted")&gt;=1,"OK","CHECK no debit"),IF(I36="Reversed",IF(AND(COUNTIFS(Wallet_Transactions!$I$5:$I$3000,A36,Wallet_Transactions!$D$5:$D$3000,"Redemption",Wallet_Transactions!$G$5:$G$3000,"Posted")&gt;=1,COUNTIFS(Wallet_Transactions!$I$5:$I$3000,A36,Wallet_Transactions!$D$5:$D$3000,"Reversal",Wallet_Transactions!$G$5:$G$3000,"Posted")&gt;=1),"OK","CHECK no reversal"),IF(COUNTIFS(Wallet_Transactions!$I$5:$I$3000,A36,Wallet_Transactions!$D$5:$D$3000,"Redemption",Wallet_Transactions!$G$5:$G$3000,"Posted")&gt;0,"CHECK unexpected debit","OK")))</f>
        <v>OK</v>
      </c>
    </row>
    <row r="37" customFormat="false" ht="15" hidden="false" customHeight="false" outlineLevel="0" collapsed="false">
      <c r="A37" s="28" t="s">
        <v>271</v>
      </c>
      <c r="B37" s="28" t="s">
        <v>231</v>
      </c>
      <c r="C37" s="34" t="n">
        <v>800</v>
      </c>
      <c r="D37" s="28" t="s">
        <v>225</v>
      </c>
      <c r="E37" s="28" t="s">
        <v>152</v>
      </c>
      <c r="F37" s="35" t="n">
        <v>46301.0638888889</v>
      </c>
      <c r="G37" s="35" t="n">
        <v>46302.1470250571</v>
      </c>
      <c r="H37" s="35" t="n">
        <v>46304.638857583</v>
      </c>
      <c r="I37" s="28" t="s">
        <v>72</v>
      </c>
      <c r="J37" s="28"/>
      <c r="K37" s="36" t="str">
        <f aca="false">IF(ISNA(MATCH(I37,Withdrawal_Lifecycle!$A$5:$A$11,0)),"CHECK status",IF(AND(I37="Requested",OR(G37&lt;&gt;"",H37&lt;&gt;"")),"CHECK timestamps",IF(AND(OR(I37="Under Review",I37="Processing"),OR(G37="",H37&lt;&gt;"")),"CHECK timestamps",IF(AND(OR(I37="Completed",I37="Reversed",I37="Rejected"),OR(G37="",H37="")),"CHECK timestamps",IF(AND(I37="Cancelled",H37=""),"CHECK timestamps",IF(OR(AND(G37&lt;&gt;"",G37&lt;F37),AND(H37&lt;&gt;"",H37&lt;IF(G37&lt;&gt;"",G37,F37))),"CHECK order",IF(AND(OR(I37="Rejected",I37="Reversed"),J37=""),"CHECK reason","OK")))))))</f>
        <v>OK</v>
      </c>
      <c r="L37" s="36" t="n">
        <f aca="false">IF(OR(I37="Requested",I37="Under Review",I37="Processing"),1,0)</f>
        <v>0</v>
      </c>
      <c r="M37" s="37" t="n">
        <f aca="false">IF(G37="","",(G37-F37)*24)</f>
        <v>25.9952680367858</v>
      </c>
      <c r="N37" s="37" t="n">
        <f aca="false">IF(AND(I37="Completed",G37&lt;&gt;"",H37&lt;&gt;""),(H37-G37)*24,"")</f>
        <v>59.8039806227897</v>
      </c>
      <c r="O37" s="37" t="n">
        <f aca="false">IF(AND(I37="Completed",H37&lt;&gt;""),(H37-F37)*24,"")</f>
        <v>85.7992486595756</v>
      </c>
      <c r="P37" s="36" t="str">
        <f aca="false">IF(O37="","",IF(O37&lt;=Settings!$B$8,"Yes","No"))</f>
        <v>No</v>
      </c>
      <c r="Q37" s="37" t="str">
        <f aca="false">IF(AND(I37="Rejected",H37&lt;&gt;""),(H37-F37)*24,"")</f>
        <v/>
      </c>
      <c r="R37" s="37" t="str">
        <f aca="false">IF(L37=1,(Settings!$B$5-F37)*24,"")</f>
        <v/>
      </c>
      <c r="S37" s="36" t="n">
        <f aca="false">IF(COUNTIF($B$5:B37,B37)=1,1,0)</f>
        <v>0</v>
      </c>
      <c r="T37" s="36" t="str">
        <f aca="false">IF(I37="Completed",IF(COUNTIFS(Wallet_Transactions!$I$5:$I$3000,A37,Wallet_Transactions!$D$5:$D$3000,"Redemption",Wallet_Transactions!$G$5:$G$3000,"Posted")&gt;=1,"OK","CHECK no debit"),IF(I37="Reversed",IF(AND(COUNTIFS(Wallet_Transactions!$I$5:$I$3000,A37,Wallet_Transactions!$D$5:$D$3000,"Redemption",Wallet_Transactions!$G$5:$G$3000,"Posted")&gt;=1,COUNTIFS(Wallet_Transactions!$I$5:$I$3000,A37,Wallet_Transactions!$D$5:$D$3000,"Reversal",Wallet_Transactions!$G$5:$G$3000,"Posted")&gt;=1),"OK","CHECK no reversal"),IF(COUNTIFS(Wallet_Transactions!$I$5:$I$3000,A37,Wallet_Transactions!$D$5:$D$3000,"Redemption",Wallet_Transactions!$G$5:$G$3000,"Posted")&gt;0,"CHECK unexpected debit","OK")))</f>
        <v>OK</v>
      </c>
    </row>
    <row r="38" customFormat="false" ht="15" hidden="false" customHeight="false" outlineLevel="0" collapsed="false">
      <c r="A38" s="28" t="s">
        <v>272</v>
      </c>
      <c r="B38" s="28" t="s">
        <v>236</v>
      </c>
      <c r="C38" s="34" t="n">
        <v>1100</v>
      </c>
      <c r="D38" s="28" t="s">
        <v>225</v>
      </c>
      <c r="E38" s="28" t="s">
        <v>152</v>
      </c>
      <c r="F38" s="35" t="n">
        <v>46301.6673611111</v>
      </c>
      <c r="G38" s="35" t="n">
        <v>46302.3307142556</v>
      </c>
      <c r="H38" s="35"/>
      <c r="I38" s="28" t="s">
        <v>68</v>
      </c>
      <c r="J38" s="28"/>
      <c r="K38" s="36" t="str">
        <f aca="false">IF(ISNA(MATCH(I38,Withdrawal_Lifecycle!$A$5:$A$11,0)),"CHECK status",IF(AND(I38="Requested",OR(G38&lt;&gt;"",H38&lt;&gt;"")),"CHECK timestamps",IF(AND(OR(I38="Under Review",I38="Processing"),OR(G38="",H38&lt;&gt;"")),"CHECK timestamps",IF(AND(OR(I38="Completed",I38="Reversed",I38="Rejected"),OR(G38="",H38="")),"CHECK timestamps",IF(AND(I38="Cancelled",H38=""),"CHECK timestamps",IF(OR(AND(G38&lt;&gt;"",G38&lt;F38),AND(H38&lt;&gt;"",H38&lt;IF(G38&lt;&gt;"",G38,F38))),"CHECK order",IF(AND(OR(I38="Rejected",I38="Reversed"),J38=""),"CHECK reason","OK")))))))</f>
        <v>OK</v>
      </c>
      <c r="L38" s="36" t="n">
        <f aca="false">IF(OR(I38="Requested",I38="Under Review",I38="Processing"),1,0)</f>
        <v>1</v>
      </c>
      <c r="M38" s="37" t="n">
        <f aca="false">IF(G38="","",(G38-F38)*24)</f>
        <v>15.9204754686214</v>
      </c>
      <c r="N38" s="37" t="str">
        <f aca="false">IF(AND(I38="Completed",G38&lt;&gt;"",H38&lt;&gt;""),(H38-G38)*24,"")</f>
        <v/>
      </c>
      <c r="O38" s="37" t="str">
        <f aca="false">IF(AND(I38="Completed",H38&lt;&gt;""),(H38-F38)*24,"")</f>
        <v/>
      </c>
      <c r="P38" s="36" t="str">
        <f aca="false">IF(O38="","",IF(O38&lt;=Settings!$B$8,"Yes","No"))</f>
        <v/>
      </c>
      <c r="Q38" s="37" t="str">
        <f aca="false">IF(AND(I38="Rejected",H38&lt;&gt;""),(H38-F38)*24,"")</f>
        <v/>
      </c>
      <c r="R38" s="37" t="n">
        <f aca="false">IF(L38=1,(Settings!$B$5-F38)*24,"")</f>
        <v>217.983333333333</v>
      </c>
      <c r="S38" s="36" t="n">
        <f aca="false">IF(COUNTIF($B$5:B38,B38)=1,1,0)</f>
        <v>0</v>
      </c>
      <c r="T38" s="36" t="str">
        <f aca="false">IF(I38="Completed",IF(COUNTIFS(Wallet_Transactions!$I$5:$I$3000,A38,Wallet_Transactions!$D$5:$D$3000,"Redemption",Wallet_Transactions!$G$5:$G$3000,"Posted")&gt;=1,"OK","CHECK no debit"),IF(I38="Reversed",IF(AND(COUNTIFS(Wallet_Transactions!$I$5:$I$3000,A38,Wallet_Transactions!$D$5:$D$3000,"Redemption",Wallet_Transactions!$G$5:$G$3000,"Posted")&gt;=1,COUNTIFS(Wallet_Transactions!$I$5:$I$3000,A38,Wallet_Transactions!$D$5:$D$3000,"Reversal",Wallet_Transactions!$G$5:$G$3000,"Posted")&gt;=1),"OK","CHECK no reversal"),IF(COUNTIFS(Wallet_Transactions!$I$5:$I$3000,A38,Wallet_Transactions!$D$5:$D$3000,"Redemption",Wallet_Transactions!$G$5:$G$3000,"Posted")&gt;0,"CHECK unexpected debit","OK")))</f>
        <v>OK</v>
      </c>
    </row>
    <row r="39" customFormat="false" ht="15" hidden="false" customHeight="false" outlineLevel="0" collapsed="false">
      <c r="A39" s="28" t="s">
        <v>273</v>
      </c>
      <c r="B39" s="28" t="s">
        <v>263</v>
      </c>
      <c r="C39" s="34" t="n">
        <v>1150</v>
      </c>
      <c r="D39" s="28" t="s">
        <v>225</v>
      </c>
      <c r="E39" s="28" t="s">
        <v>152</v>
      </c>
      <c r="F39" s="35" t="n">
        <v>46302.6916666667</v>
      </c>
      <c r="G39" s="35" t="n">
        <v>46303.4635191135</v>
      </c>
      <c r="H39" s="35"/>
      <c r="I39" s="28" t="s">
        <v>68</v>
      </c>
      <c r="J39" s="28"/>
      <c r="K39" s="36" t="str">
        <f aca="false">IF(ISNA(MATCH(I39,Withdrawal_Lifecycle!$A$5:$A$11,0)),"CHECK status",IF(AND(I39="Requested",OR(G39&lt;&gt;"",H39&lt;&gt;"")),"CHECK timestamps",IF(AND(OR(I39="Under Review",I39="Processing"),OR(G39="",H39&lt;&gt;"")),"CHECK timestamps",IF(AND(OR(I39="Completed",I39="Reversed",I39="Rejected"),OR(G39="",H39="")),"CHECK timestamps",IF(AND(I39="Cancelled",H39=""),"CHECK timestamps",IF(OR(AND(G39&lt;&gt;"",G39&lt;F39),AND(H39&lt;&gt;"",H39&lt;IF(G39&lt;&gt;"",G39,F39))),"CHECK order",IF(AND(OR(I39="Rejected",I39="Reversed"),J39=""),"CHECK reason","OK")))))))</f>
        <v>OK</v>
      </c>
      <c r="L39" s="36" t="n">
        <f aca="false">IF(OR(I39="Requested",I39="Under Review",I39="Processing"),1,0)</f>
        <v>1</v>
      </c>
      <c r="M39" s="37" t="n">
        <f aca="false">IF(G39="","",(G39-F39)*24)</f>
        <v>18.52445872355</v>
      </c>
      <c r="N39" s="37" t="str">
        <f aca="false">IF(AND(I39="Completed",G39&lt;&gt;"",H39&lt;&gt;""),(H39-G39)*24,"")</f>
        <v/>
      </c>
      <c r="O39" s="37" t="str">
        <f aca="false">IF(AND(I39="Completed",H39&lt;&gt;""),(H39-F39)*24,"")</f>
        <v/>
      </c>
      <c r="P39" s="36" t="str">
        <f aca="false">IF(O39="","",IF(O39&lt;=Settings!$B$8,"Yes","No"))</f>
        <v/>
      </c>
      <c r="Q39" s="37" t="str">
        <f aca="false">IF(AND(I39="Rejected",H39&lt;&gt;""),(H39-F39)*24,"")</f>
        <v/>
      </c>
      <c r="R39" s="37" t="n">
        <f aca="false">IF(L39=1,(Settings!$B$5-F39)*24,"")</f>
        <v>193.4</v>
      </c>
      <c r="S39" s="36" t="n">
        <f aca="false">IF(COUNTIF($B$5:B39,B39)=1,1,0)</f>
        <v>0</v>
      </c>
      <c r="T39" s="36" t="str">
        <f aca="false">IF(I39="Completed",IF(COUNTIFS(Wallet_Transactions!$I$5:$I$3000,A39,Wallet_Transactions!$D$5:$D$3000,"Redemption",Wallet_Transactions!$G$5:$G$3000,"Posted")&gt;=1,"OK","CHECK no debit"),IF(I39="Reversed",IF(AND(COUNTIFS(Wallet_Transactions!$I$5:$I$3000,A39,Wallet_Transactions!$D$5:$D$3000,"Redemption",Wallet_Transactions!$G$5:$G$3000,"Posted")&gt;=1,COUNTIFS(Wallet_Transactions!$I$5:$I$3000,A39,Wallet_Transactions!$D$5:$D$3000,"Reversal",Wallet_Transactions!$G$5:$G$3000,"Posted")&gt;=1),"OK","CHECK no reversal"),IF(COUNTIFS(Wallet_Transactions!$I$5:$I$3000,A39,Wallet_Transactions!$D$5:$D$3000,"Redemption",Wallet_Transactions!$G$5:$G$3000,"Posted")&gt;0,"CHECK unexpected debit","OK")))</f>
        <v>OK</v>
      </c>
    </row>
    <row r="40" customFormat="false" ht="15" hidden="false" customHeight="false" outlineLevel="0" collapsed="false">
      <c r="A40" s="28" t="s">
        <v>274</v>
      </c>
      <c r="B40" s="28" t="s">
        <v>275</v>
      </c>
      <c r="C40" s="34" t="n">
        <v>600</v>
      </c>
      <c r="D40" s="28" t="s">
        <v>225</v>
      </c>
      <c r="E40" s="28" t="s">
        <v>154</v>
      </c>
      <c r="F40" s="35" t="n">
        <v>46303.6381944444</v>
      </c>
      <c r="G40" s="35" t="n">
        <v>46304.1004138301</v>
      </c>
      <c r="H40" s="35"/>
      <c r="I40" s="28" t="s">
        <v>68</v>
      </c>
      <c r="J40" s="28"/>
      <c r="K40" s="36" t="str">
        <f aca="false">IF(ISNA(MATCH(I40,Withdrawal_Lifecycle!$A$5:$A$11,0)),"CHECK status",IF(AND(I40="Requested",OR(G40&lt;&gt;"",H40&lt;&gt;"")),"CHECK timestamps",IF(AND(OR(I40="Under Review",I40="Processing"),OR(G40="",H40&lt;&gt;"")),"CHECK timestamps",IF(AND(OR(I40="Completed",I40="Reversed",I40="Rejected"),OR(G40="",H40="")),"CHECK timestamps",IF(AND(I40="Cancelled",H40=""),"CHECK timestamps",IF(OR(AND(G40&lt;&gt;"",G40&lt;F40),AND(H40&lt;&gt;"",H40&lt;IF(G40&lt;&gt;"",G40,F40))),"CHECK order",IF(AND(OR(I40="Rejected",I40="Reversed"),J40=""),"CHECK reason","OK")))))))</f>
        <v>OK</v>
      </c>
      <c r="L40" s="36" t="n">
        <f aca="false">IF(OR(I40="Requested",I40="Under Review",I40="Processing"),1,0)</f>
        <v>1</v>
      </c>
      <c r="M40" s="37" t="n">
        <f aca="false">IF(G40="","",(G40-F40)*24)</f>
        <v>11.0932652553892</v>
      </c>
      <c r="N40" s="37" t="str">
        <f aca="false">IF(AND(I40="Completed",G40&lt;&gt;"",H40&lt;&gt;""),(H40-G40)*24,"")</f>
        <v/>
      </c>
      <c r="O40" s="37" t="str">
        <f aca="false">IF(AND(I40="Completed",H40&lt;&gt;""),(H40-F40)*24,"")</f>
        <v/>
      </c>
      <c r="P40" s="36" t="str">
        <f aca="false">IF(O40="","",IF(O40&lt;=Settings!$B$8,"Yes","No"))</f>
        <v/>
      </c>
      <c r="Q40" s="37" t="str">
        <f aca="false">IF(AND(I40="Rejected",H40&lt;&gt;""),(H40-F40)*24,"")</f>
        <v/>
      </c>
      <c r="R40" s="37" t="n">
        <f aca="false">IF(L40=1,(Settings!$B$5-F40)*24,"")</f>
        <v>170.683333333333</v>
      </c>
      <c r="S40" s="36" t="n">
        <f aca="false">IF(COUNTIF($B$5:B40,B40)=1,1,0)</f>
        <v>1</v>
      </c>
      <c r="T40" s="36" t="str">
        <f aca="false">IF(I40="Completed",IF(COUNTIFS(Wallet_Transactions!$I$5:$I$3000,A40,Wallet_Transactions!$D$5:$D$3000,"Redemption",Wallet_Transactions!$G$5:$G$3000,"Posted")&gt;=1,"OK","CHECK no debit"),IF(I40="Reversed",IF(AND(COUNTIFS(Wallet_Transactions!$I$5:$I$3000,A40,Wallet_Transactions!$D$5:$D$3000,"Redemption",Wallet_Transactions!$G$5:$G$3000,"Posted")&gt;=1,COUNTIFS(Wallet_Transactions!$I$5:$I$3000,A40,Wallet_Transactions!$D$5:$D$3000,"Reversal",Wallet_Transactions!$G$5:$G$3000,"Posted")&gt;=1),"OK","CHECK no reversal"),IF(COUNTIFS(Wallet_Transactions!$I$5:$I$3000,A40,Wallet_Transactions!$D$5:$D$3000,"Redemption",Wallet_Transactions!$G$5:$G$3000,"Posted")&gt;0,"CHECK unexpected debit","OK")))</f>
        <v>OK</v>
      </c>
    </row>
    <row r="41" customFormat="false" ht="15" hidden="false" customHeight="false" outlineLevel="0" collapsed="false">
      <c r="A41" s="28" t="s">
        <v>276</v>
      </c>
      <c r="B41" s="28" t="s">
        <v>277</v>
      </c>
      <c r="C41" s="34" t="n">
        <v>1700</v>
      </c>
      <c r="D41" s="28" t="s">
        <v>225</v>
      </c>
      <c r="E41" s="28" t="s">
        <v>153</v>
      </c>
      <c r="F41" s="35" t="n">
        <v>46304.6097222222</v>
      </c>
      <c r="G41" s="35" t="n">
        <v>46304.6487894743</v>
      </c>
      <c r="H41" s="35" t="n">
        <v>46306.0650301268</v>
      </c>
      <c r="I41" s="28" t="s">
        <v>72</v>
      </c>
      <c r="J41" s="28"/>
      <c r="K41" s="36" t="str">
        <f aca="false">IF(ISNA(MATCH(I41,Withdrawal_Lifecycle!$A$5:$A$11,0)),"CHECK status",IF(AND(I41="Requested",OR(G41&lt;&gt;"",H41&lt;&gt;"")),"CHECK timestamps",IF(AND(OR(I41="Under Review",I41="Processing"),OR(G41="",H41&lt;&gt;"")),"CHECK timestamps",IF(AND(OR(I41="Completed",I41="Reversed",I41="Rejected"),OR(G41="",H41="")),"CHECK timestamps",IF(AND(I41="Cancelled",H41=""),"CHECK timestamps",IF(OR(AND(G41&lt;&gt;"",G41&lt;F41),AND(H41&lt;&gt;"",H41&lt;IF(G41&lt;&gt;"",G41,F41))),"CHECK order",IF(AND(OR(I41="Rejected",I41="Reversed"),J41=""),"CHECK reason","OK")))))))</f>
        <v>OK</v>
      </c>
      <c r="L41" s="36" t="n">
        <f aca="false">IF(OR(I41="Requested",I41="Under Review",I41="Processing"),1,0)</f>
        <v>0</v>
      </c>
      <c r="M41" s="37" t="n">
        <f aca="false">IF(G41="","",(G41-F41)*24)</f>
        <v>0.937614049762222</v>
      </c>
      <c r="N41" s="37" t="n">
        <f aca="false">IF(AND(I41="Completed",G41&lt;&gt;"",H41&lt;&gt;""),(H41-G41)*24,"")</f>
        <v>33.9897756601567</v>
      </c>
      <c r="O41" s="37" t="n">
        <f aca="false">IF(AND(I41="Completed",H41&lt;&gt;""),(H41-F41)*24,"")</f>
        <v>34.9273897099192</v>
      </c>
      <c r="P41" s="36" t="str">
        <f aca="false">IF(O41="","",IF(O41&lt;=Settings!$B$8,"Yes","No"))</f>
        <v>Yes</v>
      </c>
      <c r="Q41" s="37" t="str">
        <f aca="false">IF(AND(I41="Rejected",H41&lt;&gt;""),(H41-F41)*24,"")</f>
        <v/>
      </c>
      <c r="R41" s="37" t="str">
        <f aca="false">IF(L41=1,(Settings!$B$5-F41)*24,"")</f>
        <v/>
      </c>
      <c r="S41" s="36" t="n">
        <f aca="false">IF(COUNTIF($B$5:B41,B41)=1,1,0)</f>
        <v>1</v>
      </c>
      <c r="T41" s="36" t="str">
        <f aca="false">IF(I41="Completed",IF(COUNTIFS(Wallet_Transactions!$I$5:$I$3000,A41,Wallet_Transactions!$D$5:$D$3000,"Redemption",Wallet_Transactions!$G$5:$G$3000,"Posted")&gt;=1,"OK","CHECK no debit"),IF(I41="Reversed",IF(AND(COUNTIFS(Wallet_Transactions!$I$5:$I$3000,A41,Wallet_Transactions!$D$5:$D$3000,"Redemption",Wallet_Transactions!$G$5:$G$3000,"Posted")&gt;=1,COUNTIFS(Wallet_Transactions!$I$5:$I$3000,A41,Wallet_Transactions!$D$5:$D$3000,"Reversal",Wallet_Transactions!$G$5:$G$3000,"Posted")&gt;=1),"OK","CHECK no reversal"),IF(COUNTIFS(Wallet_Transactions!$I$5:$I$3000,A41,Wallet_Transactions!$D$5:$D$3000,"Redemption",Wallet_Transactions!$G$5:$G$3000,"Posted")&gt;0,"CHECK unexpected debit","OK")))</f>
        <v>OK</v>
      </c>
    </row>
    <row r="42" customFormat="false" ht="15" hidden="false" customHeight="false" outlineLevel="0" collapsed="false">
      <c r="A42" s="28" t="s">
        <v>278</v>
      </c>
      <c r="B42" s="28" t="s">
        <v>242</v>
      </c>
      <c r="C42" s="34" t="n">
        <v>500</v>
      </c>
      <c r="D42" s="28" t="s">
        <v>225</v>
      </c>
      <c r="E42" s="28" t="s">
        <v>152</v>
      </c>
      <c r="F42" s="35" t="n">
        <v>46304.8548611111</v>
      </c>
      <c r="G42" s="35" t="n">
        <v>46306.015411653</v>
      </c>
      <c r="H42" s="35" t="n">
        <v>46307.8804299212</v>
      </c>
      <c r="I42" s="28" t="s">
        <v>72</v>
      </c>
      <c r="J42" s="28"/>
      <c r="K42" s="36" t="str">
        <f aca="false">IF(ISNA(MATCH(I42,Withdrawal_Lifecycle!$A$5:$A$11,0)),"CHECK status",IF(AND(I42="Requested",OR(G42&lt;&gt;"",H42&lt;&gt;"")),"CHECK timestamps",IF(AND(OR(I42="Under Review",I42="Processing"),OR(G42="",H42&lt;&gt;"")),"CHECK timestamps",IF(AND(OR(I42="Completed",I42="Reversed",I42="Rejected"),OR(G42="",H42="")),"CHECK timestamps",IF(AND(I42="Cancelled",H42=""),"CHECK timestamps",IF(OR(AND(G42&lt;&gt;"",G42&lt;F42),AND(H42&lt;&gt;"",H42&lt;IF(G42&lt;&gt;"",G42,F42))),"CHECK order",IF(AND(OR(I42="Rejected",I42="Reversed"),J42=""),"CHECK reason","OK")))))))</f>
        <v>OK</v>
      </c>
      <c r="L42" s="36" t="n">
        <f aca="false">IF(OR(I42="Requested",I42="Under Review",I42="Processing"),1,0)</f>
        <v>0</v>
      </c>
      <c r="M42" s="37" t="n">
        <f aca="false">IF(G42="","",(G42-F42)*24)</f>
        <v>27.853213004535</v>
      </c>
      <c r="N42" s="37" t="n">
        <f aca="false">IF(AND(I42="Completed",G42&lt;&gt;"",H42&lt;&gt;""),(H42-G42)*24,"")</f>
        <v>44.7604384367003</v>
      </c>
      <c r="O42" s="37" t="n">
        <f aca="false">IF(AND(I42="Completed",H42&lt;&gt;""),(H42-F42)*24,"")</f>
        <v>72.6136514412356</v>
      </c>
      <c r="P42" s="36" t="str">
        <f aca="false">IF(O42="","",IF(O42&lt;=Settings!$B$8,"Yes","No"))</f>
        <v>No</v>
      </c>
      <c r="Q42" s="37" t="str">
        <f aca="false">IF(AND(I42="Rejected",H42&lt;&gt;""),(H42-F42)*24,"")</f>
        <v/>
      </c>
      <c r="R42" s="37" t="str">
        <f aca="false">IF(L42=1,(Settings!$B$5-F42)*24,"")</f>
        <v/>
      </c>
      <c r="S42" s="36" t="n">
        <f aca="false">IF(COUNTIF($B$5:B42,B42)=1,1,0)</f>
        <v>0</v>
      </c>
      <c r="T42" s="36" t="str">
        <f aca="false">IF(I42="Completed",IF(COUNTIFS(Wallet_Transactions!$I$5:$I$3000,A42,Wallet_Transactions!$D$5:$D$3000,"Redemption",Wallet_Transactions!$G$5:$G$3000,"Posted")&gt;=1,"OK","CHECK no debit"),IF(I42="Reversed",IF(AND(COUNTIFS(Wallet_Transactions!$I$5:$I$3000,A42,Wallet_Transactions!$D$5:$D$3000,"Redemption",Wallet_Transactions!$G$5:$G$3000,"Posted")&gt;=1,COUNTIFS(Wallet_Transactions!$I$5:$I$3000,A42,Wallet_Transactions!$D$5:$D$3000,"Reversal",Wallet_Transactions!$G$5:$G$3000,"Posted")&gt;=1),"OK","CHECK no reversal"),IF(COUNTIFS(Wallet_Transactions!$I$5:$I$3000,A42,Wallet_Transactions!$D$5:$D$3000,"Redemption",Wallet_Transactions!$G$5:$G$3000,"Posted")&gt;0,"CHECK unexpected debit","OK")))</f>
        <v>OK</v>
      </c>
    </row>
    <row r="43" customFormat="false" ht="15" hidden="false" customHeight="false" outlineLevel="0" collapsed="false">
      <c r="A43" s="28" t="s">
        <v>279</v>
      </c>
      <c r="B43" s="28" t="s">
        <v>236</v>
      </c>
      <c r="C43" s="34" t="n">
        <v>550</v>
      </c>
      <c r="D43" s="28" t="s">
        <v>225</v>
      </c>
      <c r="E43" s="28" t="s">
        <v>152</v>
      </c>
      <c r="F43" s="35" t="n">
        <v>46306.275</v>
      </c>
      <c r="G43" s="35" t="n">
        <v>46306.5069861003</v>
      </c>
      <c r="H43" s="35" t="n">
        <v>46306.7524698906</v>
      </c>
      <c r="I43" s="28" t="s">
        <v>72</v>
      </c>
      <c r="J43" s="28"/>
      <c r="K43" s="36" t="str">
        <f aca="false">IF(ISNA(MATCH(I43,Withdrawal_Lifecycle!$A$5:$A$11,0)),"CHECK status",IF(AND(I43="Requested",OR(G43&lt;&gt;"",H43&lt;&gt;"")),"CHECK timestamps",IF(AND(OR(I43="Under Review",I43="Processing"),OR(G43="",H43&lt;&gt;"")),"CHECK timestamps",IF(AND(OR(I43="Completed",I43="Reversed",I43="Rejected"),OR(G43="",H43="")),"CHECK timestamps",IF(AND(I43="Cancelled",H43=""),"CHECK timestamps",IF(OR(AND(G43&lt;&gt;"",G43&lt;F43),AND(H43&lt;&gt;"",H43&lt;IF(G43&lt;&gt;"",G43,F43))),"CHECK order",IF(AND(OR(I43="Rejected",I43="Reversed"),J43=""),"CHECK reason","OK")))))))</f>
        <v>OK</v>
      </c>
      <c r="L43" s="36" t="n">
        <f aca="false">IF(OR(I43="Requested",I43="Under Review",I43="Processing"),1,0)</f>
        <v>0</v>
      </c>
      <c r="M43" s="37" t="n">
        <f aca="false">IF(G43="","",(G43-F43)*24)</f>
        <v>5.5676664062775</v>
      </c>
      <c r="N43" s="37" t="n">
        <f aca="false">IF(AND(I43="Completed",G43&lt;&gt;"",H43&lt;&gt;""),(H43-G43)*24,"")</f>
        <v>5.89161096734445</v>
      </c>
      <c r="O43" s="37" t="n">
        <f aca="false">IF(AND(I43="Completed",H43&lt;&gt;""),(H43-F43)*24,"")</f>
        <v>11.4592773736219</v>
      </c>
      <c r="P43" s="36" t="str">
        <f aca="false">IF(O43="","",IF(O43&lt;=Settings!$B$8,"Yes","No"))</f>
        <v>Yes</v>
      </c>
      <c r="Q43" s="37" t="str">
        <f aca="false">IF(AND(I43="Rejected",H43&lt;&gt;""),(H43-F43)*24,"")</f>
        <v/>
      </c>
      <c r="R43" s="37" t="str">
        <f aca="false">IF(L43=1,(Settings!$B$5-F43)*24,"")</f>
        <v/>
      </c>
      <c r="S43" s="36" t="n">
        <f aca="false">IF(COUNTIF($B$5:B43,B43)=1,1,0)</f>
        <v>0</v>
      </c>
      <c r="T43" s="36" t="str">
        <f aca="false">IF(I43="Completed",IF(COUNTIFS(Wallet_Transactions!$I$5:$I$3000,A43,Wallet_Transactions!$D$5:$D$3000,"Redemption",Wallet_Transactions!$G$5:$G$3000,"Posted")&gt;=1,"OK","CHECK no debit"),IF(I43="Reversed",IF(AND(COUNTIFS(Wallet_Transactions!$I$5:$I$3000,A43,Wallet_Transactions!$D$5:$D$3000,"Redemption",Wallet_Transactions!$G$5:$G$3000,"Posted")&gt;=1,COUNTIFS(Wallet_Transactions!$I$5:$I$3000,A43,Wallet_Transactions!$D$5:$D$3000,"Reversal",Wallet_Transactions!$G$5:$G$3000,"Posted")&gt;=1),"OK","CHECK no reversal"),IF(COUNTIFS(Wallet_Transactions!$I$5:$I$3000,A43,Wallet_Transactions!$D$5:$D$3000,"Redemption",Wallet_Transactions!$G$5:$G$3000,"Posted")&gt;0,"CHECK unexpected debit","OK")))</f>
        <v>OK</v>
      </c>
    </row>
    <row r="44" customFormat="false" ht="15" hidden="false" customHeight="false" outlineLevel="0" collapsed="false">
      <c r="A44" s="28" t="s">
        <v>280</v>
      </c>
      <c r="B44" s="28" t="s">
        <v>269</v>
      </c>
      <c r="C44" s="34" t="n">
        <v>950</v>
      </c>
      <c r="D44" s="28" t="s">
        <v>225</v>
      </c>
      <c r="E44" s="28" t="s">
        <v>153</v>
      </c>
      <c r="F44" s="35" t="n">
        <v>46307.31875</v>
      </c>
      <c r="G44" s="35" t="n">
        <v>46308.4987805594</v>
      </c>
      <c r="H44" s="35"/>
      <c r="I44" s="28" t="s">
        <v>70</v>
      </c>
      <c r="J44" s="28"/>
      <c r="K44" s="36" t="str">
        <f aca="false">IF(ISNA(MATCH(I44,Withdrawal_Lifecycle!$A$5:$A$11,0)),"CHECK status",IF(AND(I44="Requested",OR(G44&lt;&gt;"",H44&lt;&gt;"")),"CHECK timestamps",IF(AND(OR(I44="Under Review",I44="Processing"),OR(G44="",H44&lt;&gt;"")),"CHECK timestamps",IF(AND(OR(I44="Completed",I44="Reversed",I44="Rejected"),OR(G44="",H44="")),"CHECK timestamps",IF(AND(I44="Cancelled",H44=""),"CHECK timestamps",IF(OR(AND(G44&lt;&gt;"",G44&lt;F44),AND(H44&lt;&gt;"",H44&lt;IF(G44&lt;&gt;"",G44,F44))),"CHECK order",IF(AND(OR(I44="Rejected",I44="Reversed"),J44=""),"CHECK reason","OK")))))))</f>
        <v>OK</v>
      </c>
      <c r="L44" s="36" t="n">
        <f aca="false">IF(OR(I44="Requested",I44="Under Review",I44="Processing"),1,0)</f>
        <v>1</v>
      </c>
      <c r="M44" s="37" t="n">
        <f aca="false">IF(G44="","",(G44-F44)*24)</f>
        <v>28.3207334266625</v>
      </c>
      <c r="N44" s="37" t="str">
        <f aca="false">IF(AND(I44="Completed",G44&lt;&gt;"",H44&lt;&gt;""),(H44-G44)*24,"")</f>
        <v/>
      </c>
      <c r="O44" s="37" t="str">
        <f aca="false">IF(AND(I44="Completed",H44&lt;&gt;""),(H44-F44)*24,"")</f>
        <v/>
      </c>
      <c r="P44" s="36" t="str">
        <f aca="false">IF(O44="","",IF(O44&lt;=Settings!$B$8,"Yes","No"))</f>
        <v/>
      </c>
      <c r="Q44" s="37" t="str">
        <f aca="false">IF(AND(I44="Rejected",H44&lt;&gt;""),(H44-F44)*24,"")</f>
        <v/>
      </c>
      <c r="R44" s="37" t="n">
        <f aca="false">IF(L44=1,(Settings!$B$5-F44)*24,"")</f>
        <v>82.35</v>
      </c>
      <c r="S44" s="36" t="n">
        <f aca="false">IF(COUNTIF($B$5:B44,B44)=1,1,0)</f>
        <v>0</v>
      </c>
      <c r="T44" s="36" t="str">
        <f aca="false">IF(I44="Completed",IF(COUNTIFS(Wallet_Transactions!$I$5:$I$3000,A44,Wallet_Transactions!$D$5:$D$3000,"Redemption",Wallet_Transactions!$G$5:$G$3000,"Posted")&gt;=1,"OK","CHECK no debit"),IF(I44="Reversed",IF(AND(COUNTIFS(Wallet_Transactions!$I$5:$I$3000,A44,Wallet_Transactions!$D$5:$D$3000,"Redemption",Wallet_Transactions!$G$5:$G$3000,"Posted")&gt;=1,COUNTIFS(Wallet_Transactions!$I$5:$I$3000,A44,Wallet_Transactions!$D$5:$D$3000,"Reversal",Wallet_Transactions!$G$5:$G$3000,"Posted")&gt;=1),"OK","CHECK no reversal"),IF(COUNTIFS(Wallet_Transactions!$I$5:$I$3000,A44,Wallet_Transactions!$D$5:$D$3000,"Redemption",Wallet_Transactions!$G$5:$G$3000,"Posted")&gt;0,"CHECK unexpected debit","OK")))</f>
        <v>OK</v>
      </c>
    </row>
    <row r="45" customFormat="false" ht="15" hidden="false" customHeight="false" outlineLevel="0" collapsed="false">
      <c r="A45" s="28" t="s">
        <v>281</v>
      </c>
      <c r="B45" s="28" t="s">
        <v>234</v>
      </c>
      <c r="C45" s="34" t="n">
        <v>950</v>
      </c>
      <c r="D45" s="28" t="s">
        <v>225</v>
      </c>
      <c r="E45" s="28" t="s">
        <v>154</v>
      </c>
      <c r="F45" s="35" t="n">
        <v>46308.4631944444</v>
      </c>
      <c r="G45" s="35" t="n">
        <v>46308.9608156062</v>
      </c>
      <c r="H45" s="35" t="n">
        <v>46310.4798227455</v>
      </c>
      <c r="I45" s="28" t="s">
        <v>72</v>
      </c>
      <c r="J45" s="28"/>
      <c r="K45" s="36" t="str">
        <f aca="false">IF(ISNA(MATCH(I45,Withdrawal_Lifecycle!$A$5:$A$11,0)),"CHECK status",IF(AND(I45="Requested",OR(G45&lt;&gt;"",H45&lt;&gt;"")),"CHECK timestamps",IF(AND(OR(I45="Under Review",I45="Processing"),OR(G45="",H45&lt;&gt;"")),"CHECK timestamps",IF(AND(OR(I45="Completed",I45="Reversed",I45="Rejected"),OR(G45="",H45="")),"CHECK timestamps",IF(AND(I45="Cancelled",H45=""),"CHECK timestamps",IF(OR(AND(G45&lt;&gt;"",G45&lt;F45),AND(H45&lt;&gt;"",H45&lt;IF(G45&lt;&gt;"",G45,F45))),"CHECK order",IF(AND(OR(I45="Rejected",I45="Reversed"),J45=""),"CHECK reason","OK")))))))</f>
        <v>OK</v>
      </c>
      <c r="L45" s="36" t="n">
        <f aca="false">IF(OR(I45="Requested",I45="Under Review",I45="Processing"),1,0)</f>
        <v>0</v>
      </c>
      <c r="M45" s="37" t="n">
        <f aca="false">IF(G45="","",(G45-F45)*24)</f>
        <v>11.9429078815736</v>
      </c>
      <c r="N45" s="37" t="n">
        <f aca="false">IF(AND(I45="Completed",G45&lt;&gt;"",H45&lt;&gt;""),(H45-G45)*24,"")</f>
        <v>36.4561713439178</v>
      </c>
      <c r="O45" s="37" t="n">
        <f aca="false">IF(AND(I45="Completed",H45&lt;&gt;""),(H45-F45)*24,"")</f>
        <v>48.3990792254917</v>
      </c>
      <c r="P45" s="36" t="str">
        <f aca="false">IF(O45="","",IF(O45&lt;=Settings!$B$8,"Yes","No"))</f>
        <v>No</v>
      </c>
      <c r="Q45" s="37" t="str">
        <f aca="false">IF(AND(I45="Rejected",H45&lt;&gt;""),(H45-F45)*24,"")</f>
        <v/>
      </c>
      <c r="R45" s="37" t="str">
        <f aca="false">IF(L45=1,(Settings!$B$5-F45)*24,"")</f>
        <v/>
      </c>
      <c r="S45" s="36" t="n">
        <f aca="false">IF(COUNTIF($B$5:B45,B45)=1,1,0)</f>
        <v>0</v>
      </c>
      <c r="T45" s="36" t="str">
        <f aca="false">IF(I45="Completed",IF(COUNTIFS(Wallet_Transactions!$I$5:$I$3000,A45,Wallet_Transactions!$D$5:$D$3000,"Redemption",Wallet_Transactions!$G$5:$G$3000,"Posted")&gt;=1,"OK","CHECK no debit"),IF(I45="Reversed",IF(AND(COUNTIFS(Wallet_Transactions!$I$5:$I$3000,A45,Wallet_Transactions!$D$5:$D$3000,"Redemption",Wallet_Transactions!$G$5:$G$3000,"Posted")&gt;=1,COUNTIFS(Wallet_Transactions!$I$5:$I$3000,A45,Wallet_Transactions!$D$5:$D$3000,"Reversal",Wallet_Transactions!$G$5:$G$3000,"Posted")&gt;=1),"OK","CHECK no reversal"),IF(COUNTIFS(Wallet_Transactions!$I$5:$I$3000,A45,Wallet_Transactions!$D$5:$D$3000,"Redemption",Wallet_Transactions!$G$5:$G$3000,"Posted")&gt;0,"CHECK unexpected debit","OK")))</f>
        <v>OK</v>
      </c>
    </row>
    <row r="46" customFormat="false" ht="15" hidden="false" customHeight="false" outlineLevel="0" collapsed="false">
      <c r="A46" s="28" t="s">
        <v>282</v>
      </c>
      <c r="B46" s="28" t="s">
        <v>269</v>
      </c>
      <c r="C46" s="34" t="n">
        <v>550</v>
      </c>
      <c r="D46" s="28" t="s">
        <v>225</v>
      </c>
      <c r="E46" s="28" t="s">
        <v>152</v>
      </c>
      <c r="F46" s="35" t="n">
        <v>46308.9797266893</v>
      </c>
      <c r="G46" s="35" t="n">
        <v>46309.5000274207</v>
      </c>
      <c r="H46" s="35"/>
      <c r="I46" s="28" t="s">
        <v>68</v>
      </c>
      <c r="J46" s="28"/>
      <c r="K46" s="36" t="str">
        <f aca="false">IF(ISNA(MATCH(I46,Withdrawal_Lifecycle!$A$5:$A$11,0)),"CHECK status",IF(AND(I46="Requested",OR(G46&lt;&gt;"",H46&lt;&gt;"")),"CHECK timestamps",IF(AND(OR(I46="Under Review",I46="Processing"),OR(G46="",H46&lt;&gt;"")),"CHECK timestamps",IF(AND(OR(I46="Completed",I46="Reversed",I46="Rejected"),OR(G46="",H46="")),"CHECK timestamps",IF(AND(I46="Cancelled",H46=""),"CHECK timestamps",IF(OR(AND(G46&lt;&gt;"",G46&lt;F46),AND(H46&lt;&gt;"",H46&lt;IF(G46&lt;&gt;"",G46,F46))),"CHECK order",IF(AND(OR(I46="Rejected",I46="Reversed"),J46=""),"CHECK reason","OK")))))))</f>
        <v>OK</v>
      </c>
      <c r="L46" s="36" t="n">
        <f aca="false">IF(OR(I46="Requested",I46="Under Review",I46="Processing"),1,0)</f>
        <v>1</v>
      </c>
      <c r="M46" s="37" t="n">
        <f aca="false">IF(G46="","",(G46-F46)*24)</f>
        <v>12.4872175531925</v>
      </c>
      <c r="N46" s="37" t="str">
        <f aca="false">IF(AND(I46="Completed",G46&lt;&gt;"",H46&lt;&gt;""),(H46-G46)*24,"")</f>
        <v/>
      </c>
      <c r="O46" s="37" t="str">
        <f aca="false">IF(AND(I46="Completed",H46&lt;&gt;""),(H46-F46)*24,"")</f>
        <v/>
      </c>
      <c r="P46" s="36" t="str">
        <f aca="false">IF(O46="","",IF(O46&lt;=Settings!$B$8,"Yes","No"))</f>
        <v/>
      </c>
      <c r="Q46" s="37" t="str">
        <f aca="false">IF(AND(I46="Rejected",H46&lt;&gt;""),(H46-F46)*24,"")</f>
        <v/>
      </c>
      <c r="R46" s="37" t="n">
        <f aca="false">IF(L46=1,(Settings!$B$5-F46)*24,"")</f>
        <v>42.4865594559231</v>
      </c>
      <c r="S46" s="36" t="n">
        <f aca="false">IF(COUNTIF($B$5:B46,B46)=1,1,0)</f>
        <v>0</v>
      </c>
      <c r="T46" s="36" t="str">
        <f aca="false">IF(I46="Completed",IF(COUNTIFS(Wallet_Transactions!$I$5:$I$3000,A46,Wallet_Transactions!$D$5:$D$3000,"Redemption",Wallet_Transactions!$G$5:$G$3000,"Posted")&gt;=1,"OK","CHECK no debit"),IF(I46="Reversed",IF(AND(COUNTIFS(Wallet_Transactions!$I$5:$I$3000,A46,Wallet_Transactions!$D$5:$D$3000,"Redemption",Wallet_Transactions!$G$5:$G$3000,"Posted")&gt;=1,COUNTIFS(Wallet_Transactions!$I$5:$I$3000,A46,Wallet_Transactions!$D$5:$D$3000,"Reversal",Wallet_Transactions!$G$5:$G$3000,"Posted")&gt;=1),"OK","CHECK no reversal"),IF(COUNTIFS(Wallet_Transactions!$I$5:$I$3000,A46,Wallet_Transactions!$D$5:$D$3000,"Redemption",Wallet_Transactions!$G$5:$G$3000,"Posted")&gt;0,"CHECK unexpected debit","OK")))</f>
        <v>OK</v>
      </c>
    </row>
    <row r="47" customFormat="false" ht="15" hidden="false" customHeight="false" outlineLevel="0" collapsed="false">
      <c r="A47" s="28" t="s">
        <v>283</v>
      </c>
      <c r="B47" s="28" t="s">
        <v>254</v>
      </c>
      <c r="C47" s="34" t="n">
        <v>750</v>
      </c>
      <c r="D47" s="28" t="s">
        <v>225</v>
      </c>
      <c r="E47" s="28" t="s">
        <v>154</v>
      </c>
      <c r="F47" s="35" t="n">
        <v>46309.0013408338</v>
      </c>
      <c r="G47" s="35" t="n">
        <v>46309.0560656365</v>
      </c>
      <c r="H47" s="35"/>
      <c r="I47" s="28" t="s">
        <v>68</v>
      </c>
      <c r="J47" s="28"/>
      <c r="K47" s="36" t="str">
        <f aca="false">IF(ISNA(MATCH(I47,Withdrawal_Lifecycle!$A$5:$A$11,0)),"CHECK status",IF(AND(I47="Requested",OR(G47&lt;&gt;"",H47&lt;&gt;"")),"CHECK timestamps",IF(AND(OR(I47="Under Review",I47="Processing"),OR(G47="",H47&lt;&gt;"")),"CHECK timestamps",IF(AND(OR(I47="Completed",I47="Reversed",I47="Rejected"),OR(G47="",H47="")),"CHECK timestamps",IF(AND(I47="Cancelled",H47=""),"CHECK timestamps",IF(OR(AND(G47&lt;&gt;"",G47&lt;F47),AND(H47&lt;&gt;"",H47&lt;IF(G47&lt;&gt;"",G47,F47))),"CHECK order",IF(AND(OR(I47="Rejected",I47="Reversed"),J47=""),"CHECK reason","OK")))))))</f>
        <v>OK</v>
      </c>
      <c r="L47" s="36" t="n">
        <f aca="false">IF(OR(I47="Requested",I47="Under Review",I47="Processing"),1,0)</f>
        <v>1</v>
      </c>
      <c r="M47" s="37" t="n">
        <f aca="false">IF(G47="","",(G47-F47)*24)</f>
        <v>1.31339526391806</v>
      </c>
      <c r="N47" s="37" t="str">
        <f aca="false">IF(AND(I47="Completed",G47&lt;&gt;"",H47&lt;&gt;""),(H47-G47)*24,"")</f>
        <v/>
      </c>
      <c r="O47" s="37" t="str">
        <f aca="false">IF(AND(I47="Completed",H47&lt;&gt;""),(H47-F47)*24,"")</f>
        <v/>
      </c>
      <c r="P47" s="36" t="str">
        <f aca="false">IF(O47="","",IF(O47&lt;=Settings!$B$8,"Yes","No"))</f>
        <v/>
      </c>
      <c r="Q47" s="37" t="str">
        <f aca="false">IF(AND(I47="Rejected",H47&lt;&gt;""),(H47-F47)*24,"")</f>
        <v/>
      </c>
      <c r="R47" s="37" t="n">
        <f aca="false">IF(L47=1,(Settings!$B$5-F47)*24,"")</f>
        <v>41.96781998832</v>
      </c>
      <c r="S47" s="36" t="n">
        <f aca="false">IF(COUNTIF($B$5:B47,B47)=1,1,0)</f>
        <v>0</v>
      </c>
      <c r="T47" s="36" t="str">
        <f aca="false">IF(I47="Completed",IF(COUNTIFS(Wallet_Transactions!$I$5:$I$3000,A47,Wallet_Transactions!$D$5:$D$3000,"Redemption",Wallet_Transactions!$G$5:$G$3000,"Posted")&gt;=1,"OK","CHECK no debit"),IF(I47="Reversed",IF(AND(COUNTIFS(Wallet_Transactions!$I$5:$I$3000,A47,Wallet_Transactions!$D$5:$D$3000,"Redemption",Wallet_Transactions!$G$5:$G$3000,"Posted")&gt;=1,COUNTIFS(Wallet_Transactions!$I$5:$I$3000,A47,Wallet_Transactions!$D$5:$D$3000,"Reversal",Wallet_Transactions!$G$5:$G$3000,"Posted")&gt;=1),"OK","CHECK no reversal"),IF(COUNTIFS(Wallet_Transactions!$I$5:$I$3000,A47,Wallet_Transactions!$D$5:$D$3000,"Redemption",Wallet_Transactions!$G$5:$G$3000,"Posted")&gt;0,"CHECK unexpected debit","OK")))</f>
        <v>OK</v>
      </c>
    </row>
    <row r="48" customFormat="false" ht="15" hidden="false" customHeight="false" outlineLevel="0" collapsed="false">
      <c r="A48" s="28" t="s">
        <v>284</v>
      </c>
      <c r="B48" s="28" t="s">
        <v>239</v>
      </c>
      <c r="C48" s="34" t="n">
        <v>1100</v>
      </c>
      <c r="D48" s="28" t="s">
        <v>225</v>
      </c>
      <c r="E48" s="28" t="s">
        <v>155</v>
      </c>
      <c r="F48" s="35" t="n">
        <v>46309.0274404939</v>
      </c>
      <c r="G48" s="35" t="n">
        <v>46309.1697158804</v>
      </c>
      <c r="H48" s="35"/>
      <c r="I48" s="28" t="s">
        <v>68</v>
      </c>
      <c r="J48" s="28"/>
      <c r="K48" s="36" t="str">
        <f aca="false">IF(ISNA(MATCH(I48,Withdrawal_Lifecycle!$A$5:$A$11,0)),"CHECK status",IF(AND(I48="Requested",OR(G48&lt;&gt;"",H48&lt;&gt;"")),"CHECK timestamps",IF(AND(OR(I48="Under Review",I48="Processing"),OR(G48="",H48&lt;&gt;"")),"CHECK timestamps",IF(AND(OR(I48="Completed",I48="Reversed",I48="Rejected"),OR(G48="",H48="")),"CHECK timestamps",IF(AND(I48="Cancelled",H48=""),"CHECK timestamps",IF(OR(AND(G48&lt;&gt;"",G48&lt;F48),AND(H48&lt;&gt;"",H48&lt;IF(G48&lt;&gt;"",G48,F48))),"CHECK order",IF(AND(OR(I48="Rejected",I48="Reversed"),J48=""),"CHECK reason","OK")))))))</f>
        <v>OK</v>
      </c>
      <c r="L48" s="36" t="n">
        <f aca="false">IF(OR(I48="Requested",I48="Under Review",I48="Processing"),1,0)</f>
        <v>1</v>
      </c>
      <c r="M48" s="37" t="n">
        <f aca="false">IF(G48="","",(G48-F48)*24)</f>
        <v>3.41460927453583</v>
      </c>
      <c r="N48" s="37" t="str">
        <f aca="false">IF(AND(I48="Completed",G48&lt;&gt;"",H48&lt;&gt;""),(H48-G48)*24,"")</f>
        <v/>
      </c>
      <c r="O48" s="37" t="str">
        <f aca="false">IF(AND(I48="Completed",H48&lt;&gt;""),(H48-F48)*24,"")</f>
        <v/>
      </c>
      <c r="P48" s="36" t="str">
        <f aca="false">IF(O48="","",IF(O48&lt;=Settings!$B$8,"Yes","No"))</f>
        <v/>
      </c>
      <c r="Q48" s="37" t="str">
        <f aca="false">IF(AND(I48="Rejected",H48&lt;&gt;""),(H48-F48)*24,"")</f>
        <v/>
      </c>
      <c r="R48" s="37" t="n">
        <f aca="false">IF(L48=1,(Settings!$B$5-F48)*24,"")</f>
        <v>41.3414281461153</v>
      </c>
      <c r="S48" s="36" t="n">
        <f aca="false">IF(COUNTIF($B$5:B48,B48)=1,1,0)</f>
        <v>0</v>
      </c>
      <c r="T48" s="36" t="str">
        <f aca="false">IF(I48="Completed",IF(COUNTIFS(Wallet_Transactions!$I$5:$I$3000,A48,Wallet_Transactions!$D$5:$D$3000,"Redemption",Wallet_Transactions!$G$5:$G$3000,"Posted")&gt;=1,"OK","CHECK no debit"),IF(I48="Reversed",IF(AND(COUNTIFS(Wallet_Transactions!$I$5:$I$3000,A48,Wallet_Transactions!$D$5:$D$3000,"Redemption",Wallet_Transactions!$G$5:$G$3000,"Posted")&gt;=1,COUNTIFS(Wallet_Transactions!$I$5:$I$3000,A48,Wallet_Transactions!$D$5:$D$3000,"Reversal",Wallet_Transactions!$G$5:$G$3000,"Posted")&gt;=1),"OK","CHECK no reversal"),IF(COUNTIFS(Wallet_Transactions!$I$5:$I$3000,A48,Wallet_Transactions!$D$5:$D$3000,"Redemption",Wallet_Transactions!$G$5:$G$3000,"Posted")&gt;0,"CHECK unexpected debit","OK")))</f>
        <v>OK</v>
      </c>
    </row>
    <row r="49" customFormat="false" ht="15" hidden="false" customHeight="false" outlineLevel="0" collapsed="false">
      <c r="A49" s="28" t="s">
        <v>285</v>
      </c>
      <c r="B49" s="28" t="s">
        <v>260</v>
      </c>
      <c r="C49" s="34" t="n">
        <v>550</v>
      </c>
      <c r="D49" s="28" t="s">
        <v>225</v>
      </c>
      <c r="E49" s="28" t="s">
        <v>153</v>
      </c>
      <c r="F49" s="35" t="n">
        <v>46309.5930792747</v>
      </c>
      <c r="G49" s="35" t="n">
        <v>46310.2984316655</v>
      </c>
      <c r="H49" s="35"/>
      <c r="I49" s="28" t="s">
        <v>70</v>
      </c>
      <c r="J49" s="28"/>
      <c r="K49" s="36" t="str">
        <f aca="false">IF(ISNA(MATCH(I49,Withdrawal_Lifecycle!$A$5:$A$11,0)),"CHECK status",IF(AND(I49="Requested",OR(G49&lt;&gt;"",H49&lt;&gt;"")),"CHECK timestamps",IF(AND(OR(I49="Under Review",I49="Processing"),OR(G49="",H49&lt;&gt;"")),"CHECK timestamps",IF(AND(OR(I49="Completed",I49="Reversed",I49="Rejected"),OR(G49="",H49="")),"CHECK timestamps",IF(AND(I49="Cancelled",H49=""),"CHECK timestamps",IF(OR(AND(G49&lt;&gt;"",G49&lt;F49),AND(H49&lt;&gt;"",H49&lt;IF(G49&lt;&gt;"",G49,F49))),"CHECK order",IF(AND(OR(I49="Rejected",I49="Reversed"),J49=""),"CHECK reason","OK")))))))</f>
        <v>OK</v>
      </c>
      <c r="L49" s="36" t="n">
        <f aca="false">IF(OR(I49="Requested",I49="Under Review",I49="Processing"),1,0)</f>
        <v>1</v>
      </c>
      <c r="M49" s="37" t="n">
        <f aca="false">IF(G49="","",(G49-F49)*24)</f>
        <v>16.9284573813783</v>
      </c>
      <c r="N49" s="37" t="str">
        <f aca="false">IF(AND(I49="Completed",G49&lt;&gt;"",H49&lt;&gt;""),(H49-G49)*24,"")</f>
        <v/>
      </c>
      <c r="O49" s="37" t="str">
        <f aca="false">IF(AND(I49="Completed",H49&lt;&gt;""),(H49-F49)*24,"")</f>
        <v/>
      </c>
      <c r="P49" s="36" t="str">
        <f aca="false">IF(O49="","",IF(O49&lt;=Settings!$B$8,"Yes","No"))</f>
        <v/>
      </c>
      <c r="Q49" s="37" t="str">
        <f aca="false">IF(AND(I49="Rejected",H49&lt;&gt;""),(H49-F49)*24,"")</f>
        <v/>
      </c>
      <c r="R49" s="37" t="n">
        <f aca="false">IF(L49=1,(Settings!$B$5-F49)*24,"")</f>
        <v>27.76609740837</v>
      </c>
      <c r="S49" s="36" t="n">
        <f aca="false">IF(COUNTIF($B$5:B49,B49)=1,1,0)</f>
        <v>0</v>
      </c>
      <c r="T49" s="36" t="str">
        <f aca="false">IF(I49="Completed",IF(COUNTIFS(Wallet_Transactions!$I$5:$I$3000,A49,Wallet_Transactions!$D$5:$D$3000,"Redemption",Wallet_Transactions!$G$5:$G$3000,"Posted")&gt;=1,"OK","CHECK no debit"),IF(I49="Reversed",IF(AND(COUNTIFS(Wallet_Transactions!$I$5:$I$3000,A49,Wallet_Transactions!$D$5:$D$3000,"Redemption",Wallet_Transactions!$G$5:$G$3000,"Posted")&gt;=1,COUNTIFS(Wallet_Transactions!$I$5:$I$3000,A49,Wallet_Transactions!$D$5:$D$3000,"Reversal",Wallet_Transactions!$G$5:$G$3000,"Posted")&gt;=1),"OK","CHECK no reversal"),IF(COUNTIFS(Wallet_Transactions!$I$5:$I$3000,A49,Wallet_Transactions!$D$5:$D$3000,"Redemption",Wallet_Transactions!$G$5:$G$3000,"Posted")&gt;0,"CHECK unexpected debit","OK")))</f>
        <v>OK</v>
      </c>
    </row>
    <row r="50" customFormat="false" ht="15" hidden="false" customHeight="false" outlineLevel="0" collapsed="false">
      <c r="A50" s="28" t="s">
        <v>286</v>
      </c>
      <c r="B50" s="28" t="s">
        <v>287</v>
      </c>
      <c r="C50" s="34" t="n">
        <v>650</v>
      </c>
      <c r="D50" s="28" t="s">
        <v>225</v>
      </c>
      <c r="E50" s="28" t="s">
        <v>154</v>
      </c>
      <c r="F50" s="35" t="n">
        <v>46309.7988594501</v>
      </c>
      <c r="G50" s="35" t="n">
        <v>46310.1569716228</v>
      </c>
      <c r="H50" s="35"/>
      <c r="I50" s="28" t="s">
        <v>68</v>
      </c>
      <c r="J50" s="28"/>
      <c r="K50" s="36" t="str">
        <f aca="false">IF(ISNA(MATCH(I50,Withdrawal_Lifecycle!$A$5:$A$11,0)),"CHECK status",IF(AND(I50="Requested",OR(G50&lt;&gt;"",H50&lt;&gt;"")),"CHECK timestamps",IF(AND(OR(I50="Under Review",I50="Processing"),OR(G50="",H50&lt;&gt;"")),"CHECK timestamps",IF(AND(OR(I50="Completed",I50="Reversed",I50="Rejected"),OR(G50="",H50="")),"CHECK timestamps",IF(AND(I50="Cancelled",H50=""),"CHECK timestamps",IF(OR(AND(G50&lt;&gt;"",G50&lt;F50),AND(H50&lt;&gt;"",H50&lt;IF(G50&lt;&gt;"",G50,F50))),"CHECK order",IF(AND(OR(I50="Rejected",I50="Reversed"),J50=""),"CHECK reason","OK")))))))</f>
        <v>OK</v>
      </c>
      <c r="L50" s="36" t="n">
        <f aca="false">IF(OR(I50="Requested",I50="Under Review",I50="Processing"),1,0)</f>
        <v>1</v>
      </c>
      <c r="M50" s="37" t="n">
        <f aca="false">IF(G50="","",(G50-F50)*24)</f>
        <v>8.59469214436806</v>
      </c>
      <c r="N50" s="37" t="str">
        <f aca="false">IF(AND(I50="Completed",G50&lt;&gt;"",H50&lt;&gt;""),(H50-G50)*24,"")</f>
        <v/>
      </c>
      <c r="O50" s="37" t="str">
        <f aca="false">IF(AND(I50="Completed",H50&lt;&gt;""),(H50-F50)*24,"")</f>
        <v/>
      </c>
      <c r="P50" s="36" t="str">
        <f aca="false">IF(O50="","",IF(O50&lt;=Settings!$B$8,"Yes","No"))</f>
        <v/>
      </c>
      <c r="Q50" s="37" t="str">
        <f aca="false">IF(AND(I50="Rejected",H50&lt;&gt;""),(H50-F50)*24,"")</f>
        <v/>
      </c>
      <c r="R50" s="37" t="n">
        <f aca="false">IF(L50=1,(Settings!$B$5-F50)*24,"")</f>
        <v>22.8273731974186</v>
      </c>
      <c r="S50" s="36" t="n">
        <f aca="false">IF(COUNTIF($B$5:B50,B50)=1,1,0)</f>
        <v>1</v>
      </c>
      <c r="T50" s="36" t="str">
        <f aca="false">IF(I50="Completed",IF(COUNTIFS(Wallet_Transactions!$I$5:$I$3000,A50,Wallet_Transactions!$D$5:$D$3000,"Redemption",Wallet_Transactions!$G$5:$G$3000,"Posted")&gt;=1,"OK","CHECK no debit"),IF(I50="Reversed",IF(AND(COUNTIFS(Wallet_Transactions!$I$5:$I$3000,A50,Wallet_Transactions!$D$5:$D$3000,"Redemption",Wallet_Transactions!$G$5:$G$3000,"Posted")&gt;=1,COUNTIFS(Wallet_Transactions!$I$5:$I$3000,A50,Wallet_Transactions!$D$5:$D$3000,"Reversal",Wallet_Transactions!$G$5:$G$3000,"Posted")&gt;=1),"OK","CHECK no reversal"),IF(COUNTIFS(Wallet_Transactions!$I$5:$I$3000,A50,Wallet_Transactions!$D$5:$D$3000,"Redemption",Wallet_Transactions!$G$5:$G$3000,"Posted")&gt;0,"CHECK unexpected debit","OK")))</f>
        <v>OK</v>
      </c>
    </row>
    <row r="51" customFormat="false" ht="15" hidden="false" customHeight="false" outlineLevel="0" collapsed="false">
      <c r="A51" s="28" t="s">
        <v>288</v>
      </c>
      <c r="B51" s="28" t="s">
        <v>289</v>
      </c>
      <c r="C51" s="34" t="n">
        <v>1500</v>
      </c>
      <c r="D51" s="28" t="s">
        <v>225</v>
      </c>
      <c r="E51" s="28" t="s">
        <v>152</v>
      </c>
      <c r="F51" s="35" t="n">
        <v>46310.4743055556</v>
      </c>
      <c r="G51" s="35" t="n">
        <v>46310.6115019809</v>
      </c>
      <c r="H51" s="35"/>
      <c r="I51" s="28" t="s">
        <v>68</v>
      </c>
      <c r="J51" s="28"/>
      <c r="K51" s="36" t="str">
        <f aca="false">IF(ISNA(MATCH(I51,Withdrawal_Lifecycle!$A$5:$A$11,0)),"CHECK status",IF(AND(I51="Requested",OR(G51&lt;&gt;"",H51&lt;&gt;"")),"CHECK timestamps",IF(AND(OR(I51="Under Review",I51="Processing"),OR(G51="",H51&lt;&gt;"")),"CHECK timestamps",IF(AND(OR(I51="Completed",I51="Reversed",I51="Rejected"),OR(G51="",H51="")),"CHECK timestamps",IF(AND(I51="Cancelled",H51=""),"CHECK timestamps",IF(OR(AND(G51&lt;&gt;"",G51&lt;F51),AND(H51&lt;&gt;"",H51&lt;IF(G51&lt;&gt;"",G51,F51))),"CHECK order",IF(AND(OR(I51="Rejected",I51="Reversed"),J51=""),"CHECK reason","OK")))))))</f>
        <v>OK</v>
      </c>
      <c r="L51" s="36" t="n">
        <f aca="false">IF(OR(I51="Requested",I51="Under Review",I51="Processing"),1,0)</f>
        <v>1</v>
      </c>
      <c r="M51" s="37" t="n">
        <f aca="false">IF(G51="","",(G51-F51)*24)</f>
        <v>3.29271420749111</v>
      </c>
      <c r="N51" s="37" t="str">
        <f aca="false">IF(AND(I51="Completed",G51&lt;&gt;"",H51&lt;&gt;""),(H51-G51)*24,"")</f>
        <v/>
      </c>
      <c r="O51" s="37" t="str">
        <f aca="false">IF(AND(I51="Completed",H51&lt;&gt;""),(H51-F51)*24,"")</f>
        <v/>
      </c>
      <c r="P51" s="36" t="str">
        <f aca="false">IF(O51="","",IF(O51&lt;=Settings!$B$8,"Yes","No"))</f>
        <v/>
      </c>
      <c r="Q51" s="37" t="str">
        <f aca="false">IF(AND(I51="Rejected",H51&lt;&gt;""),(H51-F51)*24,"")</f>
        <v/>
      </c>
      <c r="R51" s="37" t="n">
        <f aca="false">IF(L51=1,(Settings!$B$5-F51)*24,"")</f>
        <v>6.61666666666667</v>
      </c>
      <c r="S51" s="36" t="n">
        <f aca="false">IF(COUNTIF($B$5:B51,B51)=1,1,0)</f>
        <v>1</v>
      </c>
      <c r="T51" s="36" t="str">
        <f aca="false">IF(I51="Completed",IF(COUNTIFS(Wallet_Transactions!$I$5:$I$3000,A51,Wallet_Transactions!$D$5:$D$3000,"Redemption",Wallet_Transactions!$G$5:$G$3000,"Posted")&gt;=1,"OK","CHECK no debit"),IF(I51="Reversed",IF(AND(COUNTIFS(Wallet_Transactions!$I$5:$I$3000,A51,Wallet_Transactions!$D$5:$D$3000,"Redemption",Wallet_Transactions!$G$5:$G$3000,"Posted")&gt;=1,COUNTIFS(Wallet_Transactions!$I$5:$I$3000,A51,Wallet_Transactions!$D$5:$D$3000,"Reversal",Wallet_Transactions!$G$5:$G$3000,"Posted")&gt;=1),"OK","CHECK no reversal"),IF(COUNTIFS(Wallet_Transactions!$I$5:$I$3000,A51,Wallet_Transactions!$D$5:$D$3000,"Redemption",Wallet_Transactions!$G$5:$G$3000,"Posted")&gt;0,"CHECK unexpected debit","OK")))</f>
        <v>OK</v>
      </c>
    </row>
    <row r="52" customFormat="false" ht="15" hidden="false" customHeight="false" outlineLevel="0" collapsed="false">
      <c r="A52" s="28" t="s">
        <v>290</v>
      </c>
      <c r="B52" s="28" t="s">
        <v>287</v>
      </c>
      <c r="C52" s="34" t="n">
        <v>1200</v>
      </c>
      <c r="D52" s="28" t="s">
        <v>225</v>
      </c>
      <c r="E52" s="28" t="s">
        <v>152</v>
      </c>
      <c r="F52" s="35" t="n">
        <v>46310.6025513132</v>
      </c>
      <c r="G52" s="35" t="n">
        <v>46310.6407472023</v>
      </c>
      <c r="H52" s="35"/>
      <c r="I52" s="28" t="s">
        <v>68</v>
      </c>
      <c r="J52" s="28"/>
      <c r="K52" s="36" t="str">
        <f aca="false">IF(ISNA(MATCH(I52,Withdrawal_Lifecycle!$A$5:$A$11,0)),"CHECK status",IF(AND(I52="Requested",OR(G52&lt;&gt;"",H52&lt;&gt;"")),"CHECK timestamps",IF(AND(OR(I52="Under Review",I52="Processing"),OR(G52="",H52&lt;&gt;"")),"CHECK timestamps",IF(AND(OR(I52="Completed",I52="Reversed",I52="Rejected"),OR(G52="",H52="")),"CHECK timestamps",IF(AND(I52="Cancelled",H52=""),"CHECK timestamps",IF(OR(AND(G52&lt;&gt;"",G52&lt;F52),AND(H52&lt;&gt;"",H52&lt;IF(G52&lt;&gt;"",G52,F52))),"CHECK order",IF(AND(OR(I52="Rejected",I52="Reversed"),J52=""),"CHECK reason","OK")))))))</f>
        <v>OK</v>
      </c>
      <c r="L52" s="36" t="n">
        <f aca="false">IF(OR(I52="Requested",I52="Under Review",I52="Processing"),1,0)</f>
        <v>1</v>
      </c>
      <c r="M52" s="37" t="n">
        <f aca="false">IF(G52="","",(G52-F52)*24)</f>
        <v>0.91670133773</v>
      </c>
      <c r="N52" s="37" t="str">
        <f aca="false">IF(AND(I52="Completed",G52&lt;&gt;"",H52&lt;&gt;""),(H52-G52)*24,"")</f>
        <v/>
      </c>
      <c r="O52" s="37" t="str">
        <f aca="false">IF(AND(I52="Completed",H52&lt;&gt;""),(H52-F52)*24,"")</f>
        <v/>
      </c>
      <c r="P52" s="36" t="str">
        <f aca="false">IF(O52="","",IF(O52&lt;=Settings!$B$8,"Yes","No"))</f>
        <v/>
      </c>
      <c r="Q52" s="37" t="str">
        <f aca="false">IF(AND(I52="Rejected",H52&lt;&gt;""),(H52-F52)*24,"")</f>
        <v/>
      </c>
      <c r="R52" s="37" t="n">
        <f aca="false">IF(L52=1,(Settings!$B$5-F52)*24,"")</f>
        <v>3.53876848274361</v>
      </c>
      <c r="S52" s="36" t="n">
        <f aca="false">IF(COUNTIF($B$5:B52,B52)=1,1,0)</f>
        <v>0</v>
      </c>
      <c r="T52" s="36" t="str">
        <f aca="false">IF(I52="Completed",IF(COUNTIFS(Wallet_Transactions!$I$5:$I$3000,A52,Wallet_Transactions!$D$5:$D$3000,"Redemption",Wallet_Transactions!$G$5:$G$3000,"Posted")&gt;=1,"OK","CHECK no debit"),IF(I52="Reversed",IF(AND(COUNTIFS(Wallet_Transactions!$I$5:$I$3000,A52,Wallet_Transactions!$D$5:$D$3000,"Redemption",Wallet_Transactions!$G$5:$G$3000,"Posted")&gt;=1,COUNTIFS(Wallet_Transactions!$I$5:$I$3000,A52,Wallet_Transactions!$D$5:$D$3000,"Reversal",Wallet_Transactions!$G$5:$G$3000,"Posted")&gt;=1),"OK","CHECK no reversal"),IF(COUNTIFS(Wallet_Transactions!$I$5:$I$3000,A52,Wallet_Transactions!$D$5:$D$3000,"Redemption",Wallet_Transactions!$G$5:$G$3000,"Posted")&gt;0,"CHECK unexpected debit","OK")))</f>
        <v>OK</v>
      </c>
    </row>
  </sheetData>
  <autoFilter ref="A4:T52"/>
  <dataValidations count="3">
    <dataValidation allowBlank="true" errorStyle="stop" operator="between" showDropDown="false" showErrorMessage="false" showInputMessage="false" sqref="I5:I1000" type="list">
      <formula1>"Requested,Under Review,Processing,Completed,Rejected,Reversed,Cancelled"</formula1>
      <formula2>0</formula2>
    </dataValidation>
    <dataValidation allowBlank="true" errorStyle="stop" operator="between" showDropDown="false" showErrorMessage="false" showInputMessage="false" sqref="E5:E1000" type="list">
      <formula1>"Bank Transfer,E-Wallet,Gift Card,Other"</formula1>
      <formula2>0</formula2>
    </dataValidation>
    <dataValidation allowBlank="true" errorStyle="stop" operator="between" showDropDown="false" showErrorMessage="false" showInputMessage="false" sqref="J5:J1000" type="list">
      <formula1>"Insufficient Balance,Verification Failed,Suspected Fraud,Limit / Minimum Rule,Duplicate Request,Payment Failure,User Request,Other"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20"/>
    <col collapsed="false" customWidth="true" hidden="false" outlineLevel="0" max="18" min="18" style="0" width="12"/>
  </cols>
  <sheetData>
    <row r="1" customFormat="false" ht="17.35" hidden="false" customHeight="false" outlineLevel="0" collapsed="false">
      <c r="A1" s="1" t="s">
        <v>291</v>
      </c>
    </row>
    <row r="2" customFormat="false" ht="15" hidden="false" customHeight="false" outlineLevel="0" collapsed="false">
      <c r="A2" s="33" t="s">
        <v>292</v>
      </c>
    </row>
    <row r="4" customFormat="false" ht="57.75" hidden="false" customHeight="true" outlineLevel="0" collapsed="false">
      <c r="A4" s="12" t="s">
        <v>293</v>
      </c>
      <c r="B4" s="12" t="s">
        <v>205</v>
      </c>
      <c r="C4" s="12" t="s">
        <v>294</v>
      </c>
      <c r="D4" s="12" t="s">
        <v>295</v>
      </c>
      <c r="E4" s="12" t="s">
        <v>296</v>
      </c>
      <c r="F4" s="12" t="s">
        <v>207</v>
      </c>
      <c r="G4" s="12" t="s">
        <v>86</v>
      </c>
      <c r="H4" s="12" t="s">
        <v>297</v>
      </c>
      <c r="I4" s="12" t="s">
        <v>298</v>
      </c>
      <c r="J4" s="12" t="s">
        <v>299</v>
      </c>
      <c r="K4" s="12" t="s">
        <v>300</v>
      </c>
      <c r="L4" s="12" t="s">
        <v>301</v>
      </c>
      <c r="M4" s="12" t="s">
        <v>302</v>
      </c>
      <c r="N4" s="12" t="s">
        <v>303</v>
      </c>
      <c r="O4" s="12" t="s">
        <v>304</v>
      </c>
      <c r="P4" s="12" t="s">
        <v>305</v>
      </c>
      <c r="Q4" s="12" t="s">
        <v>213</v>
      </c>
      <c r="R4" s="12" t="s">
        <v>306</v>
      </c>
    </row>
    <row r="5" customFormat="false" ht="15" hidden="false" customHeight="false" outlineLevel="0" collapsed="false">
      <c r="A5" s="28" t="s">
        <v>307</v>
      </c>
      <c r="B5" s="28" t="s">
        <v>275</v>
      </c>
      <c r="C5" s="35" t="n">
        <v>46266.0076388889</v>
      </c>
      <c r="D5" s="28" t="s">
        <v>308</v>
      </c>
      <c r="E5" s="38" t="n">
        <v>500</v>
      </c>
      <c r="F5" s="28" t="s">
        <v>225</v>
      </c>
      <c r="G5" s="28" t="s">
        <v>309</v>
      </c>
      <c r="H5" s="28" t="s">
        <v>310</v>
      </c>
      <c r="I5" s="28" t="s">
        <v>311</v>
      </c>
      <c r="J5" s="28"/>
      <c r="K5" s="28"/>
      <c r="L5" s="36" t="str">
        <f aca="false">IFERROR(INDEX(Transaction_Types!$B$5:$B$20,MATCH(D5,Transaction_Types!$A$5:$A$20,0)),"Not in catalogue")</f>
        <v>Supported</v>
      </c>
      <c r="M5" s="36" t="str">
        <f aca="false">IFERROR(INDEX(Transaction_Types!$C$5:$C$20,MATCH(D5,Transaction_Types!$A$5:$A$20,0)),"")</f>
        <v>Credit</v>
      </c>
      <c r="N5" s="39" t="n">
        <f aca="false">IF(G5="Posted",E5,0)</f>
        <v>500</v>
      </c>
      <c r="O5" s="36" t="n">
        <f aca="false">COUNTIFS($J$5:$J$3000,A5,$K$5:$K$3000,"Reverses")</f>
        <v>0</v>
      </c>
      <c r="P5" s="39" t="n">
        <f aca="false">IF(K5&lt;&gt;"","",IF(G5="Posted",E5+SUMIFS($N$5:$N$3000,$J$5:$J$3000,A5),0))</f>
        <v>500</v>
      </c>
      <c r="Q5" s="36" t="str">
        <f aca="false">IF(L5="Not in catalogue","CHECK type",IF(F5&lt;&gt;Settings!$B$6,"CHECK unit",IF(OR(AND(M5="Credit",E5&lt;=0),AND(M5="Debit",E5&gt;=0)),"CHECK sign",IF(D5="Reversal",IF(OR(J5="",COUNTIF($A$5:$A$3000,J5)=0),"CHECK reversal link",IF(E5&lt;&gt;-INDEX($E$5:$E$3000,MATCH(J5,$A$5:$A$3000,0)),"CHECK reversal amount","OK")),IF(AND(D5="Adjustment",K5&lt;&gt;"",COUNTIF($A$5:$A$3000,J5)=0),"CHECK correction link","OK")))))</f>
        <v>OK</v>
      </c>
      <c r="R5" s="40" t="n">
        <f aca="false">INT(C5)</f>
        <v>46266</v>
      </c>
    </row>
    <row r="6" customFormat="false" ht="15" hidden="false" customHeight="false" outlineLevel="0" collapsed="false">
      <c r="A6" s="28" t="s">
        <v>312</v>
      </c>
      <c r="B6" s="28" t="s">
        <v>287</v>
      </c>
      <c r="C6" s="35" t="n">
        <v>46266.1631944445</v>
      </c>
      <c r="D6" s="28" t="s">
        <v>308</v>
      </c>
      <c r="E6" s="38" t="n">
        <v>400</v>
      </c>
      <c r="F6" s="28" t="s">
        <v>225</v>
      </c>
      <c r="G6" s="28" t="s">
        <v>309</v>
      </c>
      <c r="H6" s="28" t="s">
        <v>313</v>
      </c>
      <c r="I6" s="28" t="s">
        <v>314</v>
      </c>
      <c r="J6" s="28"/>
      <c r="K6" s="28"/>
      <c r="L6" s="36" t="str">
        <f aca="false">IFERROR(INDEX(Transaction_Types!$B$5:$B$20,MATCH(D6,Transaction_Types!$A$5:$A$20,0)),"Not in catalogue")</f>
        <v>Supported</v>
      </c>
      <c r="M6" s="36" t="str">
        <f aca="false">IFERROR(INDEX(Transaction_Types!$C$5:$C$20,MATCH(D6,Transaction_Types!$A$5:$A$20,0)),"")</f>
        <v>Credit</v>
      </c>
      <c r="N6" s="39" t="n">
        <f aca="false">IF(G6="Posted",E6,0)</f>
        <v>400</v>
      </c>
      <c r="O6" s="36" t="n">
        <f aca="false">COUNTIFS($J$5:$J$3000,A6,$K$5:$K$3000,"Reverses")</f>
        <v>0</v>
      </c>
      <c r="P6" s="39" t="n">
        <f aca="false">IF(K6&lt;&gt;"","",IF(G6="Posted",E6+SUMIFS($N$5:$N$3000,$J$5:$J$3000,A6),0))</f>
        <v>400</v>
      </c>
      <c r="Q6" s="36" t="str">
        <f aca="false">IF(L6="Not in catalogue","CHECK type",IF(F6&lt;&gt;Settings!$B$6,"CHECK unit",IF(OR(AND(M6="Credit",E6&lt;=0),AND(M6="Debit",E6&gt;=0)),"CHECK sign",IF(D6="Reversal",IF(OR(J6="",COUNTIF($A$5:$A$3000,J6)=0),"CHECK reversal link",IF(E6&lt;&gt;-INDEX($E$5:$E$3000,MATCH(J6,$A$5:$A$3000,0)),"CHECK reversal amount","OK")),IF(AND(D6="Adjustment",K6&lt;&gt;"",COUNTIF($A$5:$A$3000,J6)=0),"CHECK correction link","OK")))))</f>
        <v>OK</v>
      </c>
      <c r="R6" s="40" t="n">
        <f aca="false">INT(C6)</f>
        <v>46266</v>
      </c>
    </row>
    <row r="7" customFormat="false" ht="15" hidden="false" customHeight="false" outlineLevel="0" collapsed="false">
      <c r="A7" s="28" t="s">
        <v>315</v>
      </c>
      <c r="B7" s="28" t="s">
        <v>239</v>
      </c>
      <c r="C7" s="35" t="n">
        <v>46266.1784722222</v>
      </c>
      <c r="D7" s="28" t="s">
        <v>308</v>
      </c>
      <c r="E7" s="38" t="n">
        <v>150</v>
      </c>
      <c r="F7" s="28" t="s">
        <v>225</v>
      </c>
      <c r="G7" s="28" t="s">
        <v>309</v>
      </c>
      <c r="H7" s="28" t="s">
        <v>316</v>
      </c>
      <c r="I7" s="28" t="s">
        <v>317</v>
      </c>
      <c r="J7" s="28"/>
      <c r="K7" s="28"/>
      <c r="L7" s="36" t="str">
        <f aca="false">IFERROR(INDEX(Transaction_Types!$B$5:$B$20,MATCH(D7,Transaction_Types!$A$5:$A$20,0)),"Not in catalogue")</f>
        <v>Supported</v>
      </c>
      <c r="M7" s="36" t="str">
        <f aca="false">IFERROR(INDEX(Transaction_Types!$C$5:$C$20,MATCH(D7,Transaction_Types!$A$5:$A$20,0)),"")</f>
        <v>Credit</v>
      </c>
      <c r="N7" s="39" t="n">
        <f aca="false">IF(G7="Posted",E7,0)</f>
        <v>150</v>
      </c>
      <c r="O7" s="36" t="n">
        <f aca="false">COUNTIFS($J$5:$J$3000,A7,$K$5:$K$3000,"Reverses")</f>
        <v>0</v>
      </c>
      <c r="P7" s="39" t="n">
        <f aca="false">IF(K7&lt;&gt;"","",IF(G7="Posted",E7+SUMIFS($N$5:$N$3000,$J$5:$J$3000,A7),0))</f>
        <v>150</v>
      </c>
      <c r="Q7" s="36" t="str">
        <f aca="false">IF(L7="Not in catalogue","CHECK type",IF(F7&lt;&gt;Settings!$B$6,"CHECK unit",IF(OR(AND(M7="Credit",E7&lt;=0),AND(M7="Debit",E7&gt;=0)),"CHECK sign",IF(D7="Reversal",IF(OR(J7="",COUNTIF($A$5:$A$3000,J7)=0),"CHECK reversal link",IF(E7&lt;&gt;-INDEX($E$5:$E$3000,MATCH(J7,$A$5:$A$3000,0)),"CHECK reversal amount","OK")),IF(AND(D7="Adjustment",K7&lt;&gt;"",COUNTIF($A$5:$A$3000,J7)=0),"CHECK correction link","OK")))))</f>
        <v>OK</v>
      </c>
      <c r="R7" s="40" t="n">
        <f aca="false">INT(C7)</f>
        <v>46266</v>
      </c>
    </row>
    <row r="8" customFormat="false" ht="15" hidden="false" customHeight="false" outlineLevel="0" collapsed="false">
      <c r="A8" s="28" t="s">
        <v>318</v>
      </c>
      <c r="B8" s="28" t="s">
        <v>287</v>
      </c>
      <c r="C8" s="35" t="n">
        <v>46266.5333333333</v>
      </c>
      <c r="D8" s="28" t="s">
        <v>308</v>
      </c>
      <c r="E8" s="38" t="n">
        <v>200</v>
      </c>
      <c r="F8" s="28" t="s">
        <v>225</v>
      </c>
      <c r="G8" s="28" t="s">
        <v>309</v>
      </c>
      <c r="H8" s="28" t="s">
        <v>313</v>
      </c>
      <c r="I8" s="28" t="s">
        <v>314</v>
      </c>
      <c r="J8" s="28"/>
      <c r="K8" s="28"/>
      <c r="L8" s="36" t="str">
        <f aca="false">IFERROR(INDEX(Transaction_Types!$B$5:$B$20,MATCH(D8,Transaction_Types!$A$5:$A$20,0)),"Not in catalogue")</f>
        <v>Supported</v>
      </c>
      <c r="M8" s="36" t="str">
        <f aca="false">IFERROR(INDEX(Transaction_Types!$C$5:$C$20,MATCH(D8,Transaction_Types!$A$5:$A$20,0)),"")</f>
        <v>Credit</v>
      </c>
      <c r="N8" s="39" t="n">
        <f aca="false">IF(G8="Posted",E8,0)</f>
        <v>200</v>
      </c>
      <c r="O8" s="36" t="n">
        <f aca="false">COUNTIFS($J$5:$J$3000,A8,$K$5:$K$3000,"Reverses")</f>
        <v>0</v>
      </c>
      <c r="P8" s="39" t="n">
        <f aca="false">IF(K8&lt;&gt;"","",IF(G8="Posted",E8+SUMIFS($N$5:$N$3000,$J$5:$J$3000,A8),0))</f>
        <v>200</v>
      </c>
      <c r="Q8" s="36" t="str">
        <f aca="false">IF(L8="Not in catalogue","CHECK type",IF(F8&lt;&gt;Settings!$B$6,"CHECK unit",IF(OR(AND(M8="Credit",E8&lt;=0),AND(M8="Debit",E8&gt;=0)),"CHECK sign",IF(D8="Reversal",IF(OR(J8="",COUNTIF($A$5:$A$3000,J8)=0),"CHECK reversal link",IF(E8&lt;&gt;-INDEX($E$5:$E$3000,MATCH(J8,$A$5:$A$3000,0)),"CHECK reversal amount","OK")),IF(AND(D8="Adjustment",K8&lt;&gt;"",COUNTIF($A$5:$A$3000,J8)=0),"CHECK correction link","OK")))))</f>
        <v>OK</v>
      </c>
      <c r="R8" s="40" t="n">
        <f aca="false">INT(C8)</f>
        <v>46266</v>
      </c>
    </row>
    <row r="9" customFormat="false" ht="15" hidden="false" customHeight="false" outlineLevel="0" collapsed="false">
      <c r="A9" s="28" t="s">
        <v>319</v>
      </c>
      <c r="B9" s="28" t="s">
        <v>231</v>
      </c>
      <c r="C9" s="35" t="n">
        <v>46266.8569444444</v>
      </c>
      <c r="D9" s="28" t="s">
        <v>308</v>
      </c>
      <c r="E9" s="38" t="n">
        <v>400</v>
      </c>
      <c r="F9" s="28" t="s">
        <v>225</v>
      </c>
      <c r="G9" s="28" t="s">
        <v>309</v>
      </c>
      <c r="H9" s="28" t="s">
        <v>316</v>
      </c>
      <c r="I9" s="28" t="s">
        <v>320</v>
      </c>
      <c r="J9" s="28"/>
      <c r="K9" s="28"/>
      <c r="L9" s="36" t="str">
        <f aca="false">IFERROR(INDEX(Transaction_Types!$B$5:$B$20,MATCH(D9,Transaction_Types!$A$5:$A$20,0)),"Not in catalogue")</f>
        <v>Supported</v>
      </c>
      <c r="M9" s="36" t="str">
        <f aca="false">IFERROR(INDEX(Transaction_Types!$C$5:$C$20,MATCH(D9,Transaction_Types!$A$5:$A$20,0)),"")</f>
        <v>Credit</v>
      </c>
      <c r="N9" s="39" t="n">
        <f aca="false">IF(G9="Posted",E9,0)</f>
        <v>400</v>
      </c>
      <c r="O9" s="36" t="n">
        <f aca="false">COUNTIFS($J$5:$J$3000,A9,$K$5:$K$3000,"Reverses")</f>
        <v>0</v>
      </c>
      <c r="P9" s="39" t="n">
        <f aca="false">IF(K9&lt;&gt;"","",IF(G9="Posted",E9+SUMIFS($N$5:$N$3000,$J$5:$J$3000,A9),0))</f>
        <v>400</v>
      </c>
      <c r="Q9" s="36" t="str">
        <f aca="false">IF(L9="Not in catalogue","CHECK type",IF(F9&lt;&gt;Settings!$B$6,"CHECK unit",IF(OR(AND(M9="Credit",E9&lt;=0),AND(M9="Debit",E9&gt;=0)),"CHECK sign",IF(D9="Reversal",IF(OR(J9="",COUNTIF($A$5:$A$3000,J9)=0),"CHECK reversal link",IF(E9&lt;&gt;-INDEX($E$5:$E$3000,MATCH(J9,$A$5:$A$3000,0)),"CHECK reversal amount","OK")),IF(AND(D9="Adjustment",K9&lt;&gt;"",COUNTIF($A$5:$A$3000,J9)=0),"CHECK correction link","OK")))))</f>
        <v>OK</v>
      </c>
      <c r="R9" s="40" t="n">
        <f aca="false">INT(C9)</f>
        <v>46266</v>
      </c>
    </row>
    <row r="10" customFormat="false" ht="15" hidden="false" customHeight="false" outlineLevel="0" collapsed="false">
      <c r="A10" s="28" t="s">
        <v>321</v>
      </c>
      <c r="B10" s="28" t="s">
        <v>229</v>
      </c>
      <c r="C10" s="35" t="n">
        <v>46267.0263888889</v>
      </c>
      <c r="D10" s="28" t="s">
        <v>308</v>
      </c>
      <c r="E10" s="38" t="n">
        <v>200</v>
      </c>
      <c r="F10" s="28" t="s">
        <v>225</v>
      </c>
      <c r="G10" s="28" t="s">
        <v>309</v>
      </c>
      <c r="H10" s="28" t="s">
        <v>313</v>
      </c>
      <c r="I10" s="28" t="s">
        <v>314</v>
      </c>
      <c r="J10" s="28"/>
      <c r="K10" s="28"/>
      <c r="L10" s="36" t="str">
        <f aca="false">IFERROR(INDEX(Transaction_Types!$B$5:$B$20,MATCH(D10,Transaction_Types!$A$5:$A$20,0)),"Not in catalogue")</f>
        <v>Supported</v>
      </c>
      <c r="M10" s="36" t="str">
        <f aca="false">IFERROR(INDEX(Transaction_Types!$C$5:$C$20,MATCH(D10,Transaction_Types!$A$5:$A$20,0)),"")</f>
        <v>Credit</v>
      </c>
      <c r="N10" s="39" t="n">
        <f aca="false">IF(G10="Posted",E10,0)</f>
        <v>200</v>
      </c>
      <c r="O10" s="36" t="n">
        <f aca="false">COUNTIFS($J$5:$J$3000,A10,$K$5:$K$3000,"Reverses")</f>
        <v>0</v>
      </c>
      <c r="P10" s="39" t="n">
        <f aca="false">IF(K10&lt;&gt;"","",IF(G10="Posted",E10+SUMIFS($N$5:$N$3000,$J$5:$J$3000,A10),0))</f>
        <v>200</v>
      </c>
      <c r="Q10" s="36" t="str">
        <f aca="false">IF(L10="Not in catalogue","CHECK type",IF(F10&lt;&gt;Settings!$B$6,"CHECK unit",IF(OR(AND(M10="Credit",E10&lt;=0),AND(M10="Debit",E10&gt;=0)),"CHECK sign",IF(D10="Reversal",IF(OR(J10="",COUNTIF($A$5:$A$3000,J10)=0),"CHECK reversal link",IF(E10&lt;&gt;-INDEX($E$5:$E$3000,MATCH(J10,$A$5:$A$3000,0)),"CHECK reversal amount","OK")),IF(AND(D10="Adjustment",K10&lt;&gt;"",COUNTIF($A$5:$A$3000,J10)=0),"CHECK correction link","OK")))))</f>
        <v>OK</v>
      </c>
      <c r="R10" s="40" t="n">
        <f aca="false">INT(C10)</f>
        <v>46267</v>
      </c>
    </row>
    <row r="11" customFormat="false" ht="15" hidden="false" customHeight="false" outlineLevel="0" collapsed="false">
      <c r="A11" s="28" t="s">
        <v>322</v>
      </c>
      <c r="B11" s="28" t="s">
        <v>234</v>
      </c>
      <c r="C11" s="35" t="n">
        <v>46267.1604166667</v>
      </c>
      <c r="D11" s="28" t="s">
        <v>308</v>
      </c>
      <c r="E11" s="38" t="n">
        <v>150</v>
      </c>
      <c r="F11" s="28" t="s">
        <v>225</v>
      </c>
      <c r="G11" s="28" t="s">
        <v>309</v>
      </c>
      <c r="H11" s="28" t="s">
        <v>310</v>
      </c>
      <c r="I11" s="28" t="s">
        <v>323</v>
      </c>
      <c r="J11" s="28"/>
      <c r="K11" s="28"/>
      <c r="L11" s="36" t="str">
        <f aca="false">IFERROR(INDEX(Transaction_Types!$B$5:$B$20,MATCH(D11,Transaction_Types!$A$5:$A$20,0)),"Not in catalogue")</f>
        <v>Supported</v>
      </c>
      <c r="M11" s="36" t="str">
        <f aca="false">IFERROR(INDEX(Transaction_Types!$C$5:$C$20,MATCH(D11,Transaction_Types!$A$5:$A$20,0)),"")</f>
        <v>Credit</v>
      </c>
      <c r="N11" s="39" t="n">
        <f aca="false">IF(G11="Posted",E11,0)</f>
        <v>150</v>
      </c>
      <c r="O11" s="36" t="n">
        <f aca="false">COUNTIFS($J$5:$J$3000,A11,$K$5:$K$3000,"Reverses")</f>
        <v>0</v>
      </c>
      <c r="P11" s="39" t="n">
        <f aca="false">IF(K11&lt;&gt;"","",IF(G11="Posted",E11+SUMIFS($N$5:$N$3000,$J$5:$J$3000,A11),0))</f>
        <v>150</v>
      </c>
      <c r="Q11" s="36" t="str">
        <f aca="false">IF(L11="Not in catalogue","CHECK type",IF(F11&lt;&gt;Settings!$B$6,"CHECK unit",IF(OR(AND(M11="Credit",E11&lt;=0),AND(M11="Debit",E11&gt;=0)),"CHECK sign",IF(D11="Reversal",IF(OR(J11="",COUNTIF($A$5:$A$3000,J11)=0),"CHECK reversal link",IF(E11&lt;&gt;-INDEX($E$5:$E$3000,MATCH(J11,$A$5:$A$3000,0)),"CHECK reversal amount","OK")),IF(AND(D11="Adjustment",K11&lt;&gt;"",COUNTIF($A$5:$A$3000,J11)=0),"CHECK correction link","OK")))))</f>
        <v>OK</v>
      </c>
      <c r="R11" s="40" t="n">
        <f aca="false">INT(C11)</f>
        <v>46267</v>
      </c>
    </row>
    <row r="12" customFormat="false" ht="15" hidden="false" customHeight="false" outlineLevel="0" collapsed="false">
      <c r="A12" s="28" t="s">
        <v>324</v>
      </c>
      <c r="B12" s="28" t="s">
        <v>275</v>
      </c>
      <c r="C12" s="35" t="n">
        <v>46267.4673611111</v>
      </c>
      <c r="D12" s="28" t="s">
        <v>308</v>
      </c>
      <c r="E12" s="38" t="n">
        <v>500</v>
      </c>
      <c r="F12" s="28" t="s">
        <v>225</v>
      </c>
      <c r="G12" s="28" t="s">
        <v>309</v>
      </c>
      <c r="H12" s="28" t="s">
        <v>310</v>
      </c>
      <c r="I12" s="28" t="s">
        <v>325</v>
      </c>
      <c r="J12" s="28"/>
      <c r="K12" s="28"/>
      <c r="L12" s="36" t="str">
        <f aca="false">IFERROR(INDEX(Transaction_Types!$B$5:$B$20,MATCH(D12,Transaction_Types!$A$5:$A$20,0)),"Not in catalogue")</f>
        <v>Supported</v>
      </c>
      <c r="M12" s="36" t="str">
        <f aca="false">IFERROR(INDEX(Transaction_Types!$C$5:$C$20,MATCH(D12,Transaction_Types!$A$5:$A$20,0)),"")</f>
        <v>Credit</v>
      </c>
      <c r="N12" s="39" t="n">
        <f aca="false">IF(G12="Posted",E12,0)</f>
        <v>500</v>
      </c>
      <c r="O12" s="36" t="n">
        <f aca="false">COUNTIFS($J$5:$J$3000,A12,$K$5:$K$3000,"Reverses")</f>
        <v>0</v>
      </c>
      <c r="P12" s="39" t="n">
        <f aca="false">IF(K12&lt;&gt;"","",IF(G12="Posted",E12+SUMIFS($N$5:$N$3000,$J$5:$J$3000,A12),0))</f>
        <v>500</v>
      </c>
      <c r="Q12" s="36" t="str">
        <f aca="false">IF(L12="Not in catalogue","CHECK type",IF(F12&lt;&gt;Settings!$B$6,"CHECK unit",IF(OR(AND(M12="Credit",E12&lt;=0),AND(M12="Debit",E12&gt;=0)),"CHECK sign",IF(D12="Reversal",IF(OR(J12="",COUNTIF($A$5:$A$3000,J12)=0),"CHECK reversal link",IF(E12&lt;&gt;-INDEX($E$5:$E$3000,MATCH(J12,$A$5:$A$3000,0)),"CHECK reversal amount","OK")),IF(AND(D12="Adjustment",K12&lt;&gt;"",COUNTIF($A$5:$A$3000,J12)=0),"CHECK correction link","OK")))))</f>
        <v>OK</v>
      </c>
      <c r="R12" s="40" t="n">
        <f aca="false">INT(C12)</f>
        <v>46267</v>
      </c>
    </row>
    <row r="13" customFormat="false" ht="15" hidden="false" customHeight="false" outlineLevel="0" collapsed="false">
      <c r="A13" s="28" t="s">
        <v>326</v>
      </c>
      <c r="B13" s="28" t="s">
        <v>224</v>
      </c>
      <c r="C13" s="35" t="n">
        <v>46267.7840277778</v>
      </c>
      <c r="D13" s="28" t="s">
        <v>308</v>
      </c>
      <c r="E13" s="38" t="n">
        <v>100</v>
      </c>
      <c r="F13" s="28" t="s">
        <v>225</v>
      </c>
      <c r="G13" s="28" t="s">
        <v>309</v>
      </c>
      <c r="H13" s="28" t="s">
        <v>313</v>
      </c>
      <c r="I13" s="28" t="s">
        <v>314</v>
      </c>
      <c r="J13" s="28"/>
      <c r="K13" s="28"/>
      <c r="L13" s="36" t="str">
        <f aca="false">IFERROR(INDEX(Transaction_Types!$B$5:$B$20,MATCH(D13,Transaction_Types!$A$5:$A$20,0)),"Not in catalogue")</f>
        <v>Supported</v>
      </c>
      <c r="M13" s="36" t="str">
        <f aca="false">IFERROR(INDEX(Transaction_Types!$C$5:$C$20,MATCH(D13,Transaction_Types!$A$5:$A$20,0)),"")</f>
        <v>Credit</v>
      </c>
      <c r="N13" s="39" t="n">
        <f aca="false">IF(G13="Posted",E13,0)</f>
        <v>100</v>
      </c>
      <c r="O13" s="36" t="n">
        <f aca="false">COUNTIFS($J$5:$J$3000,A13,$K$5:$K$3000,"Reverses")</f>
        <v>0</v>
      </c>
      <c r="P13" s="39" t="n">
        <f aca="false">IF(K13&lt;&gt;"","",IF(G13="Posted",E13+SUMIFS($N$5:$N$3000,$J$5:$J$3000,A13),0))</f>
        <v>100</v>
      </c>
      <c r="Q13" s="36" t="str">
        <f aca="false">IF(L13="Not in catalogue","CHECK type",IF(F13&lt;&gt;Settings!$B$6,"CHECK unit",IF(OR(AND(M13="Credit",E13&lt;=0),AND(M13="Debit",E13&gt;=0)),"CHECK sign",IF(D13="Reversal",IF(OR(J13="",COUNTIF($A$5:$A$3000,J13)=0),"CHECK reversal link",IF(E13&lt;&gt;-INDEX($E$5:$E$3000,MATCH(J13,$A$5:$A$3000,0)),"CHECK reversal amount","OK")),IF(AND(D13="Adjustment",K13&lt;&gt;"",COUNTIF($A$5:$A$3000,J13)=0),"CHECK correction link","OK")))))</f>
        <v>OK</v>
      </c>
      <c r="R13" s="40" t="n">
        <f aca="false">INT(C13)</f>
        <v>46267</v>
      </c>
    </row>
    <row r="14" customFormat="false" ht="15" hidden="false" customHeight="false" outlineLevel="0" collapsed="false">
      <c r="A14" s="28" t="s">
        <v>327</v>
      </c>
      <c r="B14" s="28" t="s">
        <v>260</v>
      </c>
      <c r="C14" s="35" t="n">
        <v>46267.9048611111</v>
      </c>
      <c r="D14" s="28" t="s">
        <v>308</v>
      </c>
      <c r="E14" s="38" t="n">
        <v>200</v>
      </c>
      <c r="F14" s="28" t="s">
        <v>225</v>
      </c>
      <c r="G14" s="28" t="s">
        <v>309</v>
      </c>
      <c r="H14" s="28" t="s">
        <v>310</v>
      </c>
      <c r="I14" s="28" t="s">
        <v>328</v>
      </c>
      <c r="J14" s="28"/>
      <c r="K14" s="28"/>
      <c r="L14" s="36" t="str">
        <f aca="false">IFERROR(INDEX(Transaction_Types!$B$5:$B$20,MATCH(D14,Transaction_Types!$A$5:$A$20,0)),"Not in catalogue")</f>
        <v>Supported</v>
      </c>
      <c r="M14" s="36" t="str">
        <f aca="false">IFERROR(INDEX(Transaction_Types!$C$5:$C$20,MATCH(D14,Transaction_Types!$A$5:$A$20,0)),"")</f>
        <v>Credit</v>
      </c>
      <c r="N14" s="39" t="n">
        <f aca="false">IF(G14="Posted",E14,0)</f>
        <v>200</v>
      </c>
      <c r="O14" s="36" t="n">
        <f aca="false">COUNTIFS($J$5:$J$3000,A14,$K$5:$K$3000,"Reverses")</f>
        <v>0</v>
      </c>
      <c r="P14" s="39" t="n">
        <f aca="false">IF(K14&lt;&gt;"","",IF(G14="Posted",E14+SUMIFS($N$5:$N$3000,$J$5:$J$3000,A14),0))</f>
        <v>200</v>
      </c>
      <c r="Q14" s="36" t="str">
        <f aca="false">IF(L14="Not in catalogue","CHECK type",IF(F14&lt;&gt;Settings!$B$6,"CHECK unit",IF(OR(AND(M14="Credit",E14&lt;=0),AND(M14="Debit",E14&gt;=0)),"CHECK sign",IF(D14="Reversal",IF(OR(J14="",COUNTIF($A$5:$A$3000,J14)=0),"CHECK reversal link",IF(E14&lt;&gt;-INDEX($E$5:$E$3000,MATCH(J14,$A$5:$A$3000,0)),"CHECK reversal amount","OK")),IF(AND(D14="Adjustment",K14&lt;&gt;"",COUNTIF($A$5:$A$3000,J14)=0),"CHECK correction link","OK")))))</f>
        <v>OK</v>
      </c>
      <c r="R14" s="40" t="n">
        <f aca="false">INT(C14)</f>
        <v>46267</v>
      </c>
    </row>
    <row r="15" customFormat="false" ht="15" hidden="false" customHeight="false" outlineLevel="0" collapsed="false">
      <c r="A15" s="28" t="s">
        <v>329</v>
      </c>
      <c r="B15" s="28" t="s">
        <v>242</v>
      </c>
      <c r="C15" s="35" t="n">
        <v>46267.9659722222</v>
      </c>
      <c r="D15" s="28" t="s">
        <v>308</v>
      </c>
      <c r="E15" s="38" t="n">
        <v>150</v>
      </c>
      <c r="F15" s="28" t="s">
        <v>225</v>
      </c>
      <c r="G15" s="28" t="s">
        <v>309</v>
      </c>
      <c r="H15" s="28" t="s">
        <v>310</v>
      </c>
      <c r="I15" s="28" t="s">
        <v>330</v>
      </c>
      <c r="J15" s="28"/>
      <c r="K15" s="28"/>
      <c r="L15" s="36" t="str">
        <f aca="false">IFERROR(INDEX(Transaction_Types!$B$5:$B$20,MATCH(D15,Transaction_Types!$A$5:$A$20,0)),"Not in catalogue")</f>
        <v>Supported</v>
      </c>
      <c r="M15" s="36" t="str">
        <f aca="false">IFERROR(INDEX(Transaction_Types!$C$5:$C$20,MATCH(D15,Transaction_Types!$A$5:$A$20,0)),"")</f>
        <v>Credit</v>
      </c>
      <c r="N15" s="39" t="n">
        <f aca="false">IF(G15="Posted",E15,0)</f>
        <v>150</v>
      </c>
      <c r="O15" s="36" t="n">
        <f aca="false">COUNTIFS($J$5:$J$3000,A15,$K$5:$K$3000,"Reverses")</f>
        <v>0</v>
      </c>
      <c r="P15" s="39" t="n">
        <f aca="false">IF(K15&lt;&gt;"","",IF(G15="Posted",E15+SUMIFS($N$5:$N$3000,$J$5:$J$3000,A15),0))</f>
        <v>150</v>
      </c>
      <c r="Q15" s="36" t="str">
        <f aca="false">IF(L15="Not in catalogue","CHECK type",IF(F15&lt;&gt;Settings!$B$6,"CHECK unit",IF(OR(AND(M15="Credit",E15&lt;=0),AND(M15="Debit",E15&gt;=0)),"CHECK sign",IF(D15="Reversal",IF(OR(J15="",COUNTIF($A$5:$A$3000,J15)=0),"CHECK reversal link",IF(E15&lt;&gt;-INDEX($E$5:$E$3000,MATCH(J15,$A$5:$A$3000,0)),"CHECK reversal amount","OK")),IF(AND(D15="Adjustment",K15&lt;&gt;"",COUNTIF($A$5:$A$3000,J15)=0),"CHECK correction link","OK")))))</f>
        <v>OK</v>
      </c>
      <c r="R15" s="40" t="n">
        <f aca="false">INT(C15)</f>
        <v>46267</v>
      </c>
    </row>
    <row r="16" customFormat="false" ht="15" hidden="false" customHeight="false" outlineLevel="0" collapsed="false">
      <c r="A16" s="28" t="s">
        <v>331</v>
      </c>
      <c r="B16" s="28" t="s">
        <v>265</v>
      </c>
      <c r="C16" s="35" t="n">
        <v>46268.0583333333</v>
      </c>
      <c r="D16" s="28" t="s">
        <v>308</v>
      </c>
      <c r="E16" s="38" t="n">
        <v>150</v>
      </c>
      <c r="F16" s="28" t="s">
        <v>225</v>
      </c>
      <c r="G16" s="28" t="s">
        <v>309</v>
      </c>
      <c r="H16" s="28" t="s">
        <v>310</v>
      </c>
      <c r="I16" s="28" t="s">
        <v>332</v>
      </c>
      <c r="J16" s="28"/>
      <c r="K16" s="28"/>
      <c r="L16" s="36" t="str">
        <f aca="false">IFERROR(INDEX(Transaction_Types!$B$5:$B$20,MATCH(D16,Transaction_Types!$A$5:$A$20,0)),"Not in catalogue")</f>
        <v>Supported</v>
      </c>
      <c r="M16" s="36" t="str">
        <f aca="false">IFERROR(INDEX(Transaction_Types!$C$5:$C$20,MATCH(D16,Transaction_Types!$A$5:$A$20,0)),"")</f>
        <v>Credit</v>
      </c>
      <c r="N16" s="39" t="n">
        <f aca="false">IF(G16="Posted",E16,0)</f>
        <v>150</v>
      </c>
      <c r="O16" s="36" t="n">
        <f aca="false">COUNTIFS($J$5:$J$3000,A16,$K$5:$K$3000,"Reverses")</f>
        <v>0</v>
      </c>
      <c r="P16" s="39" t="n">
        <f aca="false">IF(K16&lt;&gt;"","",IF(G16="Posted",E16+SUMIFS($N$5:$N$3000,$J$5:$J$3000,A16),0))</f>
        <v>150</v>
      </c>
      <c r="Q16" s="36" t="str">
        <f aca="false">IF(L16="Not in catalogue","CHECK type",IF(F16&lt;&gt;Settings!$B$6,"CHECK unit",IF(OR(AND(M16="Credit",E16&lt;=0),AND(M16="Debit",E16&gt;=0)),"CHECK sign",IF(D16="Reversal",IF(OR(J16="",COUNTIF($A$5:$A$3000,J16)=0),"CHECK reversal link",IF(E16&lt;&gt;-INDEX($E$5:$E$3000,MATCH(J16,$A$5:$A$3000,0)),"CHECK reversal amount","OK")),IF(AND(D16="Adjustment",K16&lt;&gt;"",COUNTIF($A$5:$A$3000,J16)=0),"CHECK correction link","OK")))))</f>
        <v>OK</v>
      </c>
      <c r="R16" s="40" t="n">
        <f aca="false">INT(C16)</f>
        <v>46268</v>
      </c>
    </row>
    <row r="17" customFormat="false" ht="15" hidden="false" customHeight="false" outlineLevel="0" collapsed="false">
      <c r="A17" s="28" t="s">
        <v>333</v>
      </c>
      <c r="B17" s="28" t="s">
        <v>231</v>
      </c>
      <c r="C17" s="35" t="n">
        <v>46268.1270833333</v>
      </c>
      <c r="D17" s="28" t="s">
        <v>308</v>
      </c>
      <c r="E17" s="38" t="n">
        <v>400</v>
      </c>
      <c r="F17" s="28" t="s">
        <v>225</v>
      </c>
      <c r="G17" s="28" t="s">
        <v>309</v>
      </c>
      <c r="H17" s="28" t="s">
        <v>316</v>
      </c>
      <c r="I17" s="28" t="s">
        <v>334</v>
      </c>
      <c r="J17" s="28"/>
      <c r="K17" s="28"/>
      <c r="L17" s="36" t="str">
        <f aca="false">IFERROR(INDEX(Transaction_Types!$B$5:$B$20,MATCH(D17,Transaction_Types!$A$5:$A$20,0)),"Not in catalogue")</f>
        <v>Supported</v>
      </c>
      <c r="M17" s="36" t="str">
        <f aca="false">IFERROR(INDEX(Transaction_Types!$C$5:$C$20,MATCH(D17,Transaction_Types!$A$5:$A$20,0)),"")</f>
        <v>Credit</v>
      </c>
      <c r="N17" s="39" t="n">
        <f aca="false">IF(G17="Posted",E17,0)</f>
        <v>400</v>
      </c>
      <c r="O17" s="36" t="n">
        <f aca="false">COUNTIFS($J$5:$J$3000,A17,$K$5:$K$3000,"Reverses")</f>
        <v>0</v>
      </c>
      <c r="P17" s="39" t="n">
        <f aca="false">IF(K17&lt;&gt;"","",IF(G17="Posted",E17+SUMIFS($N$5:$N$3000,$J$5:$J$3000,A17),0))</f>
        <v>400</v>
      </c>
      <c r="Q17" s="36" t="str">
        <f aca="false">IF(L17="Not in catalogue","CHECK type",IF(F17&lt;&gt;Settings!$B$6,"CHECK unit",IF(OR(AND(M17="Credit",E17&lt;=0),AND(M17="Debit",E17&gt;=0)),"CHECK sign",IF(D17="Reversal",IF(OR(J17="",COUNTIF($A$5:$A$3000,J17)=0),"CHECK reversal link",IF(E17&lt;&gt;-INDEX($E$5:$E$3000,MATCH(J17,$A$5:$A$3000,0)),"CHECK reversal amount","OK")),IF(AND(D17="Adjustment",K17&lt;&gt;"",COUNTIF($A$5:$A$3000,J17)=0),"CHECK correction link","OK")))))</f>
        <v>OK</v>
      </c>
      <c r="R17" s="40" t="n">
        <f aca="false">INT(C17)</f>
        <v>46268</v>
      </c>
    </row>
    <row r="18" customFormat="false" ht="15" hidden="false" customHeight="false" outlineLevel="0" collapsed="false">
      <c r="A18" s="28" t="s">
        <v>335</v>
      </c>
      <c r="B18" s="28" t="s">
        <v>254</v>
      </c>
      <c r="C18" s="35" t="n">
        <v>46268.2284722222</v>
      </c>
      <c r="D18" s="28" t="s">
        <v>308</v>
      </c>
      <c r="E18" s="38" t="n">
        <v>300</v>
      </c>
      <c r="F18" s="28" t="s">
        <v>225</v>
      </c>
      <c r="G18" s="28" t="s">
        <v>309</v>
      </c>
      <c r="H18" s="28" t="s">
        <v>313</v>
      </c>
      <c r="I18" s="28" t="s">
        <v>314</v>
      </c>
      <c r="J18" s="28"/>
      <c r="K18" s="28"/>
      <c r="L18" s="36" t="str">
        <f aca="false">IFERROR(INDEX(Transaction_Types!$B$5:$B$20,MATCH(D18,Transaction_Types!$A$5:$A$20,0)),"Not in catalogue")</f>
        <v>Supported</v>
      </c>
      <c r="M18" s="36" t="str">
        <f aca="false">IFERROR(INDEX(Transaction_Types!$C$5:$C$20,MATCH(D18,Transaction_Types!$A$5:$A$20,0)),"")</f>
        <v>Credit</v>
      </c>
      <c r="N18" s="39" t="n">
        <f aca="false">IF(G18="Posted",E18,0)</f>
        <v>300</v>
      </c>
      <c r="O18" s="36" t="n">
        <f aca="false">COUNTIFS($J$5:$J$3000,A18,$K$5:$K$3000,"Reverses")</f>
        <v>0</v>
      </c>
      <c r="P18" s="39" t="n">
        <f aca="false">IF(K18&lt;&gt;"","",IF(G18="Posted",E18+SUMIFS($N$5:$N$3000,$J$5:$J$3000,A18),0))</f>
        <v>300</v>
      </c>
      <c r="Q18" s="36" t="str">
        <f aca="false">IF(L18="Not in catalogue","CHECK type",IF(F18&lt;&gt;Settings!$B$6,"CHECK unit",IF(OR(AND(M18="Credit",E18&lt;=0),AND(M18="Debit",E18&gt;=0)),"CHECK sign",IF(D18="Reversal",IF(OR(J18="",COUNTIF($A$5:$A$3000,J18)=0),"CHECK reversal link",IF(E18&lt;&gt;-INDEX($E$5:$E$3000,MATCH(J18,$A$5:$A$3000,0)),"CHECK reversal amount","OK")),IF(AND(D18="Adjustment",K18&lt;&gt;"",COUNTIF($A$5:$A$3000,J18)=0),"CHECK correction link","OK")))))</f>
        <v>OK</v>
      </c>
      <c r="R18" s="40" t="n">
        <f aca="false">INT(C18)</f>
        <v>46268</v>
      </c>
    </row>
    <row r="19" customFormat="false" ht="15" hidden="false" customHeight="false" outlineLevel="0" collapsed="false">
      <c r="A19" s="28" t="s">
        <v>336</v>
      </c>
      <c r="B19" s="28" t="s">
        <v>287</v>
      </c>
      <c r="C19" s="35" t="n">
        <v>46268.3486111111</v>
      </c>
      <c r="D19" s="28" t="s">
        <v>308</v>
      </c>
      <c r="E19" s="38" t="n">
        <v>200</v>
      </c>
      <c r="F19" s="28" t="s">
        <v>225</v>
      </c>
      <c r="G19" s="28" t="s">
        <v>309</v>
      </c>
      <c r="H19" s="28" t="s">
        <v>316</v>
      </c>
      <c r="I19" s="28" t="s">
        <v>337</v>
      </c>
      <c r="J19" s="28"/>
      <c r="K19" s="28"/>
      <c r="L19" s="36" t="str">
        <f aca="false">IFERROR(INDEX(Transaction_Types!$B$5:$B$20,MATCH(D19,Transaction_Types!$A$5:$A$20,0)),"Not in catalogue")</f>
        <v>Supported</v>
      </c>
      <c r="M19" s="36" t="str">
        <f aca="false">IFERROR(INDEX(Transaction_Types!$C$5:$C$20,MATCH(D19,Transaction_Types!$A$5:$A$20,0)),"")</f>
        <v>Credit</v>
      </c>
      <c r="N19" s="39" t="n">
        <f aca="false">IF(G19="Posted",E19,0)</f>
        <v>200</v>
      </c>
      <c r="O19" s="36" t="n">
        <f aca="false">COUNTIFS($J$5:$J$3000,A19,$K$5:$K$3000,"Reverses")</f>
        <v>0</v>
      </c>
      <c r="P19" s="39" t="n">
        <f aca="false">IF(K19&lt;&gt;"","",IF(G19="Posted",E19+SUMIFS($N$5:$N$3000,$J$5:$J$3000,A19),0))</f>
        <v>200</v>
      </c>
      <c r="Q19" s="36" t="str">
        <f aca="false">IF(L19="Not in catalogue","CHECK type",IF(F19&lt;&gt;Settings!$B$6,"CHECK unit",IF(OR(AND(M19="Credit",E19&lt;=0),AND(M19="Debit",E19&gt;=0)),"CHECK sign",IF(D19="Reversal",IF(OR(J19="",COUNTIF($A$5:$A$3000,J19)=0),"CHECK reversal link",IF(E19&lt;&gt;-INDEX($E$5:$E$3000,MATCH(J19,$A$5:$A$3000,0)),"CHECK reversal amount","OK")),IF(AND(D19="Adjustment",K19&lt;&gt;"",COUNTIF($A$5:$A$3000,J19)=0),"CHECK correction link","OK")))))</f>
        <v>OK</v>
      </c>
      <c r="R19" s="40" t="n">
        <f aca="false">INT(C19)</f>
        <v>46268</v>
      </c>
    </row>
    <row r="20" customFormat="false" ht="15" hidden="false" customHeight="false" outlineLevel="0" collapsed="false">
      <c r="A20" s="28" t="s">
        <v>338</v>
      </c>
      <c r="B20" s="28" t="s">
        <v>234</v>
      </c>
      <c r="C20" s="35" t="n">
        <v>46268.3923611111</v>
      </c>
      <c r="D20" s="28" t="s">
        <v>308</v>
      </c>
      <c r="E20" s="38" t="n">
        <v>300</v>
      </c>
      <c r="F20" s="28" t="s">
        <v>225</v>
      </c>
      <c r="G20" s="28" t="s">
        <v>309</v>
      </c>
      <c r="H20" s="28" t="s">
        <v>310</v>
      </c>
      <c r="I20" s="28" t="s">
        <v>339</v>
      </c>
      <c r="J20" s="28"/>
      <c r="K20" s="28"/>
      <c r="L20" s="36" t="str">
        <f aca="false">IFERROR(INDEX(Transaction_Types!$B$5:$B$20,MATCH(D20,Transaction_Types!$A$5:$A$20,0)),"Not in catalogue")</f>
        <v>Supported</v>
      </c>
      <c r="M20" s="36" t="str">
        <f aca="false">IFERROR(INDEX(Transaction_Types!$C$5:$C$20,MATCH(D20,Transaction_Types!$A$5:$A$20,0)),"")</f>
        <v>Credit</v>
      </c>
      <c r="N20" s="39" t="n">
        <f aca="false">IF(G20="Posted",E20,0)</f>
        <v>300</v>
      </c>
      <c r="O20" s="36" t="n">
        <f aca="false">COUNTIFS($J$5:$J$3000,A20,$K$5:$K$3000,"Reverses")</f>
        <v>0</v>
      </c>
      <c r="P20" s="39" t="n">
        <f aca="false">IF(K20&lt;&gt;"","",IF(G20="Posted",E20+SUMIFS($N$5:$N$3000,$J$5:$J$3000,A20),0))</f>
        <v>300</v>
      </c>
      <c r="Q20" s="36" t="str">
        <f aca="false">IF(L20="Not in catalogue","CHECK type",IF(F20&lt;&gt;Settings!$B$6,"CHECK unit",IF(OR(AND(M20="Credit",E20&lt;=0),AND(M20="Debit",E20&gt;=0)),"CHECK sign",IF(D20="Reversal",IF(OR(J20="",COUNTIF($A$5:$A$3000,J20)=0),"CHECK reversal link",IF(E20&lt;&gt;-INDEX($E$5:$E$3000,MATCH(J20,$A$5:$A$3000,0)),"CHECK reversal amount","OK")),IF(AND(D20="Adjustment",K20&lt;&gt;"",COUNTIF($A$5:$A$3000,J20)=0),"CHECK correction link","OK")))))</f>
        <v>OK</v>
      </c>
      <c r="R20" s="40" t="n">
        <f aca="false">INT(C20)</f>
        <v>46268</v>
      </c>
    </row>
    <row r="21" customFormat="false" ht="15" hidden="false" customHeight="false" outlineLevel="0" collapsed="false">
      <c r="A21" s="28" t="s">
        <v>340</v>
      </c>
      <c r="B21" s="28" t="s">
        <v>236</v>
      </c>
      <c r="C21" s="35" t="n">
        <v>46268.6180555556</v>
      </c>
      <c r="D21" s="28" t="s">
        <v>308</v>
      </c>
      <c r="E21" s="38" t="n">
        <v>150</v>
      </c>
      <c r="F21" s="28" t="s">
        <v>225</v>
      </c>
      <c r="G21" s="28" t="s">
        <v>309</v>
      </c>
      <c r="H21" s="28" t="s">
        <v>316</v>
      </c>
      <c r="I21" s="28" t="s">
        <v>341</v>
      </c>
      <c r="J21" s="28"/>
      <c r="K21" s="28"/>
      <c r="L21" s="36" t="str">
        <f aca="false">IFERROR(INDEX(Transaction_Types!$B$5:$B$20,MATCH(D21,Transaction_Types!$A$5:$A$20,0)),"Not in catalogue")</f>
        <v>Supported</v>
      </c>
      <c r="M21" s="36" t="str">
        <f aca="false">IFERROR(INDEX(Transaction_Types!$C$5:$C$20,MATCH(D21,Transaction_Types!$A$5:$A$20,0)),"")</f>
        <v>Credit</v>
      </c>
      <c r="N21" s="39" t="n">
        <f aca="false">IF(G21="Posted",E21,0)</f>
        <v>150</v>
      </c>
      <c r="O21" s="36" t="n">
        <f aca="false">COUNTIFS($J$5:$J$3000,A21,$K$5:$K$3000,"Reverses")</f>
        <v>0</v>
      </c>
      <c r="P21" s="39" t="n">
        <f aca="false">IF(K21&lt;&gt;"","",IF(G21="Posted",E21+SUMIFS($N$5:$N$3000,$J$5:$J$3000,A21),0))</f>
        <v>150</v>
      </c>
      <c r="Q21" s="36" t="str">
        <f aca="false">IF(L21="Not in catalogue","CHECK type",IF(F21&lt;&gt;Settings!$B$6,"CHECK unit",IF(OR(AND(M21="Credit",E21&lt;=0),AND(M21="Debit",E21&gt;=0)),"CHECK sign",IF(D21="Reversal",IF(OR(J21="",COUNTIF($A$5:$A$3000,J21)=0),"CHECK reversal link",IF(E21&lt;&gt;-INDEX($E$5:$E$3000,MATCH(J21,$A$5:$A$3000,0)),"CHECK reversal amount","OK")),IF(AND(D21="Adjustment",K21&lt;&gt;"",COUNTIF($A$5:$A$3000,J21)=0),"CHECK correction link","OK")))))</f>
        <v>OK</v>
      </c>
      <c r="R21" s="40" t="n">
        <f aca="false">INT(C21)</f>
        <v>46268</v>
      </c>
    </row>
    <row r="22" customFormat="false" ht="15" hidden="false" customHeight="false" outlineLevel="0" collapsed="false">
      <c r="A22" s="28" t="s">
        <v>342</v>
      </c>
      <c r="B22" s="28" t="s">
        <v>263</v>
      </c>
      <c r="C22" s="35" t="n">
        <v>46268.6395833333</v>
      </c>
      <c r="D22" s="28" t="s">
        <v>308</v>
      </c>
      <c r="E22" s="38" t="n">
        <v>150</v>
      </c>
      <c r="F22" s="28" t="s">
        <v>225</v>
      </c>
      <c r="G22" s="28" t="s">
        <v>309</v>
      </c>
      <c r="H22" s="28" t="s">
        <v>313</v>
      </c>
      <c r="I22" s="28" t="s">
        <v>314</v>
      </c>
      <c r="J22" s="28"/>
      <c r="K22" s="28"/>
      <c r="L22" s="36" t="str">
        <f aca="false">IFERROR(INDEX(Transaction_Types!$B$5:$B$20,MATCH(D22,Transaction_Types!$A$5:$A$20,0)),"Not in catalogue")</f>
        <v>Supported</v>
      </c>
      <c r="M22" s="36" t="str">
        <f aca="false">IFERROR(INDEX(Transaction_Types!$C$5:$C$20,MATCH(D22,Transaction_Types!$A$5:$A$20,0)),"")</f>
        <v>Credit</v>
      </c>
      <c r="N22" s="39" t="n">
        <f aca="false">IF(G22="Posted",E22,0)</f>
        <v>150</v>
      </c>
      <c r="O22" s="36" t="n">
        <f aca="false">COUNTIFS($J$5:$J$3000,A22,$K$5:$K$3000,"Reverses")</f>
        <v>0</v>
      </c>
      <c r="P22" s="39" t="n">
        <f aca="false">IF(K22&lt;&gt;"","",IF(G22="Posted",E22+SUMIFS($N$5:$N$3000,$J$5:$J$3000,A22),0))</f>
        <v>150</v>
      </c>
      <c r="Q22" s="36" t="str">
        <f aca="false">IF(L22="Not in catalogue","CHECK type",IF(F22&lt;&gt;Settings!$B$6,"CHECK unit",IF(OR(AND(M22="Credit",E22&lt;=0),AND(M22="Debit",E22&gt;=0)),"CHECK sign",IF(D22="Reversal",IF(OR(J22="",COUNTIF($A$5:$A$3000,J22)=0),"CHECK reversal link",IF(E22&lt;&gt;-INDEX($E$5:$E$3000,MATCH(J22,$A$5:$A$3000,0)),"CHECK reversal amount","OK")),IF(AND(D22="Adjustment",K22&lt;&gt;"",COUNTIF($A$5:$A$3000,J22)=0),"CHECK correction link","OK")))))</f>
        <v>OK</v>
      </c>
      <c r="R22" s="40" t="n">
        <f aca="false">INT(C22)</f>
        <v>46268</v>
      </c>
    </row>
    <row r="23" customFormat="false" ht="15" hidden="false" customHeight="false" outlineLevel="0" collapsed="false">
      <c r="A23" s="28" t="s">
        <v>343</v>
      </c>
      <c r="B23" s="28" t="s">
        <v>263</v>
      </c>
      <c r="C23" s="35" t="n">
        <v>46268.7125</v>
      </c>
      <c r="D23" s="28" t="s">
        <v>308</v>
      </c>
      <c r="E23" s="38" t="n">
        <v>250</v>
      </c>
      <c r="F23" s="28" t="s">
        <v>225</v>
      </c>
      <c r="G23" s="28" t="s">
        <v>309</v>
      </c>
      <c r="H23" s="28" t="s">
        <v>316</v>
      </c>
      <c r="I23" s="28" t="s">
        <v>344</v>
      </c>
      <c r="J23" s="28"/>
      <c r="K23" s="28"/>
      <c r="L23" s="36" t="str">
        <f aca="false">IFERROR(INDEX(Transaction_Types!$B$5:$B$20,MATCH(D23,Transaction_Types!$A$5:$A$20,0)),"Not in catalogue")</f>
        <v>Supported</v>
      </c>
      <c r="M23" s="36" t="str">
        <f aca="false">IFERROR(INDEX(Transaction_Types!$C$5:$C$20,MATCH(D23,Transaction_Types!$A$5:$A$20,0)),"")</f>
        <v>Credit</v>
      </c>
      <c r="N23" s="39" t="n">
        <f aca="false">IF(G23="Posted",E23,0)</f>
        <v>250</v>
      </c>
      <c r="O23" s="36" t="n">
        <f aca="false">COUNTIFS($J$5:$J$3000,A23,$K$5:$K$3000,"Reverses")</f>
        <v>0</v>
      </c>
      <c r="P23" s="39" t="n">
        <f aca="false">IF(K23&lt;&gt;"","",IF(G23="Posted",E23+SUMIFS($N$5:$N$3000,$J$5:$J$3000,A23),0))</f>
        <v>250</v>
      </c>
      <c r="Q23" s="36" t="str">
        <f aca="false">IF(L23="Not in catalogue","CHECK type",IF(F23&lt;&gt;Settings!$B$6,"CHECK unit",IF(OR(AND(M23="Credit",E23&lt;=0),AND(M23="Debit",E23&gt;=0)),"CHECK sign",IF(D23="Reversal",IF(OR(J23="",COUNTIF($A$5:$A$3000,J23)=0),"CHECK reversal link",IF(E23&lt;&gt;-INDEX($E$5:$E$3000,MATCH(J23,$A$5:$A$3000,0)),"CHECK reversal amount","OK")),IF(AND(D23="Adjustment",K23&lt;&gt;"",COUNTIF($A$5:$A$3000,J23)=0),"CHECK correction link","OK")))))</f>
        <v>OK</v>
      </c>
      <c r="R23" s="40" t="n">
        <f aca="false">INT(C23)</f>
        <v>46268</v>
      </c>
    </row>
    <row r="24" customFormat="false" ht="15" hidden="false" customHeight="false" outlineLevel="0" collapsed="false">
      <c r="A24" s="28" t="s">
        <v>345</v>
      </c>
      <c r="B24" s="28" t="s">
        <v>231</v>
      </c>
      <c r="C24" s="35" t="n">
        <v>46269.1902777778</v>
      </c>
      <c r="D24" s="28" t="s">
        <v>308</v>
      </c>
      <c r="E24" s="38" t="n">
        <v>300</v>
      </c>
      <c r="F24" s="28" t="s">
        <v>225</v>
      </c>
      <c r="G24" s="28" t="s">
        <v>309</v>
      </c>
      <c r="H24" s="28" t="s">
        <v>316</v>
      </c>
      <c r="I24" s="28" t="s">
        <v>346</v>
      </c>
      <c r="J24" s="28"/>
      <c r="K24" s="28"/>
      <c r="L24" s="36" t="str">
        <f aca="false">IFERROR(INDEX(Transaction_Types!$B$5:$B$20,MATCH(D24,Transaction_Types!$A$5:$A$20,0)),"Not in catalogue")</f>
        <v>Supported</v>
      </c>
      <c r="M24" s="36" t="str">
        <f aca="false">IFERROR(INDEX(Transaction_Types!$C$5:$C$20,MATCH(D24,Transaction_Types!$A$5:$A$20,0)),"")</f>
        <v>Credit</v>
      </c>
      <c r="N24" s="39" t="n">
        <f aca="false">IF(G24="Posted",E24,0)</f>
        <v>300</v>
      </c>
      <c r="O24" s="36" t="n">
        <f aca="false">COUNTIFS($J$5:$J$3000,A24,$K$5:$K$3000,"Reverses")</f>
        <v>0</v>
      </c>
      <c r="P24" s="39" t="n">
        <f aca="false">IF(K24&lt;&gt;"","",IF(G24="Posted",E24+SUMIFS($N$5:$N$3000,$J$5:$J$3000,A24),0))</f>
        <v>300</v>
      </c>
      <c r="Q24" s="36" t="str">
        <f aca="false">IF(L24="Not in catalogue","CHECK type",IF(F24&lt;&gt;Settings!$B$6,"CHECK unit",IF(OR(AND(M24="Credit",E24&lt;=0),AND(M24="Debit",E24&gt;=0)),"CHECK sign",IF(D24="Reversal",IF(OR(J24="",COUNTIF($A$5:$A$3000,J24)=0),"CHECK reversal link",IF(E24&lt;&gt;-INDEX($E$5:$E$3000,MATCH(J24,$A$5:$A$3000,0)),"CHECK reversal amount","OK")),IF(AND(D24="Adjustment",K24&lt;&gt;"",COUNTIF($A$5:$A$3000,J24)=0),"CHECK correction link","OK")))))</f>
        <v>OK</v>
      </c>
      <c r="R24" s="40" t="n">
        <f aca="false">INT(C24)</f>
        <v>46269</v>
      </c>
    </row>
    <row r="25" customFormat="false" ht="15" hidden="false" customHeight="false" outlineLevel="0" collapsed="false">
      <c r="A25" s="28" t="s">
        <v>347</v>
      </c>
      <c r="B25" s="28" t="s">
        <v>224</v>
      </c>
      <c r="C25" s="35" t="n">
        <v>46269.33125</v>
      </c>
      <c r="D25" s="28" t="s">
        <v>308</v>
      </c>
      <c r="E25" s="38" t="n">
        <v>250</v>
      </c>
      <c r="F25" s="28" t="s">
        <v>225</v>
      </c>
      <c r="G25" s="28" t="s">
        <v>309</v>
      </c>
      <c r="H25" s="28" t="s">
        <v>310</v>
      </c>
      <c r="I25" s="28" t="s">
        <v>348</v>
      </c>
      <c r="J25" s="28"/>
      <c r="K25" s="28"/>
      <c r="L25" s="36" t="str">
        <f aca="false">IFERROR(INDEX(Transaction_Types!$B$5:$B$20,MATCH(D25,Transaction_Types!$A$5:$A$20,0)),"Not in catalogue")</f>
        <v>Supported</v>
      </c>
      <c r="M25" s="36" t="str">
        <f aca="false">IFERROR(INDEX(Transaction_Types!$C$5:$C$20,MATCH(D25,Transaction_Types!$A$5:$A$20,0)),"")</f>
        <v>Credit</v>
      </c>
      <c r="N25" s="39" t="n">
        <f aca="false">IF(G25="Posted",E25,0)</f>
        <v>250</v>
      </c>
      <c r="O25" s="36" t="n">
        <f aca="false">COUNTIFS($J$5:$J$3000,A25,$K$5:$K$3000,"Reverses")</f>
        <v>0</v>
      </c>
      <c r="P25" s="39" t="n">
        <f aca="false">IF(K25&lt;&gt;"","",IF(G25="Posted",E25+SUMIFS($N$5:$N$3000,$J$5:$J$3000,A25),0))</f>
        <v>250</v>
      </c>
      <c r="Q25" s="36" t="str">
        <f aca="false">IF(L25="Not in catalogue","CHECK type",IF(F25&lt;&gt;Settings!$B$6,"CHECK unit",IF(OR(AND(M25="Credit",E25&lt;=0),AND(M25="Debit",E25&gt;=0)),"CHECK sign",IF(D25="Reversal",IF(OR(J25="",COUNTIF($A$5:$A$3000,J25)=0),"CHECK reversal link",IF(E25&lt;&gt;-INDEX($E$5:$E$3000,MATCH(J25,$A$5:$A$3000,0)),"CHECK reversal amount","OK")),IF(AND(D25="Adjustment",K25&lt;&gt;"",COUNTIF($A$5:$A$3000,J25)=0),"CHECK correction link","OK")))))</f>
        <v>OK</v>
      </c>
      <c r="R25" s="40" t="n">
        <f aca="false">INT(C25)</f>
        <v>46269</v>
      </c>
    </row>
    <row r="26" customFormat="false" ht="15" hidden="false" customHeight="false" outlineLevel="0" collapsed="false">
      <c r="A26" s="28" t="s">
        <v>349</v>
      </c>
      <c r="B26" s="28" t="s">
        <v>231</v>
      </c>
      <c r="C26" s="35" t="n">
        <v>46269.3881944444</v>
      </c>
      <c r="D26" s="28" t="s">
        <v>308</v>
      </c>
      <c r="E26" s="38" t="n">
        <v>150</v>
      </c>
      <c r="F26" s="28" t="s">
        <v>225</v>
      </c>
      <c r="G26" s="28" t="s">
        <v>309</v>
      </c>
      <c r="H26" s="28" t="s">
        <v>316</v>
      </c>
      <c r="I26" s="28" t="s">
        <v>350</v>
      </c>
      <c r="J26" s="28"/>
      <c r="K26" s="28"/>
      <c r="L26" s="36" t="str">
        <f aca="false">IFERROR(INDEX(Transaction_Types!$B$5:$B$20,MATCH(D26,Transaction_Types!$A$5:$A$20,0)),"Not in catalogue")</f>
        <v>Supported</v>
      </c>
      <c r="M26" s="36" t="str">
        <f aca="false">IFERROR(INDEX(Transaction_Types!$C$5:$C$20,MATCH(D26,Transaction_Types!$A$5:$A$20,0)),"")</f>
        <v>Credit</v>
      </c>
      <c r="N26" s="39" t="n">
        <f aca="false">IF(G26="Posted",E26,0)</f>
        <v>150</v>
      </c>
      <c r="O26" s="36" t="n">
        <f aca="false">COUNTIFS($J$5:$J$3000,A26,$K$5:$K$3000,"Reverses")</f>
        <v>0</v>
      </c>
      <c r="P26" s="39" t="n">
        <f aca="false">IF(K26&lt;&gt;"","",IF(G26="Posted",E26+SUMIFS($N$5:$N$3000,$J$5:$J$3000,A26),0))</f>
        <v>150</v>
      </c>
      <c r="Q26" s="36" t="str">
        <f aca="false">IF(L26="Not in catalogue","CHECK type",IF(F26&lt;&gt;Settings!$B$6,"CHECK unit",IF(OR(AND(M26="Credit",E26&lt;=0),AND(M26="Debit",E26&gt;=0)),"CHECK sign",IF(D26="Reversal",IF(OR(J26="",COUNTIF($A$5:$A$3000,J26)=0),"CHECK reversal link",IF(E26&lt;&gt;-INDEX($E$5:$E$3000,MATCH(J26,$A$5:$A$3000,0)),"CHECK reversal amount","OK")),IF(AND(D26="Adjustment",K26&lt;&gt;"",COUNTIF($A$5:$A$3000,J26)=0),"CHECK correction link","OK")))))</f>
        <v>OK</v>
      </c>
      <c r="R26" s="40" t="n">
        <f aca="false">INT(C26)</f>
        <v>46269</v>
      </c>
    </row>
    <row r="27" customFormat="false" ht="15" hidden="false" customHeight="false" outlineLevel="0" collapsed="false">
      <c r="A27" s="28" t="s">
        <v>351</v>
      </c>
      <c r="B27" s="28" t="s">
        <v>231</v>
      </c>
      <c r="C27" s="35" t="n">
        <v>46269.5256944444</v>
      </c>
      <c r="D27" s="28" t="s">
        <v>308</v>
      </c>
      <c r="E27" s="38" t="n">
        <v>200</v>
      </c>
      <c r="F27" s="28" t="s">
        <v>225</v>
      </c>
      <c r="G27" s="28" t="s">
        <v>309</v>
      </c>
      <c r="H27" s="28" t="s">
        <v>316</v>
      </c>
      <c r="I27" s="28" t="s">
        <v>352</v>
      </c>
      <c r="J27" s="28"/>
      <c r="K27" s="28"/>
      <c r="L27" s="36" t="str">
        <f aca="false">IFERROR(INDEX(Transaction_Types!$B$5:$B$20,MATCH(D27,Transaction_Types!$A$5:$A$20,0)),"Not in catalogue")</f>
        <v>Supported</v>
      </c>
      <c r="M27" s="36" t="str">
        <f aca="false">IFERROR(INDEX(Transaction_Types!$C$5:$C$20,MATCH(D27,Transaction_Types!$A$5:$A$20,0)),"")</f>
        <v>Credit</v>
      </c>
      <c r="N27" s="39" t="n">
        <f aca="false">IF(G27="Posted",E27,0)</f>
        <v>200</v>
      </c>
      <c r="O27" s="36" t="n">
        <f aca="false">COUNTIFS($J$5:$J$3000,A27,$K$5:$K$3000,"Reverses")</f>
        <v>0</v>
      </c>
      <c r="P27" s="39" t="n">
        <f aca="false">IF(K27&lt;&gt;"","",IF(G27="Posted",E27+SUMIFS($N$5:$N$3000,$J$5:$J$3000,A27),0))</f>
        <v>200</v>
      </c>
      <c r="Q27" s="36" t="str">
        <f aca="false">IF(L27="Not in catalogue","CHECK type",IF(F27&lt;&gt;Settings!$B$6,"CHECK unit",IF(OR(AND(M27="Credit",E27&lt;=0),AND(M27="Debit",E27&gt;=0)),"CHECK sign",IF(D27="Reversal",IF(OR(J27="",COUNTIF($A$5:$A$3000,J27)=0),"CHECK reversal link",IF(E27&lt;&gt;-INDEX($E$5:$E$3000,MATCH(J27,$A$5:$A$3000,0)),"CHECK reversal amount","OK")),IF(AND(D27="Adjustment",K27&lt;&gt;"",COUNTIF($A$5:$A$3000,J27)=0),"CHECK correction link","OK")))))</f>
        <v>OK</v>
      </c>
      <c r="R27" s="40" t="n">
        <f aca="false">INT(C27)</f>
        <v>46269</v>
      </c>
    </row>
    <row r="28" customFormat="false" ht="15" hidden="false" customHeight="false" outlineLevel="0" collapsed="false">
      <c r="A28" s="28" t="s">
        <v>353</v>
      </c>
      <c r="B28" s="28" t="s">
        <v>227</v>
      </c>
      <c r="C28" s="35" t="n">
        <v>46269.6652777778</v>
      </c>
      <c r="D28" s="28" t="s">
        <v>308</v>
      </c>
      <c r="E28" s="38" t="n">
        <v>150</v>
      </c>
      <c r="F28" s="28" t="s">
        <v>225</v>
      </c>
      <c r="G28" s="28" t="s">
        <v>309</v>
      </c>
      <c r="H28" s="28" t="s">
        <v>310</v>
      </c>
      <c r="I28" s="28" t="s">
        <v>354</v>
      </c>
      <c r="J28" s="28"/>
      <c r="K28" s="28"/>
      <c r="L28" s="36" t="str">
        <f aca="false">IFERROR(INDEX(Transaction_Types!$B$5:$B$20,MATCH(D28,Transaction_Types!$A$5:$A$20,0)),"Not in catalogue")</f>
        <v>Supported</v>
      </c>
      <c r="M28" s="36" t="str">
        <f aca="false">IFERROR(INDEX(Transaction_Types!$C$5:$C$20,MATCH(D28,Transaction_Types!$A$5:$A$20,0)),"")</f>
        <v>Credit</v>
      </c>
      <c r="N28" s="39" t="n">
        <f aca="false">IF(G28="Posted",E28,0)</f>
        <v>150</v>
      </c>
      <c r="O28" s="36" t="n">
        <f aca="false">COUNTIFS($J$5:$J$3000,A28,$K$5:$K$3000,"Reverses")</f>
        <v>0</v>
      </c>
      <c r="P28" s="39" t="n">
        <f aca="false">IF(K28&lt;&gt;"","",IF(G28="Posted",E28+SUMIFS($N$5:$N$3000,$J$5:$J$3000,A28),0))</f>
        <v>150</v>
      </c>
      <c r="Q28" s="36" t="str">
        <f aca="false">IF(L28="Not in catalogue","CHECK type",IF(F28&lt;&gt;Settings!$B$6,"CHECK unit",IF(OR(AND(M28="Credit",E28&lt;=0),AND(M28="Debit",E28&gt;=0)),"CHECK sign",IF(D28="Reversal",IF(OR(J28="",COUNTIF($A$5:$A$3000,J28)=0),"CHECK reversal link",IF(E28&lt;&gt;-INDEX($E$5:$E$3000,MATCH(J28,$A$5:$A$3000,0)),"CHECK reversal amount","OK")),IF(AND(D28="Adjustment",K28&lt;&gt;"",COUNTIF($A$5:$A$3000,J28)=0),"CHECK correction link","OK")))))</f>
        <v>OK</v>
      </c>
      <c r="R28" s="40" t="n">
        <f aca="false">INT(C28)</f>
        <v>46269</v>
      </c>
    </row>
    <row r="29" customFormat="false" ht="15" hidden="false" customHeight="false" outlineLevel="0" collapsed="false">
      <c r="A29" s="28" t="s">
        <v>355</v>
      </c>
      <c r="B29" s="28" t="s">
        <v>229</v>
      </c>
      <c r="C29" s="35" t="n">
        <v>46269.6666666667</v>
      </c>
      <c r="D29" s="28" t="s">
        <v>308</v>
      </c>
      <c r="E29" s="38" t="n">
        <v>250</v>
      </c>
      <c r="F29" s="28" t="s">
        <v>225</v>
      </c>
      <c r="G29" s="28" t="s">
        <v>309</v>
      </c>
      <c r="H29" s="28" t="s">
        <v>310</v>
      </c>
      <c r="I29" s="28" t="s">
        <v>356</v>
      </c>
      <c r="J29" s="28"/>
      <c r="K29" s="28"/>
      <c r="L29" s="36" t="str">
        <f aca="false">IFERROR(INDEX(Transaction_Types!$B$5:$B$20,MATCH(D29,Transaction_Types!$A$5:$A$20,0)),"Not in catalogue")</f>
        <v>Supported</v>
      </c>
      <c r="M29" s="36" t="str">
        <f aca="false">IFERROR(INDEX(Transaction_Types!$C$5:$C$20,MATCH(D29,Transaction_Types!$A$5:$A$20,0)),"")</f>
        <v>Credit</v>
      </c>
      <c r="N29" s="39" t="n">
        <f aca="false">IF(G29="Posted",E29,0)</f>
        <v>250</v>
      </c>
      <c r="O29" s="36" t="n">
        <f aca="false">COUNTIFS($J$5:$J$3000,A29,$K$5:$K$3000,"Reverses")</f>
        <v>0</v>
      </c>
      <c r="P29" s="39" t="n">
        <f aca="false">IF(K29&lt;&gt;"","",IF(G29="Posted",E29+SUMIFS($N$5:$N$3000,$J$5:$J$3000,A29),0))</f>
        <v>250</v>
      </c>
      <c r="Q29" s="36" t="str">
        <f aca="false">IF(L29="Not in catalogue","CHECK type",IF(F29&lt;&gt;Settings!$B$6,"CHECK unit",IF(OR(AND(M29="Credit",E29&lt;=0),AND(M29="Debit",E29&gt;=0)),"CHECK sign",IF(D29="Reversal",IF(OR(J29="",COUNTIF($A$5:$A$3000,J29)=0),"CHECK reversal link",IF(E29&lt;&gt;-INDEX($E$5:$E$3000,MATCH(J29,$A$5:$A$3000,0)),"CHECK reversal amount","OK")),IF(AND(D29="Adjustment",K29&lt;&gt;"",COUNTIF($A$5:$A$3000,J29)=0),"CHECK correction link","OK")))))</f>
        <v>OK</v>
      </c>
      <c r="R29" s="40" t="n">
        <f aca="false">INT(C29)</f>
        <v>46269</v>
      </c>
    </row>
    <row r="30" customFormat="false" ht="15" hidden="false" customHeight="false" outlineLevel="0" collapsed="false">
      <c r="A30" s="28" t="s">
        <v>357</v>
      </c>
      <c r="B30" s="28" t="s">
        <v>227</v>
      </c>
      <c r="C30" s="35" t="n">
        <v>46269.8583333333</v>
      </c>
      <c r="D30" s="28" t="s">
        <v>308</v>
      </c>
      <c r="E30" s="38" t="n">
        <v>100</v>
      </c>
      <c r="F30" s="28" t="s">
        <v>225</v>
      </c>
      <c r="G30" s="28" t="s">
        <v>309</v>
      </c>
      <c r="H30" s="28" t="s">
        <v>316</v>
      </c>
      <c r="I30" s="28" t="s">
        <v>358</v>
      </c>
      <c r="J30" s="28"/>
      <c r="K30" s="28"/>
      <c r="L30" s="36" t="str">
        <f aca="false">IFERROR(INDEX(Transaction_Types!$B$5:$B$20,MATCH(D30,Transaction_Types!$A$5:$A$20,0)),"Not in catalogue")</f>
        <v>Supported</v>
      </c>
      <c r="M30" s="36" t="str">
        <f aca="false">IFERROR(INDEX(Transaction_Types!$C$5:$C$20,MATCH(D30,Transaction_Types!$A$5:$A$20,0)),"")</f>
        <v>Credit</v>
      </c>
      <c r="N30" s="39" t="n">
        <f aca="false">IF(G30="Posted",E30,0)</f>
        <v>100</v>
      </c>
      <c r="O30" s="36" t="n">
        <f aca="false">COUNTIFS($J$5:$J$3000,A30,$K$5:$K$3000,"Reverses")</f>
        <v>0</v>
      </c>
      <c r="P30" s="39" t="n">
        <f aca="false">IF(K30&lt;&gt;"","",IF(G30="Posted",E30+SUMIFS($N$5:$N$3000,$J$5:$J$3000,A30),0))</f>
        <v>100</v>
      </c>
      <c r="Q30" s="36" t="str">
        <f aca="false">IF(L30="Not in catalogue","CHECK type",IF(F30&lt;&gt;Settings!$B$6,"CHECK unit",IF(OR(AND(M30="Credit",E30&lt;=0),AND(M30="Debit",E30&gt;=0)),"CHECK sign",IF(D30="Reversal",IF(OR(J30="",COUNTIF($A$5:$A$3000,J30)=0),"CHECK reversal link",IF(E30&lt;&gt;-INDEX($E$5:$E$3000,MATCH(J30,$A$5:$A$3000,0)),"CHECK reversal amount","OK")),IF(AND(D30="Adjustment",K30&lt;&gt;"",COUNTIF($A$5:$A$3000,J30)=0),"CHECK correction link","OK")))))</f>
        <v>OK</v>
      </c>
      <c r="R30" s="40" t="n">
        <f aca="false">INT(C30)</f>
        <v>46269</v>
      </c>
    </row>
    <row r="31" customFormat="false" ht="15" hidden="false" customHeight="false" outlineLevel="0" collapsed="false">
      <c r="A31" s="28" t="s">
        <v>359</v>
      </c>
      <c r="B31" s="28" t="s">
        <v>263</v>
      </c>
      <c r="C31" s="35" t="n">
        <v>46269.9111111111</v>
      </c>
      <c r="D31" s="28" t="s">
        <v>308</v>
      </c>
      <c r="E31" s="38" t="n">
        <v>100</v>
      </c>
      <c r="F31" s="28" t="s">
        <v>225</v>
      </c>
      <c r="G31" s="28" t="s">
        <v>309</v>
      </c>
      <c r="H31" s="28" t="s">
        <v>310</v>
      </c>
      <c r="I31" s="28" t="s">
        <v>360</v>
      </c>
      <c r="J31" s="28"/>
      <c r="K31" s="28"/>
      <c r="L31" s="36" t="str">
        <f aca="false">IFERROR(INDEX(Transaction_Types!$B$5:$B$20,MATCH(D31,Transaction_Types!$A$5:$A$20,0)),"Not in catalogue")</f>
        <v>Supported</v>
      </c>
      <c r="M31" s="36" t="str">
        <f aca="false">IFERROR(INDEX(Transaction_Types!$C$5:$C$20,MATCH(D31,Transaction_Types!$A$5:$A$20,0)),"")</f>
        <v>Credit</v>
      </c>
      <c r="N31" s="39" t="n">
        <f aca="false">IF(G31="Posted",E31,0)</f>
        <v>100</v>
      </c>
      <c r="O31" s="36" t="n">
        <f aca="false">COUNTIFS($J$5:$J$3000,A31,$K$5:$K$3000,"Reverses")</f>
        <v>0</v>
      </c>
      <c r="P31" s="39" t="n">
        <f aca="false">IF(K31&lt;&gt;"","",IF(G31="Posted",E31+SUMIFS($N$5:$N$3000,$J$5:$J$3000,A31),0))</f>
        <v>100</v>
      </c>
      <c r="Q31" s="36" t="str">
        <f aca="false">IF(L31="Not in catalogue","CHECK type",IF(F31&lt;&gt;Settings!$B$6,"CHECK unit",IF(OR(AND(M31="Credit",E31&lt;=0),AND(M31="Debit",E31&gt;=0)),"CHECK sign",IF(D31="Reversal",IF(OR(J31="",COUNTIF($A$5:$A$3000,J31)=0),"CHECK reversal link",IF(E31&lt;&gt;-INDEX($E$5:$E$3000,MATCH(J31,$A$5:$A$3000,0)),"CHECK reversal amount","OK")),IF(AND(D31="Adjustment",K31&lt;&gt;"",COUNTIF($A$5:$A$3000,J31)=0),"CHECK correction link","OK")))))</f>
        <v>OK</v>
      </c>
      <c r="R31" s="40" t="n">
        <f aca="false">INT(C31)</f>
        <v>46269</v>
      </c>
    </row>
    <row r="32" customFormat="false" ht="15" hidden="false" customHeight="false" outlineLevel="0" collapsed="false">
      <c r="A32" s="28" t="s">
        <v>361</v>
      </c>
      <c r="B32" s="28" t="s">
        <v>265</v>
      </c>
      <c r="C32" s="35" t="n">
        <v>46270.0847222222</v>
      </c>
      <c r="D32" s="28" t="s">
        <v>308</v>
      </c>
      <c r="E32" s="38" t="n">
        <v>300</v>
      </c>
      <c r="F32" s="28" t="s">
        <v>225</v>
      </c>
      <c r="G32" s="28" t="s">
        <v>309</v>
      </c>
      <c r="H32" s="28" t="s">
        <v>310</v>
      </c>
      <c r="I32" s="28" t="s">
        <v>362</v>
      </c>
      <c r="J32" s="28"/>
      <c r="K32" s="28"/>
      <c r="L32" s="36" t="str">
        <f aca="false">IFERROR(INDEX(Transaction_Types!$B$5:$B$20,MATCH(D32,Transaction_Types!$A$5:$A$20,0)),"Not in catalogue")</f>
        <v>Supported</v>
      </c>
      <c r="M32" s="36" t="str">
        <f aca="false">IFERROR(INDEX(Transaction_Types!$C$5:$C$20,MATCH(D32,Transaction_Types!$A$5:$A$20,0)),"")</f>
        <v>Credit</v>
      </c>
      <c r="N32" s="39" t="n">
        <f aca="false">IF(G32="Posted",E32,0)</f>
        <v>300</v>
      </c>
      <c r="O32" s="36" t="n">
        <f aca="false">COUNTIFS($J$5:$J$3000,A32,$K$5:$K$3000,"Reverses")</f>
        <v>0</v>
      </c>
      <c r="P32" s="39" t="n">
        <f aca="false">IF(K32&lt;&gt;"","",IF(G32="Posted",E32+SUMIFS($N$5:$N$3000,$J$5:$J$3000,A32),0))</f>
        <v>300</v>
      </c>
      <c r="Q32" s="36" t="str">
        <f aca="false">IF(L32="Not in catalogue","CHECK type",IF(F32&lt;&gt;Settings!$B$6,"CHECK unit",IF(OR(AND(M32="Credit",E32&lt;=0),AND(M32="Debit",E32&gt;=0)),"CHECK sign",IF(D32="Reversal",IF(OR(J32="",COUNTIF($A$5:$A$3000,J32)=0),"CHECK reversal link",IF(E32&lt;&gt;-INDEX($E$5:$E$3000,MATCH(J32,$A$5:$A$3000,0)),"CHECK reversal amount","OK")),IF(AND(D32="Adjustment",K32&lt;&gt;"",COUNTIF($A$5:$A$3000,J32)=0),"CHECK correction link","OK")))))</f>
        <v>OK</v>
      </c>
      <c r="R32" s="40" t="n">
        <f aca="false">INT(C32)</f>
        <v>46270</v>
      </c>
    </row>
    <row r="33" customFormat="false" ht="15" hidden="false" customHeight="false" outlineLevel="0" collapsed="false">
      <c r="A33" s="28" t="s">
        <v>363</v>
      </c>
      <c r="B33" s="28" t="s">
        <v>263</v>
      </c>
      <c r="C33" s="35" t="n">
        <v>46270.1277777778</v>
      </c>
      <c r="D33" s="28" t="s">
        <v>308</v>
      </c>
      <c r="E33" s="38" t="n">
        <v>100</v>
      </c>
      <c r="F33" s="28" t="s">
        <v>225</v>
      </c>
      <c r="G33" s="28" t="s">
        <v>309</v>
      </c>
      <c r="H33" s="28" t="s">
        <v>316</v>
      </c>
      <c r="I33" s="28" t="s">
        <v>364</v>
      </c>
      <c r="J33" s="28"/>
      <c r="K33" s="28"/>
      <c r="L33" s="36" t="str">
        <f aca="false">IFERROR(INDEX(Transaction_Types!$B$5:$B$20,MATCH(D33,Transaction_Types!$A$5:$A$20,0)),"Not in catalogue")</f>
        <v>Supported</v>
      </c>
      <c r="M33" s="36" t="str">
        <f aca="false">IFERROR(INDEX(Transaction_Types!$C$5:$C$20,MATCH(D33,Transaction_Types!$A$5:$A$20,0)),"")</f>
        <v>Credit</v>
      </c>
      <c r="N33" s="39" t="n">
        <f aca="false">IF(G33="Posted",E33,0)</f>
        <v>100</v>
      </c>
      <c r="O33" s="36" t="n">
        <f aca="false">COUNTIFS($J$5:$J$3000,A33,$K$5:$K$3000,"Reverses")</f>
        <v>0</v>
      </c>
      <c r="P33" s="39" t="n">
        <f aca="false">IF(K33&lt;&gt;"","",IF(G33="Posted",E33+SUMIFS($N$5:$N$3000,$J$5:$J$3000,A33),0))</f>
        <v>100</v>
      </c>
      <c r="Q33" s="36" t="str">
        <f aca="false">IF(L33="Not in catalogue","CHECK type",IF(F33&lt;&gt;Settings!$B$6,"CHECK unit",IF(OR(AND(M33="Credit",E33&lt;=0),AND(M33="Debit",E33&gt;=0)),"CHECK sign",IF(D33="Reversal",IF(OR(J33="",COUNTIF($A$5:$A$3000,J33)=0),"CHECK reversal link",IF(E33&lt;&gt;-INDEX($E$5:$E$3000,MATCH(J33,$A$5:$A$3000,0)),"CHECK reversal amount","OK")),IF(AND(D33="Adjustment",K33&lt;&gt;"",COUNTIF($A$5:$A$3000,J33)=0),"CHECK correction link","OK")))))</f>
        <v>OK</v>
      </c>
      <c r="R33" s="40" t="n">
        <f aca="false">INT(C33)</f>
        <v>46270</v>
      </c>
    </row>
    <row r="34" customFormat="false" ht="15" hidden="false" customHeight="false" outlineLevel="0" collapsed="false">
      <c r="A34" s="28" t="s">
        <v>365</v>
      </c>
      <c r="B34" s="28" t="s">
        <v>275</v>
      </c>
      <c r="C34" s="35" t="n">
        <v>46270.1284722222</v>
      </c>
      <c r="D34" s="28" t="s">
        <v>308</v>
      </c>
      <c r="E34" s="38" t="n">
        <v>300</v>
      </c>
      <c r="F34" s="28" t="s">
        <v>225</v>
      </c>
      <c r="G34" s="28" t="s">
        <v>309</v>
      </c>
      <c r="H34" s="28" t="s">
        <v>310</v>
      </c>
      <c r="I34" s="28" t="s">
        <v>366</v>
      </c>
      <c r="J34" s="28"/>
      <c r="K34" s="28"/>
      <c r="L34" s="36" t="str">
        <f aca="false">IFERROR(INDEX(Transaction_Types!$B$5:$B$20,MATCH(D34,Transaction_Types!$A$5:$A$20,0)),"Not in catalogue")</f>
        <v>Supported</v>
      </c>
      <c r="M34" s="36" t="str">
        <f aca="false">IFERROR(INDEX(Transaction_Types!$C$5:$C$20,MATCH(D34,Transaction_Types!$A$5:$A$20,0)),"")</f>
        <v>Credit</v>
      </c>
      <c r="N34" s="39" t="n">
        <f aca="false">IF(G34="Posted",E34,0)</f>
        <v>300</v>
      </c>
      <c r="O34" s="36" t="n">
        <f aca="false">COUNTIFS($J$5:$J$3000,A34,$K$5:$K$3000,"Reverses")</f>
        <v>0</v>
      </c>
      <c r="P34" s="39" t="n">
        <f aca="false">IF(K34&lt;&gt;"","",IF(G34="Posted",E34+SUMIFS($N$5:$N$3000,$J$5:$J$3000,A34),0))</f>
        <v>300</v>
      </c>
      <c r="Q34" s="36" t="str">
        <f aca="false">IF(L34="Not in catalogue","CHECK type",IF(F34&lt;&gt;Settings!$B$6,"CHECK unit",IF(OR(AND(M34="Credit",E34&lt;=0),AND(M34="Debit",E34&gt;=0)),"CHECK sign",IF(D34="Reversal",IF(OR(J34="",COUNTIF($A$5:$A$3000,J34)=0),"CHECK reversal link",IF(E34&lt;&gt;-INDEX($E$5:$E$3000,MATCH(J34,$A$5:$A$3000,0)),"CHECK reversal amount","OK")),IF(AND(D34="Adjustment",K34&lt;&gt;"",COUNTIF($A$5:$A$3000,J34)=0),"CHECK correction link","OK")))))</f>
        <v>OK</v>
      </c>
      <c r="R34" s="40" t="n">
        <f aca="false">INT(C34)</f>
        <v>46270</v>
      </c>
    </row>
    <row r="35" customFormat="false" ht="15" hidden="false" customHeight="false" outlineLevel="0" collapsed="false">
      <c r="A35" s="28" t="s">
        <v>367</v>
      </c>
      <c r="B35" s="28" t="s">
        <v>368</v>
      </c>
      <c r="C35" s="35" t="n">
        <v>46270.1416666667</v>
      </c>
      <c r="D35" s="28" t="s">
        <v>308</v>
      </c>
      <c r="E35" s="38" t="n">
        <v>200</v>
      </c>
      <c r="F35" s="28" t="s">
        <v>225</v>
      </c>
      <c r="G35" s="28" t="s">
        <v>309</v>
      </c>
      <c r="H35" s="28" t="s">
        <v>316</v>
      </c>
      <c r="I35" s="28" t="s">
        <v>369</v>
      </c>
      <c r="J35" s="28"/>
      <c r="K35" s="28"/>
      <c r="L35" s="36" t="str">
        <f aca="false">IFERROR(INDEX(Transaction_Types!$B$5:$B$20,MATCH(D35,Transaction_Types!$A$5:$A$20,0)),"Not in catalogue")</f>
        <v>Supported</v>
      </c>
      <c r="M35" s="36" t="str">
        <f aca="false">IFERROR(INDEX(Transaction_Types!$C$5:$C$20,MATCH(D35,Transaction_Types!$A$5:$A$20,0)),"")</f>
        <v>Credit</v>
      </c>
      <c r="N35" s="39" t="n">
        <f aca="false">IF(G35="Posted",E35,0)</f>
        <v>200</v>
      </c>
      <c r="O35" s="36" t="n">
        <f aca="false">COUNTIFS($J$5:$J$3000,A35,$K$5:$K$3000,"Reverses")</f>
        <v>0</v>
      </c>
      <c r="P35" s="39" t="n">
        <f aca="false">IF(K35&lt;&gt;"","",IF(G35="Posted",E35+SUMIFS($N$5:$N$3000,$J$5:$J$3000,A35),0))</f>
        <v>200</v>
      </c>
      <c r="Q35" s="36" t="str">
        <f aca="false">IF(L35="Not in catalogue","CHECK type",IF(F35&lt;&gt;Settings!$B$6,"CHECK unit",IF(OR(AND(M35="Credit",E35&lt;=0),AND(M35="Debit",E35&gt;=0)),"CHECK sign",IF(D35="Reversal",IF(OR(J35="",COUNTIF($A$5:$A$3000,J35)=0),"CHECK reversal link",IF(E35&lt;&gt;-INDEX($E$5:$E$3000,MATCH(J35,$A$5:$A$3000,0)),"CHECK reversal amount","OK")),IF(AND(D35="Adjustment",K35&lt;&gt;"",COUNTIF($A$5:$A$3000,J35)=0),"CHECK correction link","OK")))))</f>
        <v>OK</v>
      </c>
      <c r="R35" s="40" t="n">
        <f aca="false">INT(C35)</f>
        <v>46270</v>
      </c>
    </row>
    <row r="36" customFormat="false" ht="15" hidden="false" customHeight="false" outlineLevel="0" collapsed="false">
      <c r="A36" s="28" t="s">
        <v>370</v>
      </c>
      <c r="B36" s="28" t="s">
        <v>275</v>
      </c>
      <c r="C36" s="35" t="n">
        <v>46270.2138888889</v>
      </c>
      <c r="D36" s="28" t="s">
        <v>308</v>
      </c>
      <c r="E36" s="38" t="n">
        <v>150</v>
      </c>
      <c r="F36" s="28" t="s">
        <v>225</v>
      </c>
      <c r="G36" s="28" t="s">
        <v>309</v>
      </c>
      <c r="H36" s="28" t="s">
        <v>310</v>
      </c>
      <c r="I36" s="28" t="s">
        <v>371</v>
      </c>
      <c r="J36" s="28"/>
      <c r="K36" s="28"/>
      <c r="L36" s="36" t="str">
        <f aca="false">IFERROR(INDEX(Transaction_Types!$B$5:$B$20,MATCH(D36,Transaction_Types!$A$5:$A$20,0)),"Not in catalogue")</f>
        <v>Supported</v>
      </c>
      <c r="M36" s="36" t="str">
        <f aca="false">IFERROR(INDEX(Transaction_Types!$C$5:$C$20,MATCH(D36,Transaction_Types!$A$5:$A$20,0)),"")</f>
        <v>Credit</v>
      </c>
      <c r="N36" s="39" t="n">
        <f aca="false">IF(G36="Posted",E36,0)</f>
        <v>150</v>
      </c>
      <c r="O36" s="36" t="n">
        <f aca="false">COUNTIFS($J$5:$J$3000,A36,$K$5:$K$3000,"Reverses")</f>
        <v>0</v>
      </c>
      <c r="P36" s="39" t="n">
        <f aca="false">IF(K36&lt;&gt;"","",IF(G36="Posted",E36+SUMIFS($N$5:$N$3000,$J$5:$J$3000,A36),0))</f>
        <v>150</v>
      </c>
      <c r="Q36" s="36" t="str">
        <f aca="false">IF(L36="Not in catalogue","CHECK type",IF(F36&lt;&gt;Settings!$B$6,"CHECK unit",IF(OR(AND(M36="Credit",E36&lt;=0),AND(M36="Debit",E36&gt;=0)),"CHECK sign",IF(D36="Reversal",IF(OR(J36="",COUNTIF($A$5:$A$3000,J36)=0),"CHECK reversal link",IF(E36&lt;&gt;-INDEX($E$5:$E$3000,MATCH(J36,$A$5:$A$3000,0)),"CHECK reversal amount","OK")),IF(AND(D36="Adjustment",K36&lt;&gt;"",COUNTIF($A$5:$A$3000,J36)=0),"CHECK correction link","OK")))))</f>
        <v>OK</v>
      </c>
      <c r="R36" s="40" t="n">
        <f aca="false">INT(C36)</f>
        <v>46270</v>
      </c>
    </row>
    <row r="37" customFormat="false" ht="15" hidden="false" customHeight="false" outlineLevel="0" collapsed="false">
      <c r="A37" s="28" t="s">
        <v>372</v>
      </c>
      <c r="B37" s="28" t="s">
        <v>224</v>
      </c>
      <c r="C37" s="35" t="n">
        <v>46270.2590277778</v>
      </c>
      <c r="D37" s="28" t="s">
        <v>308</v>
      </c>
      <c r="E37" s="38" t="n">
        <v>250</v>
      </c>
      <c r="F37" s="28" t="s">
        <v>225</v>
      </c>
      <c r="G37" s="28" t="s">
        <v>309</v>
      </c>
      <c r="H37" s="28" t="s">
        <v>313</v>
      </c>
      <c r="I37" s="28" t="s">
        <v>314</v>
      </c>
      <c r="J37" s="28"/>
      <c r="K37" s="28"/>
      <c r="L37" s="36" t="str">
        <f aca="false">IFERROR(INDEX(Transaction_Types!$B$5:$B$20,MATCH(D37,Transaction_Types!$A$5:$A$20,0)),"Not in catalogue")</f>
        <v>Supported</v>
      </c>
      <c r="M37" s="36" t="str">
        <f aca="false">IFERROR(INDEX(Transaction_Types!$C$5:$C$20,MATCH(D37,Transaction_Types!$A$5:$A$20,0)),"")</f>
        <v>Credit</v>
      </c>
      <c r="N37" s="39" t="n">
        <f aca="false">IF(G37="Posted",E37,0)</f>
        <v>250</v>
      </c>
      <c r="O37" s="36" t="n">
        <f aca="false">COUNTIFS($J$5:$J$3000,A37,$K$5:$K$3000,"Reverses")</f>
        <v>0</v>
      </c>
      <c r="P37" s="39" t="n">
        <f aca="false">IF(K37&lt;&gt;"","",IF(G37="Posted",E37+SUMIFS($N$5:$N$3000,$J$5:$J$3000,A37),0))</f>
        <v>250</v>
      </c>
      <c r="Q37" s="36" t="str">
        <f aca="false">IF(L37="Not in catalogue","CHECK type",IF(F37&lt;&gt;Settings!$B$6,"CHECK unit",IF(OR(AND(M37="Credit",E37&lt;=0),AND(M37="Debit",E37&gt;=0)),"CHECK sign",IF(D37="Reversal",IF(OR(J37="",COUNTIF($A$5:$A$3000,J37)=0),"CHECK reversal link",IF(E37&lt;&gt;-INDEX($E$5:$E$3000,MATCH(J37,$A$5:$A$3000,0)),"CHECK reversal amount","OK")),IF(AND(D37="Adjustment",K37&lt;&gt;"",COUNTIF($A$5:$A$3000,J37)=0),"CHECK correction link","OK")))))</f>
        <v>OK</v>
      </c>
      <c r="R37" s="40" t="n">
        <f aca="false">INT(C37)</f>
        <v>46270</v>
      </c>
    </row>
    <row r="38" customFormat="false" ht="15" hidden="false" customHeight="false" outlineLevel="0" collapsed="false">
      <c r="A38" s="28" t="s">
        <v>373</v>
      </c>
      <c r="B38" s="28" t="s">
        <v>263</v>
      </c>
      <c r="C38" s="35" t="n">
        <v>46270.4340277778</v>
      </c>
      <c r="D38" s="28" t="s">
        <v>308</v>
      </c>
      <c r="E38" s="38" t="n">
        <v>100</v>
      </c>
      <c r="F38" s="28" t="s">
        <v>225</v>
      </c>
      <c r="G38" s="28" t="s">
        <v>309</v>
      </c>
      <c r="H38" s="28" t="s">
        <v>310</v>
      </c>
      <c r="I38" s="28" t="s">
        <v>374</v>
      </c>
      <c r="J38" s="28"/>
      <c r="K38" s="28"/>
      <c r="L38" s="36" t="str">
        <f aca="false">IFERROR(INDEX(Transaction_Types!$B$5:$B$20,MATCH(D38,Transaction_Types!$A$5:$A$20,0)),"Not in catalogue")</f>
        <v>Supported</v>
      </c>
      <c r="M38" s="36" t="str">
        <f aca="false">IFERROR(INDEX(Transaction_Types!$C$5:$C$20,MATCH(D38,Transaction_Types!$A$5:$A$20,0)),"")</f>
        <v>Credit</v>
      </c>
      <c r="N38" s="39" t="n">
        <f aca="false">IF(G38="Posted",E38,0)</f>
        <v>100</v>
      </c>
      <c r="O38" s="36" t="n">
        <f aca="false">COUNTIFS($J$5:$J$3000,A38,$K$5:$K$3000,"Reverses")</f>
        <v>0</v>
      </c>
      <c r="P38" s="39" t="n">
        <f aca="false">IF(K38&lt;&gt;"","",IF(G38="Posted",E38+SUMIFS($N$5:$N$3000,$J$5:$J$3000,A38),0))</f>
        <v>100</v>
      </c>
      <c r="Q38" s="36" t="str">
        <f aca="false">IF(L38="Not in catalogue","CHECK type",IF(F38&lt;&gt;Settings!$B$6,"CHECK unit",IF(OR(AND(M38="Credit",E38&lt;=0),AND(M38="Debit",E38&gt;=0)),"CHECK sign",IF(D38="Reversal",IF(OR(J38="",COUNTIF($A$5:$A$3000,J38)=0),"CHECK reversal link",IF(E38&lt;&gt;-INDEX($E$5:$E$3000,MATCH(J38,$A$5:$A$3000,0)),"CHECK reversal amount","OK")),IF(AND(D38="Adjustment",K38&lt;&gt;"",COUNTIF($A$5:$A$3000,J38)=0),"CHECK correction link","OK")))))</f>
        <v>OK</v>
      </c>
      <c r="R38" s="40" t="n">
        <f aca="false">INT(C38)</f>
        <v>46270</v>
      </c>
    </row>
    <row r="39" customFormat="false" ht="15" hidden="false" customHeight="false" outlineLevel="0" collapsed="false">
      <c r="A39" s="28" t="s">
        <v>375</v>
      </c>
      <c r="B39" s="28" t="s">
        <v>239</v>
      </c>
      <c r="C39" s="35" t="n">
        <v>46270.8284722222</v>
      </c>
      <c r="D39" s="28" t="s">
        <v>308</v>
      </c>
      <c r="E39" s="38" t="n">
        <v>100</v>
      </c>
      <c r="F39" s="28" t="s">
        <v>225</v>
      </c>
      <c r="G39" s="28" t="s">
        <v>309</v>
      </c>
      <c r="H39" s="28" t="s">
        <v>313</v>
      </c>
      <c r="I39" s="28" t="s">
        <v>314</v>
      </c>
      <c r="J39" s="28"/>
      <c r="K39" s="28"/>
      <c r="L39" s="36" t="str">
        <f aca="false">IFERROR(INDEX(Transaction_Types!$B$5:$B$20,MATCH(D39,Transaction_Types!$A$5:$A$20,0)),"Not in catalogue")</f>
        <v>Supported</v>
      </c>
      <c r="M39" s="36" t="str">
        <f aca="false">IFERROR(INDEX(Transaction_Types!$C$5:$C$20,MATCH(D39,Transaction_Types!$A$5:$A$20,0)),"")</f>
        <v>Credit</v>
      </c>
      <c r="N39" s="39" t="n">
        <f aca="false">IF(G39="Posted",E39,0)</f>
        <v>100</v>
      </c>
      <c r="O39" s="36" t="n">
        <f aca="false">COUNTIFS($J$5:$J$3000,A39,$K$5:$K$3000,"Reverses")</f>
        <v>0</v>
      </c>
      <c r="P39" s="39" t="n">
        <f aca="false">IF(K39&lt;&gt;"","",IF(G39="Posted",E39+SUMIFS($N$5:$N$3000,$J$5:$J$3000,A39),0))</f>
        <v>100</v>
      </c>
      <c r="Q39" s="36" t="str">
        <f aca="false">IF(L39="Not in catalogue","CHECK type",IF(F39&lt;&gt;Settings!$B$6,"CHECK unit",IF(OR(AND(M39="Credit",E39&lt;=0),AND(M39="Debit",E39&gt;=0)),"CHECK sign",IF(D39="Reversal",IF(OR(J39="",COUNTIF($A$5:$A$3000,J39)=0),"CHECK reversal link",IF(E39&lt;&gt;-INDEX($E$5:$E$3000,MATCH(J39,$A$5:$A$3000,0)),"CHECK reversal amount","OK")),IF(AND(D39="Adjustment",K39&lt;&gt;"",COUNTIF($A$5:$A$3000,J39)=0),"CHECK correction link","OK")))))</f>
        <v>OK</v>
      </c>
      <c r="R39" s="40" t="n">
        <f aca="false">INT(C39)</f>
        <v>46270</v>
      </c>
    </row>
    <row r="40" customFormat="false" ht="15" hidden="false" customHeight="false" outlineLevel="0" collapsed="false">
      <c r="A40" s="28" t="s">
        <v>376</v>
      </c>
      <c r="B40" s="28" t="s">
        <v>249</v>
      </c>
      <c r="C40" s="35" t="n">
        <v>46270.9555555556</v>
      </c>
      <c r="D40" s="28" t="s">
        <v>308</v>
      </c>
      <c r="E40" s="38" t="n">
        <v>400</v>
      </c>
      <c r="F40" s="28" t="s">
        <v>225</v>
      </c>
      <c r="G40" s="28" t="s">
        <v>309</v>
      </c>
      <c r="H40" s="28" t="s">
        <v>313</v>
      </c>
      <c r="I40" s="28" t="s">
        <v>314</v>
      </c>
      <c r="J40" s="28"/>
      <c r="K40" s="28"/>
      <c r="L40" s="36" t="str">
        <f aca="false">IFERROR(INDEX(Transaction_Types!$B$5:$B$20,MATCH(D40,Transaction_Types!$A$5:$A$20,0)),"Not in catalogue")</f>
        <v>Supported</v>
      </c>
      <c r="M40" s="36" t="str">
        <f aca="false">IFERROR(INDEX(Transaction_Types!$C$5:$C$20,MATCH(D40,Transaction_Types!$A$5:$A$20,0)),"")</f>
        <v>Credit</v>
      </c>
      <c r="N40" s="39" t="n">
        <f aca="false">IF(G40="Posted",E40,0)</f>
        <v>400</v>
      </c>
      <c r="O40" s="36" t="n">
        <f aca="false">COUNTIFS($J$5:$J$3000,A40,$K$5:$K$3000,"Reverses")</f>
        <v>0</v>
      </c>
      <c r="P40" s="39" t="n">
        <f aca="false">IF(K40&lt;&gt;"","",IF(G40="Posted",E40+SUMIFS($N$5:$N$3000,$J$5:$J$3000,A40),0))</f>
        <v>400</v>
      </c>
      <c r="Q40" s="36" t="str">
        <f aca="false">IF(L40="Not in catalogue","CHECK type",IF(F40&lt;&gt;Settings!$B$6,"CHECK unit",IF(OR(AND(M40="Credit",E40&lt;=0),AND(M40="Debit",E40&gt;=0)),"CHECK sign",IF(D40="Reversal",IF(OR(J40="",COUNTIF($A$5:$A$3000,J40)=0),"CHECK reversal link",IF(E40&lt;&gt;-INDEX($E$5:$E$3000,MATCH(J40,$A$5:$A$3000,0)),"CHECK reversal amount","OK")),IF(AND(D40="Adjustment",K40&lt;&gt;"",COUNTIF($A$5:$A$3000,J40)=0),"CHECK correction link","OK")))))</f>
        <v>OK</v>
      </c>
      <c r="R40" s="40" t="n">
        <f aca="false">INT(C40)</f>
        <v>46270</v>
      </c>
    </row>
    <row r="41" customFormat="false" ht="15" hidden="false" customHeight="false" outlineLevel="0" collapsed="false">
      <c r="A41" s="28" t="s">
        <v>377</v>
      </c>
      <c r="B41" s="28" t="s">
        <v>289</v>
      </c>
      <c r="C41" s="35" t="n">
        <v>46271.1277777778</v>
      </c>
      <c r="D41" s="28" t="s">
        <v>308</v>
      </c>
      <c r="E41" s="38" t="n">
        <v>150</v>
      </c>
      <c r="F41" s="28" t="s">
        <v>225</v>
      </c>
      <c r="G41" s="28" t="s">
        <v>309</v>
      </c>
      <c r="H41" s="28" t="s">
        <v>316</v>
      </c>
      <c r="I41" s="28" t="s">
        <v>378</v>
      </c>
      <c r="J41" s="28"/>
      <c r="K41" s="28"/>
      <c r="L41" s="36" t="str">
        <f aca="false">IFERROR(INDEX(Transaction_Types!$B$5:$B$20,MATCH(D41,Transaction_Types!$A$5:$A$20,0)),"Not in catalogue")</f>
        <v>Supported</v>
      </c>
      <c r="M41" s="36" t="str">
        <f aca="false">IFERROR(INDEX(Transaction_Types!$C$5:$C$20,MATCH(D41,Transaction_Types!$A$5:$A$20,0)),"")</f>
        <v>Credit</v>
      </c>
      <c r="N41" s="39" t="n">
        <f aca="false">IF(G41="Posted",E41,0)</f>
        <v>150</v>
      </c>
      <c r="O41" s="36" t="n">
        <f aca="false">COUNTIFS($J$5:$J$3000,A41,$K$5:$K$3000,"Reverses")</f>
        <v>0</v>
      </c>
      <c r="P41" s="39" t="n">
        <f aca="false">IF(K41&lt;&gt;"","",IF(G41="Posted",E41+SUMIFS($N$5:$N$3000,$J$5:$J$3000,A41),0))</f>
        <v>150</v>
      </c>
      <c r="Q41" s="36" t="str">
        <f aca="false">IF(L41="Not in catalogue","CHECK type",IF(F41&lt;&gt;Settings!$B$6,"CHECK unit",IF(OR(AND(M41="Credit",E41&lt;=0),AND(M41="Debit",E41&gt;=0)),"CHECK sign",IF(D41="Reversal",IF(OR(J41="",COUNTIF($A$5:$A$3000,J41)=0),"CHECK reversal link",IF(E41&lt;&gt;-INDEX($E$5:$E$3000,MATCH(J41,$A$5:$A$3000,0)),"CHECK reversal amount","OK")),IF(AND(D41="Adjustment",K41&lt;&gt;"",COUNTIF($A$5:$A$3000,J41)=0),"CHECK correction link","OK")))))</f>
        <v>OK</v>
      </c>
      <c r="R41" s="40" t="n">
        <f aca="false">INT(C41)</f>
        <v>46271</v>
      </c>
    </row>
    <row r="42" customFormat="false" ht="15" hidden="false" customHeight="false" outlineLevel="0" collapsed="false">
      <c r="A42" s="28" t="s">
        <v>379</v>
      </c>
      <c r="B42" s="28" t="s">
        <v>289</v>
      </c>
      <c r="C42" s="35" t="n">
        <v>46271.3930555556</v>
      </c>
      <c r="D42" s="28" t="s">
        <v>308</v>
      </c>
      <c r="E42" s="38" t="n">
        <v>300</v>
      </c>
      <c r="F42" s="28" t="s">
        <v>225</v>
      </c>
      <c r="G42" s="28" t="s">
        <v>309</v>
      </c>
      <c r="H42" s="28" t="s">
        <v>313</v>
      </c>
      <c r="I42" s="28" t="s">
        <v>314</v>
      </c>
      <c r="J42" s="28"/>
      <c r="K42" s="28"/>
      <c r="L42" s="36" t="str">
        <f aca="false">IFERROR(INDEX(Transaction_Types!$B$5:$B$20,MATCH(D42,Transaction_Types!$A$5:$A$20,0)),"Not in catalogue")</f>
        <v>Supported</v>
      </c>
      <c r="M42" s="36" t="str">
        <f aca="false">IFERROR(INDEX(Transaction_Types!$C$5:$C$20,MATCH(D42,Transaction_Types!$A$5:$A$20,0)),"")</f>
        <v>Credit</v>
      </c>
      <c r="N42" s="39" t="n">
        <f aca="false">IF(G42="Posted",E42,0)</f>
        <v>300</v>
      </c>
      <c r="O42" s="36" t="n">
        <f aca="false">COUNTIFS($J$5:$J$3000,A42,$K$5:$K$3000,"Reverses")</f>
        <v>0</v>
      </c>
      <c r="P42" s="39" t="n">
        <f aca="false">IF(K42&lt;&gt;"","",IF(G42="Posted",E42+SUMIFS($N$5:$N$3000,$J$5:$J$3000,A42),0))</f>
        <v>300</v>
      </c>
      <c r="Q42" s="36" t="str">
        <f aca="false">IF(L42="Not in catalogue","CHECK type",IF(F42&lt;&gt;Settings!$B$6,"CHECK unit",IF(OR(AND(M42="Credit",E42&lt;=0),AND(M42="Debit",E42&gt;=0)),"CHECK sign",IF(D42="Reversal",IF(OR(J42="",COUNTIF($A$5:$A$3000,J42)=0),"CHECK reversal link",IF(E42&lt;&gt;-INDEX($E$5:$E$3000,MATCH(J42,$A$5:$A$3000,0)),"CHECK reversal amount","OK")),IF(AND(D42="Adjustment",K42&lt;&gt;"",COUNTIF($A$5:$A$3000,J42)=0),"CHECK correction link","OK")))))</f>
        <v>OK</v>
      </c>
      <c r="R42" s="40" t="n">
        <f aca="false">INT(C42)</f>
        <v>46271</v>
      </c>
    </row>
    <row r="43" customFormat="false" ht="15" hidden="false" customHeight="false" outlineLevel="0" collapsed="false">
      <c r="A43" s="28" t="s">
        <v>380</v>
      </c>
      <c r="B43" s="28" t="s">
        <v>249</v>
      </c>
      <c r="C43" s="35" t="n">
        <v>46271.7180555556</v>
      </c>
      <c r="D43" s="28" t="s">
        <v>308</v>
      </c>
      <c r="E43" s="38" t="n">
        <v>100</v>
      </c>
      <c r="F43" s="28" t="s">
        <v>225</v>
      </c>
      <c r="G43" s="28" t="s">
        <v>309</v>
      </c>
      <c r="H43" s="28" t="s">
        <v>310</v>
      </c>
      <c r="I43" s="28" t="s">
        <v>381</v>
      </c>
      <c r="J43" s="28"/>
      <c r="K43" s="28"/>
      <c r="L43" s="36" t="str">
        <f aca="false">IFERROR(INDEX(Transaction_Types!$B$5:$B$20,MATCH(D43,Transaction_Types!$A$5:$A$20,0)),"Not in catalogue")</f>
        <v>Supported</v>
      </c>
      <c r="M43" s="36" t="str">
        <f aca="false">IFERROR(INDEX(Transaction_Types!$C$5:$C$20,MATCH(D43,Transaction_Types!$A$5:$A$20,0)),"")</f>
        <v>Credit</v>
      </c>
      <c r="N43" s="39" t="n">
        <f aca="false">IF(G43="Posted",E43,0)</f>
        <v>100</v>
      </c>
      <c r="O43" s="36" t="n">
        <f aca="false">COUNTIFS($J$5:$J$3000,A43,$K$5:$K$3000,"Reverses")</f>
        <v>0</v>
      </c>
      <c r="P43" s="39" t="n">
        <f aca="false">IF(K43&lt;&gt;"","",IF(G43="Posted",E43+SUMIFS($N$5:$N$3000,$J$5:$J$3000,A43),0))</f>
        <v>100</v>
      </c>
      <c r="Q43" s="36" t="str">
        <f aca="false">IF(L43="Not in catalogue","CHECK type",IF(F43&lt;&gt;Settings!$B$6,"CHECK unit",IF(OR(AND(M43="Credit",E43&lt;=0),AND(M43="Debit",E43&gt;=0)),"CHECK sign",IF(D43="Reversal",IF(OR(J43="",COUNTIF($A$5:$A$3000,J43)=0),"CHECK reversal link",IF(E43&lt;&gt;-INDEX($E$5:$E$3000,MATCH(J43,$A$5:$A$3000,0)),"CHECK reversal amount","OK")),IF(AND(D43="Adjustment",K43&lt;&gt;"",COUNTIF($A$5:$A$3000,J43)=0),"CHECK correction link","OK")))))</f>
        <v>OK</v>
      </c>
      <c r="R43" s="40" t="n">
        <f aca="false">INT(C43)</f>
        <v>46271</v>
      </c>
    </row>
    <row r="44" customFormat="false" ht="15" hidden="false" customHeight="false" outlineLevel="0" collapsed="false">
      <c r="A44" s="28" t="s">
        <v>382</v>
      </c>
      <c r="B44" s="28" t="s">
        <v>224</v>
      </c>
      <c r="C44" s="35" t="n">
        <v>46272.1476976422</v>
      </c>
      <c r="D44" s="28" t="s">
        <v>383</v>
      </c>
      <c r="E44" s="38" t="n">
        <v>-800</v>
      </c>
      <c r="F44" s="28" t="s">
        <v>225</v>
      </c>
      <c r="G44" s="28" t="s">
        <v>309</v>
      </c>
      <c r="H44" s="28" t="s">
        <v>384</v>
      </c>
      <c r="I44" s="28" t="s">
        <v>223</v>
      </c>
      <c r="J44" s="28"/>
      <c r="K44" s="28"/>
      <c r="L44" s="36" t="str">
        <f aca="false">IFERROR(INDEX(Transaction_Types!$B$5:$B$20,MATCH(D44,Transaction_Types!$A$5:$A$20,0)),"Not in catalogue")</f>
        <v>Supported</v>
      </c>
      <c r="M44" s="36" t="str">
        <f aca="false">IFERROR(INDEX(Transaction_Types!$C$5:$C$20,MATCH(D44,Transaction_Types!$A$5:$A$20,0)),"")</f>
        <v>Debit</v>
      </c>
      <c r="N44" s="39" t="n">
        <f aca="false">IF(G44="Posted",E44,0)</f>
        <v>-800</v>
      </c>
      <c r="O44" s="36" t="n">
        <f aca="false">COUNTIFS($J$5:$J$3000,A44,$K$5:$K$3000,"Reverses")</f>
        <v>0</v>
      </c>
      <c r="P44" s="39" t="n">
        <f aca="false">IF(K44&lt;&gt;"","",IF(G44="Posted",E44+SUMIFS($N$5:$N$3000,$J$5:$J$3000,A44),0))</f>
        <v>-800</v>
      </c>
      <c r="Q44" s="36" t="str">
        <f aca="false">IF(L44="Not in catalogue","CHECK type",IF(F44&lt;&gt;Settings!$B$6,"CHECK unit",IF(OR(AND(M44="Credit",E44&lt;=0),AND(M44="Debit",E44&gt;=0)),"CHECK sign",IF(D44="Reversal",IF(OR(J44="",COUNTIF($A$5:$A$3000,J44)=0),"CHECK reversal link",IF(E44&lt;&gt;-INDEX($E$5:$E$3000,MATCH(J44,$A$5:$A$3000,0)),"CHECK reversal amount","OK")),IF(AND(D44="Adjustment",K44&lt;&gt;"",COUNTIF($A$5:$A$3000,J44)=0),"CHECK correction link","OK")))))</f>
        <v>OK</v>
      </c>
      <c r="R44" s="40" t="n">
        <f aca="false">INT(C44)</f>
        <v>46272</v>
      </c>
    </row>
    <row r="45" customFormat="false" ht="15" hidden="false" customHeight="false" outlineLevel="0" collapsed="false">
      <c r="A45" s="28" t="s">
        <v>385</v>
      </c>
      <c r="B45" s="28" t="s">
        <v>254</v>
      </c>
      <c r="C45" s="35" t="n">
        <v>46272.30625</v>
      </c>
      <c r="D45" s="28" t="s">
        <v>308</v>
      </c>
      <c r="E45" s="38" t="n">
        <v>200</v>
      </c>
      <c r="F45" s="28" t="s">
        <v>225</v>
      </c>
      <c r="G45" s="28" t="s">
        <v>309</v>
      </c>
      <c r="H45" s="28" t="s">
        <v>316</v>
      </c>
      <c r="I45" s="28" t="s">
        <v>378</v>
      </c>
      <c r="J45" s="28"/>
      <c r="K45" s="28"/>
      <c r="L45" s="36" t="str">
        <f aca="false">IFERROR(INDEX(Transaction_Types!$B$5:$B$20,MATCH(D45,Transaction_Types!$A$5:$A$20,0)),"Not in catalogue")</f>
        <v>Supported</v>
      </c>
      <c r="M45" s="36" t="str">
        <f aca="false">IFERROR(INDEX(Transaction_Types!$C$5:$C$20,MATCH(D45,Transaction_Types!$A$5:$A$20,0)),"")</f>
        <v>Credit</v>
      </c>
      <c r="N45" s="39" t="n">
        <f aca="false">IF(G45="Posted",E45,0)</f>
        <v>200</v>
      </c>
      <c r="O45" s="36" t="n">
        <f aca="false">COUNTIFS($J$5:$J$3000,A45,$K$5:$K$3000,"Reverses")</f>
        <v>0</v>
      </c>
      <c r="P45" s="39" t="n">
        <f aca="false">IF(K45&lt;&gt;"","",IF(G45="Posted",E45+SUMIFS($N$5:$N$3000,$J$5:$J$3000,A45),0))</f>
        <v>200</v>
      </c>
      <c r="Q45" s="36" t="str">
        <f aca="false">IF(L45="Not in catalogue","CHECK type",IF(F45&lt;&gt;Settings!$B$6,"CHECK unit",IF(OR(AND(M45="Credit",E45&lt;=0),AND(M45="Debit",E45&gt;=0)),"CHECK sign",IF(D45="Reversal",IF(OR(J45="",COUNTIF($A$5:$A$3000,J45)=0),"CHECK reversal link",IF(E45&lt;&gt;-INDEX($E$5:$E$3000,MATCH(J45,$A$5:$A$3000,0)),"CHECK reversal amount","OK")),IF(AND(D45="Adjustment",K45&lt;&gt;"",COUNTIF($A$5:$A$3000,J45)=0),"CHECK correction link","OK")))))</f>
        <v>OK</v>
      </c>
      <c r="R45" s="40" t="n">
        <f aca="false">INT(C45)</f>
        <v>46272</v>
      </c>
    </row>
    <row r="46" customFormat="false" ht="15" hidden="false" customHeight="false" outlineLevel="0" collapsed="false">
      <c r="A46" s="28" t="s">
        <v>386</v>
      </c>
      <c r="B46" s="28" t="s">
        <v>239</v>
      </c>
      <c r="C46" s="35" t="n">
        <v>46272.4423611111</v>
      </c>
      <c r="D46" s="28" t="s">
        <v>308</v>
      </c>
      <c r="E46" s="38" t="n">
        <v>400</v>
      </c>
      <c r="F46" s="28" t="s">
        <v>225</v>
      </c>
      <c r="G46" s="28" t="s">
        <v>309</v>
      </c>
      <c r="H46" s="28" t="s">
        <v>310</v>
      </c>
      <c r="I46" s="28" t="s">
        <v>387</v>
      </c>
      <c r="J46" s="28"/>
      <c r="K46" s="28"/>
      <c r="L46" s="36" t="str">
        <f aca="false">IFERROR(INDEX(Transaction_Types!$B$5:$B$20,MATCH(D46,Transaction_Types!$A$5:$A$20,0)),"Not in catalogue")</f>
        <v>Supported</v>
      </c>
      <c r="M46" s="36" t="str">
        <f aca="false">IFERROR(INDEX(Transaction_Types!$C$5:$C$20,MATCH(D46,Transaction_Types!$A$5:$A$20,0)),"")</f>
        <v>Credit</v>
      </c>
      <c r="N46" s="39" t="n">
        <f aca="false">IF(G46="Posted",E46,0)</f>
        <v>400</v>
      </c>
      <c r="O46" s="36" t="n">
        <f aca="false">COUNTIFS($J$5:$J$3000,A46,$K$5:$K$3000,"Reverses")</f>
        <v>0</v>
      </c>
      <c r="P46" s="39" t="n">
        <f aca="false">IF(K46&lt;&gt;"","",IF(G46="Posted",E46+SUMIFS($N$5:$N$3000,$J$5:$J$3000,A46),0))</f>
        <v>400</v>
      </c>
      <c r="Q46" s="36" t="str">
        <f aca="false">IF(L46="Not in catalogue","CHECK type",IF(F46&lt;&gt;Settings!$B$6,"CHECK unit",IF(OR(AND(M46="Credit",E46&lt;=0),AND(M46="Debit",E46&gt;=0)),"CHECK sign",IF(D46="Reversal",IF(OR(J46="",COUNTIF($A$5:$A$3000,J46)=0),"CHECK reversal link",IF(E46&lt;&gt;-INDEX($E$5:$E$3000,MATCH(J46,$A$5:$A$3000,0)),"CHECK reversal amount","OK")),IF(AND(D46="Adjustment",K46&lt;&gt;"",COUNTIF($A$5:$A$3000,J46)=0),"CHECK correction link","OK")))))</f>
        <v>OK</v>
      </c>
      <c r="R46" s="40" t="n">
        <f aca="false">INT(C46)</f>
        <v>46272</v>
      </c>
    </row>
    <row r="47" customFormat="false" ht="15" hidden="false" customHeight="false" outlineLevel="0" collapsed="false">
      <c r="A47" s="28" t="s">
        <v>388</v>
      </c>
      <c r="B47" s="28" t="s">
        <v>246</v>
      </c>
      <c r="C47" s="35" t="n">
        <v>46272.5069444445</v>
      </c>
      <c r="D47" s="28" t="s">
        <v>308</v>
      </c>
      <c r="E47" s="38" t="n">
        <v>150</v>
      </c>
      <c r="F47" s="28" t="s">
        <v>225</v>
      </c>
      <c r="G47" s="28" t="s">
        <v>309</v>
      </c>
      <c r="H47" s="28" t="s">
        <v>310</v>
      </c>
      <c r="I47" s="28" t="s">
        <v>389</v>
      </c>
      <c r="J47" s="28"/>
      <c r="K47" s="28"/>
      <c r="L47" s="36" t="str">
        <f aca="false">IFERROR(INDEX(Transaction_Types!$B$5:$B$20,MATCH(D47,Transaction_Types!$A$5:$A$20,0)),"Not in catalogue")</f>
        <v>Supported</v>
      </c>
      <c r="M47" s="36" t="str">
        <f aca="false">IFERROR(INDEX(Transaction_Types!$C$5:$C$20,MATCH(D47,Transaction_Types!$A$5:$A$20,0)),"")</f>
        <v>Credit</v>
      </c>
      <c r="N47" s="39" t="n">
        <f aca="false">IF(G47="Posted",E47,0)</f>
        <v>150</v>
      </c>
      <c r="O47" s="36" t="n">
        <f aca="false">COUNTIFS($J$5:$J$3000,A47,$K$5:$K$3000,"Reverses")</f>
        <v>0</v>
      </c>
      <c r="P47" s="39" t="n">
        <f aca="false">IF(K47&lt;&gt;"","",IF(G47="Posted",E47+SUMIFS($N$5:$N$3000,$J$5:$J$3000,A47),0))</f>
        <v>150</v>
      </c>
      <c r="Q47" s="36" t="str">
        <f aca="false">IF(L47="Not in catalogue","CHECK type",IF(F47&lt;&gt;Settings!$B$6,"CHECK unit",IF(OR(AND(M47="Credit",E47&lt;=0),AND(M47="Debit",E47&gt;=0)),"CHECK sign",IF(D47="Reversal",IF(OR(J47="",COUNTIF($A$5:$A$3000,J47)=0),"CHECK reversal link",IF(E47&lt;&gt;-INDEX($E$5:$E$3000,MATCH(J47,$A$5:$A$3000,0)),"CHECK reversal amount","OK")),IF(AND(D47="Adjustment",K47&lt;&gt;"",COUNTIF($A$5:$A$3000,J47)=0),"CHECK correction link","OK")))))</f>
        <v>OK</v>
      </c>
      <c r="R47" s="40" t="n">
        <f aca="false">INT(C47)</f>
        <v>46272</v>
      </c>
    </row>
    <row r="48" customFormat="false" ht="15" hidden="false" customHeight="false" outlineLevel="0" collapsed="false">
      <c r="A48" s="28" t="s">
        <v>390</v>
      </c>
      <c r="B48" s="28" t="s">
        <v>368</v>
      </c>
      <c r="C48" s="35" t="n">
        <v>46272.5583333333</v>
      </c>
      <c r="D48" s="28" t="s">
        <v>308</v>
      </c>
      <c r="E48" s="38" t="n">
        <v>200</v>
      </c>
      <c r="F48" s="28" t="s">
        <v>225</v>
      </c>
      <c r="G48" s="28" t="s">
        <v>309</v>
      </c>
      <c r="H48" s="28" t="s">
        <v>310</v>
      </c>
      <c r="I48" s="28" t="s">
        <v>391</v>
      </c>
      <c r="J48" s="28"/>
      <c r="K48" s="28"/>
      <c r="L48" s="36" t="str">
        <f aca="false">IFERROR(INDEX(Transaction_Types!$B$5:$B$20,MATCH(D48,Transaction_Types!$A$5:$A$20,0)),"Not in catalogue")</f>
        <v>Supported</v>
      </c>
      <c r="M48" s="36" t="str">
        <f aca="false">IFERROR(INDEX(Transaction_Types!$C$5:$C$20,MATCH(D48,Transaction_Types!$A$5:$A$20,0)),"")</f>
        <v>Credit</v>
      </c>
      <c r="N48" s="39" t="n">
        <f aca="false">IF(G48="Posted",E48,0)</f>
        <v>200</v>
      </c>
      <c r="O48" s="36" t="n">
        <f aca="false">COUNTIFS($J$5:$J$3000,A48,$K$5:$K$3000,"Reverses")</f>
        <v>0</v>
      </c>
      <c r="P48" s="39" t="n">
        <f aca="false">IF(K48&lt;&gt;"","",IF(G48="Posted",E48+SUMIFS($N$5:$N$3000,$J$5:$J$3000,A48),0))</f>
        <v>200</v>
      </c>
      <c r="Q48" s="36" t="str">
        <f aca="false">IF(L48="Not in catalogue","CHECK type",IF(F48&lt;&gt;Settings!$B$6,"CHECK unit",IF(OR(AND(M48="Credit",E48&lt;=0),AND(M48="Debit",E48&gt;=0)),"CHECK sign",IF(D48="Reversal",IF(OR(J48="",COUNTIF($A$5:$A$3000,J48)=0),"CHECK reversal link",IF(E48&lt;&gt;-INDEX($E$5:$E$3000,MATCH(J48,$A$5:$A$3000,0)),"CHECK reversal amount","OK")),IF(AND(D48="Adjustment",K48&lt;&gt;"",COUNTIF($A$5:$A$3000,J48)=0),"CHECK correction link","OK")))))</f>
        <v>OK</v>
      </c>
      <c r="R48" s="40" t="n">
        <f aca="false">INT(C48)</f>
        <v>46272</v>
      </c>
    </row>
    <row r="49" customFormat="false" ht="15" hidden="false" customHeight="false" outlineLevel="0" collapsed="false">
      <c r="A49" s="28" t="s">
        <v>392</v>
      </c>
      <c r="B49" s="28" t="s">
        <v>263</v>
      </c>
      <c r="C49" s="35" t="n">
        <v>46272.5645833333</v>
      </c>
      <c r="D49" s="28" t="s">
        <v>308</v>
      </c>
      <c r="E49" s="38" t="n">
        <v>300</v>
      </c>
      <c r="F49" s="28" t="s">
        <v>225</v>
      </c>
      <c r="G49" s="28" t="s">
        <v>309</v>
      </c>
      <c r="H49" s="28" t="s">
        <v>310</v>
      </c>
      <c r="I49" s="28" t="s">
        <v>393</v>
      </c>
      <c r="J49" s="28"/>
      <c r="K49" s="28"/>
      <c r="L49" s="36" t="str">
        <f aca="false">IFERROR(INDEX(Transaction_Types!$B$5:$B$20,MATCH(D49,Transaction_Types!$A$5:$A$20,0)),"Not in catalogue")</f>
        <v>Supported</v>
      </c>
      <c r="M49" s="36" t="str">
        <f aca="false">IFERROR(INDEX(Transaction_Types!$C$5:$C$20,MATCH(D49,Transaction_Types!$A$5:$A$20,0)),"")</f>
        <v>Credit</v>
      </c>
      <c r="N49" s="39" t="n">
        <f aca="false">IF(G49="Posted",E49,0)</f>
        <v>300</v>
      </c>
      <c r="O49" s="36" t="n">
        <f aca="false">COUNTIFS($J$5:$J$3000,A49,$K$5:$K$3000,"Reverses")</f>
        <v>0</v>
      </c>
      <c r="P49" s="39" t="n">
        <f aca="false">IF(K49&lt;&gt;"","",IF(G49="Posted",E49+SUMIFS($N$5:$N$3000,$J$5:$J$3000,A49),0))</f>
        <v>300</v>
      </c>
      <c r="Q49" s="36" t="str">
        <f aca="false">IF(L49="Not in catalogue","CHECK type",IF(F49&lt;&gt;Settings!$B$6,"CHECK unit",IF(OR(AND(M49="Credit",E49&lt;=0),AND(M49="Debit",E49&gt;=0)),"CHECK sign",IF(D49="Reversal",IF(OR(J49="",COUNTIF($A$5:$A$3000,J49)=0),"CHECK reversal link",IF(E49&lt;&gt;-INDEX($E$5:$E$3000,MATCH(J49,$A$5:$A$3000,0)),"CHECK reversal amount","OK")),IF(AND(D49="Adjustment",K49&lt;&gt;"",COUNTIF($A$5:$A$3000,J49)=0),"CHECK correction link","OK")))))</f>
        <v>OK</v>
      </c>
      <c r="R49" s="40" t="n">
        <f aca="false">INT(C49)</f>
        <v>46272</v>
      </c>
    </row>
    <row r="50" customFormat="false" ht="15" hidden="false" customHeight="false" outlineLevel="0" collapsed="false">
      <c r="A50" s="28" t="s">
        <v>394</v>
      </c>
      <c r="B50" s="28" t="s">
        <v>229</v>
      </c>
      <c r="C50" s="35" t="n">
        <v>46272.6298611111</v>
      </c>
      <c r="D50" s="28" t="s">
        <v>308</v>
      </c>
      <c r="E50" s="38" t="n">
        <v>200</v>
      </c>
      <c r="F50" s="28" t="s">
        <v>225</v>
      </c>
      <c r="G50" s="28" t="s">
        <v>309</v>
      </c>
      <c r="H50" s="28" t="s">
        <v>310</v>
      </c>
      <c r="I50" s="28" t="s">
        <v>395</v>
      </c>
      <c r="J50" s="28"/>
      <c r="K50" s="28"/>
      <c r="L50" s="36" t="str">
        <f aca="false">IFERROR(INDEX(Transaction_Types!$B$5:$B$20,MATCH(D50,Transaction_Types!$A$5:$A$20,0)),"Not in catalogue")</f>
        <v>Supported</v>
      </c>
      <c r="M50" s="36" t="str">
        <f aca="false">IFERROR(INDEX(Transaction_Types!$C$5:$C$20,MATCH(D50,Transaction_Types!$A$5:$A$20,0)),"")</f>
        <v>Credit</v>
      </c>
      <c r="N50" s="39" t="n">
        <f aca="false">IF(G50="Posted",E50,0)</f>
        <v>200</v>
      </c>
      <c r="O50" s="36" t="n">
        <f aca="false">COUNTIFS($J$5:$J$3000,A50,$K$5:$K$3000,"Reverses")</f>
        <v>0</v>
      </c>
      <c r="P50" s="39" t="n">
        <f aca="false">IF(K50&lt;&gt;"","",IF(G50="Posted",E50+SUMIFS($N$5:$N$3000,$J$5:$J$3000,A50),0))</f>
        <v>200</v>
      </c>
      <c r="Q50" s="36" t="str">
        <f aca="false">IF(L50="Not in catalogue","CHECK type",IF(F50&lt;&gt;Settings!$B$6,"CHECK unit",IF(OR(AND(M50="Credit",E50&lt;=0),AND(M50="Debit",E50&gt;=0)),"CHECK sign",IF(D50="Reversal",IF(OR(J50="",COUNTIF($A$5:$A$3000,J50)=0),"CHECK reversal link",IF(E50&lt;&gt;-INDEX($E$5:$E$3000,MATCH(J50,$A$5:$A$3000,0)),"CHECK reversal amount","OK")),IF(AND(D50="Adjustment",K50&lt;&gt;"",COUNTIF($A$5:$A$3000,J50)=0),"CHECK correction link","OK")))))</f>
        <v>OK</v>
      </c>
      <c r="R50" s="40" t="n">
        <f aca="false">INT(C50)</f>
        <v>46272</v>
      </c>
    </row>
    <row r="51" customFormat="false" ht="15" hidden="false" customHeight="false" outlineLevel="0" collapsed="false">
      <c r="A51" s="28" t="s">
        <v>396</v>
      </c>
      <c r="B51" s="28" t="s">
        <v>269</v>
      </c>
      <c r="C51" s="35" t="n">
        <v>46272.6520833333</v>
      </c>
      <c r="D51" s="28" t="s">
        <v>308</v>
      </c>
      <c r="E51" s="38" t="n">
        <v>300</v>
      </c>
      <c r="F51" s="28" t="s">
        <v>225</v>
      </c>
      <c r="G51" s="28" t="s">
        <v>309</v>
      </c>
      <c r="H51" s="28" t="s">
        <v>316</v>
      </c>
      <c r="I51" s="28" t="s">
        <v>397</v>
      </c>
      <c r="J51" s="28"/>
      <c r="K51" s="28"/>
      <c r="L51" s="36" t="str">
        <f aca="false">IFERROR(INDEX(Transaction_Types!$B$5:$B$20,MATCH(D51,Transaction_Types!$A$5:$A$20,0)),"Not in catalogue")</f>
        <v>Supported</v>
      </c>
      <c r="M51" s="36" t="str">
        <f aca="false">IFERROR(INDEX(Transaction_Types!$C$5:$C$20,MATCH(D51,Transaction_Types!$A$5:$A$20,0)),"")</f>
        <v>Credit</v>
      </c>
      <c r="N51" s="39" t="n">
        <f aca="false">IF(G51="Posted",E51,0)</f>
        <v>300</v>
      </c>
      <c r="O51" s="36" t="n">
        <f aca="false">COUNTIFS($J$5:$J$3000,A51,$K$5:$K$3000,"Reverses")</f>
        <v>0</v>
      </c>
      <c r="P51" s="39" t="n">
        <f aca="false">IF(K51&lt;&gt;"","",IF(G51="Posted",E51+SUMIFS($N$5:$N$3000,$J$5:$J$3000,A51),0))</f>
        <v>300</v>
      </c>
      <c r="Q51" s="36" t="str">
        <f aca="false">IF(L51="Not in catalogue","CHECK type",IF(F51&lt;&gt;Settings!$B$6,"CHECK unit",IF(OR(AND(M51="Credit",E51&lt;=0),AND(M51="Debit",E51&gt;=0)),"CHECK sign",IF(D51="Reversal",IF(OR(J51="",COUNTIF($A$5:$A$3000,J51)=0),"CHECK reversal link",IF(E51&lt;&gt;-INDEX($E$5:$E$3000,MATCH(J51,$A$5:$A$3000,0)),"CHECK reversal amount","OK")),IF(AND(D51="Adjustment",K51&lt;&gt;"",COUNTIF($A$5:$A$3000,J51)=0),"CHECK correction link","OK")))))</f>
        <v>OK</v>
      </c>
      <c r="R51" s="40" t="n">
        <f aca="false">INT(C51)</f>
        <v>46272</v>
      </c>
    </row>
    <row r="52" customFormat="false" ht="15" hidden="false" customHeight="false" outlineLevel="0" collapsed="false">
      <c r="A52" s="28" t="s">
        <v>398</v>
      </c>
      <c r="B52" s="28" t="s">
        <v>368</v>
      </c>
      <c r="C52" s="35" t="n">
        <v>46272.6715277778</v>
      </c>
      <c r="D52" s="28" t="s">
        <v>308</v>
      </c>
      <c r="E52" s="38" t="n">
        <v>100</v>
      </c>
      <c r="F52" s="28" t="s">
        <v>225</v>
      </c>
      <c r="G52" s="28" t="s">
        <v>309</v>
      </c>
      <c r="H52" s="28" t="s">
        <v>316</v>
      </c>
      <c r="I52" s="28" t="s">
        <v>399</v>
      </c>
      <c r="J52" s="28"/>
      <c r="K52" s="28"/>
      <c r="L52" s="36" t="str">
        <f aca="false">IFERROR(INDEX(Transaction_Types!$B$5:$B$20,MATCH(D52,Transaction_Types!$A$5:$A$20,0)),"Not in catalogue")</f>
        <v>Supported</v>
      </c>
      <c r="M52" s="36" t="str">
        <f aca="false">IFERROR(INDEX(Transaction_Types!$C$5:$C$20,MATCH(D52,Transaction_Types!$A$5:$A$20,0)),"")</f>
        <v>Credit</v>
      </c>
      <c r="N52" s="39" t="n">
        <f aca="false">IF(G52="Posted",E52,0)</f>
        <v>100</v>
      </c>
      <c r="O52" s="36" t="n">
        <f aca="false">COUNTIFS($J$5:$J$3000,A52,$K$5:$K$3000,"Reverses")</f>
        <v>0</v>
      </c>
      <c r="P52" s="39" t="n">
        <f aca="false">IF(K52&lt;&gt;"","",IF(G52="Posted",E52+SUMIFS($N$5:$N$3000,$J$5:$J$3000,A52),0))</f>
        <v>100</v>
      </c>
      <c r="Q52" s="36" t="str">
        <f aca="false">IF(L52="Not in catalogue","CHECK type",IF(F52&lt;&gt;Settings!$B$6,"CHECK unit",IF(OR(AND(M52="Credit",E52&lt;=0),AND(M52="Debit",E52&gt;=0)),"CHECK sign",IF(D52="Reversal",IF(OR(J52="",COUNTIF($A$5:$A$3000,J52)=0),"CHECK reversal link",IF(E52&lt;&gt;-INDEX($E$5:$E$3000,MATCH(J52,$A$5:$A$3000,0)),"CHECK reversal amount","OK")),IF(AND(D52="Adjustment",K52&lt;&gt;"",COUNTIF($A$5:$A$3000,J52)=0),"CHECK correction link","OK")))))</f>
        <v>OK</v>
      </c>
      <c r="R52" s="40" t="n">
        <f aca="false">INT(C52)</f>
        <v>46272</v>
      </c>
    </row>
    <row r="53" customFormat="false" ht="15" hidden="false" customHeight="false" outlineLevel="0" collapsed="false">
      <c r="A53" s="28" t="s">
        <v>400</v>
      </c>
      <c r="B53" s="28" t="s">
        <v>263</v>
      </c>
      <c r="C53" s="35" t="n">
        <v>46272.8652777778</v>
      </c>
      <c r="D53" s="28" t="s">
        <v>308</v>
      </c>
      <c r="E53" s="38" t="n">
        <v>100</v>
      </c>
      <c r="F53" s="28" t="s">
        <v>225</v>
      </c>
      <c r="G53" s="28" t="s">
        <v>309</v>
      </c>
      <c r="H53" s="28" t="s">
        <v>310</v>
      </c>
      <c r="I53" s="28" t="s">
        <v>401</v>
      </c>
      <c r="J53" s="28"/>
      <c r="K53" s="28"/>
      <c r="L53" s="36" t="str">
        <f aca="false">IFERROR(INDEX(Transaction_Types!$B$5:$B$20,MATCH(D53,Transaction_Types!$A$5:$A$20,0)),"Not in catalogue")</f>
        <v>Supported</v>
      </c>
      <c r="M53" s="36" t="str">
        <f aca="false">IFERROR(INDEX(Transaction_Types!$C$5:$C$20,MATCH(D53,Transaction_Types!$A$5:$A$20,0)),"")</f>
        <v>Credit</v>
      </c>
      <c r="N53" s="39" t="n">
        <f aca="false">IF(G53="Posted",E53,0)</f>
        <v>100</v>
      </c>
      <c r="O53" s="36" t="n">
        <f aca="false">COUNTIFS($J$5:$J$3000,A53,$K$5:$K$3000,"Reverses")</f>
        <v>0</v>
      </c>
      <c r="P53" s="39" t="n">
        <f aca="false">IF(K53&lt;&gt;"","",IF(G53="Posted",E53+SUMIFS($N$5:$N$3000,$J$5:$J$3000,A53),0))</f>
        <v>100</v>
      </c>
      <c r="Q53" s="36" t="str">
        <f aca="false">IF(L53="Not in catalogue","CHECK type",IF(F53&lt;&gt;Settings!$B$6,"CHECK unit",IF(OR(AND(M53="Credit",E53&lt;=0),AND(M53="Debit",E53&gt;=0)),"CHECK sign",IF(D53="Reversal",IF(OR(J53="",COUNTIF($A$5:$A$3000,J53)=0),"CHECK reversal link",IF(E53&lt;&gt;-INDEX($E$5:$E$3000,MATCH(J53,$A$5:$A$3000,0)),"CHECK reversal amount","OK")),IF(AND(D53="Adjustment",K53&lt;&gt;"",COUNTIF($A$5:$A$3000,J53)=0),"CHECK correction link","OK")))))</f>
        <v>OK</v>
      </c>
      <c r="R53" s="40" t="n">
        <f aca="false">INT(C53)</f>
        <v>46272</v>
      </c>
    </row>
    <row r="54" customFormat="false" ht="15" hidden="false" customHeight="false" outlineLevel="0" collapsed="false">
      <c r="A54" s="28" t="s">
        <v>402</v>
      </c>
      <c r="B54" s="28" t="s">
        <v>229</v>
      </c>
      <c r="C54" s="35" t="n">
        <v>46272.8680555556</v>
      </c>
      <c r="D54" s="28" t="s">
        <v>308</v>
      </c>
      <c r="E54" s="38" t="n">
        <v>150</v>
      </c>
      <c r="F54" s="28" t="s">
        <v>225</v>
      </c>
      <c r="G54" s="28" t="s">
        <v>309</v>
      </c>
      <c r="H54" s="28" t="s">
        <v>310</v>
      </c>
      <c r="I54" s="28" t="s">
        <v>403</v>
      </c>
      <c r="J54" s="28"/>
      <c r="K54" s="28"/>
      <c r="L54" s="36" t="str">
        <f aca="false">IFERROR(INDEX(Transaction_Types!$B$5:$B$20,MATCH(D54,Transaction_Types!$A$5:$A$20,0)),"Not in catalogue")</f>
        <v>Supported</v>
      </c>
      <c r="M54" s="36" t="str">
        <f aca="false">IFERROR(INDEX(Transaction_Types!$C$5:$C$20,MATCH(D54,Transaction_Types!$A$5:$A$20,0)),"")</f>
        <v>Credit</v>
      </c>
      <c r="N54" s="39" t="n">
        <f aca="false">IF(G54="Posted",E54,0)</f>
        <v>150</v>
      </c>
      <c r="O54" s="36" t="n">
        <f aca="false">COUNTIFS($J$5:$J$3000,A54,$K$5:$K$3000,"Reverses")</f>
        <v>0</v>
      </c>
      <c r="P54" s="39" t="n">
        <f aca="false">IF(K54&lt;&gt;"","",IF(G54="Posted",E54+SUMIFS($N$5:$N$3000,$J$5:$J$3000,A54),0))</f>
        <v>150</v>
      </c>
      <c r="Q54" s="36" t="str">
        <f aca="false">IF(L54="Not in catalogue","CHECK type",IF(F54&lt;&gt;Settings!$B$6,"CHECK unit",IF(OR(AND(M54="Credit",E54&lt;=0),AND(M54="Debit",E54&gt;=0)),"CHECK sign",IF(D54="Reversal",IF(OR(J54="",COUNTIF($A$5:$A$3000,J54)=0),"CHECK reversal link",IF(E54&lt;&gt;-INDEX($E$5:$E$3000,MATCH(J54,$A$5:$A$3000,0)),"CHECK reversal amount","OK")),IF(AND(D54="Adjustment",K54&lt;&gt;"",COUNTIF($A$5:$A$3000,J54)=0),"CHECK correction link","OK")))))</f>
        <v>OK</v>
      </c>
      <c r="R54" s="40" t="n">
        <f aca="false">INT(C54)</f>
        <v>46272</v>
      </c>
    </row>
    <row r="55" customFormat="false" ht="15" hidden="false" customHeight="false" outlineLevel="0" collapsed="false">
      <c r="A55" s="28" t="s">
        <v>404</v>
      </c>
      <c r="B55" s="28" t="s">
        <v>227</v>
      </c>
      <c r="C55" s="35" t="n">
        <v>46273.2900815184</v>
      </c>
      <c r="D55" s="28" t="s">
        <v>383</v>
      </c>
      <c r="E55" s="38" t="n">
        <v>-1100</v>
      </c>
      <c r="F55" s="28" t="s">
        <v>225</v>
      </c>
      <c r="G55" s="28" t="s">
        <v>309</v>
      </c>
      <c r="H55" s="28" t="s">
        <v>384</v>
      </c>
      <c r="I55" s="28" t="s">
        <v>226</v>
      </c>
      <c r="J55" s="28"/>
      <c r="K55" s="28"/>
      <c r="L55" s="36" t="str">
        <f aca="false">IFERROR(INDEX(Transaction_Types!$B$5:$B$20,MATCH(D55,Transaction_Types!$A$5:$A$20,0)),"Not in catalogue")</f>
        <v>Supported</v>
      </c>
      <c r="M55" s="36" t="str">
        <f aca="false">IFERROR(INDEX(Transaction_Types!$C$5:$C$20,MATCH(D55,Transaction_Types!$A$5:$A$20,0)),"")</f>
        <v>Debit</v>
      </c>
      <c r="N55" s="39" t="n">
        <f aca="false">IF(G55="Posted",E55,0)</f>
        <v>-1100</v>
      </c>
      <c r="O55" s="36" t="n">
        <f aca="false">COUNTIFS($J$5:$J$3000,A55,$K$5:$K$3000,"Reverses")</f>
        <v>0</v>
      </c>
      <c r="P55" s="39" t="n">
        <f aca="false">IF(K55&lt;&gt;"","",IF(G55="Posted",E55+SUMIFS($N$5:$N$3000,$J$5:$J$3000,A55),0))</f>
        <v>-1100</v>
      </c>
      <c r="Q55" s="36" t="str">
        <f aca="false">IF(L55="Not in catalogue","CHECK type",IF(F55&lt;&gt;Settings!$B$6,"CHECK unit",IF(OR(AND(M55="Credit",E55&lt;=0),AND(M55="Debit",E55&gt;=0)),"CHECK sign",IF(D55="Reversal",IF(OR(J55="",COUNTIF($A$5:$A$3000,J55)=0),"CHECK reversal link",IF(E55&lt;&gt;-INDEX($E$5:$E$3000,MATCH(J55,$A$5:$A$3000,0)),"CHECK reversal amount","OK")),IF(AND(D55="Adjustment",K55&lt;&gt;"",COUNTIF($A$5:$A$3000,J55)=0),"CHECK correction link","OK")))))</f>
        <v>OK</v>
      </c>
      <c r="R55" s="40" t="n">
        <f aca="false">INT(C55)</f>
        <v>46273</v>
      </c>
    </row>
    <row r="56" customFormat="false" ht="15" hidden="false" customHeight="false" outlineLevel="0" collapsed="false">
      <c r="A56" s="28" t="s">
        <v>405</v>
      </c>
      <c r="B56" s="28" t="s">
        <v>242</v>
      </c>
      <c r="C56" s="35" t="n">
        <v>46273.3472222222</v>
      </c>
      <c r="D56" s="28" t="s">
        <v>308</v>
      </c>
      <c r="E56" s="38" t="n">
        <v>150</v>
      </c>
      <c r="F56" s="28" t="s">
        <v>225</v>
      </c>
      <c r="G56" s="28" t="s">
        <v>309</v>
      </c>
      <c r="H56" s="28" t="s">
        <v>310</v>
      </c>
      <c r="I56" s="28" t="s">
        <v>406</v>
      </c>
      <c r="J56" s="28"/>
      <c r="K56" s="28"/>
      <c r="L56" s="36" t="str">
        <f aca="false">IFERROR(INDEX(Transaction_Types!$B$5:$B$20,MATCH(D56,Transaction_Types!$A$5:$A$20,0)),"Not in catalogue")</f>
        <v>Supported</v>
      </c>
      <c r="M56" s="36" t="str">
        <f aca="false">IFERROR(INDEX(Transaction_Types!$C$5:$C$20,MATCH(D56,Transaction_Types!$A$5:$A$20,0)),"")</f>
        <v>Credit</v>
      </c>
      <c r="N56" s="39" t="n">
        <f aca="false">IF(G56="Posted",E56,0)</f>
        <v>150</v>
      </c>
      <c r="O56" s="36" t="n">
        <f aca="false">COUNTIFS($J$5:$J$3000,A56,$K$5:$K$3000,"Reverses")</f>
        <v>0</v>
      </c>
      <c r="P56" s="39" t="n">
        <f aca="false">IF(K56&lt;&gt;"","",IF(G56="Posted",E56+SUMIFS($N$5:$N$3000,$J$5:$J$3000,A56),0))</f>
        <v>150</v>
      </c>
      <c r="Q56" s="36" t="str">
        <f aca="false">IF(L56="Not in catalogue","CHECK type",IF(F56&lt;&gt;Settings!$B$6,"CHECK unit",IF(OR(AND(M56="Credit",E56&lt;=0),AND(M56="Debit",E56&gt;=0)),"CHECK sign",IF(D56="Reversal",IF(OR(J56="",COUNTIF($A$5:$A$3000,J56)=0),"CHECK reversal link",IF(E56&lt;&gt;-INDEX($E$5:$E$3000,MATCH(J56,$A$5:$A$3000,0)),"CHECK reversal amount","OK")),IF(AND(D56="Adjustment",K56&lt;&gt;"",COUNTIF($A$5:$A$3000,J56)=0),"CHECK correction link","OK")))))</f>
        <v>OK</v>
      </c>
      <c r="R56" s="40" t="n">
        <f aca="false">INT(C56)</f>
        <v>46273</v>
      </c>
    </row>
    <row r="57" customFormat="false" ht="15" hidden="false" customHeight="false" outlineLevel="0" collapsed="false">
      <c r="A57" s="28" t="s">
        <v>407</v>
      </c>
      <c r="B57" s="28" t="s">
        <v>254</v>
      </c>
      <c r="C57" s="35" t="n">
        <v>46273.6152777778</v>
      </c>
      <c r="D57" s="28" t="s">
        <v>308</v>
      </c>
      <c r="E57" s="38" t="n">
        <v>100</v>
      </c>
      <c r="F57" s="28" t="s">
        <v>225</v>
      </c>
      <c r="G57" s="28" t="s">
        <v>309</v>
      </c>
      <c r="H57" s="28" t="s">
        <v>316</v>
      </c>
      <c r="I57" s="28" t="s">
        <v>408</v>
      </c>
      <c r="J57" s="28"/>
      <c r="K57" s="28"/>
      <c r="L57" s="36" t="str">
        <f aca="false">IFERROR(INDEX(Transaction_Types!$B$5:$B$20,MATCH(D57,Transaction_Types!$A$5:$A$20,0)),"Not in catalogue")</f>
        <v>Supported</v>
      </c>
      <c r="M57" s="36" t="str">
        <f aca="false">IFERROR(INDEX(Transaction_Types!$C$5:$C$20,MATCH(D57,Transaction_Types!$A$5:$A$20,0)),"")</f>
        <v>Credit</v>
      </c>
      <c r="N57" s="39" t="n">
        <f aca="false">IF(G57="Posted",E57,0)</f>
        <v>100</v>
      </c>
      <c r="O57" s="36" t="n">
        <f aca="false">COUNTIFS($J$5:$J$3000,A57,$K$5:$K$3000,"Reverses")</f>
        <v>0</v>
      </c>
      <c r="P57" s="39" t="n">
        <f aca="false">IF(K57&lt;&gt;"","",IF(G57="Posted",E57+SUMIFS($N$5:$N$3000,$J$5:$J$3000,A57),0))</f>
        <v>100</v>
      </c>
      <c r="Q57" s="36" t="str">
        <f aca="false">IF(L57="Not in catalogue","CHECK type",IF(F57&lt;&gt;Settings!$B$6,"CHECK unit",IF(OR(AND(M57="Credit",E57&lt;=0),AND(M57="Debit",E57&gt;=0)),"CHECK sign",IF(D57="Reversal",IF(OR(J57="",COUNTIF($A$5:$A$3000,J57)=0),"CHECK reversal link",IF(E57&lt;&gt;-INDEX($E$5:$E$3000,MATCH(J57,$A$5:$A$3000,0)),"CHECK reversal amount","OK")),IF(AND(D57="Adjustment",K57&lt;&gt;"",COUNTIF($A$5:$A$3000,J57)=0),"CHECK correction link","OK")))))</f>
        <v>OK</v>
      </c>
      <c r="R57" s="40" t="n">
        <f aca="false">INT(C57)</f>
        <v>46273</v>
      </c>
    </row>
    <row r="58" customFormat="false" ht="15" hidden="false" customHeight="false" outlineLevel="0" collapsed="false">
      <c r="A58" s="28" t="s">
        <v>409</v>
      </c>
      <c r="B58" s="28" t="s">
        <v>254</v>
      </c>
      <c r="C58" s="35" t="n">
        <v>46273.7715277778</v>
      </c>
      <c r="D58" s="28" t="s">
        <v>308</v>
      </c>
      <c r="E58" s="38" t="n">
        <v>200</v>
      </c>
      <c r="F58" s="28" t="s">
        <v>225</v>
      </c>
      <c r="G58" s="28" t="s">
        <v>309</v>
      </c>
      <c r="H58" s="28" t="s">
        <v>310</v>
      </c>
      <c r="I58" s="28" t="s">
        <v>410</v>
      </c>
      <c r="J58" s="28"/>
      <c r="K58" s="28"/>
      <c r="L58" s="36" t="str">
        <f aca="false">IFERROR(INDEX(Transaction_Types!$B$5:$B$20,MATCH(D58,Transaction_Types!$A$5:$A$20,0)),"Not in catalogue")</f>
        <v>Supported</v>
      </c>
      <c r="M58" s="36" t="str">
        <f aca="false">IFERROR(INDEX(Transaction_Types!$C$5:$C$20,MATCH(D58,Transaction_Types!$A$5:$A$20,0)),"")</f>
        <v>Credit</v>
      </c>
      <c r="N58" s="39" t="n">
        <f aca="false">IF(G58="Posted",E58,0)</f>
        <v>200</v>
      </c>
      <c r="O58" s="36" t="n">
        <f aca="false">COUNTIFS($J$5:$J$3000,A58,$K$5:$K$3000,"Reverses")</f>
        <v>0</v>
      </c>
      <c r="P58" s="39" t="n">
        <f aca="false">IF(K58&lt;&gt;"","",IF(G58="Posted",E58+SUMIFS($N$5:$N$3000,$J$5:$J$3000,A58),0))</f>
        <v>200</v>
      </c>
      <c r="Q58" s="36" t="str">
        <f aca="false">IF(L58="Not in catalogue","CHECK type",IF(F58&lt;&gt;Settings!$B$6,"CHECK unit",IF(OR(AND(M58="Credit",E58&lt;=0),AND(M58="Debit",E58&gt;=0)),"CHECK sign",IF(D58="Reversal",IF(OR(J58="",COUNTIF($A$5:$A$3000,J58)=0),"CHECK reversal link",IF(E58&lt;&gt;-INDEX($E$5:$E$3000,MATCH(J58,$A$5:$A$3000,0)),"CHECK reversal amount","OK")),IF(AND(D58="Adjustment",K58&lt;&gt;"",COUNTIF($A$5:$A$3000,J58)=0),"CHECK correction link","OK")))))</f>
        <v>OK</v>
      </c>
      <c r="R58" s="40" t="n">
        <f aca="false">INT(C58)</f>
        <v>46273</v>
      </c>
    </row>
    <row r="59" customFormat="false" ht="15" hidden="false" customHeight="false" outlineLevel="0" collapsed="false">
      <c r="A59" s="28" t="s">
        <v>411</v>
      </c>
      <c r="B59" s="28" t="s">
        <v>224</v>
      </c>
      <c r="C59" s="35" t="n">
        <v>46274.18125</v>
      </c>
      <c r="D59" s="28" t="s">
        <v>308</v>
      </c>
      <c r="E59" s="38" t="n">
        <v>150</v>
      </c>
      <c r="F59" s="28" t="s">
        <v>225</v>
      </c>
      <c r="G59" s="28" t="s">
        <v>309</v>
      </c>
      <c r="H59" s="28" t="s">
        <v>316</v>
      </c>
      <c r="I59" s="28" t="s">
        <v>412</v>
      </c>
      <c r="J59" s="28"/>
      <c r="K59" s="28"/>
      <c r="L59" s="36" t="str">
        <f aca="false">IFERROR(INDEX(Transaction_Types!$B$5:$B$20,MATCH(D59,Transaction_Types!$A$5:$A$20,0)),"Not in catalogue")</f>
        <v>Supported</v>
      </c>
      <c r="M59" s="36" t="str">
        <f aca="false">IFERROR(INDEX(Transaction_Types!$C$5:$C$20,MATCH(D59,Transaction_Types!$A$5:$A$20,0)),"")</f>
        <v>Credit</v>
      </c>
      <c r="N59" s="39" t="n">
        <f aca="false">IF(G59="Posted",E59,0)</f>
        <v>150</v>
      </c>
      <c r="O59" s="36" t="n">
        <f aca="false">COUNTIFS($J$5:$J$3000,A59,$K$5:$K$3000,"Reverses")</f>
        <v>0</v>
      </c>
      <c r="P59" s="39" t="n">
        <f aca="false">IF(K59&lt;&gt;"","",IF(G59="Posted",E59+SUMIFS($N$5:$N$3000,$J$5:$J$3000,A59),0))</f>
        <v>150</v>
      </c>
      <c r="Q59" s="36" t="str">
        <f aca="false">IF(L59="Not in catalogue","CHECK type",IF(F59&lt;&gt;Settings!$B$6,"CHECK unit",IF(OR(AND(M59="Credit",E59&lt;=0),AND(M59="Debit",E59&gt;=0)),"CHECK sign",IF(D59="Reversal",IF(OR(J59="",COUNTIF($A$5:$A$3000,J59)=0),"CHECK reversal link",IF(E59&lt;&gt;-INDEX($E$5:$E$3000,MATCH(J59,$A$5:$A$3000,0)),"CHECK reversal amount","OK")),IF(AND(D59="Adjustment",K59&lt;&gt;"",COUNTIF($A$5:$A$3000,J59)=0),"CHECK correction link","OK")))))</f>
        <v>OK</v>
      </c>
      <c r="R59" s="40" t="n">
        <f aca="false">INT(C59)</f>
        <v>46274</v>
      </c>
    </row>
    <row r="60" customFormat="false" ht="15" hidden="false" customHeight="false" outlineLevel="0" collapsed="false">
      <c r="A60" s="28" t="s">
        <v>413</v>
      </c>
      <c r="B60" s="28" t="s">
        <v>254</v>
      </c>
      <c r="C60" s="35" t="n">
        <v>46274.6395833333</v>
      </c>
      <c r="D60" s="28" t="s">
        <v>308</v>
      </c>
      <c r="E60" s="38" t="n">
        <v>500</v>
      </c>
      <c r="F60" s="28" t="s">
        <v>225</v>
      </c>
      <c r="G60" s="28" t="s">
        <v>309</v>
      </c>
      <c r="H60" s="28" t="s">
        <v>316</v>
      </c>
      <c r="I60" s="28" t="s">
        <v>341</v>
      </c>
      <c r="J60" s="28"/>
      <c r="K60" s="28"/>
      <c r="L60" s="36" t="str">
        <f aca="false">IFERROR(INDEX(Transaction_Types!$B$5:$B$20,MATCH(D60,Transaction_Types!$A$5:$A$20,0)),"Not in catalogue")</f>
        <v>Supported</v>
      </c>
      <c r="M60" s="36" t="str">
        <f aca="false">IFERROR(INDEX(Transaction_Types!$C$5:$C$20,MATCH(D60,Transaction_Types!$A$5:$A$20,0)),"")</f>
        <v>Credit</v>
      </c>
      <c r="N60" s="39" t="n">
        <f aca="false">IF(G60="Posted",E60,0)</f>
        <v>500</v>
      </c>
      <c r="O60" s="36" t="n">
        <f aca="false">COUNTIFS($J$5:$J$3000,A60,$K$5:$K$3000,"Reverses")</f>
        <v>0</v>
      </c>
      <c r="P60" s="39" t="n">
        <f aca="false">IF(K60&lt;&gt;"","",IF(G60="Posted",E60+SUMIFS($N$5:$N$3000,$J$5:$J$3000,A60),0))</f>
        <v>500</v>
      </c>
      <c r="Q60" s="36" t="str">
        <f aca="false">IF(L60="Not in catalogue","CHECK type",IF(F60&lt;&gt;Settings!$B$6,"CHECK unit",IF(OR(AND(M60="Credit",E60&lt;=0),AND(M60="Debit",E60&gt;=0)),"CHECK sign",IF(D60="Reversal",IF(OR(J60="",COUNTIF($A$5:$A$3000,J60)=0),"CHECK reversal link",IF(E60&lt;&gt;-INDEX($E$5:$E$3000,MATCH(J60,$A$5:$A$3000,0)),"CHECK reversal amount","OK")),IF(AND(D60="Adjustment",K60&lt;&gt;"",COUNTIF($A$5:$A$3000,J60)=0),"CHECK correction link","OK")))))</f>
        <v>OK</v>
      </c>
      <c r="R60" s="40" t="n">
        <f aca="false">INT(C60)</f>
        <v>46274</v>
      </c>
    </row>
    <row r="61" customFormat="false" ht="15" hidden="false" customHeight="false" outlineLevel="0" collapsed="false">
      <c r="A61" s="28" t="s">
        <v>414</v>
      </c>
      <c r="B61" s="28" t="s">
        <v>239</v>
      </c>
      <c r="C61" s="35" t="n">
        <v>46274.70625</v>
      </c>
      <c r="D61" s="28" t="s">
        <v>308</v>
      </c>
      <c r="E61" s="38" t="n">
        <v>500</v>
      </c>
      <c r="F61" s="28" t="s">
        <v>225</v>
      </c>
      <c r="G61" s="28" t="s">
        <v>309</v>
      </c>
      <c r="H61" s="28" t="s">
        <v>310</v>
      </c>
      <c r="I61" s="28" t="s">
        <v>415</v>
      </c>
      <c r="J61" s="28"/>
      <c r="K61" s="28"/>
      <c r="L61" s="36" t="str">
        <f aca="false">IFERROR(INDEX(Transaction_Types!$B$5:$B$20,MATCH(D61,Transaction_Types!$A$5:$A$20,0)),"Not in catalogue")</f>
        <v>Supported</v>
      </c>
      <c r="M61" s="36" t="str">
        <f aca="false">IFERROR(INDEX(Transaction_Types!$C$5:$C$20,MATCH(D61,Transaction_Types!$A$5:$A$20,0)),"")</f>
        <v>Credit</v>
      </c>
      <c r="N61" s="39" t="n">
        <f aca="false">IF(G61="Posted",E61,0)</f>
        <v>500</v>
      </c>
      <c r="O61" s="36" t="n">
        <f aca="false">COUNTIFS($J$5:$J$3000,A61,$K$5:$K$3000,"Reverses")</f>
        <v>0</v>
      </c>
      <c r="P61" s="39" t="n">
        <f aca="false">IF(K61&lt;&gt;"","",IF(G61="Posted",E61+SUMIFS($N$5:$N$3000,$J$5:$J$3000,A61),0))</f>
        <v>500</v>
      </c>
      <c r="Q61" s="36" t="str">
        <f aca="false">IF(L61="Not in catalogue","CHECK type",IF(F61&lt;&gt;Settings!$B$6,"CHECK unit",IF(OR(AND(M61="Credit",E61&lt;=0),AND(M61="Debit",E61&gt;=0)),"CHECK sign",IF(D61="Reversal",IF(OR(J61="",COUNTIF($A$5:$A$3000,J61)=0),"CHECK reversal link",IF(E61&lt;&gt;-INDEX($E$5:$E$3000,MATCH(J61,$A$5:$A$3000,0)),"CHECK reversal amount","OK")),IF(AND(D61="Adjustment",K61&lt;&gt;"",COUNTIF($A$5:$A$3000,J61)=0),"CHECK correction link","OK")))))</f>
        <v>OK</v>
      </c>
      <c r="R61" s="40" t="n">
        <f aca="false">INT(C61)</f>
        <v>46274</v>
      </c>
    </row>
    <row r="62" customFormat="false" ht="15" hidden="false" customHeight="false" outlineLevel="0" collapsed="false">
      <c r="A62" s="28" t="s">
        <v>416</v>
      </c>
      <c r="B62" s="28" t="s">
        <v>227</v>
      </c>
      <c r="C62" s="35" t="n">
        <v>46274.9520833333</v>
      </c>
      <c r="D62" s="28" t="s">
        <v>308</v>
      </c>
      <c r="E62" s="38" t="n">
        <v>250</v>
      </c>
      <c r="F62" s="28" t="s">
        <v>225</v>
      </c>
      <c r="G62" s="28" t="s">
        <v>309</v>
      </c>
      <c r="H62" s="28" t="s">
        <v>310</v>
      </c>
      <c r="I62" s="28" t="s">
        <v>417</v>
      </c>
      <c r="J62" s="28"/>
      <c r="K62" s="28"/>
      <c r="L62" s="36" t="str">
        <f aca="false">IFERROR(INDEX(Transaction_Types!$B$5:$B$20,MATCH(D62,Transaction_Types!$A$5:$A$20,0)),"Not in catalogue")</f>
        <v>Supported</v>
      </c>
      <c r="M62" s="36" t="str">
        <f aca="false">IFERROR(INDEX(Transaction_Types!$C$5:$C$20,MATCH(D62,Transaction_Types!$A$5:$A$20,0)),"")</f>
        <v>Credit</v>
      </c>
      <c r="N62" s="39" t="n">
        <f aca="false">IF(G62="Posted",E62,0)</f>
        <v>250</v>
      </c>
      <c r="O62" s="36" t="n">
        <f aca="false">COUNTIFS($J$5:$J$3000,A62,$K$5:$K$3000,"Reverses")</f>
        <v>0</v>
      </c>
      <c r="P62" s="39" t="n">
        <f aca="false">IF(K62&lt;&gt;"","",IF(G62="Posted",E62+SUMIFS($N$5:$N$3000,$J$5:$J$3000,A62),0))</f>
        <v>250</v>
      </c>
      <c r="Q62" s="36" t="str">
        <f aca="false">IF(L62="Not in catalogue","CHECK type",IF(F62&lt;&gt;Settings!$B$6,"CHECK unit",IF(OR(AND(M62="Credit",E62&lt;=0),AND(M62="Debit",E62&gt;=0)),"CHECK sign",IF(D62="Reversal",IF(OR(J62="",COUNTIF($A$5:$A$3000,J62)=0),"CHECK reversal link",IF(E62&lt;&gt;-INDEX($E$5:$E$3000,MATCH(J62,$A$5:$A$3000,0)),"CHECK reversal amount","OK")),IF(AND(D62="Adjustment",K62&lt;&gt;"",COUNTIF($A$5:$A$3000,J62)=0),"CHECK correction link","OK")))))</f>
        <v>OK</v>
      </c>
      <c r="R62" s="40" t="n">
        <f aca="false">INT(C62)</f>
        <v>46274</v>
      </c>
    </row>
    <row r="63" customFormat="false" ht="15" hidden="false" customHeight="false" outlineLevel="0" collapsed="false">
      <c r="A63" s="28" t="s">
        <v>418</v>
      </c>
      <c r="B63" s="28" t="s">
        <v>229</v>
      </c>
      <c r="C63" s="35" t="n">
        <v>46274.9840967644</v>
      </c>
      <c r="D63" s="28" t="s">
        <v>383</v>
      </c>
      <c r="E63" s="38" t="n">
        <v>-1950</v>
      </c>
      <c r="F63" s="28" t="s">
        <v>225</v>
      </c>
      <c r="G63" s="28" t="s">
        <v>309</v>
      </c>
      <c r="H63" s="28" t="s">
        <v>384</v>
      </c>
      <c r="I63" s="28" t="s">
        <v>228</v>
      </c>
      <c r="J63" s="28"/>
      <c r="K63" s="28"/>
      <c r="L63" s="36" t="str">
        <f aca="false">IFERROR(INDEX(Transaction_Types!$B$5:$B$20,MATCH(D63,Transaction_Types!$A$5:$A$20,0)),"Not in catalogue")</f>
        <v>Supported</v>
      </c>
      <c r="M63" s="36" t="str">
        <f aca="false">IFERROR(INDEX(Transaction_Types!$C$5:$C$20,MATCH(D63,Transaction_Types!$A$5:$A$20,0)),"")</f>
        <v>Debit</v>
      </c>
      <c r="N63" s="39" t="n">
        <f aca="false">IF(G63="Posted",E63,0)</f>
        <v>-1950</v>
      </c>
      <c r="O63" s="36" t="n">
        <f aca="false">COUNTIFS($J$5:$J$3000,A63,$K$5:$K$3000,"Reverses")</f>
        <v>0</v>
      </c>
      <c r="P63" s="39" t="n">
        <f aca="false">IF(K63&lt;&gt;"","",IF(G63="Posted",E63+SUMIFS($N$5:$N$3000,$J$5:$J$3000,A63),0))</f>
        <v>-1950</v>
      </c>
      <c r="Q63" s="36" t="str">
        <f aca="false">IF(L63="Not in catalogue","CHECK type",IF(F63&lt;&gt;Settings!$B$6,"CHECK unit",IF(OR(AND(M63="Credit",E63&lt;=0),AND(M63="Debit",E63&gt;=0)),"CHECK sign",IF(D63="Reversal",IF(OR(J63="",COUNTIF($A$5:$A$3000,J63)=0),"CHECK reversal link",IF(E63&lt;&gt;-INDEX($E$5:$E$3000,MATCH(J63,$A$5:$A$3000,0)),"CHECK reversal amount","OK")),IF(AND(D63="Adjustment",K63&lt;&gt;"",COUNTIF($A$5:$A$3000,J63)=0),"CHECK correction link","OK")))))</f>
        <v>OK</v>
      </c>
      <c r="R63" s="40" t="n">
        <f aca="false">INT(C63)</f>
        <v>46274</v>
      </c>
    </row>
    <row r="64" customFormat="false" ht="15" hidden="false" customHeight="false" outlineLevel="0" collapsed="false">
      <c r="A64" s="28" t="s">
        <v>419</v>
      </c>
      <c r="B64" s="28" t="s">
        <v>277</v>
      </c>
      <c r="C64" s="35" t="n">
        <v>46275.0395833333</v>
      </c>
      <c r="D64" s="28" t="s">
        <v>308</v>
      </c>
      <c r="E64" s="38" t="n">
        <v>400</v>
      </c>
      <c r="F64" s="28" t="s">
        <v>225</v>
      </c>
      <c r="G64" s="28" t="s">
        <v>309</v>
      </c>
      <c r="H64" s="28" t="s">
        <v>316</v>
      </c>
      <c r="I64" s="28" t="s">
        <v>350</v>
      </c>
      <c r="J64" s="28"/>
      <c r="K64" s="28"/>
      <c r="L64" s="36" t="str">
        <f aca="false">IFERROR(INDEX(Transaction_Types!$B$5:$B$20,MATCH(D64,Transaction_Types!$A$5:$A$20,0)),"Not in catalogue")</f>
        <v>Supported</v>
      </c>
      <c r="M64" s="36" t="str">
        <f aca="false">IFERROR(INDEX(Transaction_Types!$C$5:$C$20,MATCH(D64,Transaction_Types!$A$5:$A$20,0)),"")</f>
        <v>Credit</v>
      </c>
      <c r="N64" s="39" t="n">
        <f aca="false">IF(G64="Posted",E64,0)</f>
        <v>400</v>
      </c>
      <c r="O64" s="36" t="n">
        <f aca="false">COUNTIFS($J$5:$J$3000,A64,$K$5:$K$3000,"Reverses")</f>
        <v>0</v>
      </c>
      <c r="P64" s="39" t="n">
        <f aca="false">IF(K64&lt;&gt;"","",IF(G64="Posted",E64+SUMIFS($N$5:$N$3000,$J$5:$J$3000,A64),0))</f>
        <v>400</v>
      </c>
      <c r="Q64" s="36" t="str">
        <f aca="false">IF(L64="Not in catalogue","CHECK type",IF(F64&lt;&gt;Settings!$B$6,"CHECK unit",IF(OR(AND(M64="Credit",E64&lt;=0),AND(M64="Debit",E64&gt;=0)),"CHECK sign",IF(D64="Reversal",IF(OR(J64="",COUNTIF($A$5:$A$3000,J64)=0),"CHECK reversal link",IF(E64&lt;&gt;-INDEX($E$5:$E$3000,MATCH(J64,$A$5:$A$3000,0)),"CHECK reversal amount","OK")),IF(AND(D64="Adjustment",K64&lt;&gt;"",COUNTIF($A$5:$A$3000,J64)=0),"CHECK correction link","OK")))))</f>
        <v>OK</v>
      </c>
      <c r="R64" s="40" t="n">
        <f aca="false">INT(C64)</f>
        <v>46275</v>
      </c>
    </row>
    <row r="65" customFormat="false" ht="15" hidden="false" customHeight="false" outlineLevel="0" collapsed="false">
      <c r="A65" s="28" t="s">
        <v>420</v>
      </c>
      <c r="B65" s="28" t="s">
        <v>239</v>
      </c>
      <c r="C65" s="35" t="n">
        <v>46275.075</v>
      </c>
      <c r="D65" s="28" t="s">
        <v>308</v>
      </c>
      <c r="E65" s="38" t="n">
        <v>250</v>
      </c>
      <c r="F65" s="28" t="s">
        <v>225</v>
      </c>
      <c r="G65" s="28" t="s">
        <v>309</v>
      </c>
      <c r="H65" s="28" t="s">
        <v>316</v>
      </c>
      <c r="I65" s="28" t="s">
        <v>421</v>
      </c>
      <c r="J65" s="28"/>
      <c r="K65" s="28"/>
      <c r="L65" s="36" t="str">
        <f aca="false">IFERROR(INDEX(Transaction_Types!$B$5:$B$20,MATCH(D65,Transaction_Types!$A$5:$A$20,0)),"Not in catalogue")</f>
        <v>Supported</v>
      </c>
      <c r="M65" s="36" t="str">
        <f aca="false">IFERROR(INDEX(Transaction_Types!$C$5:$C$20,MATCH(D65,Transaction_Types!$A$5:$A$20,0)),"")</f>
        <v>Credit</v>
      </c>
      <c r="N65" s="39" t="n">
        <f aca="false">IF(G65="Posted",E65,0)</f>
        <v>250</v>
      </c>
      <c r="O65" s="36" t="n">
        <f aca="false">COUNTIFS($J$5:$J$3000,A65,$K$5:$K$3000,"Reverses")</f>
        <v>0</v>
      </c>
      <c r="P65" s="39" t="n">
        <f aca="false">IF(K65&lt;&gt;"","",IF(G65="Posted",E65+SUMIFS($N$5:$N$3000,$J$5:$J$3000,A65),0))</f>
        <v>250</v>
      </c>
      <c r="Q65" s="36" t="str">
        <f aca="false">IF(L65="Not in catalogue","CHECK type",IF(F65&lt;&gt;Settings!$B$6,"CHECK unit",IF(OR(AND(M65="Credit",E65&lt;=0),AND(M65="Debit",E65&gt;=0)),"CHECK sign",IF(D65="Reversal",IF(OR(J65="",COUNTIF($A$5:$A$3000,J65)=0),"CHECK reversal link",IF(E65&lt;&gt;-INDEX($E$5:$E$3000,MATCH(J65,$A$5:$A$3000,0)),"CHECK reversal amount","OK")),IF(AND(D65="Adjustment",K65&lt;&gt;"",COUNTIF($A$5:$A$3000,J65)=0),"CHECK correction link","OK")))))</f>
        <v>OK</v>
      </c>
      <c r="R65" s="40" t="n">
        <f aca="false">INT(C65)</f>
        <v>46275</v>
      </c>
    </row>
    <row r="66" customFormat="false" ht="15" hidden="false" customHeight="false" outlineLevel="0" collapsed="false">
      <c r="A66" s="28" t="s">
        <v>422</v>
      </c>
      <c r="B66" s="28" t="s">
        <v>254</v>
      </c>
      <c r="C66" s="35" t="n">
        <v>46275.2583333333</v>
      </c>
      <c r="D66" s="28" t="s">
        <v>308</v>
      </c>
      <c r="E66" s="38" t="n">
        <v>100</v>
      </c>
      <c r="F66" s="28" t="s">
        <v>225</v>
      </c>
      <c r="G66" s="28" t="s">
        <v>309</v>
      </c>
      <c r="H66" s="28" t="s">
        <v>316</v>
      </c>
      <c r="I66" s="28" t="s">
        <v>423</v>
      </c>
      <c r="J66" s="28"/>
      <c r="K66" s="28"/>
      <c r="L66" s="36" t="str">
        <f aca="false">IFERROR(INDEX(Transaction_Types!$B$5:$B$20,MATCH(D66,Transaction_Types!$A$5:$A$20,0)),"Not in catalogue")</f>
        <v>Supported</v>
      </c>
      <c r="M66" s="36" t="str">
        <f aca="false">IFERROR(INDEX(Transaction_Types!$C$5:$C$20,MATCH(D66,Transaction_Types!$A$5:$A$20,0)),"")</f>
        <v>Credit</v>
      </c>
      <c r="N66" s="39" t="n">
        <f aca="false">IF(G66="Posted",E66,0)</f>
        <v>100</v>
      </c>
      <c r="O66" s="36" t="n">
        <f aca="false">COUNTIFS($J$5:$J$3000,A66,$K$5:$K$3000,"Reverses")</f>
        <v>0</v>
      </c>
      <c r="P66" s="39" t="n">
        <f aca="false">IF(K66&lt;&gt;"","",IF(G66="Posted",E66+SUMIFS($N$5:$N$3000,$J$5:$J$3000,A66),0))</f>
        <v>100</v>
      </c>
      <c r="Q66" s="36" t="str">
        <f aca="false">IF(L66="Not in catalogue","CHECK type",IF(F66&lt;&gt;Settings!$B$6,"CHECK unit",IF(OR(AND(M66="Credit",E66&lt;=0),AND(M66="Debit",E66&gt;=0)),"CHECK sign",IF(D66="Reversal",IF(OR(J66="",COUNTIF($A$5:$A$3000,J66)=0),"CHECK reversal link",IF(E66&lt;&gt;-INDEX($E$5:$E$3000,MATCH(J66,$A$5:$A$3000,0)),"CHECK reversal amount","OK")),IF(AND(D66="Adjustment",K66&lt;&gt;"",COUNTIF($A$5:$A$3000,J66)=0),"CHECK correction link","OK")))))</f>
        <v>OK</v>
      </c>
      <c r="R66" s="40" t="n">
        <f aca="false">INT(C66)</f>
        <v>46275</v>
      </c>
    </row>
    <row r="67" customFormat="false" ht="15" hidden="false" customHeight="false" outlineLevel="0" collapsed="false">
      <c r="A67" s="28" t="s">
        <v>424</v>
      </c>
      <c r="B67" s="28" t="s">
        <v>269</v>
      </c>
      <c r="C67" s="35" t="n">
        <v>46275.6833333333</v>
      </c>
      <c r="D67" s="28" t="s">
        <v>308</v>
      </c>
      <c r="E67" s="38" t="n">
        <v>150</v>
      </c>
      <c r="F67" s="28" t="s">
        <v>225</v>
      </c>
      <c r="G67" s="28" t="s">
        <v>309</v>
      </c>
      <c r="H67" s="28" t="s">
        <v>310</v>
      </c>
      <c r="I67" s="28" t="s">
        <v>425</v>
      </c>
      <c r="J67" s="28"/>
      <c r="K67" s="28"/>
      <c r="L67" s="36" t="str">
        <f aca="false">IFERROR(INDEX(Transaction_Types!$B$5:$B$20,MATCH(D67,Transaction_Types!$A$5:$A$20,0)),"Not in catalogue")</f>
        <v>Supported</v>
      </c>
      <c r="M67" s="36" t="str">
        <f aca="false">IFERROR(INDEX(Transaction_Types!$C$5:$C$20,MATCH(D67,Transaction_Types!$A$5:$A$20,0)),"")</f>
        <v>Credit</v>
      </c>
      <c r="N67" s="39" t="n">
        <f aca="false">IF(G67="Posted",E67,0)</f>
        <v>150</v>
      </c>
      <c r="O67" s="36" t="n">
        <f aca="false">COUNTIFS($J$5:$J$3000,A67,$K$5:$K$3000,"Reverses")</f>
        <v>0</v>
      </c>
      <c r="P67" s="39" t="n">
        <f aca="false">IF(K67&lt;&gt;"","",IF(G67="Posted",E67+SUMIFS($N$5:$N$3000,$J$5:$J$3000,A67),0))</f>
        <v>150</v>
      </c>
      <c r="Q67" s="36" t="str">
        <f aca="false">IF(L67="Not in catalogue","CHECK type",IF(F67&lt;&gt;Settings!$B$6,"CHECK unit",IF(OR(AND(M67="Credit",E67&lt;=0),AND(M67="Debit",E67&gt;=0)),"CHECK sign",IF(D67="Reversal",IF(OR(J67="",COUNTIF($A$5:$A$3000,J67)=0),"CHECK reversal link",IF(E67&lt;&gt;-INDEX($E$5:$E$3000,MATCH(J67,$A$5:$A$3000,0)),"CHECK reversal amount","OK")),IF(AND(D67="Adjustment",K67&lt;&gt;"",COUNTIF($A$5:$A$3000,J67)=0),"CHECK correction link","OK")))))</f>
        <v>OK</v>
      </c>
      <c r="R67" s="40" t="n">
        <f aca="false">INT(C67)</f>
        <v>46275</v>
      </c>
    </row>
    <row r="68" customFormat="false" ht="15" hidden="false" customHeight="false" outlineLevel="0" collapsed="false">
      <c r="A68" s="28" t="s">
        <v>426</v>
      </c>
      <c r="B68" s="28" t="s">
        <v>246</v>
      </c>
      <c r="C68" s="35" t="n">
        <v>46275.9930555556</v>
      </c>
      <c r="D68" s="28" t="s">
        <v>308</v>
      </c>
      <c r="E68" s="38" t="n">
        <v>100</v>
      </c>
      <c r="F68" s="28" t="s">
        <v>225</v>
      </c>
      <c r="G68" s="28" t="s">
        <v>309</v>
      </c>
      <c r="H68" s="28" t="s">
        <v>316</v>
      </c>
      <c r="I68" s="28" t="s">
        <v>427</v>
      </c>
      <c r="J68" s="28"/>
      <c r="K68" s="28"/>
      <c r="L68" s="36" t="str">
        <f aca="false">IFERROR(INDEX(Transaction_Types!$B$5:$B$20,MATCH(D68,Transaction_Types!$A$5:$A$20,0)),"Not in catalogue")</f>
        <v>Supported</v>
      </c>
      <c r="M68" s="36" t="str">
        <f aca="false">IFERROR(INDEX(Transaction_Types!$C$5:$C$20,MATCH(D68,Transaction_Types!$A$5:$A$20,0)),"")</f>
        <v>Credit</v>
      </c>
      <c r="N68" s="39" t="n">
        <f aca="false">IF(G68="Posted",E68,0)</f>
        <v>100</v>
      </c>
      <c r="O68" s="36" t="n">
        <f aca="false">COUNTIFS($J$5:$J$3000,A68,$K$5:$K$3000,"Reverses")</f>
        <v>0</v>
      </c>
      <c r="P68" s="39" t="n">
        <f aca="false">IF(K68&lt;&gt;"","",IF(G68="Posted",E68+SUMIFS($N$5:$N$3000,$J$5:$J$3000,A68),0))</f>
        <v>100</v>
      </c>
      <c r="Q68" s="36" t="str">
        <f aca="false">IF(L68="Not in catalogue","CHECK type",IF(F68&lt;&gt;Settings!$B$6,"CHECK unit",IF(OR(AND(M68="Credit",E68&lt;=0),AND(M68="Debit",E68&gt;=0)),"CHECK sign",IF(D68="Reversal",IF(OR(J68="",COUNTIF($A$5:$A$3000,J68)=0),"CHECK reversal link",IF(E68&lt;&gt;-INDEX($E$5:$E$3000,MATCH(J68,$A$5:$A$3000,0)),"CHECK reversal amount","OK")),IF(AND(D68="Adjustment",K68&lt;&gt;"",COUNTIF($A$5:$A$3000,J68)=0),"CHECK correction link","OK")))))</f>
        <v>OK</v>
      </c>
      <c r="R68" s="40" t="n">
        <f aca="false">INT(C68)</f>
        <v>46275</v>
      </c>
    </row>
    <row r="69" customFormat="false" ht="15" hidden="false" customHeight="false" outlineLevel="0" collapsed="false">
      <c r="A69" s="28" t="s">
        <v>428</v>
      </c>
      <c r="B69" s="28" t="s">
        <v>254</v>
      </c>
      <c r="C69" s="35" t="n">
        <v>46276.0131944444</v>
      </c>
      <c r="D69" s="28" t="s">
        <v>308</v>
      </c>
      <c r="E69" s="38" t="n">
        <v>200</v>
      </c>
      <c r="F69" s="28" t="s">
        <v>225</v>
      </c>
      <c r="G69" s="28" t="s">
        <v>309</v>
      </c>
      <c r="H69" s="28" t="s">
        <v>310</v>
      </c>
      <c r="I69" s="28" t="s">
        <v>429</v>
      </c>
      <c r="J69" s="28"/>
      <c r="K69" s="28"/>
      <c r="L69" s="36" t="str">
        <f aca="false">IFERROR(INDEX(Transaction_Types!$B$5:$B$20,MATCH(D69,Transaction_Types!$A$5:$A$20,0)),"Not in catalogue")</f>
        <v>Supported</v>
      </c>
      <c r="M69" s="36" t="str">
        <f aca="false">IFERROR(INDEX(Transaction_Types!$C$5:$C$20,MATCH(D69,Transaction_Types!$A$5:$A$20,0)),"")</f>
        <v>Credit</v>
      </c>
      <c r="N69" s="39" t="n">
        <f aca="false">IF(G69="Posted",E69,0)</f>
        <v>200</v>
      </c>
      <c r="O69" s="36" t="n">
        <f aca="false">COUNTIFS($J$5:$J$3000,A69,$K$5:$K$3000,"Reverses")</f>
        <v>0</v>
      </c>
      <c r="P69" s="39" t="n">
        <f aca="false">IF(K69&lt;&gt;"","",IF(G69="Posted",E69+SUMIFS($N$5:$N$3000,$J$5:$J$3000,A69),0))</f>
        <v>200</v>
      </c>
      <c r="Q69" s="36" t="str">
        <f aca="false">IF(L69="Not in catalogue","CHECK type",IF(F69&lt;&gt;Settings!$B$6,"CHECK unit",IF(OR(AND(M69="Credit",E69&lt;=0),AND(M69="Debit",E69&gt;=0)),"CHECK sign",IF(D69="Reversal",IF(OR(J69="",COUNTIF($A$5:$A$3000,J69)=0),"CHECK reversal link",IF(E69&lt;&gt;-INDEX($E$5:$E$3000,MATCH(J69,$A$5:$A$3000,0)),"CHECK reversal amount","OK")),IF(AND(D69="Adjustment",K69&lt;&gt;"",COUNTIF($A$5:$A$3000,J69)=0),"CHECK correction link","OK")))))</f>
        <v>OK</v>
      </c>
      <c r="R69" s="40" t="n">
        <f aca="false">INT(C69)</f>
        <v>46276</v>
      </c>
    </row>
    <row r="70" customFormat="false" ht="15" hidden="false" customHeight="false" outlineLevel="0" collapsed="false">
      <c r="A70" s="28" t="s">
        <v>430</v>
      </c>
      <c r="B70" s="28" t="s">
        <v>242</v>
      </c>
      <c r="C70" s="35" t="n">
        <v>46276.1215277778</v>
      </c>
      <c r="D70" s="28" t="s">
        <v>308</v>
      </c>
      <c r="E70" s="38" t="n">
        <v>500</v>
      </c>
      <c r="F70" s="28" t="s">
        <v>225</v>
      </c>
      <c r="G70" s="28" t="s">
        <v>309</v>
      </c>
      <c r="H70" s="28" t="s">
        <v>310</v>
      </c>
      <c r="I70" s="28" t="s">
        <v>431</v>
      </c>
      <c r="J70" s="28"/>
      <c r="K70" s="28"/>
      <c r="L70" s="36" t="str">
        <f aca="false">IFERROR(INDEX(Transaction_Types!$B$5:$B$20,MATCH(D70,Transaction_Types!$A$5:$A$20,0)),"Not in catalogue")</f>
        <v>Supported</v>
      </c>
      <c r="M70" s="36" t="str">
        <f aca="false">IFERROR(INDEX(Transaction_Types!$C$5:$C$20,MATCH(D70,Transaction_Types!$A$5:$A$20,0)),"")</f>
        <v>Credit</v>
      </c>
      <c r="N70" s="39" t="n">
        <f aca="false">IF(G70="Posted",E70,0)</f>
        <v>500</v>
      </c>
      <c r="O70" s="36" t="n">
        <f aca="false">COUNTIFS($J$5:$J$3000,A70,$K$5:$K$3000,"Reverses")</f>
        <v>0</v>
      </c>
      <c r="P70" s="39" t="n">
        <f aca="false">IF(K70&lt;&gt;"","",IF(G70="Posted",E70+SUMIFS($N$5:$N$3000,$J$5:$J$3000,A70),0))</f>
        <v>500</v>
      </c>
      <c r="Q70" s="36" t="str">
        <f aca="false">IF(L70="Not in catalogue","CHECK type",IF(F70&lt;&gt;Settings!$B$6,"CHECK unit",IF(OR(AND(M70="Credit",E70&lt;=0),AND(M70="Debit",E70&gt;=0)),"CHECK sign",IF(D70="Reversal",IF(OR(J70="",COUNTIF($A$5:$A$3000,J70)=0),"CHECK reversal link",IF(E70&lt;&gt;-INDEX($E$5:$E$3000,MATCH(J70,$A$5:$A$3000,0)),"CHECK reversal amount","OK")),IF(AND(D70="Adjustment",K70&lt;&gt;"",COUNTIF($A$5:$A$3000,J70)=0),"CHECK correction link","OK")))))</f>
        <v>OK</v>
      </c>
      <c r="R70" s="40" t="n">
        <f aca="false">INT(C70)</f>
        <v>46276</v>
      </c>
    </row>
    <row r="71" customFormat="false" ht="15" hidden="false" customHeight="false" outlineLevel="0" collapsed="false">
      <c r="A71" s="28" t="s">
        <v>432</v>
      </c>
      <c r="B71" s="28" t="s">
        <v>368</v>
      </c>
      <c r="C71" s="35" t="n">
        <v>46276.1388888889</v>
      </c>
      <c r="D71" s="28" t="s">
        <v>308</v>
      </c>
      <c r="E71" s="38" t="n">
        <v>500</v>
      </c>
      <c r="F71" s="28" t="s">
        <v>225</v>
      </c>
      <c r="G71" s="28" t="s">
        <v>309</v>
      </c>
      <c r="H71" s="28" t="s">
        <v>310</v>
      </c>
      <c r="I71" s="28" t="s">
        <v>433</v>
      </c>
      <c r="J71" s="28"/>
      <c r="K71" s="28"/>
      <c r="L71" s="36" t="str">
        <f aca="false">IFERROR(INDEX(Transaction_Types!$B$5:$B$20,MATCH(D71,Transaction_Types!$A$5:$A$20,0)),"Not in catalogue")</f>
        <v>Supported</v>
      </c>
      <c r="M71" s="36" t="str">
        <f aca="false">IFERROR(INDEX(Transaction_Types!$C$5:$C$20,MATCH(D71,Transaction_Types!$A$5:$A$20,0)),"")</f>
        <v>Credit</v>
      </c>
      <c r="N71" s="39" t="n">
        <f aca="false">IF(G71="Posted",E71,0)</f>
        <v>500</v>
      </c>
      <c r="O71" s="36" t="n">
        <f aca="false">COUNTIFS($J$5:$J$3000,A71,$K$5:$K$3000,"Reverses")</f>
        <v>0</v>
      </c>
      <c r="P71" s="39" t="n">
        <f aca="false">IF(K71&lt;&gt;"","",IF(G71="Posted",E71+SUMIFS($N$5:$N$3000,$J$5:$J$3000,A71),0))</f>
        <v>500</v>
      </c>
      <c r="Q71" s="36" t="str">
        <f aca="false">IF(L71="Not in catalogue","CHECK type",IF(F71&lt;&gt;Settings!$B$6,"CHECK unit",IF(OR(AND(M71="Credit",E71&lt;=0),AND(M71="Debit",E71&gt;=0)),"CHECK sign",IF(D71="Reversal",IF(OR(J71="",COUNTIF($A$5:$A$3000,J71)=0),"CHECK reversal link",IF(E71&lt;&gt;-INDEX($E$5:$E$3000,MATCH(J71,$A$5:$A$3000,0)),"CHECK reversal amount","OK")),IF(AND(D71="Adjustment",K71&lt;&gt;"",COUNTIF($A$5:$A$3000,J71)=0),"CHECK correction link","OK")))))</f>
        <v>OK</v>
      </c>
      <c r="R71" s="40" t="n">
        <f aca="false">INT(C71)</f>
        <v>46276</v>
      </c>
    </row>
    <row r="72" customFormat="false" ht="15" hidden="false" customHeight="false" outlineLevel="0" collapsed="false">
      <c r="A72" s="28" t="s">
        <v>434</v>
      </c>
      <c r="B72" s="28" t="s">
        <v>246</v>
      </c>
      <c r="C72" s="35" t="n">
        <v>46276.18125</v>
      </c>
      <c r="D72" s="28" t="s">
        <v>308</v>
      </c>
      <c r="E72" s="38" t="n">
        <v>250</v>
      </c>
      <c r="F72" s="28" t="s">
        <v>225</v>
      </c>
      <c r="G72" s="28" t="s">
        <v>309</v>
      </c>
      <c r="H72" s="28" t="s">
        <v>310</v>
      </c>
      <c r="I72" s="28" t="s">
        <v>435</v>
      </c>
      <c r="J72" s="28"/>
      <c r="K72" s="28"/>
      <c r="L72" s="36" t="str">
        <f aca="false">IFERROR(INDEX(Transaction_Types!$B$5:$B$20,MATCH(D72,Transaction_Types!$A$5:$A$20,0)),"Not in catalogue")</f>
        <v>Supported</v>
      </c>
      <c r="M72" s="36" t="str">
        <f aca="false">IFERROR(INDEX(Transaction_Types!$C$5:$C$20,MATCH(D72,Transaction_Types!$A$5:$A$20,0)),"")</f>
        <v>Credit</v>
      </c>
      <c r="N72" s="39" t="n">
        <f aca="false">IF(G72="Posted",E72,0)</f>
        <v>250</v>
      </c>
      <c r="O72" s="36" t="n">
        <f aca="false">COUNTIFS($J$5:$J$3000,A72,$K$5:$K$3000,"Reverses")</f>
        <v>0</v>
      </c>
      <c r="P72" s="39" t="n">
        <f aca="false">IF(K72&lt;&gt;"","",IF(G72="Posted",E72+SUMIFS($N$5:$N$3000,$J$5:$J$3000,A72),0))</f>
        <v>250</v>
      </c>
      <c r="Q72" s="36" t="str">
        <f aca="false">IF(L72="Not in catalogue","CHECK type",IF(F72&lt;&gt;Settings!$B$6,"CHECK unit",IF(OR(AND(M72="Credit",E72&lt;=0),AND(M72="Debit",E72&gt;=0)),"CHECK sign",IF(D72="Reversal",IF(OR(J72="",COUNTIF($A$5:$A$3000,J72)=0),"CHECK reversal link",IF(E72&lt;&gt;-INDEX($E$5:$E$3000,MATCH(J72,$A$5:$A$3000,0)),"CHECK reversal amount","OK")),IF(AND(D72="Adjustment",K72&lt;&gt;"",COUNTIF($A$5:$A$3000,J72)=0),"CHECK correction link","OK")))))</f>
        <v>OK</v>
      </c>
      <c r="R72" s="40" t="n">
        <f aca="false">INT(C72)</f>
        <v>46276</v>
      </c>
    </row>
    <row r="73" customFormat="false" ht="15" hidden="false" customHeight="false" outlineLevel="0" collapsed="false">
      <c r="A73" s="28" t="s">
        <v>436</v>
      </c>
      <c r="B73" s="28" t="s">
        <v>249</v>
      </c>
      <c r="C73" s="35" t="n">
        <v>46276.1847222222</v>
      </c>
      <c r="D73" s="28" t="s">
        <v>308</v>
      </c>
      <c r="E73" s="38" t="n">
        <v>300</v>
      </c>
      <c r="F73" s="28" t="s">
        <v>225</v>
      </c>
      <c r="G73" s="28" t="s">
        <v>309</v>
      </c>
      <c r="H73" s="28" t="s">
        <v>310</v>
      </c>
      <c r="I73" s="28" t="s">
        <v>437</v>
      </c>
      <c r="J73" s="28"/>
      <c r="K73" s="28"/>
      <c r="L73" s="36" t="str">
        <f aca="false">IFERROR(INDEX(Transaction_Types!$B$5:$B$20,MATCH(D73,Transaction_Types!$A$5:$A$20,0)),"Not in catalogue")</f>
        <v>Supported</v>
      </c>
      <c r="M73" s="36" t="str">
        <f aca="false">IFERROR(INDEX(Transaction_Types!$C$5:$C$20,MATCH(D73,Transaction_Types!$A$5:$A$20,0)),"")</f>
        <v>Credit</v>
      </c>
      <c r="N73" s="39" t="n">
        <f aca="false">IF(G73="Posted",E73,0)</f>
        <v>300</v>
      </c>
      <c r="O73" s="36" t="n">
        <f aca="false">COUNTIFS($J$5:$J$3000,A73,$K$5:$K$3000,"Reverses")</f>
        <v>0</v>
      </c>
      <c r="P73" s="39" t="n">
        <f aca="false">IF(K73&lt;&gt;"","",IF(G73="Posted",E73+SUMIFS($N$5:$N$3000,$J$5:$J$3000,A73),0))</f>
        <v>300</v>
      </c>
      <c r="Q73" s="36" t="str">
        <f aca="false">IF(L73="Not in catalogue","CHECK type",IF(F73&lt;&gt;Settings!$B$6,"CHECK unit",IF(OR(AND(M73="Credit",E73&lt;=0),AND(M73="Debit",E73&gt;=0)),"CHECK sign",IF(D73="Reversal",IF(OR(J73="",COUNTIF($A$5:$A$3000,J73)=0),"CHECK reversal link",IF(E73&lt;&gt;-INDEX($E$5:$E$3000,MATCH(J73,$A$5:$A$3000,0)),"CHECK reversal amount","OK")),IF(AND(D73="Adjustment",K73&lt;&gt;"",COUNTIF($A$5:$A$3000,J73)=0),"CHECK correction link","OK")))))</f>
        <v>OK</v>
      </c>
      <c r="R73" s="40" t="n">
        <f aca="false">INT(C73)</f>
        <v>46276</v>
      </c>
    </row>
    <row r="74" customFormat="false" ht="15" hidden="false" customHeight="false" outlineLevel="0" collapsed="false">
      <c r="A74" s="28" t="s">
        <v>438</v>
      </c>
      <c r="B74" s="28" t="s">
        <v>265</v>
      </c>
      <c r="C74" s="35" t="n">
        <v>46276.5951388889</v>
      </c>
      <c r="D74" s="28" t="s">
        <v>308</v>
      </c>
      <c r="E74" s="38" t="n">
        <v>300</v>
      </c>
      <c r="F74" s="28" t="s">
        <v>225</v>
      </c>
      <c r="G74" s="28" t="s">
        <v>309</v>
      </c>
      <c r="H74" s="28" t="s">
        <v>310</v>
      </c>
      <c r="I74" s="28" t="s">
        <v>439</v>
      </c>
      <c r="J74" s="28"/>
      <c r="K74" s="28"/>
      <c r="L74" s="36" t="str">
        <f aca="false">IFERROR(INDEX(Transaction_Types!$B$5:$B$20,MATCH(D74,Transaction_Types!$A$5:$A$20,0)),"Not in catalogue")</f>
        <v>Supported</v>
      </c>
      <c r="M74" s="36" t="str">
        <f aca="false">IFERROR(INDEX(Transaction_Types!$C$5:$C$20,MATCH(D74,Transaction_Types!$A$5:$A$20,0)),"")</f>
        <v>Credit</v>
      </c>
      <c r="N74" s="39" t="n">
        <f aca="false">IF(G74="Posted",E74,0)</f>
        <v>300</v>
      </c>
      <c r="O74" s="36" t="n">
        <f aca="false">COUNTIFS($J$5:$J$3000,A74,$K$5:$K$3000,"Reverses")</f>
        <v>0</v>
      </c>
      <c r="P74" s="39" t="n">
        <f aca="false">IF(K74&lt;&gt;"","",IF(G74="Posted",E74+SUMIFS($N$5:$N$3000,$J$5:$J$3000,A74),0))</f>
        <v>300</v>
      </c>
      <c r="Q74" s="36" t="str">
        <f aca="false">IF(L74="Not in catalogue","CHECK type",IF(F74&lt;&gt;Settings!$B$6,"CHECK unit",IF(OR(AND(M74="Credit",E74&lt;=0),AND(M74="Debit",E74&gt;=0)),"CHECK sign",IF(D74="Reversal",IF(OR(J74="",COUNTIF($A$5:$A$3000,J74)=0),"CHECK reversal link",IF(E74&lt;&gt;-INDEX($E$5:$E$3000,MATCH(J74,$A$5:$A$3000,0)),"CHECK reversal amount","OK")),IF(AND(D74="Adjustment",K74&lt;&gt;"",COUNTIF($A$5:$A$3000,J74)=0),"CHECK correction link","OK")))))</f>
        <v>OK</v>
      </c>
      <c r="R74" s="40" t="n">
        <f aca="false">INT(C74)</f>
        <v>46276</v>
      </c>
    </row>
    <row r="75" customFormat="false" ht="15" hidden="false" customHeight="false" outlineLevel="0" collapsed="false">
      <c r="A75" s="28" t="s">
        <v>440</v>
      </c>
      <c r="B75" s="28" t="s">
        <v>246</v>
      </c>
      <c r="C75" s="35" t="n">
        <v>46276.9513888889</v>
      </c>
      <c r="D75" s="28" t="s">
        <v>308</v>
      </c>
      <c r="E75" s="38" t="n">
        <v>150</v>
      </c>
      <c r="F75" s="28" t="s">
        <v>225</v>
      </c>
      <c r="G75" s="28" t="s">
        <v>309</v>
      </c>
      <c r="H75" s="28" t="s">
        <v>310</v>
      </c>
      <c r="I75" s="28" t="s">
        <v>441</v>
      </c>
      <c r="J75" s="28"/>
      <c r="K75" s="28"/>
      <c r="L75" s="36" t="str">
        <f aca="false">IFERROR(INDEX(Transaction_Types!$B$5:$B$20,MATCH(D75,Transaction_Types!$A$5:$A$20,0)),"Not in catalogue")</f>
        <v>Supported</v>
      </c>
      <c r="M75" s="36" t="str">
        <f aca="false">IFERROR(INDEX(Transaction_Types!$C$5:$C$20,MATCH(D75,Transaction_Types!$A$5:$A$20,0)),"")</f>
        <v>Credit</v>
      </c>
      <c r="N75" s="39" t="n">
        <f aca="false">IF(G75="Posted",E75,0)</f>
        <v>150</v>
      </c>
      <c r="O75" s="36" t="n">
        <f aca="false">COUNTIFS($J$5:$J$3000,A75,$K$5:$K$3000,"Reverses")</f>
        <v>0</v>
      </c>
      <c r="P75" s="39" t="n">
        <f aca="false">IF(K75&lt;&gt;"","",IF(G75="Posted",E75+SUMIFS($N$5:$N$3000,$J$5:$J$3000,A75),0))</f>
        <v>150</v>
      </c>
      <c r="Q75" s="36" t="str">
        <f aca="false">IF(L75="Not in catalogue","CHECK type",IF(F75&lt;&gt;Settings!$B$6,"CHECK unit",IF(OR(AND(M75="Credit",E75&lt;=0),AND(M75="Debit",E75&gt;=0)),"CHECK sign",IF(D75="Reversal",IF(OR(J75="",COUNTIF($A$5:$A$3000,J75)=0),"CHECK reversal link",IF(E75&lt;&gt;-INDEX($E$5:$E$3000,MATCH(J75,$A$5:$A$3000,0)),"CHECK reversal amount","OK")),IF(AND(D75="Adjustment",K75&lt;&gt;"",COUNTIF($A$5:$A$3000,J75)=0),"CHECK correction link","OK")))))</f>
        <v>OK</v>
      </c>
      <c r="R75" s="40" t="n">
        <f aca="false">INT(C75)</f>
        <v>46276</v>
      </c>
    </row>
    <row r="76" customFormat="false" ht="15" hidden="false" customHeight="false" outlineLevel="0" collapsed="false">
      <c r="A76" s="28" t="s">
        <v>442</v>
      </c>
      <c r="B76" s="28" t="s">
        <v>277</v>
      </c>
      <c r="C76" s="35" t="n">
        <v>46277.3979166667</v>
      </c>
      <c r="D76" s="28" t="s">
        <v>308</v>
      </c>
      <c r="E76" s="38" t="n">
        <v>100</v>
      </c>
      <c r="F76" s="28" t="s">
        <v>225</v>
      </c>
      <c r="G76" s="28" t="s">
        <v>309</v>
      </c>
      <c r="H76" s="28" t="s">
        <v>310</v>
      </c>
      <c r="I76" s="28" t="s">
        <v>443</v>
      </c>
      <c r="J76" s="28"/>
      <c r="K76" s="28"/>
      <c r="L76" s="36" t="str">
        <f aca="false">IFERROR(INDEX(Transaction_Types!$B$5:$B$20,MATCH(D76,Transaction_Types!$A$5:$A$20,0)),"Not in catalogue")</f>
        <v>Supported</v>
      </c>
      <c r="M76" s="36" t="str">
        <f aca="false">IFERROR(INDEX(Transaction_Types!$C$5:$C$20,MATCH(D76,Transaction_Types!$A$5:$A$20,0)),"")</f>
        <v>Credit</v>
      </c>
      <c r="N76" s="39" t="n">
        <f aca="false">IF(G76="Posted",E76,0)</f>
        <v>100</v>
      </c>
      <c r="O76" s="36" t="n">
        <f aca="false">COUNTIFS($J$5:$J$3000,A76,$K$5:$K$3000,"Reverses")</f>
        <v>0</v>
      </c>
      <c r="P76" s="39" t="n">
        <f aca="false">IF(K76&lt;&gt;"","",IF(G76="Posted",E76+SUMIFS($N$5:$N$3000,$J$5:$J$3000,A76),0))</f>
        <v>100</v>
      </c>
      <c r="Q76" s="36" t="str">
        <f aca="false">IF(L76="Not in catalogue","CHECK type",IF(F76&lt;&gt;Settings!$B$6,"CHECK unit",IF(OR(AND(M76="Credit",E76&lt;=0),AND(M76="Debit",E76&gt;=0)),"CHECK sign",IF(D76="Reversal",IF(OR(J76="",COUNTIF($A$5:$A$3000,J76)=0),"CHECK reversal link",IF(E76&lt;&gt;-INDEX($E$5:$E$3000,MATCH(J76,$A$5:$A$3000,0)),"CHECK reversal amount","OK")),IF(AND(D76="Adjustment",K76&lt;&gt;"",COUNTIF($A$5:$A$3000,J76)=0),"CHECK correction link","OK")))))</f>
        <v>OK</v>
      </c>
      <c r="R76" s="40" t="n">
        <f aca="false">INT(C76)</f>
        <v>46277</v>
      </c>
    </row>
    <row r="77" customFormat="false" ht="15" hidden="false" customHeight="false" outlineLevel="0" collapsed="false">
      <c r="A77" s="28" t="s">
        <v>444</v>
      </c>
      <c r="B77" s="28" t="s">
        <v>249</v>
      </c>
      <c r="C77" s="35" t="n">
        <v>46277.4590277778</v>
      </c>
      <c r="D77" s="28" t="s">
        <v>308</v>
      </c>
      <c r="E77" s="38" t="n">
        <v>250</v>
      </c>
      <c r="F77" s="28" t="s">
        <v>225</v>
      </c>
      <c r="G77" s="28" t="s">
        <v>309</v>
      </c>
      <c r="H77" s="28" t="s">
        <v>310</v>
      </c>
      <c r="I77" s="28" t="s">
        <v>445</v>
      </c>
      <c r="J77" s="28"/>
      <c r="K77" s="28"/>
      <c r="L77" s="36" t="str">
        <f aca="false">IFERROR(INDEX(Transaction_Types!$B$5:$B$20,MATCH(D77,Transaction_Types!$A$5:$A$20,0)),"Not in catalogue")</f>
        <v>Supported</v>
      </c>
      <c r="M77" s="36" t="str">
        <f aca="false">IFERROR(INDEX(Transaction_Types!$C$5:$C$20,MATCH(D77,Transaction_Types!$A$5:$A$20,0)),"")</f>
        <v>Credit</v>
      </c>
      <c r="N77" s="39" t="n">
        <f aca="false">IF(G77="Posted",E77,0)</f>
        <v>250</v>
      </c>
      <c r="O77" s="36" t="n">
        <f aca="false">COUNTIFS($J$5:$J$3000,A77,$K$5:$K$3000,"Reverses")</f>
        <v>0</v>
      </c>
      <c r="P77" s="39" t="n">
        <f aca="false">IF(K77&lt;&gt;"","",IF(G77="Posted",E77+SUMIFS($N$5:$N$3000,$J$5:$J$3000,A77),0))</f>
        <v>250</v>
      </c>
      <c r="Q77" s="36" t="str">
        <f aca="false">IF(L77="Not in catalogue","CHECK type",IF(F77&lt;&gt;Settings!$B$6,"CHECK unit",IF(OR(AND(M77="Credit",E77&lt;=0),AND(M77="Debit",E77&gt;=0)),"CHECK sign",IF(D77="Reversal",IF(OR(J77="",COUNTIF($A$5:$A$3000,J77)=0),"CHECK reversal link",IF(E77&lt;&gt;-INDEX($E$5:$E$3000,MATCH(J77,$A$5:$A$3000,0)),"CHECK reversal amount","OK")),IF(AND(D77="Adjustment",K77&lt;&gt;"",COUNTIF($A$5:$A$3000,J77)=0),"CHECK correction link","OK")))))</f>
        <v>OK</v>
      </c>
      <c r="R77" s="40" t="n">
        <f aca="false">INT(C77)</f>
        <v>46277</v>
      </c>
    </row>
    <row r="78" customFormat="false" ht="15" hidden="false" customHeight="false" outlineLevel="0" collapsed="false">
      <c r="A78" s="28" t="s">
        <v>446</v>
      </c>
      <c r="B78" s="28" t="s">
        <v>254</v>
      </c>
      <c r="C78" s="35" t="n">
        <v>46277.8402777778</v>
      </c>
      <c r="D78" s="28" t="s">
        <v>308</v>
      </c>
      <c r="E78" s="38" t="n">
        <v>150</v>
      </c>
      <c r="F78" s="28" t="s">
        <v>225</v>
      </c>
      <c r="G78" s="28" t="s">
        <v>309</v>
      </c>
      <c r="H78" s="28" t="s">
        <v>310</v>
      </c>
      <c r="I78" s="28" t="s">
        <v>447</v>
      </c>
      <c r="J78" s="28"/>
      <c r="K78" s="28"/>
      <c r="L78" s="36" t="str">
        <f aca="false">IFERROR(INDEX(Transaction_Types!$B$5:$B$20,MATCH(D78,Transaction_Types!$A$5:$A$20,0)),"Not in catalogue")</f>
        <v>Supported</v>
      </c>
      <c r="M78" s="36" t="str">
        <f aca="false">IFERROR(INDEX(Transaction_Types!$C$5:$C$20,MATCH(D78,Transaction_Types!$A$5:$A$20,0)),"")</f>
        <v>Credit</v>
      </c>
      <c r="N78" s="39" t="n">
        <f aca="false">IF(G78="Posted",E78,0)</f>
        <v>150</v>
      </c>
      <c r="O78" s="36" t="n">
        <f aca="false">COUNTIFS($J$5:$J$3000,A78,$K$5:$K$3000,"Reverses")</f>
        <v>0</v>
      </c>
      <c r="P78" s="39" t="n">
        <f aca="false">IF(K78&lt;&gt;"","",IF(G78="Posted",E78+SUMIFS($N$5:$N$3000,$J$5:$J$3000,A78),0))</f>
        <v>150</v>
      </c>
      <c r="Q78" s="36" t="str">
        <f aca="false">IF(L78="Not in catalogue","CHECK type",IF(F78&lt;&gt;Settings!$B$6,"CHECK unit",IF(OR(AND(M78="Credit",E78&lt;=0),AND(M78="Debit",E78&gt;=0)),"CHECK sign",IF(D78="Reversal",IF(OR(J78="",COUNTIF($A$5:$A$3000,J78)=0),"CHECK reversal link",IF(E78&lt;&gt;-INDEX($E$5:$E$3000,MATCH(J78,$A$5:$A$3000,0)),"CHECK reversal amount","OK")),IF(AND(D78="Adjustment",K78&lt;&gt;"",COUNTIF($A$5:$A$3000,J78)=0),"CHECK correction link","OK")))))</f>
        <v>OK</v>
      </c>
      <c r="R78" s="40" t="n">
        <f aca="false">INT(C78)</f>
        <v>46277</v>
      </c>
    </row>
    <row r="79" customFormat="false" ht="15" hidden="false" customHeight="false" outlineLevel="0" collapsed="false">
      <c r="A79" s="28" t="s">
        <v>448</v>
      </c>
      <c r="B79" s="28" t="s">
        <v>249</v>
      </c>
      <c r="C79" s="35" t="n">
        <v>46277.8729166667</v>
      </c>
      <c r="D79" s="28" t="s">
        <v>308</v>
      </c>
      <c r="E79" s="38" t="n">
        <v>300</v>
      </c>
      <c r="F79" s="28" t="s">
        <v>225</v>
      </c>
      <c r="G79" s="28" t="s">
        <v>309</v>
      </c>
      <c r="H79" s="28" t="s">
        <v>310</v>
      </c>
      <c r="I79" s="28" t="s">
        <v>449</v>
      </c>
      <c r="J79" s="28"/>
      <c r="K79" s="28"/>
      <c r="L79" s="36" t="str">
        <f aca="false">IFERROR(INDEX(Transaction_Types!$B$5:$B$20,MATCH(D79,Transaction_Types!$A$5:$A$20,0)),"Not in catalogue")</f>
        <v>Supported</v>
      </c>
      <c r="M79" s="36" t="str">
        <f aca="false">IFERROR(INDEX(Transaction_Types!$C$5:$C$20,MATCH(D79,Transaction_Types!$A$5:$A$20,0)),"")</f>
        <v>Credit</v>
      </c>
      <c r="N79" s="39" t="n">
        <f aca="false">IF(G79="Posted",E79,0)</f>
        <v>300</v>
      </c>
      <c r="O79" s="36" t="n">
        <f aca="false">COUNTIFS($J$5:$J$3000,A79,$K$5:$K$3000,"Reverses")</f>
        <v>0</v>
      </c>
      <c r="P79" s="39" t="n">
        <f aca="false">IF(K79&lt;&gt;"","",IF(G79="Posted",E79+SUMIFS($N$5:$N$3000,$J$5:$J$3000,A79),0))</f>
        <v>300</v>
      </c>
      <c r="Q79" s="36" t="str">
        <f aca="false">IF(L79="Not in catalogue","CHECK type",IF(F79&lt;&gt;Settings!$B$6,"CHECK unit",IF(OR(AND(M79="Credit",E79&lt;=0),AND(M79="Debit",E79&gt;=0)),"CHECK sign",IF(D79="Reversal",IF(OR(J79="",COUNTIF($A$5:$A$3000,J79)=0),"CHECK reversal link",IF(E79&lt;&gt;-INDEX($E$5:$E$3000,MATCH(J79,$A$5:$A$3000,0)),"CHECK reversal amount","OK")),IF(AND(D79="Adjustment",K79&lt;&gt;"",COUNTIF($A$5:$A$3000,J79)=0),"CHECK correction link","OK")))))</f>
        <v>OK</v>
      </c>
      <c r="R79" s="40" t="n">
        <f aca="false">INT(C79)</f>
        <v>46277</v>
      </c>
    </row>
    <row r="80" customFormat="false" ht="15" hidden="false" customHeight="false" outlineLevel="0" collapsed="false">
      <c r="A80" s="28" t="s">
        <v>450</v>
      </c>
      <c r="B80" s="28" t="s">
        <v>289</v>
      </c>
      <c r="C80" s="35" t="n">
        <v>46277.9145833333</v>
      </c>
      <c r="D80" s="28" t="s">
        <v>308</v>
      </c>
      <c r="E80" s="38" t="n">
        <v>150</v>
      </c>
      <c r="F80" s="28" t="s">
        <v>225</v>
      </c>
      <c r="G80" s="28" t="s">
        <v>309</v>
      </c>
      <c r="H80" s="28" t="s">
        <v>313</v>
      </c>
      <c r="I80" s="28" t="s">
        <v>314</v>
      </c>
      <c r="J80" s="28"/>
      <c r="K80" s="28"/>
      <c r="L80" s="36" t="str">
        <f aca="false">IFERROR(INDEX(Transaction_Types!$B$5:$B$20,MATCH(D80,Transaction_Types!$A$5:$A$20,0)),"Not in catalogue")</f>
        <v>Supported</v>
      </c>
      <c r="M80" s="36" t="str">
        <f aca="false">IFERROR(INDEX(Transaction_Types!$C$5:$C$20,MATCH(D80,Transaction_Types!$A$5:$A$20,0)),"")</f>
        <v>Credit</v>
      </c>
      <c r="N80" s="39" t="n">
        <f aca="false">IF(G80="Posted",E80,0)</f>
        <v>150</v>
      </c>
      <c r="O80" s="36" t="n">
        <f aca="false">COUNTIFS($J$5:$J$3000,A80,$K$5:$K$3000,"Reverses")</f>
        <v>0</v>
      </c>
      <c r="P80" s="39" t="n">
        <f aca="false">IF(K80&lt;&gt;"","",IF(G80="Posted",E80+SUMIFS($N$5:$N$3000,$J$5:$J$3000,A80),0))</f>
        <v>150</v>
      </c>
      <c r="Q80" s="36" t="str">
        <f aca="false">IF(L80="Not in catalogue","CHECK type",IF(F80&lt;&gt;Settings!$B$6,"CHECK unit",IF(OR(AND(M80="Credit",E80&lt;=0),AND(M80="Debit",E80&gt;=0)),"CHECK sign",IF(D80="Reversal",IF(OR(J80="",COUNTIF($A$5:$A$3000,J80)=0),"CHECK reversal link",IF(E80&lt;&gt;-INDEX($E$5:$E$3000,MATCH(J80,$A$5:$A$3000,0)),"CHECK reversal amount","OK")),IF(AND(D80="Adjustment",K80&lt;&gt;"",COUNTIF($A$5:$A$3000,J80)=0),"CHECK correction link","OK")))))</f>
        <v>OK</v>
      </c>
      <c r="R80" s="40" t="n">
        <f aca="false">INT(C80)</f>
        <v>46277</v>
      </c>
    </row>
    <row r="81" customFormat="false" ht="15" hidden="false" customHeight="false" outlineLevel="0" collapsed="false">
      <c r="A81" s="28" t="s">
        <v>451</v>
      </c>
      <c r="B81" s="28" t="s">
        <v>231</v>
      </c>
      <c r="C81" s="35" t="n">
        <v>46277.9840832004</v>
      </c>
      <c r="D81" s="28" t="s">
        <v>383</v>
      </c>
      <c r="E81" s="38" t="n">
        <v>-550</v>
      </c>
      <c r="F81" s="28" t="s">
        <v>225</v>
      </c>
      <c r="G81" s="28" t="s">
        <v>309</v>
      </c>
      <c r="H81" s="28" t="s">
        <v>384</v>
      </c>
      <c r="I81" s="28" t="s">
        <v>230</v>
      </c>
      <c r="J81" s="28"/>
      <c r="K81" s="28"/>
      <c r="L81" s="36" t="str">
        <f aca="false">IFERROR(INDEX(Transaction_Types!$B$5:$B$20,MATCH(D81,Transaction_Types!$A$5:$A$20,0)),"Not in catalogue")</f>
        <v>Supported</v>
      </c>
      <c r="M81" s="36" t="str">
        <f aca="false">IFERROR(INDEX(Transaction_Types!$C$5:$C$20,MATCH(D81,Transaction_Types!$A$5:$A$20,0)),"")</f>
        <v>Debit</v>
      </c>
      <c r="N81" s="39" t="n">
        <f aca="false">IF(G81="Posted",E81,0)</f>
        <v>-550</v>
      </c>
      <c r="O81" s="36" t="n">
        <f aca="false">COUNTIFS($J$5:$J$3000,A81,$K$5:$K$3000,"Reverses")</f>
        <v>0</v>
      </c>
      <c r="P81" s="39" t="n">
        <f aca="false">IF(K81&lt;&gt;"","",IF(G81="Posted",E81+SUMIFS($N$5:$N$3000,$J$5:$J$3000,A81),0))</f>
        <v>-550</v>
      </c>
      <c r="Q81" s="36" t="str">
        <f aca="false">IF(L81="Not in catalogue","CHECK type",IF(F81&lt;&gt;Settings!$B$6,"CHECK unit",IF(OR(AND(M81="Credit",E81&lt;=0),AND(M81="Debit",E81&gt;=0)),"CHECK sign",IF(D81="Reversal",IF(OR(J81="",COUNTIF($A$5:$A$3000,J81)=0),"CHECK reversal link",IF(E81&lt;&gt;-INDEX($E$5:$E$3000,MATCH(J81,$A$5:$A$3000,0)),"CHECK reversal amount","OK")),IF(AND(D81="Adjustment",K81&lt;&gt;"",COUNTIF($A$5:$A$3000,J81)=0),"CHECK correction link","OK")))))</f>
        <v>OK</v>
      </c>
      <c r="R81" s="40" t="n">
        <f aca="false">INT(C81)</f>
        <v>46277</v>
      </c>
    </row>
    <row r="82" customFormat="false" ht="15" hidden="false" customHeight="false" outlineLevel="0" collapsed="false">
      <c r="A82" s="28" t="s">
        <v>452</v>
      </c>
      <c r="B82" s="28" t="s">
        <v>368</v>
      </c>
      <c r="C82" s="35" t="n">
        <v>46278.0493055556</v>
      </c>
      <c r="D82" s="28" t="s">
        <v>308</v>
      </c>
      <c r="E82" s="38" t="n">
        <v>400</v>
      </c>
      <c r="F82" s="28" t="s">
        <v>225</v>
      </c>
      <c r="G82" s="28" t="s">
        <v>309</v>
      </c>
      <c r="H82" s="28" t="s">
        <v>310</v>
      </c>
      <c r="I82" s="28" t="s">
        <v>453</v>
      </c>
      <c r="J82" s="28"/>
      <c r="K82" s="28"/>
      <c r="L82" s="36" t="str">
        <f aca="false">IFERROR(INDEX(Transaction_Types!$B$5:$B$20,MATCH(D82,Transaction_Types!$A$5:$A$20,0)),"Not in catalogue")</f>
        <v>Supported</v>
      </c>
      <c r="M82" s="36" t="str">
        <f aca="false">IFERROR(INDEX(Transaction_Types!$C$5:$C$20,MATCH(D82,Transaction_Types!$A$5:$A$20,0)),"")</f>
        <v>Credit</v>
      </c>
      <c r="N82" s="39" t="n">
        <f aca="false">IF(G82="Posted",E82,0)</f>
        <v>400</v>
      </c>
      <c r="O82" s="36" t="n">
        <f aca="false">COUNTIFS($J$5:$J$3000,A82,$K$5:$K$3000,"Reverses")</f>
        <v>0</v>
      </c>
      <c r="P82" s="39" t="n">
        <f aca="false">IF(K82&lt;&gt;"","",IF(G82="Posted",E82+SUMIFS($N$5:$N$3000,$J$5:$J$3000,A82),0))</f>
        <v>400</v>
      </c>
      <c r="Q82" s="36" t="str">
        <f aca="false">IF(L82="Not in catalogue","CHECK type",IF(F82&lt;&gt;Settings!$B$6,"CHECK unit",IF(OR(AND(M82="Credit",E82&lt;=0),AND(M82="Debit",E82&gt;=0)),"CHECK sign",IF(D82="Reversal",IF(OR(J82="",COUNTIF($A$5:$A$3000,J82)=0),"CHECK reversal link",IF(E82&lt;&gt;-INDEX($E$5:$E$3000,MATCH(J82,$A$5:$A$3000,0)),"CHECK reversal amount","OK")),IF(AND(D82="Adjustment",K82&lt;&gt;"",COUNTIF($A$5:$A$3000,J82)=0),"CHECK correction link","OK")))))</f>
        <v>OK</v>
      </c>
      <c r="R82" s="40" t="n">
        <f aca="false">INT(C82)</f>
        <v>46278</v>
      </c>
    </row>
    <row r="83" customFormat="false" ht="15" hidden="false" customHeight="false" outlineLevel="0" collapsed="false">
      <c r="A83" s="28" t="s">
        <v>454</v>
      </c>
      <c r="B83" s="28" t="s">
        <v>236</v>
      </c>
      <c r="C83" s="35" t="n">
        <v>46278.0861111111</v>
      </c>
      <c r="D83" s="28" t="s">
        <v>308</v>
      </c>
      <c r="E83" s="38" t="n">
        <v>500</v>
      </c>
      <c r="F83" s="28" t="s">
        <v>225</v>
      </c>
      <c r="G83" s="28" t="s">
        <v>309</v>
      </c>
      <c r="H83" s="28" t="s">
        <v>310</v>
      </c>
      <c r="I83" s="28" t="s">
        <v>455</v>
      </c>
      <c r="J83" s="28"/>
      <c r="K83" s="28"/>
      <c r="L83" s="36" t="str">
        <f aca="false">IFERROR(INDEX(Transaction_Types!$B$5:$B$20,MATCH(D83,Transaction_Types!$A$5:$A$20,0)),"Not in catalogue")</f>
        <v>Supported</v>
      </c>
      <c r="M83" s="36" t="str">
        <f aca="false">IFERROR(INDEX(Transaction_Types!$C$5:$C$20,MATCH(D83,Transaction_Types!$A$5:$A$20,0)),"")</f>
        <v>Credit</v>
      </c>
      <c r="N83" s="39" t="n">
        <f aca="false">IF(G83="Posted",E83,0)</f>
        <v>500</v>
      </c>
      <c r="O83" s="36" t="n">
        <f aca="false">COUNTIFS($J$5:$J$3000,A83,$K$5:$K$3000,"Reverses")</f>
        <v>0</v>
      </c>
      <c r="P83" s="39" t="n">
        <f aca="false">IF(K83&lt;&gt;"","",IF(G83="Posted",E83+SUMIFS($N$5:$N$3000,$J$5:$J$3000,A83),0))</f>
        <v>500</v>
      </c>
      <c r="Q83" s="36" t="str">
        <f aca="false">IF(L83="Not in catalogue","CHECK type",IF(F83&lt;&gt;Settings!$B$6,"CHECK unit",IF(OR(AND(M83="Credit",E83&lt;=0),AND(M83="Debit",E83&gt;=0)),"CHECK sign",IF(D83="Reversal",IF(OR(J83="",COUNTIF($A$5:$A$3000,J83)=0),"CHECK reversal link",IF(E83&lt;&gt;-INDEX($E$5:$E$3000,MATCH(J83,$A$5:$A$3000,0)),"CHECK reversal amount","OK")),IF(AND(D83="Adjustment",K83&lt;&gt;"",COUNTIF($A$5:$A$3000,J83)=0),"CHECK correction link","OK")))))</f>
        <v>OK</v>
      </c>
      <c r="R83" s="40" t="n">
        <f aca="false">INT(C83)</f>
        <v>46278</v>
      </c>
    </row>
    <row r="84" customFormat="false" ht="15" hidden="false" customHeight="false" outlineLevel="0" collapsed="false">
      <c r="A84" s="28" t="s">
        <v>456</v>
      </c>
      <c r="B84" s="28" t="s">
        <v>242</v>
      </c>
      <c r="C84" s="35" t="n">
        <v>46278.2388888889</v>
      </c>
      <c r="D84" s="28" t="s">
        <v>308</v>
      </c>
      <c r="E84" s="38" t="n">
        <v>400</v>
      </c>
      <c r="F84" s="28" t="s">
        <v>225</v>
      </c>
      <c r="G84" s="28" t="s">
        <v>309</v>
      </c>
      <c r="H84" s="28" t="s">
        <v>313</v>
      </c>
      <c r="I84" s="28" t="s">
        <v>314</v>
      </c>
      <c r="J84" s="28"/>
      <c r="K84" s="28"/>
      <c r="L84" s="36" t="str">
        <f aca="false">IFERROR(INDEX(Transaction_Types!$B$5:$B$20,MATCH(D84,Transaction_Types!$A$5:$A$20,0)),"Not in catalogue")</f>
        <v>Supported</v>
      </c>
      <c r="M84" s="36" t="str">
        <f aca="false">IFERROR(INDEX(Transaction_Types!$C$5:$C$20,MATCH(D84,Transaction_Types!$A$5:$A$20,0)),"")</f>
        <v>Credit</v>
      </c>
      <c r="N84" s="39" t="n">
        <f aca="false">IF(G84="Posted",E84,0)</f>
        <v>400</v>
      </c>
      <c r="O84" s="36" t="n">
        <f aca="false">COUNTIFS($J$5:$J$3000,A84,$K$5:$K$3000,"Reverses")</f>
        <v>0</v>
      </c>
      <c r="P84" s="39" t="n">
        <f aca="false">IF(K84&lt;&gt;"","",IF(G84="Posted",E84+SUMIFS($N$5:$N$3000,$J$5:$J$3000,A84),0))</f>
        <v>350</v>
      </c>
      <c r="Q84" s="36" t="str">
        <f aca="false">IF(L84="Not in catalogue","CHECK type",IF(F84&lt;&gt;Settings!$B$6,"CHECK unit",IF(OR(AND(M84="Credit",E84&lt;=0),AND(M84="Debit",E84&gt;=0)),"CHECK sign",IF(D84="Reversal",IF(OR(J84="",COUNTIF($A$5:$A$3000,J84)=0),"CHECK reversal link",IF(E84&lt;&gt;-INDEX($E$5:$E$3000,MATCH(J84,$A$5:$A$3000,0)),"CHECK reversal amount","OK")),IF(AND(D84="Adjustment",K84&lt;&gt;"",COUNTIF($A$5:$A$3000,J84)=0),"CHECK correction link","OK")))))</f>
        <v>OK</v>
      </c>
      <c r="R84" s="40" t="n">
        <f aca="false">INT(C84)</f>
        <v>46278</v>
      </c>
    </row>
    <row r="85" customFormat="false" ht="15" hidden="false" customHeight="false" outlineLevel="0" collapsed="false">
      <c r="A85" s="28" t="s">
        <v>457</v>
      </c>
      <c r="B85" s="28" t="s">
        <v>236</v>
      </c>
      <c r="C85" s="35" t="n">
        <v>46278.3076388889</v>
      </c>
      <c r="D85" s="28" t="s">
        <v>308</v>
      </c>
      <c r="E85" s="38" t="n">
        <v>500</v>
      </c>
      <c r="F85" s="28" t="s">
        <v>225</v>
      </c>
      <c r="G85" s="28" t="s">
        <v>309</v>
      </c>
      <c r="H85" s="28" t="s">
        <v>316</v>
      </c>
      <c r="I85" s="28" t="s">
        <v>341</v>
      </c>
      <c r="J85" s="28"/>
      <c r="K85" s="28"/>
      <c r="L85" s="36" t="str">
        <f aca="false">IFERROR(INDEX(Transaction_Types!$B$5:$B$20,MATCH(D85,Transaction_Types!$A$5:$A$20,0)),"Not in catalogue")</f>
        <v>Supported</v>
      </c>
      <c r="M85" s="36" t="str">
        <f aca="false">IFERROR(INDEX(Transaction_Types!$C$5:$C$20,MATCH(D85,Transaction_Types!$A$5:$A$20,0)),"")</f>
        <v>Credit</v>
      </c>
      <c r="N85" s="39" t="n">
        <f aca="false">IF(G85="Posted",E85,0)</f>
        <v>500</v>
      </c>
      <c r="O85" s="36" t="n">
        <f aca="false">COUNTIFS($J$5:$J$3000,A85,$K$5:$K$3000,"Reverses")</f>
        <v>0</v>
      </c>
      <c r="P85" s="39" t="n">
        <f aca="false">IF(K85&lt;&gt;"","",IF(G85="Posted",E85+SUMIFS($N$5:$N$3000,$J$5:$J$3000,A85),0))</f>
        <v>500</v>
      </c>
      <c r="Q85" s="36" t="str">
        <f aca="false">IF(L85="Not in catalogue","CHECK type",IF(F85&lt;&gt;Settings!$B$6,"CHECK unit",IF(OR(AND(M85="Credit",E85&lt;=0),AND(M85="Debit",E85&gt;=0)),"CHECK sign",IF(D85="Reversal",IF(OR(J85="",COUNTIF($A$5:$A$3000,J85)=0),"CHECK reversal link",IF(E85&lt;&gt;-INDEX($E$5:$E$3000,MATCH(J85,$A$5:$A$3000,0)),"CHECK reversal amount","OK")),IF(AND(D85="Adjustment",K85&lt;&gt;"",COUNTIF($A$5:$A$3000,J85)=0),"CHECK correction link","OK")))))</f>
        <v>OK</v>
      </c>
      <c r="R85" s="40" t="n">
        <f aca="false">INT(C85)</f>
        <v>46278</v>
      </c>
    </row>
    <row r="86" customFormat="false" ht="15" hidden="false" customHeight="false" outlineLevel="0" collapsed="false">
      <c r="A86" s="28" t="s">
        <v>458</v>
      </c>
      <c r="B86" s="28" t="s">
        <v>287</v>
      </c>
      <c r="C86" s="35" t="n">
        <v>46278.5222222222</v>
      </c>
      <c r="D86" s="28" t="s">
        <v>308</v>
      </c>
      <c r="E86" s="38" t="n">
        <v>200</v>
      </c>
      <c r="F86" s="28" t="s">
        <v>225</v>
      </c>
      <c r="G86" s="28" t="s">
        <v>309</v>
      </c>
      <c r="H86" s="28" t="s">
        <v>313</v>
      </c>
      <c r="I86" s="28" t="s">
        <v>314</v>
      </c>
      <c r="J86" s="28"/>
      <c r="K86" s="28"/>
      <c r="L86" s="36" t="str">
        <f aca="false">IFERROR(INDEX(Transaction_Types!$B$5:$B$20,MATCH(D86,Transaction_Types!$A$5:$A$20,0)),"Not in catalogue")</f>
        <v>Supported</v>
      </c>
      <c r="M86" s="36" t="str">
        <f aca="false">IFERROR(INDEX(Transaction_Types!$C$5:$C$20,MATCH(D86,Transaction_Types!$A$5:$A$20,0)),"")</f>
        <v>Credit</v>
      </c>
      <c r="N86" s="39" t="n">
        <f aca="false">IF(G86="Posted",E86,0)</f>
        <v>200</v>
      </c>
      <c r="O86" s="36" t="n">
        <f aca="false">COUNTIFS($J$5:$J$3000,A86,$K$5:$K$3000,"Reverses")</f>
        <v>0</v>
      </c>
      <c r="P86" s="39" t="n">
        <f aca="false">IF(K86&lt;&gt;"","",IF(G86="Posted",E86+SUMIFS($N$5:$N$3000,$J$5:$J$3000,A86),0))</f>
        <v>200</v>
      </c>
      <c r="Q86" s="36" t="str">
        <f aca="false">IF(L86="Not in catalogue","CHECK type",IF(F86&lt;&gt;Settings!$B$6,"CHECK unit",IF(OR(AND(M86="Credit",E86&lt;=0),AND(M86="Debit",E86&gt;=0)),"CHECK sign",IF(D86="Reversal",IF(OR(J86="",COUNTIF($A$5:$A$3000,J86)=0),"CHECK reversal link",IF(E86&lt;&gt;-INDEX($E$5:$E$3000,MATCH(J86,$A$5:$A$3000,0)),"CHECK reversal amount","OK")),IF(AND(D86="Adjustment",K86&lt;&gt;"",COUNTIF($A$5:$A$3000,J86)=0),"CHECK correction link","OK")))))</f>
        <v>OK</v>
      </c>
      <c r="R86" s="40" t="n">
        <f aca="false">INT(C86)</f>
        <v>46278</v>
      </c>
    </row>
    <row r="87" customFormat="false" ht="15" hidden="false" customHeight="false" outlineLevel="0" collapsed="false">
      <c r="A87" s="28" t="s">
        <v>459</v>
      </c>
      <c r="B87" s="28" t="s">
        <v>229</v>
      </c>
      <c r="C87" s="35" t="n">
        <v>46278.6444444444</v>
      </c>
      <c r="D87" s="28" t="s">
        <v>308</v>
      </c>
      <c r="E87" s="38" t="n">
        <v>500</v>
      </c>
      <c r="F87" s="28" t="s">
        <v>225</v>
      </c>
      <c r="G87" s="28" t="s">
        <v>309</v>
      </c>
      <c r="H87" s="28" t="s">
        <v>313</v>
      </c>
      <c r="I87" s="28" t="s">
        <v>314</v>
      </c>
      <c r="J87" s="28"/>
      <c r="K87" s="28"/>
      <c r="L87" s="36" t="str">
        <f aca="false">IFERROR(INDEX(Transaction_Types!$B$5:$B$20,MATCH(D87,Transaction_Types!$A$5:$A$20,0)),"Not in catalogue")</f>
        <v>Supported</v>
      </c>
      <c r="M87" s="36" t="str">
        <f aca="false">IFERROR(INDEX(Transaction_Types!$C$5:$C$20,MATCH(D87,Transaction_Types!$A$5:$A$20,0)),"")</f>
        <v>Credit</v>
      </c>
      <c r="N87" s="39" t="n">
        <f aca="false">IF(G87="Posted",E87,0)</f>
        <v>500</v>
      </c>
      <c r="O87" s="36" t="n">
        <f aca="false">COUNTIFS($J$5:$J$3000,A87,$K$5:$K$3000,"Reverses")</f>
        <v>0</v>
      </c>
      <c r="P87" s="39" t="n">
        <f aca="false">IF(K87&lt;&gt;"","",IF(G87="Posted",E87+SUMIFS($N$5:$N$3000,$J$5:$J$3000,A87),0))</f>
        <v>500</v>
      </c>
      <c r="Q87" s="36" t="str">
        <f aca="false">IF(L87="Not in catalogue","CHECK type",IF(F87&lt;&gt;Settings!$B$6,"CHECK unit",IF(OR(AND(M87="Credit",E87&lt;=0),AND(M87="Debit",E87&gt;=0)),"CHECK sign",IF(D87="Reversal",IF(OR(J87="",COUNTIF($A$5:$A$3000,J87)=0),"CHECK reversal link",IF(E87&lt;&gt;-INDEX($E$5:$E$3000,MATCH(J87,$A$5:$A$3000,0)),"CHECK reversal amount","OK")),IF(AND(D87="Adjustment",K87&lt;&gt;"",COUNTIF($A$5:$A$3000,J87)=0),"CHECK correction link","OK")))))</f>
        <v>OK</v>
      </c>
      <c r="R87" s="40" t="n">
        <f aca="false">INT(C87)</f>
        <v>46278</v>
      </c>
    </row>
    <row r="88" customFormat="false" ht="15" hidden="false" customHeight="false" outlineLevel="0" collapsed="false">
      <c r="A88" s="28" t="s">
        <v>460</v>
      </c>
      <c r="B88" s="28" t="s">
        <v>227</v>
      </c>
      <c r="C88" s="35" t="n">
        <v>46278.7159722222</v>
      </c>
      <c r="D88" s="28" t="s">
        <v>308</v>
      </c>
      <c r="E88" s="38" t="n">
        <v>150</v>
      </c>
      <c r="F88" s="28" t="s">
        <v>225</v>
      </c>
      <c r="G88" s="28" t="s">
        <v>309</v>
      </c>
      <c r="H88" s="28" t="s">
        <v>310</v>
      </c>
      <c r="I88" s="28" t="s">
        <v>461</v>
      </c>
      <c r="J88" s="28"/>
      <c r="K88" s="28"/>
      <c r="L88" s="36" t="str">
        <f aca="false">IFERROR(INDEX(Transaction_Types!$B$5:$B$20,MATCH(D88,Transaction_Types!$A$5:$A$20,0)),"Not in catalogue")</f>
        <v>Supported</v>
      </c>
      <c r="M88" s="36" t="str">
        <f aca="false">IFERROR(INDEX(Transaction_Types!$C$5:$C$20,MATCH(D88,Transaction_Types!$A$5:$A$20,0)),"")</f>
        <v>Credit</v>
      </c>
      <c r="N88" s="39" t="n">
        <f aca="false">IF(G88="Posted",E88,0)</f>
        <v>150</v>
      </c>
      <c r="O88" s="36" t="n">
        <f aca="false">COUNTIFS($J$5:$J$3000,A88,$K$5:$K$3000,"Reverses")</f>
        <v>0</v>
      </c>
      <c r="P88" s="39" t="n">
        <f aca="false">IF(K88&lt;&gt;"","",IF(G88="Posted",E88+SUMIFS($N$5:$N$3000,$J$5:$J$3000,A88),0))</f>
        <v>150</v>
      </c>
      <c r="Q88" s="36" t="str">
        <f aca="false">IF(L88="Not in catalogue","CHECK type",IF(F88&lt;&gt;Settings!$B$6,"CHECK unit",IF(OR(AND(M88="Credit",E88&lt;=0),AND(M88="Debit",E88&gt;=0)),"CHECK sign",IF(D88="Reversal",IF(OR(J88="",COUNTIF($A$5:$A$3000,J88)=0),"CHECK reversal link",IF(E88&lt;&gt;-INDEX($E$5:$E$3000,MATCH(J88,$A$5:$A$3000,0)),"CHECK reversal amount","OK")),IF(AND(D88="Adjustment",K88&lt;&gt;"",COUNTIF($A$5:$A$3000,J88)=0),"CHECK correction link","OK")))))</f>
        <v>OK</v>
      </c>
      <c r="R88" s="40" t="n">
        <f aca="false">INT(C88)</f>
        <v>46278</v>
      </c>
    </row>
    <row r="89" customFormat="false" ht="15" hidden="false" customHeight="false" outlineLevel="0" collapsed="false">
      <c r="A89" s="28" t="s">
        <v>462</v>
      </c>
      <c r="B89" s="28" t="s">
        <v>265</v>
      </c>
      <c r="C89" s="35" t="n">
        <v>46278.8305555556</v>
      </c>
      <c r="D89" s="28" t="s">
        <v>308</v>
      </c>
      <c r="E89" s="38" t="n">
        <v>400</v>
      </c>
      <c r="F89" s="28" t="s">
        <v>225</v>
      </c>
      <c r="G89" s="28" t="s">
        <v>309</v>
      </c>
      <c r="H89" s="28" t="s">
        <v>316</v>
      </c>
      <c r="I89" s="28" t="s">
        <v>463</v>
      </c>
      <c r="J89" s="28"/>
      <c r="K89" s="28"/>
      <c r="L89" s="36" t="str">
        <f aca="false">IFERROR(INDEX(Transaction_Types!$B$5:$B$20,MATCH(D89,Transaction_Types!$A$5:$A$20,0)),"Not in catalogue")</f>
        <v>Supported</v>
      </c>
      <c r="M89" s="36" t="str">
        <f aca="false">IFERROR(INDEX(Transaction_Types!$C$5:$C$20,MATCH(D89,Transaction_Types!$A$5:$A$20,0)),"")</f>
        <v>Credit</v>
      </c>
      <c r="N89" s="39" t="n">
        <f aca="false">IF(G89="Posted",E89,0)</f>
        <v>400</v>
      </c>
      <c r="O89" s="36" t="n">
        <f aca="false">COUNTIFS($J$5:$J$3000,A89,$K$5:$K$3000,"Reverses")</f>
        <v>0</v>
      </c>
      <c r="P89" s="39" t="n">
        <f aca="false">IF(K89&lt;&gt;"","",IF(G89="Posted",E89+SUMIFS($N$5:$N$3000,$J$5:$J$3000,A89),0))</f>
        <v>400</v>
      </c>
      <c r="Q89" s="36" t="str">
        <f aca="false">IF(L89="Not in catalogue","CHECK type",IF(F89&lt;&gt;Settings!$B$6,"CHECK unit",IF(OR(AND(M89="Credit",E89&lt;=0),AND(M89="Debit",E89&gt;=0)),"CHECK sign",IF(D89="Reversal",IF(OR(J89="",COUNTIF($A$5:$A$3000,J89)=0),"CHECK reversal link",IF(E89&lt;&gt;-INDEX($E$5:$E$3000,MATCH(J89,$A$5:$A$3000,0)),"CHECK reversal amount","OK")),IF(AND(D89="Adjustment",K89&lt;&gt;"",COUNTIF($A$5:$A$3000,J89)=0),"CHECK correction link","OK")))))</f>
        <v>OK</v>
      </c>
      <c r="R89" s="40" t="n">
        <f aca="false">INT(C89)</f>
        <v>46278</v>
      </c>
    </row>
    <row r="90" customFormat="false" ht="15" hidden="false" customHeight="false" outlineLevel="0" collapsed="false">
      <c r="A90" s="28" t="s">
        <v>464</v>
      </c>
      <c r="B90" s="28" t="s">
        <v>231</v>
      </c>
      <c r="C90" s="35" t="n">
        <v>46278.9198218748</v>
      </c>
      <c r="D90" s="28" t="s">
        <v>383</v>
      </c>
      <c r="E90" s="38" t="n">
        <v>-750</v>
      </c>
      <c r="F90" s="28" t="s">
        <v>225</v>
      </c>
      <c r="G90" s="28" t="s">
        <v>309</v>
      </c>
      <c r="H90" s="28" t="s">
        <v>384</v>
      </c>
      <c r="I90" s="28" t="s">
        <v>232</v>
      </c>
      <c r="J90" s="28"/>
      <c r="K90" s="28"/>
      <c r="L90" s="36" t="str">
        <f aca="false">IFERROR(INDEX(Transaction_Types!$B$5:$B$20,MATCH(D90,Transaction_Types!$A$5:$A$20,0)),"Not in catalogue")</f>
        <v>Supported</v>
      </c>
      <c r="M90" s="36" t="str">
        <f aca="false">IFERROR(INDEX(Transaction_Types!$C$5:$C$20,MATCH(D90,Transaction_Types!$A$5:$A$20,0)),"")</f>
        <v>Debit</v>
      </c>
      <c r="N90" s="39" t="n">
        <f aca="false">IF(G90="Posted",E90,0)</f>
        <v>-750</v>
      </c>
      <c r="O90" s="36" t="n">
        <f aca="false">COUNTIFS($J$5:$J$3000,A90,$K$5:$K$3000,"Reverses")</f>
        <v>0</v>
      </c>
      <c r="P90" s="39" t="n">
        <f aca="false">IF(K90&lt;&gt;"","",IF(G90="Posted",E90+SUMIFS($N$5:$N$3000,$J$5:$J$3000,A90),0))</f>
        <v>-750</v>
      </c>
      <c r="Q90" s="36" t="str">
        <f aca="false">IF(L90="Not in catalogue","CHECK type",IF(F90&lt;&gt;Settings!$B$6,"CHECK unit",IF(OR(AND(M90="Credit",E90&lt;=0),AND(M90="Debit",E90&gt;=0)),"CHECK sign",IF(D90="Reversal",IF(OR(J90="",COUNTIF($A$5:$A$3000,J90)=0),"CHECK reversal link",IF(E90&lt;&gt;-INDEX($E$5:$E$3000,MATCH(J90,$A$5:$A$3000,0)),"CHECK reversal amount","OK")),IF(AND(D90="Adjustment",K90&lt;&gt;"",COUNTIF($A$5:$A$3000,J90)=0),"CHECK correction link","OK")))))</f>
        <v>OK</v>
      </c>
      <c r="R90" s="40" t="n">
        <f aca="false">INT(C90)</f>
        <v>46278</v>
      </c>
    </row>
    <row r="91" customFormat="false" ht="15" hidden="false" customHeight="false" outlineLevel="0" collapsed="false">
      <c r="A91" s="28" t="s">
        <v>465</v>
      </c>
      <c r="B91" s="28" t="s">
        <v>289</v>
      </c>
      <c r="C91" s="35" t="n">
        <v>46278.9951388889</v>
      </c>
      <c r="D91" s="28" t="s">
        <v>308</v>
      </c>
      <c r="E91" s="38" t="n">
        <v>250</v>
      </c>
      <c r="F91" s="28" t="s">
        <v>225</v>
      </c>
      <c r="G91" s="28" t="s">
        <v>309</v>
      </c>
      <c r="H91" s="28" t="s">
        <v>310</v>
      </c>
      <c r="I91" s="28" t="s">
        <v>466</v>
      </c>
      <c r="J91" s="28"/>
      <c r="K91" s="28"/>
      <c r="L91" s="36" t="str">
        <f aca="false">IFERROR(INDEX(Transaction_Types!$B$5:$B$20,MATCH(D91,Transaction_Types!$A$5:$A$20,0)),"Not in catalogue")</f>
        <v>Supported</v>
      </c>
      <c r="M91" s="36" t="str">
        <f aca="false">IFERROR(INDEX(Transaction_Types!$C$5:$C$20,MATCH(D91,Transaction_Types!$A$5:$A$20,0)),"")</f>
        <v>Credit</v>
      </c>
      <c r="N91" s="39" t="n">
        <f aca="false">IF(G91="Posted",E91,0)</f>
        <v>250</v>
      </c>
      <c r="O91" s="36" t="n">
        <f aca="false">COUNTIFS($J$5:$J$3000,A91,$K$5:$K$3000,"Reverses")</f>
        <v>0</v>
      </c>
      <c r="P91" s="39" t="n">
        <f aca="false">IF(K91&lt;&gt;"","",IF(G91="Posted",E91+SUMIFS($N$5:$N$3000,$J$5:$J$3000,A91),0))</f>
        <v>250</v>
      </c>
      <c r="Q91" s="36" t="str">
        <f aca="false">IF(L91="Not in catalogue","CHECK type",IF(F91&lt;&gt;Settings!$B$6,"CHECK unit",IF(OR(AND(M91="Credit",E91&lt;=0),AND(M91="Debit",E91&gt;=0)),"CHECK sign",IF(D91="Reversal",IF(OR(J91="",COUNTIF($A$5:$A$3000,J91)=0),"CHECK reversal link",IF(E91&lt;&gt;-INDEX($E$5:$E$3000,MATCH(J91,$A$5:$A$3000,0)),"CHECK reversal amount","OK")),IF(AND(D91="Adjustment",K91&lt;&gt;"",COUNTIF($A$5:$A$3000,J91)=0),"CHECK correction link","OK")))))</f>
        <v>OK</v>
      </c>
      <c r="R91" s="40" t="n">
        <f aca="false">INT(C91)</f>
        <v>46278</v>
      </c>
    </row>
    <row r="92" customFormat="false" ht="15" hidden="false" customHeight="false" outlineLevel="0" collapsed="false">
      <c r="A92" s="28" t="s">
        <v>467</v>
      </c>
      <c r="B92" s="28" t="s">
        <v>289</v>
      </c>
      <c r="C92" s="35" t="n">
        <v>46279.1791666667</v>
      </c>
      <c r="D92" s="28" t="s">
        <v>308</v>
      </c>
      <c r="E92" s="38" t="n">
        <v>500</v>
      </c>
      <c r="F92" s="28" t="s">
        <v>225</v>
      </c>
      <c r="G92" s="28" t="s">
        <v>309</v>
      </c>
      <c r="H92" s="28" t="s">
        <v>310</v>
      </c>
      <c r="I92" s="28" t="s">
        <v>468</v>
      </c>
      <c r="J92" s="28"/>
      <c r="K92" s="28"/>
      <c r="L92" s="36" t="str">
        <f aca="false">IFERROR(INDEX(Transaction_Types!$B$5:$B$20,MATCH(D92,Transaction_Types!$A$5:$A$20,0)),"Not in catalogue")</f>
        <v>Supported</v>
      </c>
      <c r="M92" s="36" t="str">
        <f aca="false">IFERROR(INDEX(Transaction_Types!$C$5:$C$20,MATCH(D92,Transaction_Types!$A$5:$A$20,0)),"")</f>
        <v>Credit</v>
      </c>
      <c r="N92" s="39" t="n">
        <f aca="false">IF(G92="Posted",E92,0)</f>
        <v>500</v>
      </c>
      <c r="O92" s="36" t="n">
        <f aca="false">COUNTIFS($J$5:$J$3000,A92,$K$5:$K$3000,"Reverses")</f>
        <v>0</v>
      </c>
      <c r="P92" s="39" t="n">
        <f aca="false">IF(K92&lt;&gt;"","",IF(G92="Posted",E92+SUMIFS($N$5:$N$3000,$J$5:$J$3000,A92),0))</f>
        <v>500</v>
      </c>
      <c r="Q92" s="36" t="str">
        <f aca="false">IF(L92="Not in catalogue","CHECK type",IF(F92&lt;&gt;Settings!$B$6,"CHECK unit",IF(OR(AND(M92="Credit",E92&lt;=0),AND(M92="Debit",E92&gt;=0)),"CHECK sign",IF(D92="Reversal",IF(OR(J92="",COUNTIF($A$5:$A$3000,J92)=0),"CHECK reversal link",IF(E92&lt;&gt;-INDEX($E$5:$E$3000,MATCH(J92,$A$5:$A$3000,0)),"CHECK reversal amount","OK")),IF(AND(D92="Adjustment",K92&lt;&gt;"",COUNTIF($A$5:$A$3000,J92)=0),"CHECK correction link","OK")))))</f>
        <v>OK</v>
      </c>
      <c r="R92" s="40" t="n">
        <f aca="false">INT(C92)</f>
        <v>46279</v>
      </c>
    </row>
    <row r="93" customFormat="false" ht="15" hidden="false" customHeight="false" outlineLevel="0" collapsed="false">
      <c r="A93" s="28" t="s">
        <v>469</v>
      </c>
      <c r="B93" s="28" t="s">
        <v>242</v>
      </c>
      <c r="C93" s="35" t="n">
        <v>46279.4472222222</v>
      </c>
      <c r="D93" s="28" t="s">
        <v>470</v>
      </c>
      <c r="E93" s="38" t="n">
        <v>-50</v>
      </c>
      <c r="F93" s="28" t="s">
        <v>225</v>
      </c>
      <c r="G93" s="28" t="s">
        <v>309</v>
      </c>
      <c r="H93" s="28" t="s">
        <v>471</v>
      </c>
      <c r="I93" s="28" t="s">
        <v>472</v>
      </c>
      <c r="J93" s="28" t="s">
        <v>456</v>
      </c>
      <c r="K93" s="28" t="s">
        <v>473</v>
      </c>
      <c r="L93" s="36" t="str">
        <f aca="false">IFERROR(INDEX(Transaction_Types!$B$5:$B$20,MATCH(D93,Transaction_Types!$A$5:$A$20,0)),"Not in catalogue")</f>
        <v>Supported</v>
      </c>
      <c r="M93" s="36" t="str">
        <f aca="false">IFERROR(INDEX(Transaction_Types!$C$5:$C$20,MATCH(D93,Transaction_Types!$A$5:$A$20,0)),"")</f>
        <v>Either</v>
      </c>
      <c r="N93" s="39" t="n">
        <f aca="false">IF(G93="Posted",E93,0)</f>
        <v>-50</v>
      </c>
      <c r="O93" s="36" t="n">
        <f aca="false">COUNTIFS($J$5:$J$3000,A93,$K$5:$K$3000,"Reverses")</f>
        <v>0</v>
      </c>
      <c r="P93" s="39" t="str">
        <f aca="false">IF(K93&lt;&gt;"","",IF(G93="Posted",E93+SUMIFS($N$5:$N$3000,$J$5:$J$3000,A93),0))</f>
        <v/>
      </c>
      <c r="Q93" s="36" t="str">
        <f aca="false">IF(L93="Not in catalogue","CHECK type",IF(F93&lt;&gt;Settings!$B$6,"CHECK unit",IF(OR(AND(M93="Credit",E93&lt;=0),AND(M93="Debit",E93&gt;=0)),"CHECK sign",IF(D93="Reversal",IF(OR(J93="",COUNTIF($A$5:$A$3000,J93)=0),"CHECK reversal link",IF(E93&lt;&gt;-INDEX($E$5:$E$3000,MATCH(J93,$A$5:$A$3000,0)),"CHECK reversal amount","OK")),IF(AND(D93="Adjustment",K93&lt;&gt;"",COUNTIF($A$5:$A$3000,J93)=0),"CHECK correction link","OK")))))</f>
        <v>OK</v>
      </c>
      <c r="R93" s="40" t="n">
        <f aca="false">INT(C93)</f>
        <v>46279</v>
      </c>
    </row>
    <row r="94" customFormat="false" ht="15" hidden="false" customHeight="false" outlineLevel="0" collapsed="false">
      <c r="A94" s="28" t="s">
        <v>474</v>
      </c>
      <c r="B94" s="28" t="s">
        <v>254</v>
      </c>
      <c r="C94" s="35" t="n">
        <v>46279.5513888889</v>
      </c>
      <c r="D94" s="28" t="s">
        <v>308</v>
      </c>
      <c r="E94" s="38" t="n">
        <v>400</v>
      </c>
      <c r="F94" s="28" t="s">
        <v>225</v>
      </c>
      <c r="G94" s="28" t="s">
        <v>309</v>
      </c>
      <c r="H94" s="28" t="s">
        <v>310</v>
      </c>
      <c r="I94" s="28" t="s">
        <v>475</v>
      </c>
      <c r="J94" s="28"/>
      <c r="K94" s="28"/>
      <c r="L94" s="36" t="str">
        <f aca="false">IFERROR(INDEX(Transaction_Types!$B$5:$B$20,MATCH(D94,Transaction_Types!$A$5:$A$20,0)),"Not in catalogue")</f>
        <v>Supported</v>
      </c>
      <c r="M94" s="36" t="str">
        <f aca="false">IFERROR(INDEX(Transaction_Types!$C$5:$C$20,MATCH(D94,Transaction_Types!$A$5:$A$20,0)),"")</f>
        <v>Credit</v>
      </c>
      <c r="N94" s="39" t="n">
        <f aca="false">IF(G94="Posted",E94,0)</f>
        <v>400</v>
      </c>
      <c r="O94" s="36" t="n">
        <f aca="false">COUNTIFS($J$5:$J$3000,A94,$K$5:$K$3000,"Reverses")</f>
        <v>0</v>
      </c>
      <c r="P94" s="39" t="n">
        <f aca="false">IF(K94&lt;&gt;"","",IF(G94="Posted",E94+SUMIFS($N$5:$N$3000,$J$5:$J$3000,A94),0))</f>
        <v>400</v>
      </c>
      <c r="Q94" s="36" t="str">
        <f aca="false">IF(L94="Not in catalogue","CHECK type",IF(F94&lt;&gt;Settings!$B$6,"CHECK unit",IF(OR(AND(M94="Credit",E94&lt;=0),AND(M94="Debit",E94&gt;=0)),"CHECK sign",IF(D94="Reversal",IF(OR(J94="",COUNTIF($A$5:$A$3000,J94)=0),"CHECK reversal link",IF(E94&lt;&gt;-INDEX($E$5:$E$3000,MATCH(J94,$A$5:$A$3000,0)),"CHECK reversal amount","OK")),IF(AND(D94="Adjustment",K94&lt;&gt;"",COUNTIF($A$5:$A$3000,J94)=0),"CHECK correction link","OK")))))</f>
        <v>OK</v>
      </c>
      <c r="R94" s="40" t="n">
        <f aca="false">INT(C94)</f>
        <v>46279</v>
      </c>
    </row>
    <row r="95" customFormat="false" ht="15" hidden="false" customHeight="false" outlineLevel="0" collapsed="false">
      <c r="A95" s="28" t="s">
        <v>476</v>
      </c>
      <c r="B95" s="28" t="s">
        <v>246</v>
      </c>
      <c r="C95" s="35" t="n">
        <v>46279.7791666667</v>
      </c>
      <c r="D95" s="28" t="s">
        <v>308</v>
      </c>
      <c r="E95" s="38" t="n">
        <v>500</v>
      </c>
      <c r="F95" s="28" t="s">
        <v>225</v>
      </c>
      <c r="G95" s="28" t="s">
        <v>309</v>
      </c>
      <c r="H95" s="28" t="s">
        <v>316</v>
      </c>
      <c r="I95" s="28" t="s">
        <v>477</v>
      </c>
      <c r="J95" s="28"/>
      <c r="K95" s="28"/>
      <c r="L95" s="36" t="str">
        <f aca="false">IFERROR(INDEX(Transaction_Types!$B$5:$B$20,MATCH(D95,Transaction_Types!$A$5:$A$20,0)),"Not in catalogue")</f>
        <v>Supported</v>
      </c>
      <c r="M95" s="36" t="str">
        <f aca="false">IFERROR(INDEX(Transaction_Types!$C$5:$C$20,MATCH(D95,Transaction_Types!$A$5:$A$20,0)),"")</f>
        <v>Credit</v>
      </c>
      <c r="N95" s="39" t="n">
        <f aca="false">IF(G95="Posted",E95,0)</f>
        <v>500</v>
      </c>
      <c r="O95" s="36" t="n">
        <f aca="false">COUNTIFS($J$5:$J$3000,A95,$K$5:$K$3000,"Reverses")</f>
        <v>0</v>
      </c>
      <c r="P95" s="39" t="n">
        <f aca="false">IF(K95&lt;&gt;"","",IF(G95="Posted",E95+SUMIFS($N$5:$N$3000,$J$5:$J$3000,A95),0))</f>
        <v>500</v>
      </c>
      <c r="Q95" s="36" t="str">
        <f aca="false">IF(L95="Not in catalogue","CHECK type",IF(F95&lt;&gt;Settings!$B$6,"CHECK unit",IF(OR(AND(M95="Credit",E95&lt;=0),AND(M95="Debit",E95&gt;=0)),"CHECK sign",IF(D95="Reversal",IF(OR(J95="",COUNTIF($A$5:$A$3000,J95)=0),"CHECK reversal link",IF(E95&lt;&gt;-INDEX($E$5:$E$3000,MATCH(J95,$A$5:$A$3000,0)),"CHECK reversal amount","OK")),IF(AND(D95="Adjustment",K95&lt;&gt;"",COUNTIF($A$5:$A$3000,J95)=0),"CHECK correction link","OK")))))</f>
        <v>OK</v>
      </c>
      <c r="R95" s="40" t="n">
        <f aca="false">INT(C95)</f>
        <v>46279</v>
      </c>
    </row>
    <row r="96" customFormat="false" ht="15" hidden="false" customHeight="false" outlineLevel="0" collapsed="false">
      <c r="A96" s="28" t="s">
        <v>478</v>
      </c>
      <c r="B96" s="28" t="s">
        <v>277</v>
      </c>
      <c r="C96" s="35" t="n">
        <v>46280.0069444445</v>
      </c>
      <c r="D96" s="28" t="s">
        <v>308</v>
      </c>
      <c r="E96" s="38" t="n">
        <v>150</v>
      </c>
      <c r="F96" s="28" t="s">
        <v>225</v>
      </c>
      <c r="G96" s="28" t="s">
        <v>309</v>
      </c>
      <c r="H96" s="28" t="s">
        <v>316</v>
      </c>
      <c r="I96" s="28" t="s">
        <v>479</v>
      </c>
      <c r="J96" s="28"/>
      <c r="K96" s="28"/>
      <c r="L96" s="36" t="str">
        <f aca="false">IFERROR(INDEX(Transaction_Types!$B$5:$B$20,MATCH(D96,Transaction_Types!$A$5:$A$20,0)),"Not in catalogue")</f>
        <v>Supported</v>
      </c>
      <c r="M96" s="36" t="str">
        <f aca="false">IFERROR(INDEX(Transaction_Types!$C$5:$C$20,MATCH(D96,Transaction_Types!$A$5:$A$20,0)),"")</f>
        <v>Credit</v>
      </c>
      <c r="N96" s="39" t="n">
        <f aca="false">IF(G96="Posted",E96,0)</f>
        <v>150</v>
      </c>
      <c r="O96" s="36" t="n">
        <f aca="false">COUNTIFS($J$5:$J$3000,A96,$K$5:$K$3000,"Reverses")</f>
        <v>0</v>
      </c>
      <c r="P96" s="39" t="n">
        <f aca="false">IF(K96&lt;&gt;"","",IF(G96="Posted",E96+SUMIFS($N$5:$N$3000,$J$5:$J$3000,A96),0))</f>
        <v>150</v>
      </c>
      <c r="Q96" s="36" t="str">
        <f aca="false">IF(L96="Not in catalogue","CHECK type",IF(F96&lt;&gt;Settings!$B$6,"CHECK unit",IF(OR(AND(M96="Credit",E96&lt;=0),AND(M96="Debit",E96&gt;=0)),"CHECK sign",IF(D96="Reversal",IF(OR(J96="",COUNTIF($A$5:$A$3000,J96)=0),"CHECK reversal link",IF(E96&lt;&gt;-INDEX($E$5:$E$3000,MATCH(J96,$A$5:$A$3000,0)),"CHECK reversal amount","OK")),IF(AND(D96="Adjustment",K96&lt;&gt;"",COUNTIF($A$5:$A$3000,J96)=0),"CHECK correction link","OK")))))</f>
        <v>OK</v>
      </c>
      <c r="R96" s="40" t="n">
        <f aca="false">INT(C96)</f>
        <v>46280</v>
      </c>
    </row>
    <row r="97" customFormat="false" ht="15" hidden="false" customHeight="false" outlineLevel="0" collapsed="false">
      <c r="A97" s="28" t="s">
        <v>480</v>
      </c>
      <c r="B97" s="28" t="s">
        <v>265</v>
      </c>
      <c r="C97" s="35" t="n">
        <v>46280.0875</v>
      </c>
      <c r="D97" s="28" t="s">
        <v>308</v>
      </c>
      <c r="E97" s="38" t="n">
        <v>150</v>
      </c>
      <c r="F97" s="28" t="s">
        <v>225</v>
      </c>
      <c r="G97" s="28" t="s">
        <v>309</v>
      </c>
      <c r="H97" s="28" t="s">
        <v>310</v>
      </c>
      <c r="I97" s="28" t="s">
        <v>481</v>
      </c>
      <c r="J97" s="28"/>
      <c r="K97" s="28"/>
      <c r="L97" s="36" t="str">
        <f aca="false">IFERROR(INDEX(Transaction_Types!$B$5:$B$20,MATCH(D97,Transaction_Types!$A$5:$A$20,0)),"Not in catalogue")</f>
        <v>Supported</v>
      </c>
      <c r="M97" s="36" t="str">
        <f aca="false">IFERROR(INDEX(Transaction_Types!$C$5:$C$20,MATCH(D97,Transaction_Types!$A$5:$A$20,0)),"")</f>
        <v>Credit</v>
      </c>
      <c r="N97" s="39" t="n">
        <f aca="false">IF(G97="Posted",E97,0)</f>
        <v>150</v>
      </c>
      <c r="O97" s="36" t="n">
        <f aca="false">COUNTIFS($J$5:$J$3000,A97,$K$5:$K$3000,"Reverses")</f>
        <v>0</v>
      </c>
      <c r="P97" s="39" t="n">
        <f aca="false">IF(K97&lt;&gt;"","",IF(G97="Posted",E97+SUMIFS($N$5:$N$3000,$J$5:$J$3000,A97),0))</f>
        <v>150</v>
      </c>
      <c r="Q97" s="36" t="str">
        <f aca="false">IF(L97="Not in catalogue","CHECK type",IF(F97&lt;&gt;Settings!$B$6,"CHECK unit",IF(OR(AND(M97="Credit",E97&lt;=0),AND(M97="Debit",E97&gt;=0)),"CHECK sign",IF(D97="Reversal",IF(OR(J97="",COUNTIF($A$5:$A$3000,J97)=0),"CHECK reversal link",IF(E97&lt;&gt;-INDEX($E$5:$E$3000,MATCH(J97,$A$5:$A$3000,0)),"CHECK reversal amount","OK")),IF(AND(D97="Adjustment",K97&lt;&gt;"",COUNTIF($A$5:$A$3000,J97)=0),"CHECK correction link","OK")))))</f>
        <v>OK</v>
      </c>
      <c r="R97" s="40" t="n">
        <f aca="false">INT(C97)</f>
        <v>46280</v>
      </c>
    </row>
    <row r="98" customFormat="false" ht="15" hidden="false" customHeight="false" outlineLevel="0" collapsed="false">
      <c r="A98" s="28" t="s">
        <v>482</v>
      </c>
      <c r="B98" s="28" t="s">
        <v>224</v>
      </c>
      <c r="C98" s="35" t="n">
        <v>46280.0902777778</v>
      </c>
      <c r="D98" s="28" t="s">
        <v>308</v>
      </c>
      <c r="E98" s="38" t="n">
        <v>400</v>
      </c>
      <c r="F98" s="28" t="s">
        <v>225</v>
      </c>
      <c r="G98" s="28" t="s">
        <v>309</v>
      </c>
      <c r="H98" s="28" t="s">
        <v>316</v>
      </c>
      <c r="I98" s="28" t="s">
        <v>364</v>
      </c>
      <c r="J98" s="28"/>
      <c r="K98" s="28"/>
      <c r="L98" s="36" t="str">
        <f aca="false">IFERROR(INDEX(Transaction_Types!$B$5:$B$20,MATCH(D98,Transaction_Types!$A$5:$A$20,0)),"Not in catalogue")</f>
        <v>Supported</v>
      </c>
      <c r="M98" s="36" t="str">
        <f aca="false">IFERROR(INDEX(Transaction_Types!$C$5:$C$20,MATCH(D98,Transaction_Types!$A$5:$A$20,0)),"")</f>
        <v>Credit</v>
      </c>
      <c r="N98" s="39" t="n">
        <f aca="false">IF(G98="Posted",E98,0)</f>
        <v>400</v>
      </c>
      <c r="O98" s="36" t="n">
        <f aca="false">COUNTIFS($J$5:$J$3000,A98,$K$5:$K$3000,"Reverses")</f>
        <v>0</v>
      </c>
      <c r="P98" s="39" t="n">
        <f aca="false">IF(K98&lt;&gt;"","",IF(G98="Posted",E98+SUMIFS($N$5:$N$3000,$J$5:$J$3000,A98),0))</f>
        <v>400</v>
      </c>
      <c r="Q98" s="36" t="str">
        <f aca="false">IF(L98="Not in catalogue","CHECK type",IF(F98&lt;&gt;Settings!$B$6,"CHECK unit",IF(OR(AND(M98="Credit",E98&lt;=0),AND(M98="Debit",E98&gt;=0)),"CHECK sign",IF(D98="Reversal",IF(OR(J98="",COUNTIF($A$5:$A$3000,J98)=0),"CHECK reversal link",IF(E98&lt;&gt;-INDEX($E$5:$E$3000,MATCH(J98,$A$5:$A$3000,0)),"CHECK reversal amount","OK")),IF(AND(D98="Adjustment",K98&lt;&gt;"",COUNTIF($A$5:$A$3000,J98)=0),"CHECK correction link","OK")))))</f>
        <v>OK</v>
      </c>
      <c r="R98" s="40" t="n">
        <f aca="false">INT(C98)</f>
        <v>46280</v>
      </c>
    </row>
    <row r="99" customFormat="false" ht="15" hidden="false" customHeight="false" outlineLevel="0" collapsed="false">
      <c r="A99" s="28" t="s">
        <v>483</v>
      </c>
      <c r="B99" s="28" t="s">
        <v>289</v>
      </c>
      <c r="C99" s="35" t="n">
        <v>46280.1840277778</v>
      </c>
      <c r="D99" s="28" t="s">
        <v>308</v>
      </c>
      <c r="E99" s="38" t="n">
        <v>250</v>
      </c>
      <c r="F99" s="28" t="s">
        <v>225</v>
      </c>
      <c r="G99" s="28" t="s">
        <v>309</v>
      </c>
      <c r="H99" s="28" t="s">
        <v>313</v>
      </c>
      <c r="I99" s="28" t="s">
        <v>314</v>
      </c>
      <c r="J99" s="28"/>
      <c r="K99" s="28"/>
      <c r="L99" s="36" t="str">
        <f aca="false">IFERROR(INDEX(Transaction_Types!$B$5:$B$20,MATCH(D99,Transaction_Types!$A$5:$A$20,0)),"Not in catalogue")</f>
        <v>Supported</v>
      </c>
      <c r="M99" s="36" t="str">
        <f aca="false">IFERROR(INDEX(Transaction_Types!$C$5:$C$20,MATCH(D99,Transaction_Types!$A$5:$A$20,0)),"")</f>
        <v>Credit</v>
      </c>
      <c r="N99" s="39" t="n">
        <f aca="false">IF(G99="Posted",E99,0)</f>
        <v>250</v>
      </c>
      <c r="O99" s="36" t="n">
        <f aca="false">COUNTIFS($J$5:$J$3000,A99,$K$5:$K$3000,"Reverses")</f>
        <v>0</v>
      </c>
      <c r="P99" s="39" t="n">
        <f aca="false">IF(K99&lt;&gt;"","",IF(G99="Posted",E99+SUMIFS($N$5:$N$3000,$J$5:$J$3000,A99),0))</f>
        <v>250</v>
      </c>
      <c r="Q99" s="36" t="str">
        <f aca="false">IF(L99="Not in catalogue","CHECK type",IF(F99&lt;&gt;Settings!$B$6,"CHECK unit",IF(OR(AND(M99="Credit",E99&lt;=0),AND(M99="Debit",E99&gt;=0)),"CHECK sign",IF(D99="Reversal",IF(OR(J99="",COUNTIF($A$5:$A$3000,J99)=0),"CHECK reversal link",IF(E99&lt;&gt;-INDEX($E$5:$E$3000,MATCH(J99,$A$5:$A$3000,0)),"CHECK reversal amount","OK")),IF(AND(D99="Adjustment",K99&lt;&gt;"",COUNTIF($A$5:$A$3000,J99)=0),"CHECK correction link","OK")))))</f>
        <v>OK</v>
      </c>
      <c r="R99" s="40" t="n">
        <f aca="false">INT(C99)</f>
        <v>46280</v>
      </c>
    </row>
    <row r="100" customFormat="false" ht="15" hidden="false" customHeight="false" outlineLevel="0" collapsed="false">
      <c r="A100" s="28" t="s">
        <v>484</v>
      </c>
      <c r="B100" s="28" t="s">
        <v>246</v>
      </c>
      <c r="C100" s="35" t="n">
        <v>46280.4958333333</v>
      </c>
      <c r="D100" s="28" t="s">
        <v>308</v>
      </c>
      <c r="E100" s="38" t="n">
        <v>200</v>
      </c>
      <c r="F100" s="28" t="s">
        <v>225</v>
      </c>
      <c r="G100" s="28" t="s">
        <v>309</v>
      </c>
      <c r="H100" s="28" t="s">
        <v>310</v>
      </c>
      <c r="I100" s="28" t="s">
        <v>485</v>
      </c>
      <c r="J100" s="28"/>
      <c r="K100" s="28"/>
      <c r="L100" s="36" t="str">
        <f aca="false">IFERROR(INDEX(Transaction_Types!$B$5:$B$20,MATCH(D100,Transaction_Types!$A$5:$A$20,0)),"Not in catalogue")</f>
        <v>Supported</v>
      </c>
      <c r="M100" s="36" t="str">
        <f aca="false">IFERROR(INDEX(Transaction_Types!$C$5:$C$20,MATCH(D100,Transaction_Types!$A$5:$A$20,0)),"")</f>
        <v>Credit</v>
      </c>
      <c r="N100" s="39" t="n">
        <f aca="false">IF(G100="Posted",E100,0)</f>
        <v>200</v>
      </c>
      <c r="O100" s="36" t="n">
        <f aca="false">COUNTIFS($J$5:$J$3000,A100,$K$5:$K$3000,"Reverses")</f>
        <v>0</v>
      </c>
      <c r="P100" s="39" t="n">
        <f aca="false">IF(K100&lt;&gt;"","",IF(G100="Posted",E100+SUMIFS($N$5:$N$3000,$J$5:$J$3000,A100),0))</f>
        <v>200</v>
      </c>
      <c r="Q100" s="36" t="str">
        <f aca="false">IF(L100="Not in catalogue","CHECK type",IF(F100&lt;&gt;Settings!$B$6,"CHECK unit",IF(OR(AND(M100="Credit",E100&lt;=0),AND(M100="Debit",E100&gt;=0)),"CHECK sign",IF(D100="Reversal",IF(OR(J100="",COUNTIF($A$5:$A$3000,J100)=0),"CHECK reversal link",IF(E100&lt;&gt;-INDEX($E$5:$E$3000,MATCH(J100,$A$5:$A$3000,0)),"CHECK reversal amount","OK")),IF(AND(D100="Adjustment",K100&lt;&gt;"",COUNTIF($A$5:$A$3000,J100)=0),"CHECK correction link","OK")))))</f>
        <v>OK</v>
      </c>
      <c r="R100" s="40" t="n">
        <f aca="false">INT(C100)</f>
        <v>46280</v>
      </c>
    </row>
    <row r="101" customFormat="false" ht="15" hidden="false" customHeight="false" outlineLevel="0" collapsed="false">
      <c r="A101" s="28" t="s">
        <v>486</v>
      </c>
      <c r="B101" s="28" t="s">
        <v>275</v>
      </c>
      <c r="C101" s="35" t="n">
        <v>46280.5305555556</v>
      </c>
      <c r="D101" s="28" t="s">
        <v>308</v>
      </c>
      <c r="E101" s="38" t="n">
        <v>200</v>
      </c>
      <c r="F101" s="28" t="s">
        <v>225</v>
      </c>
      <c r="G101" s="28" t="s">
        <v>309</v>
      </c>
      <c r="H101" s="28" t="s">
        <v>310</v>
      </c>
      <c r="I101" s="28" t="s">
        <v>487</v>
      </c>
      <c r="J101" s="28"/>
      <c r="K101" s="28"/>
      <c r="L101" s="36" t="str">
        <f aca="false">IFERROR(INDEX(Transaction_Types!$B$5:$B$20,MATCH(D101,Transaction_Types!$A$5:$A$20,0)),"Not in catalogue")</f>
        <v>Supported</v>
      </c>
      <c r="M101" s="36" t="str">
        <f aca="false">IFERROR(INDEX(Transaction_Types!$C$5:$C$20,MATCH(D101,Transaction_Types!$A$5:$A$20,0)),"")</f>
        <v>Credit</v>
      </c>
      <c r="N101" s="39" t="n">
        <f aca="false">IF(G101="Posted",E101,0)</f>
        <v>200</v>
      </c>
      <c r="O101" s="36" t="n">
        <f aca="false">COUNTIFS($J$5:$J$3000,A101,$K$5:$K$3000,"Reverses")</f>
        <v>0</v>
      </c>
      <c r="P101" s="39" t="n">
        <f aca="false">IF(K101&lt;&gt;"","",IF(G101="Posted",E101+SUMIFS($N$5:$N$3000,$J$5:$J$3000,A101),0))</f>
        <v>200</v>
      </c>
      <c r="Q101" s="36" t="str">
        <f aca="false">IF(L101="Not in catalogue","CHECK type",IF(F101&lt;&gt;Settings!$B$6,"CHECK unit",IF(OR(AND(M101="Credit",E101&lt;=0),AND(M101="Debit",E101&gt;=0)),"CHECK sign",IF(D101="Reversal",IF(OR(J101="",COUNTIF($A$5:$A$3000,J101)=0),"CHECK reversal link",IF(E101&lt;&gt;-INDEX($E$5:$E$3000,MATCH(J101,$A$5:$A$3000,0)),"CHECK reversal amount","OK")),IF(AND(D101="Adjustment",K101&lt;&gt;"",COUNTIF($A$5:$A$3000,J101)=0),"CHECK correction link","OK")))))</f>
        <v>OK</v>
      </c>
      <c r="R101" s="40" t="n">
        <f aca="false">INT(C101)</f>
        <v>46280</v>
      </c>
    </row>
    <row r="102" customFormat="false" ht="15" hidden="false" customHeight="false" outlineLevel="0" collapsed="false">
      <c r="A102" s="28" t="s">
        <v>488</v>
      </c>
      <c r="B102" s="28" t="s">
        <v>239</v>
      </c>
      <c r="C102" s="35" t="n">
        <v>46280.8489048445</v>
      </c>
      <c r="D102" s="28" t="s">
        <v>383</v>
      </c>
      <c r="E102" s="38" t="n">
        <v>-1750</v>
      </c>
      <c r="F102" s="28" t="s">
        <v>225</v>
      </c>
      <c r="G102" s="28" t="s">
        <v>309</v>
      </c>
      <c r="H102" s="28" t="s">
        <v>384</v>
      </c>
      <c r="I102" s="28" t="s">
        <v>238</v>
      </c>
      <c r="J102" s="28"/>
      <c r="K102" s="28"/>
      <c r="L102" s="36" t="str">
        <f aca="false">IFERROR(INDEX(Transaction_Types!$B$5:$B$20,MATCH(D102,Transaction_Types!$A$5:$A$20,0)),"Not in catalogue")</f>
        <v>Supported</v>
      </c>
      <c r="M102" s="36" t="str">
        <f aca="false">IFERROR(INDEX(Transaction_Types!$C$5:$C$20,MATCH(D102,Transaction_Types!$A$5:$A$20,0)),"")</f>
        <v>Debit</v>
      </c>
      <c r="N102" s="39" t="n">
        <f aca="false">IF(G102="Posted",E102,0)</f>
        <v>-1750</v>
      </c>
      <c r="O102" s="36" t="n">
        <f aca="false">COUNTIFS($J$5:$J$3000,A102,$K$5:$K$3000,"Reverses")</f>
        <v>0</v>
      </c>
      <c r="P102" s="39" t="n">
        <f aca="false">IF(K102&lt;&gt;"","",IF(G102="Posted",E102+SUMIFS($N$5:$N$3000,$J$5:$J$3000,A102),0))</f>
        <v>-1750</v>
      </c>
      <c r="Q102" s="36" t="str">
        <f aca="false">IF(L102="Not in catalogue","CHECK type",IF(F102&lt;&gt;Settings!$B$6,"CHECK unit",IF(OR(AND(M102="Credit",E102&lt;=0),AND(M102="Debit",E102&gt;=0)),"CHECK sign",IF(D102="Reversal",IF(OR(J102="",COUNTIF($A$5:$A$3000,J102)=0),"CHECK reversal link",IF(E102&lt;&gt;-INDEX($E$5:$E$3000,MATCH(J102,$A$5:$A$3000,0)),"CHECK reversal amount","OK")),IF(AND(D102="Adjustment",K102&lt;&gt;"",COUNTIF($A$5:$A$3000,J102)=0),"CHECK correction link","OK")))))</f>
        <v>OK</v>
      </c>
      <c r="R102" s="40" t="n">
        <f aca="false">INT(C102)</f>
        <v>46280</v>
      </c>
    </row>
    <row r="103" customFormat="false" ht="15" hidden="false" customHeight="false" outlineLevel="0" collapsed="false">
      <c r="A103" s="28" t="s">
        <v>489</v>
      </c>
      <c r="B103" s="28" t="s">
        <v>368</v>
      </c>
      <c r="C103" s="35" t="n">
        <v>46281.0027777778</v>
      </c>
      <c r="D103" s="28" t="s">
        <v>308</v>
      </c>
      <c r="E103" s="38" t="n">
        <v>300</v>
      </c>
      <c r="F103" s="28" t="s">
        <v>225</v>
      </c>
      <c r="G103" s="28" t="s">
        <v>309</v>
      </c>
      <c r="H103" s="28" t="s">
        <v>316</v>
      </c>
      <c r="I103" s="28" t="s">
        <v>490</v>
      </c>
      <c r="J103" s="28"/>
      <c r="K103" s="28"/>
      <c r="L103" s="36" t="str">
        <f aca="false">IFERROR(INDEX(Transaction_Types!$B$5:$B$20,MATCH(D103,Transaction_Types!$A$5:$A$20,0)),"Not in catalogue")</f>
        <v>Supported</v>
      </c>
      <c r="M103" s="36" t="str">
        <f aca="false">IFERROR(INDEX(Transaction_Types!$C$5:$C$20,MATCH(D103,Transaction_Types!$A$5:$A$20,0)),"")</f>
        <v>Credit</v>
      </c>
      <c r="N103" s="39" t="n">
        <f aca="false">IF(G103="Posted",E103,0)</f>
        <v>300</v>
      </c>
      <c r="O103" s="36" t="n">
        <f aca="false">COUNTIFS($J$5:$J$3000,A103,$K$5:$K$3000,"Reverses")</f>
        <v>0</v>
      </c>
      <c r="P103" s="39" t="n">
        <f aca="false">IF(K103&lt;&gt;"","",IF(G103="Posted",E103+SUMIFS($N$5:$N$3000,$J$5:$J$3000,A103),0))</f>
        <v>300</v>
      </c>
      <c r="Q103" s="36" t="str">
        <f aca="false">IF(L103="Not in catalogue","CHECK type",IF(F103&lt;&gt;Settings!$B$6,"CHECK unit",IF(OR(AND(M103="Credit",E103&lt;=0),AND(M103="Debit",E103&gt;=0)),"CHECK sign",IF(D103="Reversal",IF(OR(J103="",COUNTIF($A$5:$A$3000,J103)=0),"CHECK reversal link",IF(E103&lt;&gt;-INDEX($E$5:$E$3000,MATCH(J103,$A$5:$A$3000,0)),"CHECK reversal amount","OK")),IF(AND(D103="Adjustment",K103&lt;&gt;"",COUNTIF($A$5:$A$3000,J103)=0),"CHECK correction link","OK")))))</f>
        <v>OK</v>
      </c>
      <c r="R103" s="40" t="n">
        <f aca="false">INT(C103)</f>
        <v>46281</v>
      </c>
    </row>
    <row r="104" customFormat="false" ht="15" hidden="false" customHeight="false" outlineLevel="0" collapsed="false">
      <c r="A104" s="28" t="s">
        <v>491</v>
      </c>
      <c r="B104" s="28" t="s">
        <v>287</v>
      </c>
      <c r="C104" s="35" t="n">
        <v>46281.0784722222</v>
      </c>
      <c r="D104" s="28" t="s">
        <v>308</v>
      </c>
      <c r="E104" s="38" t="n">
        <v>500</v>
      </c>
      <c r="F104" s="28" t="s">
        <v>225</v>
      </c>
      <c r="G104" s="28" t="s">
        <v>309</v>
      </c>
      <c r="H104" s="28" t="s">
        <v>310</v>
      </c>
      <c r="I104" s="28" t="s">
        <v>492</v>
      </c>
      <c r="J104" s="28"/>
      <c r="K104" s="28"/>
      <c r="L104" s="36" t="str">
        <f aca="false">IFERROR(INDEX(Transaction_Types!$B$5:$B$20,MATCH(D104,Transaction_Types!$A$5:$A$20,0)),"Not in catalogue")</f>
        <v>Supported</v>
      </c>
      <c r="M104" s="36" t="str">
        <f aca="false">IFERROR(INDEX(Transaction_Types!$C$5:$C$20,MATCH(D104,Transaction_Types!$A$5:$A$20,0)),"")</f>
        <v>Credit</v>
      </c>
      <c r="N104" s="39" t="n">
        <f aca="false">IF(G104="Posted",E104,0)</f>
        <v>500</v>
      </c>
      <c r="O104" s="36" t="n">
        <f aca="false">COUNTIFS($J$5:$J$3000,A104,$K$5:$K$3000,"Reverses")</f>
        <v>0</v>
      </c>
      <c r="P104" s="39" t="n">
        <f aca="false">IF(K104&lt;&gt;"","",IF(G104="Posted",E104+SUMIFS($N$5:$N$3000,$J$5:$J$3000,A104),0))</f>
        <v>500</v>
      </c>
      <c r="Q104" s="36" t="str">
        <f aca="false">IF(L104="Not in catalogue","CHECK type",IF(F104&lt;&gt;Settings!$B$6,"CHECK unit",IF(OR(AND(M104="Credit",E104&lt;=0),AND(M104="Debit",E104&gt;=0)),"CHECK sign",IF(D104="Reversal",IF(OR(J104="",COUNTIF($A$5:$A$3000,J104)=0),"CHECK reversal link",IF(E104&lt;&gt;-INDEX($E$5:$E$3000,MATCH(J104,$A$5:$A$3000,0)),"CHECK reversal amount","OK")),IF(AND(D104="Adjustment",K104&lt;&gt;"",COUNTIF($A$5:$A$3000,J104)=0),"CHECK correction link","OK")))))</f>
        <v>OK</v>
      </c>
      <c r="R104" s="40" t="n">
        <f aca="false">INT(C104)</f>
        <v>46281</v>
      </c>
    </row>
    <row r="105" customFormat="false" ht="15" hidden="false" customHeight="false" outlineLevel="0" collapsed="false">
      <c r="A105" s="28" t="s">
        <v>493</v>
      </c>
      <c r="B105" s="28" t="s">
        <v>265</v>
      </c>
      <c r="C105" s="35" t="n">
        <v>46281.2611111111</v>
      </c>
      <c r="D105" s="28" t="s">
        <v>308</v>
      </c>
      <c r="E105" s="38" t="n">
        <v>250</v>
      </c>
      <c r="F105" s="28" t="s">
        <v>225</v>
      </c>
      <c r="G105" s="28" t="s">
        <v>309</v>
      </c>
      <c r="H105" s="28" t="s">
        <v>310</v>
      </c>
      <c r="I105" s="28" t="s">
        <v>494</v>
      </c>
      <c r="J105" s="28"/>
      <c r="K105" s="28"/>
      <c r="L105" s="36" t="str">
        <f aca="false">IFERROR(INDEX(Transaction_Types!$B$5:$B$20,MATCH(D105,Transaction_Types!$A$5:$A$20,0)),"Not in catalogue")</f>
        <v>Supported</v>
      </c>
      <c r="M105" s="36" t="str">
        <f aca="false">IFERROR(INDEX(Transaction_Types!$C$5:$C$20,MATCH(D105,Transaction_Types!$A$5:$A$20,0)),"")</f>
        <v>Credit</v>
      </c>
      <c r="N105" s="39" t="n">
        <f aca="false">IF(G105="Posted",E105,0)</f>
        <v>250</v>
      </c>
      <c r="O105" s="36" t="n">
        <f aca="false">COUNTIFS($J$5:$J$3000,A105,$K$5:$K$3000,"Reverses")</f>
        <v>0</v>
      </c>
      <c r="P105" s="39" t="n">
        <f aca="false">IF(K105&lt;&gt;"","",IF(G105="Posted",E105+SUMIFS($N$5:$N$3000,$J$5:$J$3000,A105),0))</f>
        <v>250</v>
      </c>
      <c r="Q105" s="36" t="str">
        <f aca="false">IF(L105="Not in catalogue","CHECK type",IF(F105&lt;&gt;Settings!$B$6,"CHECK unit",IF(OR(AND(M105="Credit",E105&lt;=0),AND(M105="Debit",E105&gt;=0)),"CHECK sign",IF(D105="Reversal",IF(OR(J105="",COUNTIF($A$5:$A$3000,J105)=0),"CHECK reversal link",IF(E105&lt;&gt;-INDEX($E$5:$E$3000,MATCH(J105,$A$5:$A$3000,0)),"CHECK reversal amount","OK")),IF(AND(D105="Adjustment",K105&lt;&gt;"",COUNTIF($A$5:$A$3000,J105)=0),"CHECK correction link","OK")))))</f>
        <v>OK</v>
      </c>
      <c r="R105" s="40" t="n">
        <f aca="false">INT(C105)</f>
        <v>46281</v>
      </c>
    </row>
    <row r="106" customFormat="false" ht="15" hidden="false" customHeight="false" outlineLevel="0" collapsed="false">
      <c r="A106" s="28" t="s">
        <v>495</v>
      </c>
      <c r="B106" s="28" t="s">
        <v>231</v>
      </c>
      <c r="C106" s="35" t="n">
        <v>46281.2780802484</v>
      </c>
      <c r="D106" s="28" t="s">
        <v>383</v>
      </c>
      <c r="E106" s="38" t="n">
        <v>-800</v>
      </c>
      <c r="F106" s="28" t="s">
        <v>225</v>
      </c>
      <c r="G106" s="28" t="s">
        <v>309</v>
      </c>
      <c r="H106" s="28" t="s">
        <v>384</v>
      </c>
      <c r="I106" s="28" t="s">
        <v>237</v>
      </c>
      <c r="J106" s="28"/>
      <c r="K106" s="28"/>
      <c r="L106" s="36" t="str">
        <f aca="false">IFERROR(INDEX(Transaction_Types!$B$5:$B$20,MATCH(D106,Transaction_Types!$A$5:$A$20,0)),"Not in catalogue")</f>
        <v>Supported</v>
      </c>
      <c r="M106" s="36" t="str">
        <f aca="false">IFERROR(INDEX(Transaction_Types!$C$5:$C$20,MATCH(D106,Transaction_Types!$A$5:$A$20,0)),"")</f>
        <v>Debit</v>
      </c>
      <c r="N106" s="39" t="n">
        <f aca="false">IF(G106="Posted",E106,0)</f>
        <v>-800</v>
      </c>
      <c r="O106" s="36" t="n">
        <f aca="false">COUNTIFS($J$5:$J$3000,A106,$K$5:$K$3000,"Reverses")</f>
        <v>0</v>
      </c>
      <c r="P106" s="39" t="n">
        <f aca="false">IF(K106&lt;&gt;"","",IF(G106="Posted",E106+SUMIFS($N$5:$N$3000,$J$5:$J$3000,A106),0))</f>
        <v>-800</v>
      </c>
      <c r="Q106" s="36" t="str">
        <f aca="false">IF(L106="Not in catalogue","CHECK type",IF(F106&lt;&gt;Settings!$B$6,"CHECK unit",IF(OR(AND(M106="Credit",E106&lt;=0),AND(M106="Debit",E106&gt;=0)),"CHECK sign",IF(D106="Reversal",IF(OR(J106="",COUNTIF($A$5:$A$3000,J106)=0),"CHECK reversal link",IF(E106&lt;&gt;-INDEX($E$5:$E$3000,MATCH(J106,$A$5:$A$3000,0)),"CHECK reversal amount","OK")),IF(AND(D106="Adjustment",K106&lt;&gt;"",COUNTIF($A$5:$A$3000,J106)=0),"CHECK correction link","OK")))))</f>
        <v>OK</v>
      </c>
      <c r="R106" s="40" t="n">
        <f aca="false">INT(C106)</f>
        <v>46281</v>
      </c>
    </row>
    <row r="107" customFormat="false" ht="15" hidden="false" customHeight="false" outlineLevel="0" collapsed="false">
      <c r="A107" s="28" t="s">
        <v>496</v>
      </c>
      <c r="B107" s="28" t="s">
        <v>246</v>
      </c>
      <c r="C107" s="35" t="n">
        <v>46281.38125</v>
      </c>
      <c r="D107" s="28" t="s">
        <v>308</v>
      </c>
      <c r="E107" s="38" t="n">
        <v>250</v>
      </c>
      <c r="F107" s="28" t="s">
        <v>225</v>
      </c>
      <c r="G107" s="28" t="s">
        <v>309</v>
      </c>
      <c r="H107" s="28" t="s">
        <v>316</v>
      </c>
      <c r="I107" s="28" t="s">
        <v>497</v>
      </c>
      <c r="J107" s="28"/>
      <c r="K107" s="28"/>
      <c r="L107" s="36" t="str">
        <f aca="false">IFERROR(INDEX(Transaction_Types!$B$5:$B$20,MATCH(D107,Transaction_Types!$A$5:$A$20,0)),"Not in catalogue")</f>
        <v>Supported</v>
      </c>
      <c r="M107" s="36" t="str">
        <f aca="false">IFERROR(INDEX(Transaction_Types!$C$5:$C$20,MATCH(D107,Transaction_Types!$A$5:$A$20,0)),"")</f>
        <v>Credit</v>
      </c>
      <c r="N107" s="39" t="n">
        <f aca="false">IF(G107="Posted",E107,0)</f>
        <v>250</v>
      </c>
      <c r="O107" s="36" t="n">
        <f aca="false">COUNTIFS($J$5:$J$3000,A107,$K$5:$K$3000,"Reverses")</f>
        <v>0</v>
      </c>
      <c r="P107" s="39" t="n">
        <f aca="false">IF(K107&lt;&gt;"","",IF(G107="Posted",E107+SUMIFS($N$5:$N$3000,$J$5:$J$3000,A107),0))</f>
        <v>250</v>
      </c>
      <c r="Q107" s="36" t="str">
        <f aca="false">IF(L107="Not in catalogue","CHECK type",IF(F107&lt;&gt;Settings!$B$6,"CHECK unit",IF(OR(AND(M107="Credit",E107&lt;=0),AND(M107="Debit",E107&gt;=0)),"CHECK sign",IF(D107="Reversal",IF(OR(J107="",COUNTIF($A$5:$A$3000,J107)=0),"CHECK reversal link",IF(E107&lt;&gt;-INDEX($E$5:$E$3000,MATCH(J107,$A$5:$A$3000,0)),"CHECK reversal amount","OK")),IF(AND(D107="Adjustment",K107&lt;&gt;"",COUNTIF($A$5:$A$3000,J107)=0),"CHECK correction link","OK")))))</f>
        <v>OK</v>
      </c>
      <c r="R107" s="40" t="n">
        <f aca="false">INT(C107)</f>
        <v>46281</v>
      </c>
    </row>
    <row r="108" customFormat="false" ht="15" hidden="false" customHeight="false" outlineLevel="0" collapsed="false">
      <c r="A108" s="28" t="s">
        <v>498</v>
      </c>
      <c r="B108" s="28" t="s">
        <v>224</v>
      </c>
      <c r="C108" s="35" t="n">
        <v>46281.4791666667</v>
      </c>
      <c r="D108" s="28" t="s">
        <v>308</v>
      </c>
      <c r="E108" s="38" t="n">
        <v>300</v>
      </c>
      <c r="F108" s="28" t="s">
        <v>225</v>
      </c>
      <c r="G108" s="28" t="s">
        <v>309</v>
      </c>
      <c r="H108" s="28" t="s">
        <v>316</v>
      </c>
      <c r="I108" s="28" t="s">
        <v>378</v>
      </c>
      <c r="J108" s="28"/>
      <c r="K108" s="28"/>
      <c r="L108" s="36" t="str">
        <f aca="false">IFERROR(INDEX(Transaction_Types!$B$5:$B$20,MATCH(D108,Transaction_Types!$A$5:$A$20,0)),"Not in catalogue")</f>
        <v>Supported</v>
      </c>
      <c r="M108" s="36" t="str">
        <f aca="false">IFERROR(INDEX(Transaction_Types!$C$5:$C$20,MATCH(D108,Transaction_Types!$A$5:$A$20,0)),"")</f>
        <v>Credit</v>
      </c>
      <c r="N108" s="39" t="n">
        <f aca="false">IF(G108="Posted",E108,0)</f>
        <v>300</v>
      </c>
      <c r="O108" s="36" t="n">
        <f aca="false">COUNTIFS($J$5:$J$3000,A108,$K$5:$K$3000,"Reverses")</f>
        <v>0</v>
      </c>
      <c r="P108" s="39" t="n">
        <f aca="false">IF(K108&lt;&gt;"","",IF(G108="Posted",E108+SUMIFS($N$5:$N$3000,$J$5:$J$3000,A108),0))</f>
        <v>300</v>
      </c>
      <c r="Q108" s="36" t="str">
        <f aca="false">IF(L108="Not in catalogue","CHECK type",IF(F108&lt;&gt;Settings!$B$6,"CHECK unit",IF(OR(AND(M108="Credit",E108&lt;=0),AND(M108="Debit",E108&gt;=0)),"CHECK sign",IF(D108="Reversal",IF(OR(J108="",COUNTIF($A$5:$A$3000,J108)=0),"CHECK reversal link",IF(E108&lt;&gt;-INDEX($E$5:$E$3000,MATCH(J108,$A$5:$A$3000,0)),"CHECK reversal amount","OK")),IF(AND(D108="Adjustment",K108&lt;&gt;"",COUNTIF($A$5:$A$3000,J108)=0),"CHECK correction link","OK")))))</f>
        <v>OK</v>
      </c>
      <c r="R108" s="40" t="n">
        <f aca="false">INT(C108)</f>
        <v>46281</v>
      </c>
    </row>
    <row r="109" customFormat="false" ht="15" hidden="false" customHeight="false" outlineLevel="0" collapsed="false">
      <c r="A109" s="28" t="s">
        <v>499</v>
      </c>
      <c r="B109" s="28" t="s">
        <v>224</v>
      </c>
      <c r="C109" s="35" t="n">
        <v>46281.6319444445</v>
      </c>
      <c r="D109" s="28" t="s">
        <v>308</v>
      </c>
      <c r="E109" s="38" t="n">
        <v>200</v>
      </c>
      <c r="F109" s="28" t="s">
        <v>225</v>
      </c>
      <c r="G109" s="28" t="s">
        <v>309</v>
      </c>
      <c r="H109" s="28" t="s">
        <v>316</v>
      </c>
      <c r="I109" s="28" t="s">
        <v>500</v>
      </c>
      <c r="J109" s="28"/>
      <c r="K109" s="28"/>
      <c r="L109" s="36" t="str">
        <f aca="false">IFERROR(INDEX(Transaction_Types!$B$5:$B$20,MATCH(D109,Transaction_Types!$A$5:$A$20,0)),"Not in catalogue")</f>
        <v>Supported</v>
      </c>
      <c r="M109" s="36" t="str">
        <f aca="false">IFERROR(INDEX(Transaction_Types!$C$5:$C$20,MATCH(D109,Transaction_Types!$A$5:$A$20,0)),"")</f>
        <v>Credit</v>
      </c>
      <c r="N109" s="39" t="n">
        <f aca="false">IF(G109="Posted",E109,0)</f>
        <v>200</v>
      </c>
      <c r="O109" s="36" t="n">
        <f aca="false">COUNTIFS($J$5:$J$3000,A109,$K$5:$K$3000,"Reverses")</f>
        <v>0</v>
      </c>
      <c r="P109" s="39" t="n">
        <f aca="false">IF(K109&lt;&gt;"","",IF(G109="Posted",E109+SUMIFS($N$5:$N$3000,$J$5:$J$3000,A109),0))</f>
        <v>200</v>
      </c>
      <c r="Q109" s="36" t="str">
        <f aca="false">IF(L109="Not in catalogue","CHECK type",IF(F109&lt;&gt;Settings!$B$6,"CHECK unit",IF(OR(AND(M109="Credit",E109&lt;=0),AND(M109="Debit",E109&gt;=0)),"CHECK sign",IF(D109="Reversal",IF(OR(J109="",COUNTIF($A$5:$A$3000,J109)=0),"CHECK reversal link",IF(E109&lt;&gt;-INDEX($E$5:$E$3000,MATCH(J109,$A$5:$A$3000,0)),"CHECK reversal amount","OK")),IF(AND(D109="Adjustment",K109&lt;&gt;"",COUNTIF($A$5:$A$3000,J109)=0),"CHECK correction link","OK")))))</f>
        <v>OK</v>
      </c>
      <c r="R109" s="40" t="n">
        <f aca="false">INT(C109)</f>
        <v>46281</v>
      </c>
    </row>
    <row r="110" customFormat="false" ht="15" hidden="false" customHeight="false" outlineLevel="0" collapsed="false">
      <c r="A110" s="28" t="s">
        <v>501</v>
      </c>
      <c r="B110" s="28" t="s">
        <v>287</v>
      </c>
      <c r="C110" s="35" t="n">
        <v>46281.6534722222</v>
      </c>
      <c r="D110" s="28" t="s">
        <v>308</v>
      </c>
      <c r="E110" s="38" t="n">
        <v>100</v>
      </c>
      <c r="F110" s="28" t="s">
        <v>225</v>
      </c>
      <c r="G110" s="28" t="s">
        <v>309</v>
      </c>
      <c r="H110" s="28" t="s">
        <v>310</v>
      </c>
      <c r="I110" s="28" t="s">
        <v>502</v>
      </c>
      <c r="J110" s="28"/>
      <c r="K110" s="28"/>
      <c r="L110" s="36" t="str">
        <f aca="false">IFERROR(INDEX(Transaction_Types!$B$5:$B$20,MATCH(D110,Transaction_Types!$A$5:$A$20,0)),"Not in catalogue")</f>
        <v>Supported</v>
      </c>
      <c r="M110" s="36" t="str">
        <f aca="false">IFERROR(INDEX(Transaction_Types!$C$5:$C$20,MATCH(D110,Transaction_Types!$A$5:$A$20,0)),"")</f>
        <v>Credit</v>
      </c>
      <c r="N110" s="39" t="n">
        <f aca="false">IF(G110="Posted",E110,0)</f>
        <v>100</v>
      </c>
      <c r="O110" s="36" t="n">
        <f aca="false">COUNTIFS($J$5:$J$3000,A110,$K$5:$K$3000,"Reverses")</f>
        <v>0</v>
      </c>
      <c r="P110" s="39" t="n">
        <f aca="false">IF(K110&lt;&gt;"","",IF(G110="Posted",E110+SUMIFS($N$5:$N$3000,$J$5:$J$3000,A110),0))</f>
        <v>100</v>
      </c>
      <c r="Q110" s="36" t="str">
        <f aca="false">IF(L110="Not in catalogue","CHECK type",IF(F110&lt;&gt;Settings!$B$6,"CHECK unit",IF(OR(AND(M110="Credit",E110&lt;=0),AND(M110="Debit",E110&gt;=0)),"CHECK sign",IF(D110="Reversal",IF(OR(J110="",COUNTIF($A$5:$A$3000,J110)=0),"CHECK reversal link",IF(E110&lt;&gt;-INDEX($E$5:$E$3000,MATCH(J110,$A$5:$A$3000,0)),"CHECK reversal amount","OK")),IF(AND(D110="Adjustment",K110&lt;&gt;"",COUNTIF($A$5:$A$3000,J110)=0),"CHECK correction link","OK")))))</f>
        <v>OK</v>
      </c>
      <c r="R110" s="40" t="n">
        <f aca="false">INT(C110)</f>
        <v>46281</v>
      </c>
    </row>
    <row r="111" customFormat="false" ht="15" hidden="false" customHeight="false" outlineLevel="0" collapsed="false">
      <c r="A111" s="28" t="s">
        <v>503</v>
      </c>
      <c r="B111" s="28" t="s">
        <v>224</v>
      </c>
      <c r="C111" s="35" t="n">
        <v>46281.7227724079</v>
      </c>
      <c r="D111" s="28" t="s">
        <v>383</v>
      </c>
      <c r="E111" s="38" t="n">
        <v>-900</v>
      </c>
      <c r="F111" s="28" t="s">
        <v>225</v>
      </c>
      <c r="G111" s="28" t="s">
        <v>309</v>
      </c>
      <c r="H111" s="28" t="s">
        <v>384</v>
      </c>
      <c r="I111" s="28" t="s">
        <v>240</v>
      </c>
      <c r="J111" s="28"/>
      <c r="K111" s="28"/>
      <c r="L111" s="36" t="str">
        <f aca="false">IFERROR(INDEX(Transaction_Types!$B$5:$B$20,MATCH(D111,Transaction_Types!$A$5:$A$20,0)),"Not in catalogue")</f>
        <v>Supported</v>
      </c>
      <c r="M111" s="36" t="str">
        <f aca="false">IFERROR(INDEX(Transaction_Types!$C$5:$C$20,MATCH(D111,Transaction_Types!$A$5:$A$20,0)),"")</f>
        <v>Debit</v>
      </c>
      <c r="N111" s="39" t="n">
        <f aca="false">IF(G111="Posted",E111,0)</f>
        <v>-900</v>
      </c>
      <c r="O111" s="36" t="n">
        <f aca="false">COUNTIFS($J$5:$J$3000,A111,$K$5:$K$3000,"Reverses")</f>
        <v>0</v>
      </c>
      <c r="P111" s="39" t="n">
        <f aca="false">IF(K111&lt;&gt;"","",IF(G111="Posted",E111+SUMIFS($N$5:$N$3000,$J$5:$J$3000,A111),0))</f>
        <v>-900</v>
      </c>
      <c r="Q111" s="36" t="str">
        <f aca="false">IF(L111="Not in catalogue","CHECK type",IF(F111&lt;&gt;Settings!$B$6,"CHECK unit",IF(OR(AND(M111="Credit",E111&lt;=0),AND(M111="Debit",E111&gt;=0)),"CHECK sign",IF(D111="Reversal",IF(OR(J111="",COUNTIF($A$5:$A$3000,J111)=0),"CHECK reversal link",IF(E111&lt;&gt;-INDEX($E$5:$E$3000,MATCH(J111,$A$5:$A$3000,0)),"CHECK reversal amount","OK")),IF(AND(D111="Adjustment",K111&lt;&gt;"",COUNTIF($A$5:$A$3000,J111)=0),"CHECK correction link","OK")))))</f>
        <v>OK</v>
      </c>
      <c r="R111" s="40" t="n">
        <f aca="false">INT(C111)</f>
        <v>46281</v>
      </c>
    </row>
    <row r="112" customFormat="false" ht="15" hidden="false" customHeight="false" outlineLevel="0" collapsed="false">
      <c r="A112" s="28" t="s">
        <v>504</v>
      </c>
      <c r="B112" s="28" t="s">
        <v>242</v>
      </c>
      <c r="C112" s="35" t="n">
        <v>46282.3037125115</v>
      </c>
      <c r="D112" s="28" t="s">
        <v>383</v>
      </c>
      <c r="E112" s="38" t="n">
        <v>-1950</v>
      </c>
      <c r="F112" s="28" t="s">
        <v>225</v>
      </c>
      <c r="G112" s="28" t="s">
        <v>309</v>
      </c>
      <c r="H112" s="28" t="s">
        <v>384</v>
      </c>
      <c r="I112" s="28" t="s">
        <v>243</v>
      </c>
      <c r="J112" s="28"/>
      <c r="K112" s="28"/>
      <c r="L112" s="36" t="str">
        <f aca="false">IFERROR(INDEX(Transaction_Types!$B$5:$B$20,MATCH(D112,Transaction_Types!$A$5:$A$20,0)),"Not in catalogue")</f>
        <v>Supported</v>
      </c>
      <c r="M112" s="36" t="str">
        <f aca="false">IFERROR(INDEX(Transaction_Types!$C$5:$C$20,MATCH(D112,Transaction_Types!$A$5:$A$20,0)),"")</f>
        <v>Debit</v>
      </c>
      <c r="N112" s="39" t="n">
        <f aca="false">IF(G112="Posted",E112,0)</f>
        <v>-1950</v>
      </c>
      <c r="O112" s="36" t="n">
        <f aca="false">COUNTIFS($J$5:$J$3000,A112,$K$5:$K$3000,"Reverses")</f>
        <v>0</v>
      </c>
      <c r="P112" s="39" t="n">
        <f aca="false">IF(K112&lt;&gt;"","",IF(G112="Posted",E112+SUMIFS($N$5:$N$3000,$J$5:$J$3000,A112),0))</f>
        <v>-1950</v>
      </c>
      <c r="Q112" s="36" t="str">
        <f aca="false">IF(L112="Not in catalogue","CHECK type",IF(F112&lt;&gt;Settings!$B$6,"CHECK unit",IF(OR(AND(M112="Credit",E112&lt;=0),AND(M112="Debit",E112&gt;=0)),"CHECK sign",IF(D112="Reversal",IF(OR(J112="",COUNTIF($A$5:$A$3000,J112)=0),"CHECK reversal link",IF(E112&lt;&gt;-INDEX($E$5:$E$3000,MATCH(J112,$A$5:$A$3000,0)),"CHECK reversal amount","OK")),IF(AND(D112="Adjustment",K112&lt;&gt;"",COUNTIF($A$5:$A$3000,J112)=0),"CHECK correction link","OK")))))</f>
        <v>OK</v>
      </c>
      <c r="R112" s="40" t="n">
        <f aca="false">INT(C112)</f>
        <v>46282</v>
      </c>
    </row>
    <row r="113" customFormat="false" ht="15" hidden="false" customHeight="false" outlineLevel="0" collapsed="false">
      <c r="A113" s="28" t="s">
        <v>505</v>
      </c>
      <c r="B113" s="28" t="s">
        <v>229</v>
      </c>
      <c r="C113" s="35" t="n">
        <v>46282.3277777778</v>
      </c>
      <c r="D113" s="28" t="s">
        <v>308</v>
      </c>
      <c r="E113" s="38" t="n">
        <v>250</v>
      </c>
      <c r="F113" s="28" t="s">
        <v>225</v>
      </c>
      <c r="G113" s="28" t="s">
        <v>309</v>
      </c>
      <c r="H113" s="28" t="s">
        <v>316</v>
      </c>
      <c r="I113" s="28" t="s">
        <v>506</v>
      </c>
      <c r="J113" s="28"/>
      <c r="K113" s="28"/>
      <c r="L113" s="36" t="str">
        <f aca="false">IFERROR(INDEX(Transaction_Types!$B$5:$B$20,MATCH(D113,Transaction_Types!$A$5:$A$20,0)),"Not in catalogue")</f>
        <v>Supported</v>
      </c>
      <c r="M113" s="36" t="str">
        <f aca="false">IFERROR(INDEX(Transaction_Types!$C$5:$C$20,MATCH(D113,Transaction_Types!$A$5:$A$20,0)),"")</f>
        <v>Credit</v>
      </c>
      <c r="N113" s="39" t="n">
        <f aca="false">IF(G113="Posted",E113,0)</f>
        <v>250</v>
      </c>
      <c r="O113" s="36" t="n">
        <f aca="false">COUNTIFS($J$5:$J$3000,A113,$K$5:$K$3000,"Reverses")</f>
        <v>0</v>
      </c>
      <c r="P113" s="39" t="n">
        <f aca="false">IF(K113&lt;&gt;"","",IF(G113="Posted",E113+SUMIFS($N$5:$N$3000,$J$5:$J$3000,A113),0))</f>
        <v>250</v>
      </c>
      <c r="Q113" s="36" t="str">
        <f aca="false">IF(L113="Not in catalogue","CHECK type",IF(F113&lt;&gt;Settings!$B$6,"CHECK unit",IF(OR(AND(M113="Credit",E113&lt;=0),AND(M113="Debit",E113&gt;=0)),"CHECK sign",IF(D113="Reversal",IF(OR(J113="",COUNTIF($A$5:$A$3000,J113)=0),"CHECK reversal link",IF(E113&lt;&gt;-INDEX($E$5:$E$3000,MATCH(J113,$A$5:$A$3000,0)),"CHECK reversal amount","OK")),IF(AND(D113="Adjustment",K113&lt;&gt;"",COUNTIF($A$5:$A$3000,J113)=0),"CHECK correction link","OK")))))</f>
        <v>OK</v>
      </c>
      <c r="R113" s="40" t="n">
        <f aca="false">INT(C113)</f>
        <v>46282</v>
      </c>
    </row>
    <row r="114" customFormat="false" ht="15" hidden="false" customHeight="false" outlineLevel="0" collapsed="false">
      <c r="A114" s="28" t="s">
        <v>507</v>
      </c>
      <c r="B114" s="28" t="s">
        <v>275</v>
      </c>
      <c r="C114" s="35" t="n">
        <v>46282.3902777778</v>
      </c>
      <c r="D114" s="28" t="s">
        <v>308</v>
      </c>
      <c r="E114" s="38" t="n">
        <v>300</v>
      </c>
      <c r="F114" s="28" t="s">
        <v>225</v>
      </c>
      <c r="G114" s="28" t="s">
        <v>309</v>
      </c>
      <c r="H114" s="28" t="s">
        <v>310</v>
      </c>
      <c r="I114" s="28" t="s">
        <v>508</v>
      </c>
      <c r="J114" s="28"/>
      <c r="K114" s="28"/>
      <c r="L114" s="36" t="str">
        <f aca="false">IFERROR(INDEX(Transaction_Types!$B$5:$B$20,MATCH(D114,Transaction_Types!$A$5:$A$20,0)),"Not in catalogue")</f>
        <v>Supported</v>
      </c>
      <c r="M114" s="36" t="str">
        <f aca="false">IFERROR(INDEX(Transaction_Types!$C$5:$C$20,MATCH(D114,Transaction_Types!$A$5:$A$20,0)),"")</f>
        <v>Credit</v>
      </c>
      <c r="N114" s="39" t="n">
        <f aca="false">IF(G114="Posted",E114,0)</f>
        <v>300</v>
      </c>
      <c r="O114" s="36" t="n">
        <f aca="false">COUNTIFS($J$5:$J$3000,A114,$K$5:$K$3000,"Reverses")</f>
        <v>0</v>
      </c>
      <c r="P114" s="39" t="n">
        <f aca="false">IF(K114&lt;&gt;"","",IF(G114="Posted",E114+SUMIFS($N$5:$N$3000,$J$5:$J$3000,A114),0))</f>
        <v>300</v>
      </c>
      <c r="Q114" s="36" t="str">
        <f aca="false">IF(L114="Not in catalogue","CHECK type",IF(F114&lt;&gt;Settings!$B$6,"CHECK unit",IF(OR(AND(M114="Credit",E114&lt;=0),AND(M114="Debit",E114&gt;=0)),"CHECK sign",IF(D114="Reversal",IF(OR(J114="",COUNTIF($A$5:$A$3000,J114)=0),"CHECK reversal link",IF(E114&lt;&gt;-INDEX($E$5:$E$3000,MATCH(J114,$A$5:$A$3000,0)),"CHECK reversal amount","OK")),IF(AND(D114="Adjustment",K114&lt;&gt;"",COUNTIF($A$5:$A$3000,J114)=0),"CHECK correction link","OK")))))</f>
        <v>OK</v>
      </c>
      <c r="R114" s="40" t="n">
        <f aca="false">INT(C114)</f>
        <v>46282</v>
      </c>
    </row>
    <row r="115" customFormat="false" ht="15" hidden="false" customHeight="false" outlineLevel="0" collapsed="false">
      <c r="A115" s="28" t="s">
        <v>509</v>
      </c>
      <c r="B115" s="28" t="s">
        <v>368</v>
      </c>
      <c r="C115" s="35" t="n">
        <v>46282.6888888889</v>
      </c>
      <c r="D115" s="28" t="s">
        <v>308</v>
      </c>
      <c r="E115" s="38" t="n">
        <v>200</v>
      </c>
      <c r="F115" s="28" t="s">
        <v>225</v>
      </c>
      <c r="G115" s="28" t="s">
        <v>309</v>
      </c>
      <c r="H115" s="28" t="s">
        <v>313</v>
      </c>
      <c r="I115" s="28" t="s">
        <v>314</v>
      </c>
      <c r="J115" s="28"/>
      <c r="K115" s="28"/>
      <c r="L115" s="36" t="str">
        <f aca="false">IFERROR(INDEX(Transaction_Types!$B$5:$B$20,MATCH(D115,Transaction_Types!$A$5:$A$20,0)),"Not in catalogue")</f>
        <v>Supported</v>
      </c>
      <c r="M115" s="36" t="str">
        <f aca="false">IFERROR(INDEX(Transaction_Types!$C$5:$C$20,MATCH(D115,Transaction_Types!$A$5:$A$20,0)),"")</f>
        <v>Credit</v>
      </c>
      <c r="N115" s="39" t="n">
        <f aca="false">IF(G115="Posted",E115,0)</f>
        <v>200</v>
      </c>
      <c r="O115" s="36" t="n">
        <f aca="false">COUNTIFS($J$5:$J$3000,A115,$K$5:$K$3000,"Reverses")</f>
        <v>0</v>
      </c>
      <c r="P115" s="39" t="n">
        <f aca="false">IF(K115&lt;&gt;"","",IF(G115="Posted",E115+SUMIFS($N$5:$N$3000,$J$5:$J$3000,A115),0))</f>
        <v>200</v>
      </c>
      <c r="Q115" s="36" t="str">
        <f aca="false">IF(L115="Not in catalogue","CHECK type",IF(F115&lt;&gt;Settings!$B$6,"CHECK unit",IF(OR(AND(M115="Credit",E115&lt;=0),AND(M115="Debit",E115&gt;=0)),"CHECK sign",IF(D115="Reversal",IF(OR(J115="",COUNTIF($A$5:$A$3000,J115)=0),"CHECK reversal link",IF(E115&lt;&gt;-INDEX($E$5:$E$3000,MATCH(J115,$A$5:$A$3000,0)),"CHECK reversal amount","OK")),IF(AND(D115="Adjustment",K115&lt;&gt;"",COUNTIF($A$5:$A$3000,J115)=0),"CHECK correction link","OK")))))</f>
        <v>OK</v>
      </c>
      <c r="R115" s="40" t="n">
        <f aca="false">INT(C115)</f>
        <v>46282</v>
      </c>
    </row>
    <row r="116" customFormat="false" ht="15" hidden="false" customHeight="false" outlineLevel="0" collapsed="false">
      <c r="A116" s="28" t="s">
        <v>510</v>
      </c>
      <c r="B116" s="28" t="s">
        <v>287</v>
      </c>
      <c r="C116" s="35" t="n">
        <v>46282.9395833333</v>
      </c>
      <c r="D116" s="28" t="s">
        <v>308</v>
      </c>
      <c r="E116" s="38" t="n">
        <v>250</v>
      </c>
      <c r="F116" s="28" t="s">
        <v>225</v>
      </c>
      <c r="G116" s="28" t="s">
        <v>309</v>
      </c>
      <c r="H116" s="28" t="s">
        <v>310</v>
      </c>
      <c r="I116" s="28" t="s">
        <v>511</v>
      </c>
      <c r="J116" s="28"/>
      <c r="K116" s="28"/>
      <c r="L116" s="36" t="str">
        <f aca="false">IFERROR(INDEX(Transaction_Types!$B$5:$B$20,MATCH(D116,Transaction_Types!$A$5:$A$20,0)),"Not in catalogue")</f>
        <v>Supported</v>
      </c>
      <c r="M116" s="36" t="str">
        <f aca="false">IFERROR(INDEX(Transaction_Types!$C$5:$C$20,MATCH(D116,Transaction_Types!$A$5:$A$20,0)),"")</f>
        <v>Credit</v>
      </c>
      <c r="N116" s="39" t="n">
        <f aca="false">IF(G116="Posted",E116,0)</f>
        <v>250</v>
      </c>
      <c r="O116" s="36" t="n">
        <f aca="false">COUNTIFS($J$5:$J$3000,A116,$K$5:$K$3000,"Reverses")</f>
        <v>0</v>
      </c>
      <c r="P116" s="39" t="n">
        <f aca="false">IF(K116&lt;&gt;"","",IF(G116="Posted",E116+SUMIFS($N$5:$N$3000,$J$5:$J$3000,A116),0))</f>
        <v>250</v>
      </c>
      <c r="Q116" s="36" t="str">
        <f aca="false">IF(L116="Not in catalogue","CHECK type",IF(F116&lt;&gt;Settings!$B$6,"CHECK unit",IF(OR(AND(M116="Credit",E116&lt;=0),AND(M116="Debit",E116&gt;=0)),"CHECK sign",IF(D116="Reversal",IF(OR(J116="",COUNTIF($A$5:$A$3000,J116)=0),"CHECK reversal link",IF(E116&lt;&gt;-INDEX($E$5:$E$3000,MATCH(J116,$A$5:$A$3000,0)),"CHECK reversal amount","OK")),IF(AND(D116="Adjustment",K116&lt;&gt;"",COUNTIF($A$5:$A$3000,J116)=0),"CHECK correction link","OK")))))</f>
        <v>OK</v>
      </c>
      <c r="R116" s="40" t="n">
        <f aca="false">INT(C116)</f>
        <v>46282</v>
      </c>
    </row>
    <row r="117" customFormat="false" ht="15" hidden="false" customHeight="false" outlineLevel="0" collapsed="false">
      <c r="A117" s="28" t="s">
        <v>512</v>
      </c>
      <c r="B117" s="28" t="s">
        <v>234</v>
      </c>
      <c r="C117" s="35" t="n">
        <v>46283.1222222222</v>
      </c>
      <c r="D117" s="28" t="s">
        <v>308</v>
      </c>
      <c r="E117" s="38" t="n">
        <v>200</v>
      </c>
      <c r="F117" s="28" t="s">
        <v>225</v>
      </c>
      <c r="G117" s="28" t="s">
        <v>309</v>
      </c>
      <c r="H117" s="28" t="s">
        <v>310</v>
      </c>
      <c r="I117" s="28" t="s">
        <v>513</v>
      </c>
      <c r="J117" s="28"/>
      <c r="K117" s="28"/>
      <c r="L117" s="36" t="str">
        <f aca="false">IFERROR(INDEX(Transaction_Types!$B$5:$B$20,MATCH(D117,Transaction_Types!$A$5:$A$20,0)),"Not in catalogue")</f>
        <v>Supported</v>
      </c>
      <c r="M117" s="36" t="str">
        <f aca="false">IFERROR(INDEX(Transaction_Types!$C$5:$C$20,MATCH(D117,Transaction_Types!$A$5:$A$20,0)),"")</f>
        <v>Credit</v>
      </c>
      <c r="N117" s="39" t="n">
        <f aca="false">IF(G117="Posted",E117,0)</f>
        <v>200</v>
      </c>
      <c r="O117" s="36" t="n">
        <f aca="false">COUNTIFS($J$5:$J$3000,A117,$K$5:$K$3000,"Reverses")</f>
        <v>0</v>
      </c>
      <c r="P117" s="39" t="n">
        <f aca="false">IF(K117&lt;&gt;"","",IF(G117="Posted",E117+SUMIFS($N$5:$N$3000,$J$5:$J$3000,A117),0))</f>
        <v>200</v>
      </c>
      <c r="Q117" s="36" t="str">
        <f aca="false">IF(L117="Not in catalogue","CHECK type",IF(F117&lt;&gt;Settings!$B$6,"CHECK unit",IF(OR(AND(M117="Credit",E117&lt;=0),AND(M117="Debit",E117&gt;=0)),"CHECK sign",IF(D117="Reversal",IF(OR(J117="",COUNTIF($A$5:$A$3000,J117)=0),"CHECK reversal link",IF(E117&lt;&gt;-INDEX($E$5:$E$3000,MATCH(J117,$A$5:$A$3000,0)),"CHECK reversal amount","OK")),IF(AND(D117="Adjustment",K117&lt;&gt;"",COUNTIF($A$5:$A$3000,J117)=0),"CHECK correction link","OK")))))</f>
        <v>OK</v>
      </c>
      <c r="R117" s="40" t="n">
        <f aca="false">INT(C117)</f>
        <v>46283</v>
      </c>
    </row>
    <row r="118" customFormat="false" ht="15" hidden="false" customHeight="false" outlineLevel="0" collapsed="false">
      <c r="A118" s="28" t="s">
        <v>514</v>
      </c>
      <c r="B118" s="28" t="s">
        <v>236</v>
      </c>
      <c r="C118" s="35" t="n">
        <v>46283.4916666667</v>
      </c>
      <c r="D118" s="28" t="s">
        <v>308</v>
      </c>
      <c r="E118" s="38" t="n">
        <v>300</v>
      </c>
      <c r="F118" s="28" t="s">
        <v>225</v>
      </c>
      <c r="G118" s="28" t="s">
        <v>309</v>
      </c>
      <c r="H118" s="28" t="s">
        <v>310</v>
      </c>
      <c r="I118" s="28" t="s">
        <v>515</v>
      </c>
      <c r="J118" s="28"/>
      <c r="K118" s="28"/>
      <c r="L118" s="36" t="str">
        <f aca="false">IFERROR(INDEX(Transaction_Types!$B$5:$B$20,MATCH(D118,Transaction_Types!$A$5:$A$20,0)),"Not in catalogue")</f>
        <v>Supported</v>
      </c>
      <c r="M118" s="36" t="str">
        <f aca="false">IFERROR(INDEX(Transaction_Types!$C$5:$C$20,MATCH(D118,Transaction_Types!$A$5:$A$20,0)),"")</f>
        <v>Credit</v>
      </c>
      <c r="N118" s="39" t="n">
        <f aca="false">IF(G118="Posted",E118,0)</f>
        <v>300</v>
      </c>
      <c r="O118" s="36" t="n">
        <f aca="false">COUNTIFS($J$5:$J$3000,A118,$K$5:$K$3000,"Reverses")</f>
        <v>0</v>
      </c>
      <c r="P118" s="39" t="n">
        <f aca="false">IF(K118&lt;&gt;"","",IF(G118="Posted",E118+SUMIFS($N$5:$N$3000,$J$5:$J$3000,A118),0))</f>
        <v>300</v>
      </c>
      <c r="Q118" s="36" t="str">
        <f aca="false">IF(L118="Not in catalogue","CHECK type",IF(F118&lt;&gt;Settings!$B$6,"CHECK unit",IF(OR(AND(M118="Credit",E118&lt;=0),AND(M118="Debit",E118&gt;=0)),"CHECK sign",IF(D118="Reversal",IF(OR(J118="",COUNTIF($A$5:$A$3000,J118)=0),"CHECK reversal link",IF(E118&lt;&gt;-INDEX($E$5:$E$3000,MATCH(J118,$A$5:$A$3000,0)),"CHECK reversal amount","OK")),IF(AND(D118="Adjustment",K118&lt;&gt;"",COUNTIF($A$5:$A$3000,J118)=0),"CHECK correction link","OK")))))</f>
        <v>OK</v>
      </c>
      <c r="R118" s="40" t="n">
        <f aca="false">INT(C118)</f>
        <v>46283</v>
      </c>
    </row>
    <row r="119" customFormat="false" ht="15" hidden="false" customHeight="false" outlineLevel="0" collapsed="false">
      <c r="A119" s="28" t="s">
        <v>516</v>
      </c>
      <c r="B119" s="28" t="s">
        <v>227</v>
      </c>
      <c r="C119" s="35" t="n">
        <v>46283.6826388889</v>
      </c>
      <c r="D119" s="28" t="s">
        <v>308</v>
      </c>
      <c r="E119" s="38" t="n">
        <v>500</v>
      </c>
      <c r="F119" s="28" t="s">
        <v>225</v>
      </c>
      <c r="G119" s="28" t="s">
        <v>309</v>
      </c>
      <c r="H119" s="28" t="s">
        <v>316</v>
      </c>
      <c r="I119" s="28" t="s">
        <v>334</v>
      </c>
      <c r="J119" s="28"/>
      <c r="K119" s="28"/>
      <c r="L119" s="36" t="str">
        <f aca="false">IFERROR(INDEX(Transaction_Types!$B$5:$B$20,MATCH(D119,Transaction_Types!$A$5:$A$20,0)),"Not in catalogue")</f>
        <v>Supported</v>
      </c>
      <c r="M119" s="36" t="str">
        <f aca="false">IFERROR(INDEX(Transaction_Types!$C$5:$C$20,MATCH(D119,Transaction_Types!$A$5:$A$20,0)),"")</f>
        <v>Credit</v>
      </c>
      <c r="N119" s="39" t="n">
        <f aca="false">IF(G119="Posted",E119,0)</f>
        <v>500</v>
      </c>
      <c r="O119" s="36" t="n">
        <f aca="false">COUNTIFS($J$5:$J$3000,A119,$K$5:$K$3000,"Reverses")</f>
        <v>0</v>
      </c>
      <c r="P119" s="39" t="n">
        <f aca="false">IF(K119&lt;&gt;"","",IF(G119="Posted",E119+SUMIFS($N$5:$N$3000,$J$5:$J$3000,A119),0))</f>
        <v>500</v>
      </c>
      <c r="Q119" s="36" t="str">
        <f aca="false">IF(L119="Not in catalogue","CHECK type",IF(F119&lt;&gt;Settings!$B$6,"CHECK unit",IF(OR(AND(M119="Credit",E119&lt;=0),AND(M119="Debit",E119&gt;=0)),"CHECK sign",IF(D119="Reversal",IF(OR(J119="",COUNTIF($A$5:$A$3000,J119)=0),"CHECK reversal link",IF(E119&lt;&gt;-INDEX($E$5:$E$3000,MATCH(J119,$A$5:$A$3000,0)),"CHECK reversal amount","OK")),IF(AND(D119="Adjustment",K119&lt;&gt;"",COUNTIF($A$5:$A$3000,J119)=0),"CHECK correction link","OK")))))</f>
        <v>OK</v>
      </c>
      <c r="R119" s="40" t="n">
        <f aca="false">INT(C119)</f>
        <v>46283</v>
      </c>
    </row>
    <row r="120" customFormat="false" ht="15" hidden="false" customHeight="false" outlineLevel="0" collapsed="false">
      <c r="A120" s="28" t="s">
        <v>517</v>
      </c>
      <c r="B120" s="28" t="s">
        <v>246</v>
      </c>
      <c r="C120" s="35" t="n">
        <v>46283.85625</v>
      </c>
      <c r="D120" s="28" t="s">
        <v>308</v>
      </c>
      <c r="E120" s="38" t="n">
        <v>100</v>
      </c>
      <c r="F120" s="28" t="s">
        <v>225</v>
      </c>
      <c r="G120" s="28" t="s">
        <v>309</v>
      </c>
      <c r="H120" s="28" t="s">
        <v>310</v>
      </c>
      <c r="I120" s="28" t="s">
        <v>518</v>
      </c>
      <c r="J120" s="28"/>
      <c r="K120" s="28"/>
      <c r="L120" s="36" t="str">
        <f aca="false">IFERROR(INDEX(Transaction_Types!$B$5:$B$20,MATCH(D120,Transaction_Types!$A$5:$A$20,0)),"Not in catalogue")</f>
        <v>Supported</v>
      </c>
      <c r="M120" s="36" t="str">
        <f aca="false">IFERROR(INDEX(Transaction_Types!$C$5:$C$20,MATCH(D120,Transaction_Types!$A$5:$A$20,0)),"")</f>
        <v>Credit</v>
      </c>
      <c r="N120" s="39" t="n">
        <f aca="false">IF(G120="Posted",E120,0)</f>
        <v>100</v>
      </c>
      <c r="O120" s="36" t="n">
        <f aca="false">COUNTIFS($J$5:$J$3000,A120,$K$5:$K$3000,"Reverses")</f>
        <v>0</v>
      </c>
      <c r="P120" s="39" t="n">
        <f aca="false">IF(K120&lt;&gt;"","",IF(G120="Posted",E120+SUMIFS($N$5:$N$3000,$J$5:$J$3000,A120),0))</f>
        <v>100</v>
      </c>
      <c r="Q120" s="36" t="str">
        <f aca="false">IF(L120="Not in catalogue","CHECK type",IF(F120&lt;&gt;Settings!$B$6,"CHECK unit",IF(OR(AND(M120="Credit",E120&lt;=0),AND(M120="Debit",E120&gt;=0)),"CHECK sign",IF(D120="Reversal",IF(OR(J120="",COUNTIF($A$5:$A$3000,J120)=0),"CHECK reversal link",IF(E120&lt;&gt;-INDEX($E$5:$E$3000,MATCH(J120,$A$5:$A$3000,0)),"CHECK reversal amount","OK")),IF(AND(D120="Adjustment",K120&lt;&gt;"",COUNTIF($A$5:$A$3000,J120)=0),"CHECK correction link","OK")))))</f>
        <v>OK</v>
      </c>
      <c r="R120" s="40" t="n">
        <f aca="false">INT(C120)</f>
        <v>46283</v>
      </c>
    </row>
    <row r="121" customFormat="false" ht="15" hidden="false" customHeight="false" outlineLevel="0" collapsed="false">
      <c r="A121" s="28" t="s">
        <v>519</v>
      </c>
      <c r="B121" s="28" t="s">
        <v>265</v>
      </c>
      <c r="C121" s="35" t="n">
        <v>46283.9298611111</v>
      </c>
      <c r="D121" s="28" t="s">
        <v>308</v>
      </c>
      <c r="E121" s="38" t="n">
        <v>200</v>
      </c>
      <c r="F121" s="28" t="s">
        <v>225</v>
      </c>
      <c r="G121" s="28" t="s">
        <v>309</v>
      </c>
      <c r="H121" s="28" t="s">
        <v>310</v>
      </c>
      <c r="I121" s="28" t="s">
        <v>520</v>
      </c>
      <c r="J121" s="28"/>
      <c r="K121" s="28"/>
      <c r="L121" s="36" t="str">
        <f aca="false">IFERROR(INDEX(Transaction_Types!$B$5:$B$20,MATCH(D121,Transaction_Types!$A$5:$A$20,0)),"Not in catalogue")</f>
        <v>Supported</v>
      </c>
      <c r="M121" s="36" t="str">
        <f aca="false">IFERROR(INDEX(Transaction_Types!$C$5:$C$20,MATCH(D121,Transaction_Types!$A$5:$A$20,0)),"")</f>
        <v>Credit</v>
      </c>
      <c r="N121" s="39" t="n">
        <f aca="false">IF(G121="Posted",E121,0)</f>
        <v>200</v>
      </c>
      <c r="O121" s="36" t="n">
        <f aca="false">COUNTIFS($J$5:$J$3000,A121,$K$5:$K$3000,"Reverses")</f>
        <v>0</v>
      </c>
      <c r="P121" s="39" t="n">
        <f aca="false">IF(K121&lt;&gt;"","",IF(G121="Posted",E121+SUMIFS($N$5:$N$3000,$J$5:$J$3000,A121),0))</f>
        <v>200</v>
      </c>
      <c r="Q121" s="36" t="str">
        <f aca="false">IF(L121="Not in catalogue","CHECK type",IF(F121&lt;&gt;Settings!$B$6,"CHECK unit",IF(OR(AND(M121="Credit",E121&lt;=0),AND(M121="Debit",E121&gt;=0)),"CHECK sign",IF(D121="Reversal",IF(OR(J121="",COUNTIF($A$5:$A$3000,J121)=0),"CHECK reversal link",IF(E121&lt;&gt;-INDEX($E$5:$E$3000,MATCH(J121,$A$5:$A$3000,0)),"CHECK reversal amount","OK")),IF(AND(D121="Adjustment",K121&lt;&gt;"",COUNTIF($A$5:$A$3000,J121)=0),"CHECK correction link","OK")))))</f>
        <v>OK</v>
      </c>
      <c r="R121" s="40" t="n">
        <f aca="false">INT(C121)</f>
        <v>46283</v>
      </c>
    </row>
    <row r="122" customFormat="false" ht="15" hidden="false" customHeight="false" outlineLevel="0" collapsed="false">
      <c r="A122" s="28" t="s">
        <v>521</v>
      </c>
      <c r="B122" s="28" t="s">
        <v>227</v>
      </c>
      <c r="C122" s="35" t="n">
        <v>46284.0145833333</v>
      </c>
      <c r="D122" s="28" t="s">
        <v>308</v>
      </c>
      <c r="E122" s="38" t="n">
        <v>400</v>
      </c>
      <c r="F122" s="28" t="s">
        <v>225</v>
      </c>
      <c r="G122" s="28" t="s">
        <v>309</v>
      </c>
      <c r="H122" s="28" t="s">
        <v>310</v>
      </c>
      <c r="I122" s="28" t="s">
        <v>522</v>
      </c>
      <c r="J122" s="28"/>
      <c r="K122" s="28"/>
      <c r="L122" s="36" t="str">
        <f aca="false">IFERROR(INDEX(Transaction_Types!$B$5:$B$20,MATCH(D122,Transaction_Types!$A$5:$A$20,0)),"Not in catalogue")</f>
        <v>Supported</v>
      </c>
      <c r="M122" s="36" t="str">
        <f aca="false">IFERROR(INDEX(Transaction_Types!$C$5:$C$20,MATCH(D122,Transaction_Types!$A$5:$A$20,0)),"")</f>
        <v>Credit</v>
      </c>
      <c r="N122" s="39" t="n">
        <f aca="false">IF(G122="Posted",E122,0)</f>
        <v>400</v>
      </c>
      <c r="O122" s="36" t="n">
        <f aca="false">COUNTIFS($J$5:$J$3000,A122,$K$5:$K$3000,"Reverses")</f>
        <v>0</v>
      </c>
      <c r="P122" s="39" t="n">
        <f aca="false">IF(K122&lt;&gt;"","",IF(G122="Posted",E122+SUMIFS($N$5:$N$3000,$J$5:$J$3000,A122),0))</f>
        <v>400</v>
      </c>
      <c r="Q122" s="36" t="str">
        <f aca="false">IF(L122="Not in catalogue","CHECK type",IF(F122&lt;&gt;Settings!$B$6,"CHECK unit",IF(OR(AND(M122="Credit",E122&lt;=0),AND(M122="Debit",E122&gt;=0)),"CHECK sign",IF(D122="Reversal",IF(OR(J122="",COUNTIF($A$5:$A$3000,J122)=0),"CHECK reversal link",IF(E122&lt;&gt;-INDEX($E$5:$E$3000,MATCH(J122,$A$5:$A$3000,0)),"CHECK reversal amount","OK")),IF(AND(D122="Adjustment",K122&lt;&gt;"",COUNTIF($A$5:$A$3000,J122)=0),"CHECK correction link","OK")))))</f>
        <v>OK</v>
      </c>
      <c r="R122" s="40" t="n">
        <f aca="false">INT(C122)</f>
        <v>46284</v>
      </c>
    </row>
    <row r="123" customFormat="false" ht="15" hidden="false" customHeight="false" outlineLevel="0" collapsed="false">
      <c r="A123" s="28" t="s">
        <v>523</v>
      </c>
      <c r="B123" s="28" t="s">
        <v>229</v>
      </c>
      <c r="C123" s="35" t="n">
        <v>46284.1083333333</v>
      </c>
      <c r="D123" s="28" t="s">
        <v>308</v>
      </c>
      <c r="E123" s="38" t="n">
        <v>500</v>
      </c>
      <c r="F123" s="28" t="s">
        <v>225</v>
      </c>
      <c r="G123" s="28" t="s">
        <v>309</v>
      </c>
      <c r="H123" s="28" t="s">
        <v>310</v>
      </c>
      <c r="I123" s="28" t="s">
        <v>524</v>
      </c>
      <c r="J123" s="28"/>
      <c r="K123" s="28"/>
      <c r="L123" s="36" t="str">
        <f aca="false">IFERROR(INDEX(Transaction_Types!$B$5:$B$20,MATCH(D123,Transaction_Types!$A$5:$A$20,0)),"Not in catalogue")</f>
        <v>Supported</v>
      </c>
      <c r="M123" s="36" t="str">
        <f aca="false">IFERROR(INDEX(Transaction_Types!$C$5:$C$20,MATCH(D123,Transaction_Types!$A$5:$A$20,0)),"")</f>
        <v>Credit</v>
      </c>
      <c r="N123" s="39" t="n">
        <f aca="false">IF(G123="Posted",E123,0)</f>
        <v>500</v>
      </c>
      <c r="O123" s="36" t="n">
        <f aca="false">COUNTIFS($J$5:$J$3000,A123,$K$5:$K$3000,"Reverses")</f>
        <v>0</v>
      </c>
      <c r="P123" s="39" t="n">
        <f aca="false">IF(K123&lt;&gt;"","",IF(G123="Posted",E123+SUMIFS($N$5:$N$3000,$J$5:$J$3000,A123),0))</f>
        <v>500</v>
      </c>
      <c r="Q123" s="36" t="str">
        <f aca="false">IF(L123="Not in catalogue","CHECK type",IF(F123&lt;&gt;Settings!$B$6,"CHECK unit",IF(OR(AND(M123="Credit",E123&lt;=0),AND(M123="Debit",E123&gt;=0)),"CHECK sign",IF(D123="Reversal",IF(OR(J123="",COUNTIF($A$5:$A$3000,J123)=0),"CHECK reversal link",IF(E123&lt;&gt;-INDEX($E$5:$E$3000,MATCH(J123,$A$5:$A$3000,0)),"CHECK reversal amount","OK")),IF(AND(D123="Adjustment",K123&lt;&gt;"",COUNTIF($A$5:$A$3000,J123)=0),"CHECK correction link","OK")))))</f>
        <v>OK</v>
      </c>
      <c r="R123" s="40" t="n">
        <f aca="false">INT(C123)</f>
        <v>46284</v>
      </c>
    </row>
    <row r="124" customFormat="false" ht="15" hidden="false" customHeight="false" outlineLevel="0" collapsed="false">
      <c r="A124" s="28" t="s">
        <v>525</v>
      </c>
      <c r="B124" s="28" t="s">
        <v>234</v>
      </c>
      <c r="C124" s="35" t="n">
        <v>46284.1576388889</v>
      </c>
      <c r="D124" s="28" t="s">
        <v>308</v>
      </c>
      <c r="E124" s="38" t="n">
        <v>250</v>
      </c>
      <c r="F124" s="28" t="s">
        <v>225</v>
      </c>
      <c r="G124" s="28" t="s">
        <v>309</v>
      </c>
      <c r="H124" s="28" t="s">
        <v>310</v>
      </c>
      <c r="I124" s="28" t="s">
        <v>526</v>
      </c>
      <c r="J124" s="28"/>
      <c r="K124" s="28"/>
      <c r="L124" s="36" t="str">
        <f aca="false">IFERROR(INDEX(Transaction_Types!$B$5:$B$20,MATCH(D124,Transaction_Types!$A$5:$A$20,0)),"Not in catalogue")</f>
        <v>Supported</v>
      </c>
      <c r="M124" s="36" t="str">
        <f aca="false">IFERROR(INDEX(Transaction_Types!$C$5:$C$20,MATCH(D124,Transaction_Types!$A$5:$A$20,0)),"")</f>
        <v>Credit</v>
      </c>
      <c r="N124" s="39" t="n">
        <f aca="false">IF(G124="Posted",E124,0)</f>
        <v>250</v>
      </c>
      <c r="O124" s="36" t="n">
        <f aca="false">COUNTIFS($J$5:$J$3000,A124,$K$5:$K$3000,"Reverses")</f>
        <v>0</v>
      </c>
      <c r="P124" s="39" t="n">
        <f aca="false">IF(K124&lt;&gt;"","",IF(G124="Posted",E124+SUMIFS($N$5:$N$3000,$J$5:$J$3000,A124),0))</f>
        <v>250</v>
      </c>
      <c r="Q124" s="36" t="str">
        <f aca="false">IF(L124="Not in catalogue","CHECK type",IF(F124&lt;&gt;Settings!$B$6,"CHECK unit",IF(OR(AND(M124="Credit",E124&lt;=0),AND(M124="Debit",E124&gt;=0)),"CHECK sign",IF(D124="Reversal",IF(OR(J124="",COUNTIF($A$5:$A$3000,J124)=0),"CHECK reversal link",IF(E124&lt;&gt;-INDEX($E$5:$E$3000,MATCH(J124,$A$5:$A$3000,0)),"CHECK reversal amount","OK")),IF(AND(D124="Adjustment",K124&lt;&gt;"",COUNTIF($A$5:$A$3000,J124)=0),"CHECK correction link","OK")))))</f>
        <v>OK</v>
      </c>
      <c r="R124" s="40" t="n">
        <f aca="false">INT(C124)</f>
        <v>46284</v>
      </c>
    </row>
    <row r="125" customFormat="false" ht="15" hidden="false" customHeight="false" outlineLevel="0" collapsed="false">
      <c r="A125" s="28" t="s">
        <v>527</v>
      </c>
      <c r="B125" s="28" t="s">
        <v>275</v>
      </c>
      <c r="C125" s="35" t="n">
        <v>46284.1930555556</v>
      </c>
      <c r="D125" s="28" t="s">
        <v>308</v>
      </c>
      <c r="E125" s="38" t="n">
        <v>250</v>
      </c>
      <c r="F125" s="28" t="s">
        <v>225</v>
      </c>
      <c r="G125" s="28" t="s">
        <v>309</v>
      </c>
      <c r="H125" s="28" t="s">
        <v>316</v>
      </c>
      <c r="I125" s="28" t="s">
        <v>528</v>
      </c>
      <c r="J125" s="28"/>
      <c r="K125" s="28"/>
      <c r="L125" s="36" t="str">
        <f aca="false">IFERROR(INDEX(Transaction_Types!$B$5:$B$20,MATCH(D125,Transaction_Types!$A$5:$A$20,0)),"Not in catalogue")</f>
        <v>Supported</v>
      </c>
      <c r="M125" s="36" t="str">
        <f aca="false">IFERROR(INDEX(Transaction_Types!$C$5:$C$20,MATCH(D125,Transaction_Types!$A$5:$A$20,0)),"")</f>
        <v>Credit</v>
      </c>
      <c r="N125" s="39" t="n">
        <f aca="false">IF(G125="Posted",E125,0)</f>
        <v>250</v>
      </c>
      <c r="O125" s="36" t="n">
        <f aca="false">COUNTIFS($J$5:$J$3000,A125,$K$5:$K$3000,"Reverses")</f>
        <v>0</v>
      </c>
      <c r="P125" s="39" t="n">
        <f aca="false">IF(K125&lt;&gt;"","",IF(G125="Posted",E125+SUMIFS($N$5:$N$3000,$J$5:$J$3000,A125),0))</f>
        <v>250</v>
      </c>
      <c r="Q125" s="36" t="str">
        <f aca="false">IF(L125="Not in catalogue","CHECK type",IF(F125&lt;&gt;Settings!$B$6,"CHECK unit",IF(OR(AND(M125="Credit",E125&lt;=0),AND(M125="Debit",E125&gt;=0)),"CHECK sign",IF(D125="Reversal",IF(OR(J125="",COUNTIF($A$5:$A$3000,J125)=0),"CHECK reversal link",IF(E125&lt;&gt;-INDEX($E$5:$E$3000,MATCH(J125,$A$5:$A$3000,0)),"CHECK reversal amount","OK")),IF(AND(D125="Adjustment",K125&lt;&gt;"",COUNTIF($A$5:$A$3000,J125)=0),"CHECK correction link","OK")))))</f>
        <v>OK</v>
      </c>
      <c r="R125" s="40" t="n">
        <f aca="false">INT(C125)</f>
        <v>46284</v>
      </c>
    </row>
    <row r="126" customFormat="false" ht="15" hidden="false" customHeight="false" outlineLevel="0" collapsed="false">
      <c r="A126" s="28" t="s">
        <v>529</v>
      </c>
      <c r="B126" s="28" t="s">
        <v>254</v>
      </c>
      <c r="C126" s="35" t="n">
        <v>46284.20625</v>
      </c>
      <c r="D126" s="28" t="s">
        <v>308</v>
      </c>
      <c r="E126" s="38" t="n">
        <v>300</v>
      </c>
      <c r="F126" s="28" t="s">
        <v>225</v>
      </c>
      <c r="G126" s="28" t="s">
        <v>309</v>
      </c>
      <c r="H126" s="28" t="s">
        <v>313</v>
      </c>
      <c r="I126" s="28" t="s">
        <v>314</v>
      </c>
      <c r="J126" s="28"/>
      <c r="K126" s="28"/>
      <c r="L126" s="36" t="str">
        <f aca="false">IFERROR(INDEX(Transaction_Types!$B$5:$B$20,MATCH(D126,Transaction_Types!$A$5:$A$20,0)),"Not in catalogue")</f>
        <v>Supported</v>
      </c>
      <c r="M126" s="36" t="str">
        <f aca="false">IFERROR(INDEX(Transaction_Types!$C$5:$C$20,MATCH(D126,Transaction_Types!$A$5:$A$20,0)),"")</f>
        <v>Credit</v>
      </c>
      <c r="N126" s="39" t="n">
        <f aca="false">IF(G126="Posted",E126,0)</f>
        <v>300</v>
      </c>
      <c r="O126" s="36" t="n">
        <f aca="false">COUNTIFS($J$5:$J$3000,A126,$K$5:$K$3000,"Reverses")</f>
        <v>0</v>
      </c>
      <c r="P126" s="39" t="n">
        <f aca="false">IF(K126&lt;&gt;"","",IF(G126="Posted",E126+SUMIFS($N$5:$N$3000,$J$5:$J$3000,A126),0))</f>
        <v>300</v>
      </c>
      <c r="Q126" s="36" t="str">
        <f aca="false">IF(L126="Not in catalogue","CHECK type",IF(F126&lt;&gt;Settings!$B$6,"CHECK unit",IF(OR(AND(M126="Credit",E126&lt;=0),AND(M126="Debit",E126&gt;=0)),"CHECK sign",IF(D126="Reversal",IF(OR(J126="",COUNTIF($A$5:$A$3000,J126)=0),"CHECK reversal link",IF(E126&lt;&gt;-INDEX($E$5:$E$3000,MATCH(J126,$A$5:$A$3000,0)),"CHECK reversal amount","OK")),IF(AND(D126="Adjustment",K126&lt;&gt;"",COUNTIF($A$5:$A$3000,J126)=0),"CHECK correction link","OK")))))</f>
        <v>OK</v>
      </c>
      <c r="R126" s="40" t="n">
        <f aca="false">INT(C126)</f>
        <v>46284</v>
      </c>
    </row>
    <row r="127" customFormat="false" ht="15" hidden="false" customHeight="false" outlineLevel="0" collapsed="false">
      <c r="A127" s="28" t="s">
        <v>530</v>
      </c>
      <c r="B127" s="28" t="s">
        <v>234</v>
      </c>
      <c r="C127" s="35" t="n">
        <v>46284.2243055556</v>
      </c>
      <c r="D127" s="28" t="s">
        <v>308</v>
      </c>
      <c r="E127" s="38" t="n">
        <v>100</v>
      </c>
      <c r="F127" s="28" t="s">
        <v>225</v>
      </c>
      <c r="G127" s="28" t="s">
        <v>309</v>
      </c>
      <c r="H127" s="28" t="s">
        <v>310</v>
      </c>
      <c r="I127" s="28" t="s">
        <v>531</v>
      </c>
      <c r="J127" s="28"/>
      <c r="K127" s="28"/>
      <c r="L127" s="36" t="str">
        <f aca="false">IFERROR(INDEX(Transaction_Types!$B$5:$B$20,MATCH(D127,Transaction_Types!$A$5:$A$20,0)),"Not in catalogue")</f>
        <v>Supported</v>
      </c>
      <c r="M127" s="36" t="str">
        <f aca="false">IFERROR(INDEX(Transaction_Types!$C$5:$C$20,MATCH(D127,Transaction_Types!$A$5:$A$20,0)),"")</f>
        <v>Credit</v>
      </c>
      <c r="N127" s="39" t="n">
        <f aca="false">IF(G127="Posted",E127,0)</f>
        <v>100</v>
      </c>
      <c r="O127" s="36" t="n">
        <f aca="false">COUNTIFS($J$5:$J$3000,A127,$K$5:$K$3000,"Reverses")</f>
        <v>0</v>
      </c>
      <c r="P127" s="39" t="n">
        <f aca="false">IF(K127&lt;&gt;"","",IF(G127="Posted",E127+SUMIFS($N$5:$N$3000,$J$5:$J$3000,A127),0))</f>
        <v>100</v>
      </c>
      <c r="Q127" s="36" t="str">
        <f aca="false">IF(L127="Not in catalogue","CHECK type",IF(F127&lt;&gt;Settings!$B$6,"CHECK unit",IF(OR(AND(M127="Credit",E127&lt;=0),AND(M127="Debit",E127&gt;=0)),"CHECK sign",IF(D127="Reversal",IF(OR(J127="",COUNTIF($A$5:$A$3000,J127)=0),"CHECK reversal link",IF(E127&lt;&gt;-INDEX($E$5:$E$3000,MATCH(J127,$A$5:$A$3000,0)),"CHECK reversal amount","OK")),IF(AND(D127="Adjustment",K127&lt;&gt;"",COUNTIF($A$5:$A$3000,J127)=0),"CHECK correction link","OK")))))</f>
        <v>OK</v>
      </c>
      <c r="R127" s="40" t="n">
        <f aca="false">INT(C127)</f>
        <v>46284</v>
      </c>
    </row>
    <row r="128" customFormat="false" ht="15" hidden="false" customHeight="false" outlineLevel="0" collapsed="false">
      <c r="A128" s="28" t="s">
        <v>532</v>
      </c>
      <c r="B128" s="28" t="s">
        <v>249</v>
      </c>
      <c r="C128" s="35" t="n">
        <v>46284.2658786595</v>
      </c>
      <c r="D128" s="28" t="s">
        <v>383</v>
      </c>
      <c r="E128" s="38" t="n">
        <v>-600</v>
      </c>
      <c r="F128" s="28" t="s">
        <v>225</v>
      </c>
      <c r="G128" s="28" t="s">
        <v>309</v>
      </c>
      <c r="H128" s="28" t="s">
        <v>384</v>
      </c>
      <c r="I128" s="28" t="s">
        <v>248</v>
      </c>
      <c r="J128" s="28"/>
      <c r="K128" s="28"/>
      <c r="L128" s="36" t="str">
        <f aca="false">IFERROR(INDEX(Transaction_Types!$B$5:$B$20,MATCH(D128,Transaction_Types!$A$5:$A$20,0)),"Not in catalogue")</f>
        <v>Supported</v>
      </c>
      <c r="M128" s="36" t="str">
        <f aca="false">IFERROR(INDEX(Transaction_Types!$C$5:$C$20,MATCH(D128,Transaction_Types!$A$5:$A$20,0)),"")</f>
        <v>Debit</v>
      </c>
      <c r="N128" s="39" t="n">
        <f aca="false">IF(G128="Posted",E128,0)</f>
        <v>-600</v>
      </c>
      <c r="O128" s="36" t="n">
        <f aca="false">COUNTIFS($J$5:$J$3000,A128,$K$5:$K$3000,"Reverses")</f>
        <v>0</v>
      </c>
      <c r="P128" s="39" t="n">
        <f aca="false">IF(K128&lt;&gt;"","",IF(G128="Posted",E128+SUMIFS($N$5:$N$3000,$J$5:$J$3000,A128),0))</f>
        <v>-600</v>
      </c>
      <c r="Q128" s="36" t="str">
        <f aca="false">IF(L128="Not in catalogue","CHECK type",IF(F128&lt;&gt;Settings!$B$6,"CHECK unit",IF(OR(AND(M128="Credit",E128&lt;=0),AND(M128="Debit",E128&gt;=0)),"CHECK sign",IF(D128="Reversal",IF(OR(J128="",COUNTIF($A$5:$A$3000,J128)=0),"CHECK reversal link",IF(E128&lt;&gt;-INDEX($E$5:$E$3000,MATCH(J128,$A$5:$A$3000,0)),"CHECK reversal amount","OK")),IF(AND(D128="Adjustment",K128&lt;&gt;"",COUNTIF($A$5:$A$3000,J128)=0),"CHECK correction link","OK")))))</f>
        <v>OK</v>
      </c>
      <c r="R128" s="40" t="n">
        <f aca="false">INT(C128)</f>
        <v>46284</v>
      </c>
    </row>
    <row r="129" customFormat="false" ht="15" hidden="false" customHeight="false" outlineLevel="0" collapsed="false">
      <c r="A129" s="28" t="s">
        <v>533</v>
      </c>
      <c r="B129" s="28" t="s">
        <v>246</v>
      </c>
      <c r="C129" s="35" t="n">
        <v>46284.3777777778</v>
      </c>
      <c r="D129" s="28" t="s">
        <v>308</v>
      </c>
      <c r="E129" s="38" t="n">
        <v>150</v>
      </c>
      <c r="F129" s="28" t="s">
        <v>225</v>
      </c>
      <c r="G129" s="28" t="s">
        <v>309</v>
      </c>
      <c r="H129" s="28" t="s">
        <v>310</v>
      </c>
      <c r="I129" s="28" t="s">
        <v>534</v>
      </c>
      <c r="J129" s="28"/>
      <c r="K129" s="28"/>
      <c r="L129" s="36" t="str">
        <f aca="false">IFERROR(INDEX(Transaction_Types!$B$5:$B$20,MATCH(D129,Transaction_Types!$A$5:$A$20,0)),"Not in catalogue")</f>
        <v>Supported</v>
      </c>
      <c r="M129" s="36" t="str">
        <f aca="false">IFERROR(INDEX(Transaction_Types!$C$5:$C$20,MATCH(D129,Transaction_Types!$A$5:$A$20,0)),"")</f>
        <v>Credit</v>
      </c>
      <c r="N129" s="39" t="n">
        <f aca="false">IF(G129="Posted",E129,0)</f>
        <v>150</v>
      </c>
      <c r="O129" s="36" t="n">
        <f aca="false">COUNTIFS($J$5:$J$3000,A129,$K$5:$K$3000,"Reverses")</f>
        <v>0</v>
      </c>
      <c r="P129" s="39" t="n">
        <f aca="false">IF(K129&lt;&gt;"","",IF(G129="Posted",E129+SUMIFS($N$5:$N$3000,$J$5:$J$3000,A129),0))</f>
        <v>150</v>
      </c>
      <c r="Q129" s="36" t="str">
        <f aca="false">IF(L129="Not in catalogue","CHECK type",IF(F129&lt;&gt;Settings!$B$6,"CHECK unit",IF(OR(AND(M129="Credit",E129&lt;=0),AND(M129="Debit",E129&gt;=0)),"CHECK sign",IF(D129="Reversal",IF(OR(J129="",COUNTIF($A$5:$A$3000,J129)=0),"CHECK reversal link",IF(E129&lt;&gt;-INDEX($E$5:$E$3000,MATCH(J129,$A$5:$A$3000,0)),"CHECK reversal amount","OK")),IF(AND(D129="Adjustment",K129&lt;&gt;"",COUNTIF($A$5:$A$3000,J129)=0),"CHECK correction link","OK")))))</f>
        <v>OK</v>
      </c>
      <c r="R129" s="40" t="n">
        <f aca="false">INT(C129)</f>
        <v>46284</v>
      </c>
    </row>
    <row r="130" customFormat="false" ht="15" hidden="false" customHeight="false" outlineLevel="0" collapsed="false">
      <c r="A130" s="28" t="s">
        <v>535</v>
      </c>
      <c r="B130" s="28" t="s">
        <v>287</v>
      </c>
      <c r="C130" s="35" t="n">
        <v>46284.4506944444</v>
      </c>
      <c r="D130" s="28" t="s">
        <v>308</v>
      </c>
      <c r="E130" s="38" t="n">
        <v>150</v>
      </c>
      <c r="F130" s="28" t="s">
        <v>225</v>
      </c>
      <c r="G130" s="28" t="s">
        <v>309</v>
      </c>
      <c r="H130" s="28" t="s">
        <v>310</v>
      </c>
      <c r="I130" s="28" t="s">
        <v>536</v>
      </c>
      <c r="J130" s="28"/>
      <c r="K130" s="28"/>
      <c r="L130" s="36" t="str">
        <f aca="false">IFERROR(INDEX(Transaction_Types!$B$5:$B$20,MATCH(D130,Transaction_Types!$A$5:$A$20,0)),"Not in catalogue")</f>
        <v>Supported</v>
      </c>
      <c r="M130" s="36" t="str">
        <f aca="false">IFERROR(INDEX(Transaction_Types!$C$5:$C$20,MATCH(D130,Transaction_Types!$A$5:$A$20,0)),"")</f>
        <v>Credit</v>
      </c>
      <c r="N130" s="39" t="n">
        <f aca="false">IF(G130="Posted",E130,0)</f>
        <v>150</v>
      </c>
      <c r="O130" s="36" t="n">
        <f aca="false">COUNTIFS($J$5:$J$3000,A130,$K$5:$K$3000,"Reverses")</f>
        <v>0</v>
      </c>
      <c r="P130" s="39" t="n">
        <f aca="false">IF(K130&lt;&gt;"","",IF(G130="Posted",E130+SUMIFS($N$5:$N$3000,$J$5:$J$3000,A130),0))</f>
        <v>150</v>
      </c>
      <c r="Q130" s="36" t="str">
        <f aca="false">IF(L130="Not in catalogue","CHECK type",IF(F130&lt;&gt;Settings!$B$6,"CHECK unit",IF(OR(AND(M130="Credit",E130&lt;=0),AND(M130="Debit",E130&gt;=0)),"CHECK sign",IF(D130="Reversal",IF(OR(J130="",COUNTIF($A$5:$A$3000,J130)=0),"CHECK reversal link",IF(E130&lt;&gt;-INDEX($E$5:$E$3000,MATCH(J130,$A$5:$A$3000,0)),"CHECK reversal amount","OK")),IF(AND(D130="Adjustment",K130&lt;&gt;"",COUNTIF($A$5:$A$3000,J130)=0),"CHECK correction link","OK")))))</f>
        <v>OK</v>
      </c>
      <c r="R130" s="40" t="n">
        <f aca="false">INT(C130)</f>
        <v>46284</v>
      </c>
    </row>
    <row r="131" customFormat="false" ht="15" hidden="false" customHeight="false" outlineLevel="0" collapsed="false">
      <c r="A131" s="28" t="s">
        <v>537</v>
      </c>
      <c r="B131" s="28" t="s">
        <v>236</v>
      </c>
      <c r="C131" s="35" t="n">
        <v>46284.475</v>
      </c>
      <c r="D131" s="28" t="s">
        <v>308</v>
      </c>
      <c r="E131" s="38" t="n">
        <v>300</v>
      </c>
      <c r="F131" s="28" t="s">
        <v>225</v>
      </c>
      <c r="G131" s="28" t="s">
        <v>309</v>
      </c>
      <c r="H131" s="28" t="s">
        <v>310</v>
      </c>
      <c r="I131" s="28" t="s">
        <v>538</v>
      </c>
      <c r="J131" s="28"/>
      <c r="K131" s="28"/>
      <c r="L131" s="36" t="str">
        <f aca="false">IFERROR(INDEX(Transaction_Types!$B$5:$B$20,MATCH(D131,Transaction_Types!$A$5:$A$20,0)),"Not in catalogue")</f>
        <v>Supported</v>
      </c>
      <c r="M131" s="36" t="str">
        <f aca="false">IFERROR(INDEX(Transaction_Types!$C$5:$C$20,MATCH(D131,Transaction_Types!$A$5:$A$20,0)),"")</f>
        <v>Credit</v>
      </c>
      <c r="N131" s="39" t="n">
        <f aca="false">IF(G131="Posted",E131,0)</f>
        <v>300</v>
      </c>
      <c r="O131" s="36" t="n">
        <f aca="false">COUNTIFS($J$5:$J$3000,A131,$K$5:$K$3000,"Reverses")</f>
        <v>0</v>
      </c>
      <c r="P131" s="39" t="n">
        <f aca="false">IF(K131&lt;&gt;"","",IF(G131="Posted",E131+SUMIFS($N$5:$N$3000,$J$5:$J$3000,A131),0))</f>
        <v>300</v>
      </c>
      <c r="Q131" s="36" t="str">
        <f aca="false">IF(L131="Not in catalogue","CHECK type",IF(F131&lt;&gt;Settings!$B$6,"CHECK unit",IF(OR(AND(M131="Credit",E131&lt;=0),AND(M131="Debit",E131&gt;=0)),"CHECK sign",IF(D131="Reversal",IF(OR(J131="",COUNTIF($A$5:$A$3000,J131)=0),"CHECK reversal link",IF(E131&lt;&gt;-INDEX($E$5:$E$3000,MATCH(J131,$A$5:$A$3000,0)),"CHECK reversal amount","OK")),IF(AND(D131="Adjustment",K131&lt;&gt;"",COUNTIF($A$5:$A$3000,J131)=0),"CHECK correction link","OK")))))</f>
        <v>OK</v>
      </c>
      <c r="R131" s="40" t="n">
        <f aca="false">INT(C131)</f>
        <v>46284</v>
      </c>
    </row>
    <row r="132" customFormat="false" ht="15" hidden="false" customHeight="false" outlineLevel="0" collapsed="false">
      <c r="A132" s="28" t="s">
        <v>539</v>
      </c>
      <c r="B132" s="28" t="s">
        <v>246</v>
      </c>
      <c r="C132" s="35" t="n">
        <v>46284.6612740866</v>
      </c>
      <c r="D132" s="28" t="s">
        <v>383</v>
      </c>
      <c r="E132" s="38" t="n">
        <v>-1950</v>
      </c>
      <c r="F132" s="28" t="s">
        <v>225</v>
      </c>
      <c r="G132" s="28" t="s">
        <v>309</v>
      </c>
      <c r="H132" s="28" t="s">
        <v>384</v>
      </c>
      <c r="I132" s="28" t="s">
        <v>245</v>
      </c>
      <c r="J132" s="28"/>
      <c r="K132" s="28"/>
      <c r="L132" s="36" t="str">
        <f aca="false">IFERROR(INDEX(Transaction_Types!$B$5:$B$20,MATCH(D132,Transaction_Types!$A$5:$A$20,0)),"Not in catalogue")</f>
        <v>Supported</v>
      </c>
      <c r="M132" s="36" t="str">
        <f aca="false">IFERROR(INDEX(Transaction_Types!$C$5:$C$20,MATCH(D132,Transaction_Types!$A$5:$A$20,0)),"")</f>
        <v>Debit</v>
      </c>
      <c r="N132" s="39" t="n">
        <f aca="false">IF(G132="Posted",E132,0)</f>
        <v>-1950</v>
      </c>
      <c r="O132" s="36" t="n">
        <f aca="false">COUNTIFS($J$5:$J$3000,A132,$K$5:$K$3000,"Reverses")</f>
        <v>0</v>
      </c>
      <c r="P132" s="39" t="n">
        <f aca="false">IF(K132&lt;&gt;"","",IF(G132="Posted",E132+SUMIFS($N$5:$N$3000,$J$5:$J$3000,A132),0))</f>
        <v>-1950</v>
      </c>
      <c r="Q132" s="36" t="str">
        <f aca="false">IF(L132="Not in catalogue","CHECK type",IF(F132&lt;&gt;Settings!$B$6,"CHECK unit",IF(OR(AND(M132="Credit",E132&lt;=0),AND(M132="Debit",E132&gt;=0)),"CHECK sign",IF(D132="Reversal",IF(OR(J132="",COUNTIF($A$5:$A$3000,J132)=0),"CHECK reversal link",IF(E132&lt;&gt;-INDEX($E$5:$E$3000,MATCH(J132,$A$5:$A$3000,0)),"CHECK reversal amount","OK")),IF(AND(D132="Adjustment",K132&lt;&gt;"",COUNTIF($A$5:$A$3000,J132)=0),"CHECK correction link","OK")))))</f>
        <v>OK</v>
      </c>
      <c r="R132" s="40" t="n">
        <f aca="false">INT(C132)</f>
        <v>46284</v>
      </c>
    </row>
    <row r="133" customFormat="false" ht="15" hidden="false" customHeight="false" outlineLevel="0" collapsed="false">
      <c r="A133" s="28" t="s">
        <v>540</v>
      </c>
      <c r="B133" s="28" t="s">
        <v>275</v>
      </c>
      <c r="C133" s="35" t="n">
        <v>46285.4520833333</v>
      </c>
      <c r="D133" s="28" t="s">
        <v>308</v>
      </c>
      <c r="E133" s="38" t="n">
        <v>150</v>
      </c>
      <c r="F133" s="28" t="s">
        <v>225</v>
      </c>
      <c r="G133" s="28" t="s">
        <v>309</v>
      </c>
      <c r="H133" s="28" t="s">
        <v>310</v>
      </c>
      <c r="I133" s="28" t="s">
        <v>541</v>
      </c>
      <c r="J133" s="28"/>
      <c r="K133" s="28"/>
      <c r="L133" s="36" t="str">
        <f aca="false">IFERROR(INDEX(Transaction_Types!$B$5:$B$20,MATCH(D133,Transaction_Types!$A$5:$A$20,0)),"Not in catalogue")</f>
        <v>Supported</v>
      </c>
      <c r="M133" s="36" t="str">
        <f aca="false">IFERROR(INDEX(Transaction_Types!$C$5:$C$20,MATCH(D133,Transaction_Types!$A$5:$A$20,0)),"")</f>
        <v>Credit</v>
      </c>
      <c r="N133" s="39" t="n">
        <f aca="false">IF(G133="Posted",E133,0)</f>
        <v>150</v>
      </c>
      <c r="O133" s="36" t="n">
        <f aca="false">COUNTIFS($J$5:$J$3000,A133,$K$5:$K$3000,"Reverses")</f>
        <v>0</v>
      </c>
      <c r="P133" s="39" t="n">
        <f aca="false">IF(K133&lt;&gt;"","",IF(G133="Posted",E133+SUMIFS($N$5:$N$3000,$J$5:$J$3000,A133),0))</f>
        <v>150</v>
      </c>
      <c r="Q133" s="36" t="str">
        <f aca="false">IF(L133="Not in catalogue","CHECK type",IF(F133&lt;&gt;Settings!$B$6,"CHECK unit",IF(OR(AND(M133="Credit",E133&lt;=0),AND(M133="Debit",E133&gt;=0)),"CHECK sign",IF(D133="Reversal",IF(OR(J133="",COUNTIF($A$5:$A$3000,J133)=0),"CHECK reversal link",IF(E133&lt;&gt;-INDEX($E$5:$E$3000,MATCH(J133,$A$5:$A$3000,0)),"CHECK reversal amount","OK")),IF(AND(D133="Adjustment",K133&lt;&gt;"",COUNTIF($A$5:$A$3000,J133)=0),"CHECK correction link","OK")))))</f>
        <v>OK</v>
      </c>
      <c r="R133" s="40" t="n">
        <f aca="false">INT(C133)</f>
        <v>46285</v>
      </c>
    </row>
    <row r="134" customFormat="false" ht="15" hidden="false" customHeight="false" outlineLevel="0" collapsed="false">
      <c r="A134" s="28" t="s">
        <v>542</v>
      </c>
      <c r="B134" s="28" t="s">
        <v>229</v>
      </c>
      <c r="C134" s="35" t="n">
        <v>46285.5639259719</v>
      </c>
      <c r="D134" s="28" t="s">
        <v>383</v>
      </c>
      <c r="E134" s="38" t="n">
        <v>-900</v>
      </c>
      <c r="F134" s="28" t="s">
        <v>225</v>
      </c>
      <c r="G134" s="28" t="s">
        <v>309</v>
      </c>
      <c r="H134" s="28" t="s">
        <v>384</v>
      </c>
      <c r="I134" s="28" t="s">
        <v>251</v>
      </c>
      <c r="J134" s="28"/>
      <c r="K134" s="28"/>
      <c r="L134" s="36" t="str">
        <f aca="false">IFERROR(INDEX(Transaction_Types!$B$5:$B$20,MATCH(D134,Transaction_Types!$A$5:$A$20,0)),"Not in catalogue")</f>
        <v>Supported</v>
      </c>
      <c r="M134" s="36" t="str">
        <f aca="false">IFERROR(INDEX(Transaction_Types!$C$5:$C$20,MATCH(D134,Transaction_Types!$A$5:$A$20,0)),"")</f>
        <v>Debit</v>
      </c>
      <c r="N134" s="39" t="n">
        <f aca="false">IF(G134="Posted",E134,0)</f>
        <v>-900</v>
      </c>
      <c r="O134" s="36" t="n">
        <f aca="false">COUNTIFS($J$5:$J$3000,A134,$K$5:$K$3000,"Reverses")</f>
        <v>0</v>
      </c>
      <c r="P134" s="39" t="n">
        <f aca="false">IF(K134&lt;&gt;"","",IF(G134="Posted",E134+SUMIFS($N$5:$N$3000,$J$5:$J$3000,A134),0))</f>
        <v>-900</v>
      </c>
      <c r="Q134" s="36" t="str">
        <f aca="false">IF(L134="Not in catalogue","CHECK type",IF(F134&lt;&gt;Settings!$B$6,"CHECK unit",IF(OR(AND(M134="Credit",E134&lt;=0),AND(M134="Debit",E134&gt;=0)),"CHECK sign",IF(D134="Reversal",IF(OR(J134="",COUNTIF($A$5:$A$3000,J134)=0),"CHECK reversal link",IF(E134&lt;&gt;-INDEX($E$5:$E$3000,MATCH(J134,$A$5:$A$3000,0)),"CHECK reversal amount","OK")),IF(AND(D134="Adjustment",K134&lt;&gt;"",COUNTIF($A$5:$A$3000,J134)=0),"CHECK correction link","OK")))))</f>
        <v>OK</v>
      </c>
      <c r="R134" s="40" t="n">
        <f aca="false">INT(C134)</f>
        <v>46285</v>
      </c>
    </row>
    <row r="135" customFormat="false" ht="15" hidden="false" customHeight="false" outlineLevel="0" collapsed="false">
      <c r="A135" s="28" t="s">
        <v>543</v>
      </c>
      <c r="B135" s="28" t="s">
        <v>265</v>
      </c>
      <c r="C135" s="35" t="n">
        <v>46285.6034722222</v>
      </c>
      <c r="D135" s="28" t="s">
        <v>308</v>
      </c>
      <c r="E135" s="38" t="n">
        <v>100</v>
      </c>
      <c r="F135" s="28" t="s">
        <v>225</v>
      </c>
      <c r="G135" s="28" t="s">
        <v>309</v>
      </c>
      <c r="H135" s="28" t="s">
        <v>310</v>
      </c>
      <c r="I135" s="28" t="s">
        <v>544</v>
      </c>
      <c r="J135" s="28"/>
      <c r="K135" s="28"/>
      <c r="L135" s="36" t="str">
        <f aca="false">IFERROR(INDEX(Transaction_Types!$B$5:$B$20,MATCH(D135,Transaction_Types!$A$5:$A$20,0)),"Not in catalogue")</f>
        <v>Supported</v>
      </c>
      <c r="M135" s="36" t="str">
        <f aca="false">IFERROR(INDEX(Transaction_Types!$C$5:$C$20,MATCH(D135,Transaction_Types!$A$5:$A$20,0)),"")</f>
        <v>Credit</v>
      </c>
      <c r="N135" s="39" t="n">
        <f aca="false">IF(G135="Posted",E135,0)</f>
        <v>100</v>
      </c>
      <c r="O135" s="36" t="n">
        <f aca="false">COUNTIFS($J$5:$J$3000,A135,$K$5:$K$3000,"Reverses")</f>
        <v>0</v>
      </c>
      <c r="P135" s="39" t="n">
        <f aca="false">IF(K135&lt;&gt;"","",IF(G135="Posted",E135+SUMIFS($N$5:$N$3000,$J$5:$J$3000,A135),0))</f>
        <v>100</v>
      </c>
      <c r="Q135" s="36" t="str">
        <f aca="false">IF(L135="Not in catalogue","CHECK type",IF(F135&lt;&gt;Settings!$B$6,"CHECK unit",IF(OR(AND(M135="Credit",E135&lt;=0),AND(M135="Debit",E135&gt;=0)),"CHECK sign",IF(D135="Reversal",IF(OR(J135="",COUNTIF($A$5:$A$3000,J135)=0),"CHECK reversal link",IF(E135&lt;&gt;-INDEX($E$5:$E$3000,MATCH(J135,$A$5:$A$3000,0)),"CHECK reversal amount","OK")),IF(AND(D135="Adjustment",K135&lt;&gt;"",COUNTIF($A$5:$A$3000,J135)=0),"CHECK correction link","OK")))))</f>
        <v>OK</v>
      </c>
      <c r="R135" s="40" t="n">
        <f aca="false">INT(C135)</f>
        <v>46285</v>
      </c>
    </row>
    <row r="136" customFormat="false" ht="15" hidden="false" customHeight="false" outlineLevel="0" collapsed="false">
      <c r="A136" s="28" t="s">
        <v>545</v>
      </c>
      <c r="B136" s="28" t="s">
        <v>234</v>
      </c>
      <c r="C136" s="35" t="n">
        <v>46286.0527777778</v>
      </c>
      <c r="D136" s="28" t="s">
        <v>308</v>
      </c>
      <c r="E136" s="38" t="n">
        <v>200</v>
      </c>
      <c r="F136" s="28" t="s">
        <v>225</v>
      </c>
      <c r="G136" s="28" t="s">
        <v>309</v>
      </c>
      <c r="H136" s="28" t="s">
        <v>310</v>
      </c>
      <c r="I136" s="28" t="s">
        <v>546</v>
      </c>
      <c r="J136" s="28"/>
      <c r="K136" s="28"/>
      <c r="L136" s="36" t="str">
        <f aca="false">IFERROR(INDEX(Transaction_Types!$B$5:$B$20,MATCH(D136,Transaction_Types!$A$5:$A$20,0)),"Not in catalogue")</f>
        <v>Supported</v>
      </c>
      <c r="M136" s="36" t="str">
        <f aca="false">IFERROR(INDEX(Transaction_Types!$C$5:$C$20,MATCH(D136,Transaction_Types!$A$5:$A$20,0)),"")</f>
        <v>Credit</v>
      </c>
      <c r="N136" s="39" t="n">
        <f aca="false">IF(G136="Posted",E136,0)</f>
        <v>200</v>
      </c>
      <c r="O136" s="36" t="n">
        <f aca="false">COUNTIFS($J$5:$J$3000,A136,$K$5:$K$3000,"Reverses")</f>
        <v>0</v>
      </c>
      <c r="P136" s="39" t="n">
        <f aca="false">IF(K136&lt;&gt;"","",IF(G136="Posted",E136+SUMIFS($N$5:$N$3000,$J$5:$J$3000,A136),0))</f>
        <v>200</v>
      </c>
      <c r="Q136" s="36" t="str">
        <f aca="false">IF(L136="Not in catalogue","CHECK type",IF(F136&lt;&gt;Settings!$B$6,"CHECK unit",IF(OR(AND(M136="Credit",E136&lt;=0),AND(M136="Debit",E136&gt;=0)),"CHECK sign",IF(D136="Reversal",IF(OR(J136="",COUNTIF($A$5:$A$3000,J136)=0),"CHECK reversal link",IF(E136&lt;&gt;-INDEX($E$5:$E$3000,MATCH(J136,$A$5:$A$3000,0)),"CHECK reversal amount","OK")),IF(AND(D136="Adjustment",K136&lt;&gt;"",COUNTIF($A$5:$A$3000,J136)=0),"CHECK correction link","OK")))))</f>
        <v>OK</v>
      </c>
      <c r="R136" s="40" t="n">
        <f aca="false">INT(C136)</f>
        <v>46286</v>
      </c>
    </row>
    <row r="137" customFormat="false" ht="15" hidden="false" customHeight="false" outlineLevel="0" collapsed="false">
      <c r="A137" s="28" t="s">
        <v>547</v>
      </c>
      <c r="B137" s="28" t="s">
        <v>224</v>
      </c>
      <c r="C137" s="35" t="n">
        <v>46286.28125</v>
      </c>
      <c r="D137" s="28" t="s">
        <v>308</v>
      </c>
      <c r="E137" s="38" t="n">
        <v>250</v>
      </c>
      <c r="F137" s="28" t="s">
        <v>225</v>
      </c>
      <c r="G137" s="28" t="s">
        <v>309</v>
      </c>
      <c r="H137" s="28" t="s">
        <v>310</v>
      </c>
      <c r="I137" s="28" t="s">
        <v>548</v>
      </c>
      <c r="J137" s="28"/>
      <c r="K137" s="28"/>
      <c r="L137" s="36" t="str">
        <f aca="false">IFERROR(INDEX(Transaction_Types!$B$5:$B$20,MATCH(D137,Transaction_Types!$A$5:$A$20,0)),"Not in catalogue")</f>
        <v>Supported</v>
      </c>
      <c r="M137" s="36" t="str">
        <f aca="false">IFERROR(INDEX(Transaction_Types!$C$5:$C$20,MATCH(D137,Transaction_Types!$A$5:$A$20,0)),"")</f>
        <v>Credit</v>
      </c>
      <c r="N137" s="39" t="n">
        <f aca="false">IF(G137="Posted",E137,0)</f>
        <v>250</v>
      </c>
      <c r="O137" s="36" t="n">
        <f aca="false">COUNTIFS($J$5:$J$3000,A137,$K$5:$K$3000,"Reverses")</f>
        <v>0</v>
      </c>
      <c r="P137" s="39" t="n">
        <f aca="false">IF(K137&lt;&gt;"","",IF(G137="Posted",E137+SUMIFS($N$5:$N$3000,$J$5:$J$3000,A137),0))</f>
        <v>250</v>
      </c>
      <c r="Q137" s="36" t="str">
        <f aca="false">IF(L137="Not in catalogue","CHECK type",IF(F137&lt;&gt;Settings!$B$6,"CHECK unit",IF(OR(AND(M137="Credit",E137&lt;=0),AND(M137="Debit",E137&gt;=0)),"CHECK sign",IF(D137="Reversal",IF(OR(J137="",COUNTIF($A$5:$A$3000,J137)=0),"CHECK reversal link",IF(E137&lt;&gt;-INDEX($E$5:$E$3000,MATCH(J137,$A$5:$A$3000,0)),"CHECK reversal amount","OK")),IF(AND(D137="Adjustment",K137&lt;&gt;"",COUNTIF($A$5:$A$3000,J137)=0),"CHECK correction link","OK")))))</f>
        <v>OK</v>
      </c>
      <c r="R137" s="40" t="n">
        <f aca="false">INT(C137)</f>
        <v>46286</v>
      </c>
    </row>
    <row r="138" customFormat="false" ht="15" hidden="false" customHeight="false" outlineLevel="0" collapsed="false">
      <c r="A138" s="28" t="s">
        <v>549</v>
      </c>
      <c r="B138" s="28" t="s">
        <v>265</v>
      </c>
      <c r="C138" s="35" t="n">
        <v>46286.2895833333</v>
      </c>
      <c r="D138" s="28" t="s">
        <v>308</v>
      </c>
      <c r="E138" s="38" t="n">
        <v>200</v>
      </c>
      <c r="F138" s="28" t="s">
        <v>225</v>
      </c>
      <c r="G138" s="28" t="s">
        <v>309</v>
      </c>
      <c r="H138" s="28" t="s">
        <v>310</v>
      </c>
      <c r="I138" s="28" t="s">
        <v>550</v>
      </c>
      <c r="J138" s="28"/>
      <c r="K138" s="28"/>
      <c r="L138" s="36" t="str">
        <f aca="false">IFERROR(INDEX(Transaction_Types!$B$5:$B$20,MATCH(D138,Transaction_Types!$A$5:$A$20,0)),"Not in catalogue")</f>
        <v>Supported</v>
      </c>
      <c r="M138" s="36" t="str">
        <f aca="false">IFERROR(INDEX(Transaction_Types!$C$5:$C$20,MATCH(D138,Transaction_Types!$A$5:$A$20,0)),"")</f>
        <v>Credit</v>
      </c>
      <c r="N138" s="39" t="n">
        <f aca="false">IF(G138="Posted",E138,0)</f>
        <v>200</v>
      </c>
      <c r="O138" s="36" t="n">
        <f aca="false">COUNTIFS($J$5:$J$3000,A138,$K$5:$K$3000,"Reverses")</f>
        <v>0</v>
      </c>
      <c r="P138" s="39" t="n">
        <f aca="false">IF(K138&lt;&gt;"","",IF(G138="Posted",E138+SUMIFS($N$5:$N$3000,$J$5:$J$3000,A138),0))</f>
        <v>200</v>
      </c>
      <c r="Q138" s="36" t="str">
        <f aca="false">IF(L138="Not in catalogue","CHECK type",IF(F138&lt;&gt;Settings!$B$6,"CHECK unit",IF(OR(AND(M138="Credit",E138&lt;=0),AND(M138="Debit",E138&gt;=0)),"CHECK sign",IF(D138="Reversal",IF(OR(J138="",COUNTIF($A$5:$A$3000,J138)=0),"CHECK reversal link",IF(E138&lt;&gt;-INDEX($E$5:$E$3000,MATCH(J138,$A$5:$A$3000,0)),"CHECK reversal amount","OK")),IF(AND(D138="Adjustment",K138&lt;&gt;"",COUNTIF($A$5:$A$3000,J138)=0),"CHECK correction link","OK")))))</f>
        <v>OK</v>
      </c>
      <c r="R138" s="40" t="n">
        <f aca="false">INT(C138)</f>
        <v>46286</v>
      </c>
    </row>
    <row r="139" customFormat="false" ht="15" hidden="false" customHeight="false" outlineLevel="0" collapsed="false">
      <c r="A139" s="28" t="s">
        <v>551</v>
      </c>
      <c r="B139" s="28" t="s">
        <v>224</v>
      </c>
      <c r="C139" s="35" t="n">
        <v>46286.2957516454</v>
      </c>
      <c r="D139" s="28" t="s">
        <v>383</v>
      </c>
      <c r="E139" s="38" t="n">
        <v>-1250</v>
      </c>
      <c r="F139" s="28" t="s">
        <v>225</v>
      </c>
      <c r="G139" s="28" t="s">
        <v>309</v>
      </c>
      <c r="H139" s="28" t="s">
        <v>384</v>
      </c>
      <c r="I139" s="28" t="s">
        <v>250</v>
      </c>
      <c r="J139" s="28"/>
      <c r="K139" s="28"/>
      <c r="L139" s="36" t="str">
        <f aca="false">IFERROR(INDEX(Transaction_Types!$B$5:$B$20,MATCH(D139,Transaction_Types!$A$5:$A$20,0)),"Not in catalogue")</f>
        <v>Supported</v>
      </c>
      <c r="M139" s="36" t="str">
        <f aca="false">IFERROR(INDEX(Transaction_Types!$C$5:$C$20,MATCH(D139,Transaction_Types!$A$5:$A$20,0)),"")</f>
        <v>Debit</v>
      </c>
      <c r="N139" s="39" t="n">
        <f aca="false">IF(G139="Posted",E139,0)</f>
        <v>-1250</v>
      </c>
      <c r="O139" s="36" t="n">
        <f aca="false">COUNTIFS($J$5:$J$3000,A139,$K$5:$K$3000,"Reverses")</f>
        <v>0</v>
      </c>
      <c r="P139" s="39" t="n">
        <f aca="false">IF(K139&lt;&gt;"","",IF(G139="Posted",E139+SUMIFS($N$5:$N$3000,$J$5:$J$3000,A139),0))</f>
        <v>-1250</v>
      </c>
      <c r="Q139" s="36" t="str">
        <f aca="false">IF(L139="Not in catalogue","CHECK type",IF(F139&lt;&gt;Settings!$B$6,"CHECK unit",IF(OR(AND(M139="Credit",E139&lt;=0),AND(M139="Debit",E139&gt;=0)),"CHECK sign",IF(D139="Reversal",IF(OR(J139="",COUNTIF($A$5:$A$3000,J139)=0),"CHECK reversal link",IF(E139&lt;&gt;-INDEX($E$5:$E$3000,MATCH(J139,$A$5:$A$3000,0)),"CHECK reversal amount","OK")),IF(AND(D139="Adjustment",K139&lt;&gt;"",COUNTIF($A$5:$A$3000,J139)=0),"CHECK correction link","OK")))))</f>
        <v>OK</v>
      </c>
      <c r="R139" s="40" t="n">
        <f aca="false">INT(C139)</f>
        <v>46286</v>
      </c>
    </row>
    <row r="140" customFormat="false" ht="15" hidden="false" customHeight="false" outlineLevel="0" collapsed="false">
      <c r="A140" s="28" t="s">
        <v>552</v>
      </c>
      <c r="B140" s="28" t="s">
        <v>289</v>
      </c>
      <c r="C140" s="35" t="n">
        <v>46286.4548611111</v>
      </c>
      <c r="D140" s="28" t="s">
        <v>308</v>
      </c>
      <c r="E140" s="38" t="n">
        <v>250</v>
      </c>
      <c r="F140" s="28" t="s">
        <v>225</v>
      </c>
      <c r="G140" s="28" t="s">
        <v>309</v>
      </c>
      <c r="H140" s="28" t="s">
        <v>313</v>
      </c>
      <c r="I140" s="28" t="s">
        <v>314</v>
      </c>
      <c r="J140" s="28"/>
      <c r="K140" s="28"/>
      <c r="L140" s="36" t="str">
        <f aca="false">IFERROR(INDEX(Transaction_Types!$B$5:$B$20,MATCH(D140,Transaction_Types!$A$5:$A$20,0)),"Not in catalogue")</f>
        <v>Supported</v>
      </c>
      <c r="M140" s="36" t="str">
        <f aca="false">IFERROR(INDEX(Transaction_Types!$C$5:$C$20,MATCH(D140,Transaction_Types!$A$5:$A$20,0)),"")</f>
        <v>Credit</v>
      </c>
      <c r="N140" s="39" t="n">
        <f aca="false">IF(G140="Posted",E140,0)</f>
        <v>250</v>
      </c>
      <c r="O140" s="36" t="n">
        <f aca="false">COUNTIFS($J$5:$J$3000,A140,$K$5:$K$3000,"Reverses")</f>
        <v>0</v>
      </c>
      <c r="P140" s="39" t="n">
        <f aca="false">IF(K140&lt;&gt;"","",IF(G140="Posted",E140+SUMIFS($N$5:$N$3000,$J$5:$J$3000,A140),0))</f>
        <v>250</v>
      </c>
      <c r="Q140" s="36" t="str">
        <f aca="false">IF(L140="Not in catalogue","CHECK type",IF(F140&lt;&gt;Settings!$B$6,"CHECK unit",IF(OR(AND(M140="Credit",E140&lt;=0),AND(M140="Debit",E140&gt;=0)),"CHECK sign",IF(D140="Reversal",IF(OR(J140="",COUNTIF($A$5:$A$3000,J140)=0),"CHECK reversal link",IF(E140&lt;&gt;-INDEX($E$5:$E$3000,MATCH(J140,$A$5:$A$3000,0)),"CHECK reversal amount","OK")),IF(AND(D140="Adjustment",K140&lt;&gt;"",COUNTIF($A$5:$A$3000,J140)=0),"CHECK correction link","OK")))))</f>
        <v>OK</v>
      </c>
      <c r="R140" s="40" t="n">
        <f aca="false">INT(C140)</f>
        <v>46286</v>
      </c>
    </row>
    <row r="141" customFormat="false" ht="15" hidden="false" customHeight="false" outlineLevel="0" collapsed="false">
      <c r="A141" s="28" t="s">
        <v>553</v>
      </c>
      <c r="B141" s="28" t="s">
        <v>224</v>
      </c>
      <c r="C141" s="35" t="n">
        <v>46286.6243055556</v>
      </c>
      <c r="D141" s="28" t="s">
        <v>308</v>
      </c>
      <c r="E141" s="38" t="n">
        <v>150</v>
      </c>
      <c r="F141" s="28" t="s">
        <v>225</v>
      </c>
      <c r="G141" s="28" t="s">
        <v>309</v>
      </c>
      <c r="H141" s="28" t="s">
        <v>310</v>
      </c>
      <c r="I141" s="28" t="s">
        <v>554</v>
      </c>
      <c r="J141" s="28"/>
      <c r="K141" s="28"/>
      <c r="L141" s="36" t="str">
        <f aca="false">IFERROR(INDEX(Transaction_Types!$B$5:$B$20,MATCH(D141,Transaction_Types!$A$5:$A$20,0)),"Not in catalogue")</f>
        <v>Supported</v>
      </c>
      <c r="M141" s="36" t="str">
        <f aca="false">IFERROR(INDEX(Transaction_Types!$C$5:$C$20,MATCH(D141,Transaction_Types!$A$5:$A$20,0)),"")</f>
        <v>Credit</v>
      </c>
      <c r="N141" s="39" t="n">
        <f aca="false">IF(G141="Posted",E141,0)</f>
        <v>150</v>
      </c>
      <c r="O141" s="36" t="n">
        <f aca="false">COUNTIFS($J$5:$J$3000,A141,$K$5:$K$3000,"Reverses")</f>
        <v>0</v>
      </c>
      <c r="P141" s="39" t="n">
        <f aca="false">IF(K141&lt;&gt;"","",IF(G141="Posted",E141+SUMIFS($N$5:$N$3000,$J$5:$J$3000,A141),0))</f>
        <v>150</v>
      </c>
      <c r="Q141" s="36" t="str">
        <f aca="false">IF(L141="Not in catalogue","CHECK type",IF(F141&lt;&gt;Settings!$B$6,"CHECK unit",IF(OR(AND(M141="Credit",E141&lt;=0),AND(M141="Debit",E141&gt;=0)),"CHECK sign",IF(D141="Reversal",IF(OR(J141="",COUNTIF($A$5:$A$3000,J141)=0),"CHECK reversal link",IF(E141&lt;&gt;-INDEX($E$5:$E$3000,MATCH(J141,$A$5:$A$3000,0)),"CHECK reversal amount","OK")),IF(AND(D141="Adjustment",K141&lt;&gt;"",COUNTIF($A$5:$A$3000,J141)=0),"CHECK correction link","OK")))))</f>
        <v>OK</v>
      </c>
      <c r="R141" s="40" t="n">
        <f aca="false">INT(C141)</f>
        <v>46286</v>
      </c>
    </row>
    <row r="142" customFormat="false" ht="15" hidden="false" customHeight="false" outlineLevel="0" collapsed="false">
      <c r="A142" s="28" t="s">
        <v>555</v>
      </c>
      <c r="B142" s="28" t="s">
        <v>242</v>
      </c>
      <c r="C142" s="35" t="n">
        <v>46286.6513888889</v>
      </c>
      <c r="D142" s="28" t="s">
        <v>308</v>
      </c>
      <c r="E142" s="38" t="n">
        <v>300</v>
      </c>
      <c r="F142" s="28" t="s">
        <v>225</v>
      </c>
      <c r="G142" s="28" t="s">
        <v>309</v>
      </c>
      <c r="H142" s="28" t="s">
        <v>310</v>
      </c>
      <c r="I142" s="28" t="s">
        <v>556</v>
      </c>
      <c r="J142" s="28"/>
      <c r="K142" s="28"/>
      <c r="L142" s="36" t="str">
        <f aca="false">IFERROR(INDEX(Transaction_Types!$B$5:$B$20,MATCH(D142,Transaction_Types!$A$5:$A$20,0)),"Not in catalogue")</f>
        <v>Supported</v>
      </c>
      <c r="M142" s="36" t="str">
        <f aca="false">IFERROR(INDEX(Transaction_Types!$C$5:$C$20,MATCH(D142,Transaction_Types!$A$5:$A$20,0)),"")</f>
        <v>Credit</v>
      </c>
      <c r="N142" s="39" t="n">
        <f aca="false">IF(G142="Posted",E142,0)</f>
        <v>300</v>
      </c>
      <c r="O142" s="36" t="n">
        <f aca="false">COUNTIFS($J$5:$J$3000,A142,$K$5:$K$3000,"Reverses")</f>
        <v>0</v>
      </c>
      <c r="P142" s="39" t="n">
        <f aca="false">IF(K142&lt;&gt;"","",IF(G142="Posted",E142+SUMIFS($N$5:$N$3000,$J$5:$J$3000,A142),0))</f>
        <v>300</v>
      </c>
      <c r="Q142" s="36" t="str">
        <f aca="false">IF(L142="Not in catalogue","CHECK type",IF(F142&lt;&gt;Settings!$B$6,"CHECK unit",IF(OR(AND(M142="Credit",E142&lt;=0),AND(M142="Debit",E142&gt;=0)),"CHECK sign",IF(D142="Reversal",IF(OR(J142="",COUNTIF($A$5:$A$3000,J142)=0),"CHECK reversal link",IF(E142&lt;&gt;-INDEX($E$5:$E$3000,MATCH(J142,$A$5:$A$3000,0)),"CHECK reversal amount","OK")),IF(AND(D142="Adjustment",K142&lt;&gt;"",COUNTIF($A$5:$A$3000,J142)=0),"CHECK correction link","OK")))))</f>
        <v>OK</v>
      </c>
      <c r="R142" s="40" t="n">
        <f aca="false">INT(C142)</f>
        <v>46286</v>
      </c>
    </row>
    <row r="143" customFormat="false" ht="15" hidden="false" customHeight="false" outlineLevel="0" collapsed="false">
      <c r="A143" s="28" t="s">
        <v>557</v>
      </c>
      <c r="B143" s="28" t="s">
        <v>234</v>
      </c>
      <c r="C143" s="35" t="n">
        <v>46286.7819444445</v>
      </c>
      <c r="D143" s="28" t="s">
        <v>308</v>
      </c>
      <c r="E143" s="38" t="n">
        <v>500</v>
      </c>
      <c r="F143" s="28" t="s">
        <v>225</v>
      </c>
      <c r="G143" s="28" t="s">
        <v>309</v>
      </c>
      <c r="H143" s="28" t="s">
        <v>313</v>
      </c>
      <c r="I143" s="28" t="s">
        <v>314</v>
      </c>
      <c r="J143" s="28"/>
      <c r="K143" s="28"/>
      <c r="L143" s="36" t="str">
        <f aca="false">IFERROR(INDEX(Transaction_Types!$B$5:$B$20,MATCH(D143,Transaction_Types!$A$5:$A$20,0)),"Not in catalogue")</f>
        <v>Supported</v>
      </c>
      <c r="M143" s="36" t="str">
        <f aca="false">IFERROR(INDEX(Transaction_Types!$C$5:$C$20,MATCH(D143,Transaction_Types!$A$5:$A$20,0)),"")</f>
        <v>Credit</v>
      </c>
      <c r="N143" s="39" t="n">
        <f aca="false">IF(G143="Posted",E143,0)</f>
        <v>500</v>
      </c>
      <c r="O143" s="36" t="n">
        <f aca="false">COUNTIFS($J$5:$J$3000,A143,$K$5:$K$3000,"Reverses")</f>
        <v>0</v>
      </c>
      <c r="P143" s="39" t="n">
        <f aca="false">IF(K143&lt;&gt;"","",IF(G143="Posted",E143+SUMIFS($N$5:$N$3000,$J$5:$J$3000,A143),0))</f>
        <v>500</v>
      </c>
      <c r="Q143" s="36" t="str">
        <f aca="false">IF(L143="Not in catalogue","CHECK type",IF(F143&lt;&gt;Settings!$B$6,"CHECK unit",IF(OR(AND(M143="Credit",E143&lt;=0),AND(M143="Debit",E143&gt;=0)),"CHECK sign",IF(D143="Reversal",IF(OR(J143="",COUNTIF($A$5:$A$3000,J143)=0),"CHECK reversal link",IF(E143&lt;&gt;-INDEX($E$5:$E$3000,MATCH(J143,$A$5:$A$3000,0)),"CHECK reversal amount","OK")),IF(AND(D143="Adjustment",K143&lt;&gt;"",COUNTIF($A$5:$A$3000,J143)=0),"CHECK correction link","OK")))))</f>
        <v>OK</v>
      </c>
      <c r="R143" s="40" t="n">
        <f aca="false">INT(C143)</f>
        <v>46286</v>
      </c>
    </row>
    <row r="144" customFormat="false" ht="15" hidden="false" customHeight="false" outlineLevel="0" collapsed="false">
      <c r="A144" s="28" t="s">
        <v>558</v>
      </c>
      <c r="B144" s="28" t="s">
        <v>231</v>
      </c>
      <c r="C144" s="35" t="n">
        <v>46286.95</v>
      </c>
      <c r="D144" s="28" t="s">
        <v>308</v>
      </c>
      <c r="E144" s="38" t="n">
        <v>250</v>
      </c>
      <c r="F144" s="28" t="s">
        <v>225</v>
      </c>
      <c r="G144" s="28" t="s">
        <v>309</v>
      </c>
      <c r="H144" s="28" t="s">
        <v>310</v>
      </c>
      <c r="I144" s="28" t="s">
        <v>559</v>
      </c>
      <c r="J144" s="28"/>
      <c r="K144" s="28"/>
      <c r="L144" s="36" t="str">
        <f aca="false">IFERROR(INDEX(Transaction_Types!$B$5:$B$20,MATCH(D144,Transaction_Types!$A$5:$A$20,0)),"Not in catalogue")</f>
        <v>Supported</v>
      </c>
      <c r="M144" s="36" t="str">
        <f aca="false">IFERROR(INDEX(Transaction_Types!$C$5:$C$20,MATCH(D144,Transaction_Types!$A$5:$A$20,0)),"")</f>
        <v>Credit</v>
      </c>
      <c r="N144" s="39" t="n">
        <f aca="false">IF(G144="Posted",E144,0)</f>
        <v>250</v>
      </c>
      <c r="O144" s="36" t="n">
        <f aca="false">COUNTIFS($J$5:$J$3000,A144,$K$5:$K$3000,"Reverses")</f>
        <v>0</v>
      </c>
      <c r="P144" s="39" t="n">
        <f aca="false">IF(K144&lt;&gt;"","",IF(G144="Posted",E144+SUMIFS($N$5:$N$3000,$J$5:$J$3000,A144),0))</f>
        <v>250</v>
      </c>
      <c r="Q144" s="36" t="str">
        <f aca="false">IF(L144="Not in catalogue","CHECK type",IF(F144&lt;&gt;Settings!$B$6,"CHECK unit",IF(OR(AND(M144="Credit",E144&lt;=0),AND(M144="Debit",E144&gt;=0)),"CHECK sign",IF(D144="Reversal",IF(OR(J144="",COUNTIF($A$5:$A$3000,J144)=0),"CHECK reversal link",IF(E144&lt;&gt;-INDEX($E$5:$E$3000,MATCH(J144,$A$5:$A$3000,0)),"CHECK reversal amount","OK")),IF(AND(D144="Adjustment",K144&lt;&gt;"",COUNTIF($A$5:$A$3000,J144)=0),"CHECK correction link","OK")))))</f>
        <v>OK</v>
      </c>
      <c r="R144" s="40" t="n">
        <f aca="false">INT(C144)</f>
        <v>46286</v>
      </c>
    </row>
    <row r="145" customFormat="false" ht="15" hidden="false" customHeight="false" outlineLevel="0" collapsed="false">
      <c r="A145" s="28" t="s">
        <v>560</v>
      </c>
      <c r="B145" s="28" t="s">
        <v>368</v>
      </c>
      <c r="C145" s="35" t="n">
        <v>46287.2076388889</v>
      </c>
      <c r="D145" s="28" t="s">
        <v>308</v>
      </c>
      <c r="E145" s="38" t="n">
        <v>200</v>
      </c>
      <c r="F145" s="28" t="s">
        <v>225</v>
      </c>
      <c r="G145" s="28" t="s">
        <v>309</v>
      </c>
      <c r="H145" s="28" t="s">
        <v>310</v>
      </c>
      <c r="I145" s="28" t="s">
        <v>561</v>
      </c>
      <c r="J145" s="28"/>
      <c r="K145" s="28"/>
      <c r="L145" s="36" t="str">
        <f aca="false">IFERROR(INDEX(Transaction_Types!$B$5:$B$20,MATCH(D145,Transaction_Types!$A$5:$A$20,0)),"Not in catalogue")</f>
        <v>Supported</v>
      </c>
      <c r="M145" s="36" t="str">
        <f aca="false">IFERROR(INDEX(Transaction_Types!$C$5:$C$20,MATCH(D145,Transaction_Types!$A$5:$A$20,0)),"")</f>
        <v>Credit</v>
      </c>
      <c r="N145" s="39" t="n">
        <f aca="false">IF(G145="Posted",E145,0)</f>
        <v>200</v>
      </c>
      <c r="O145" s="36" t="n">
        <f aca="false">COUNTIFS($J$5:$J$3000,A145,$K$5:$K$3000,"Reverses")</f>
        <v>0</v>
      </c>
      <c r="P145" s="39" t="n">
        <f aca="false">IF(K145&lt;&gt;"","",IF(G145="Posted",E145+SUMIFS($N$5:$N$3000,$J$5:$J$3000,A145),0))</f>
        <v>200</v>
      </c>
      <c r="Q145" s="36" t="str">
        <f aca="false">IF(L145="Not in catalogue","CHECK type",IF(F145&lt;&gt;Settings!$B$6,"CHECK unit",IF(OR(AND(M145="Credit",E145&lt;=0),AND(M145="Debit",E145&gt;=0)),"CHECK sign",IF(D145="Reversal",IF(OR(J145="",COUNTIF($A$5:$A$3000,J145)=0),"CHECK reversal link",IF(E145&lt;&gt;-INDEX($E$5:$E$3000,MATCH(J145,$A$5:$A$3000,0)),"CHECK reversal amount","OK")),IF(AND(D145="Adjustment",K145&lt;&gt;"",COUNTIF($A$5:$A$3000,J145)=0),"CHECK correction link","OK")))))</f>
        <v>OK</v>
      </c>
      <c r="R145" s="40" t="n">
        <f aca="false">INT(C145)</f>
        <v>46287</v>
      </c>
    </row>
    <row r="146" customFormat="false" ht="15" hidden="false" customHeight="false" outlineLevel="0" collapsed="false">
      <c r="A146" s="28" t="s">
        <v>562</v>
      </c>
      <c r="B146" s="28" t="s">
        <v>231</v>
      </c>
      <c r="C146" s="35" t="n">
        <v>46287.500332309</v>
      </c>
      <c r="D146" s="28" t="s">
        <v>383</v>
      </c>
      <c r="E146" s="38" t="n">
        <v>-750</v>
      </c>
      <c r="F146" s="28" t="s">
        <v>225</v>
      </c>
      <c r="G146" s="28" t="s">
        <v>309</v>
      </c>
      <c r="H146" s="28" t="s">
        <v>384</v>
      </c>
      <c r="I146" s="28" t="s">
        <v>252</v>
      </c>
      <c r="J146" s="28"/>
      <c r="K146" s="28"/>
      <c r="L146" s="36" t="str">
        <f aca="false">IFERROR(INDEX(Transaction_Types!$B$5:$B$20,MATCH(D146,Transaction_Types!$A$5:$A$20,0)),"Not in catalogue")</f>
        <v>Supported</v>
      </c>
      <c r="M146" s="36" t="str">
        <f aca="false">IFERROR(INDEX(Transaction_Types!$C$5:$C$20,MATCH(D146,Transaction_Types!$A$5:$A$20,0)),"")</f>
        <v>Debit</v>
      </c>
      <c r="N146" s="39" t="n">
        <f aca="false">IF(G146="Posted",E146,0)</f>
        <v>-750</v>
      </c>
      <c r="O146" s="36" t="n">
        <f aca="false">COUNTIFS($J$5:$J$3000,A146,$K$5:$K$3000,"Reverses")</f>
        <v>0</v>
      </c>
      <c r="P146" s="39" t="n">
        <f aca="false">IF(K146&lt;&gt;"","",IF(G146="Posted",E146+SUMIFS($N$5:$N$3000,$J$5:$J$3000,A146),0))</f>
        <v>-750</v>
      </c>
      <c r="Q146" s="36" t="str">
        <f aca="false">IF(L146="Not in catalogue","CHECK type",IF(F146&lt;&gt;Settings!$B$6,"CHECK unit",IF(OR(AND(M146="Credit",E146&lt;=0),AND(M146="Debit",E146&gt;=0)),"CHECK sign",IF(D146="Reversal",IF(OR(J146="",COUNTIF($A$5:$A$3000,J146)=0),"CHECK reversal link",IF(E146&lt;&gt;-INDEX($E$5:$E$3000,MATCH(J146,$A$5:$A$3000,0)),"CHECK reversal amount","OK")),IF(AND(D146="Adjustment",K146&lt;&gt;"",COUNTIF($A$5:$A$3000,J146)=0),"CHECK correction link","OK")))))</f>
        <v>OK</v>
      </c>
      <c r="R146" s="40" t="n">
        <f aca="false">INT(C146)</f>
        <v>46287</v>
      </c>
    </row>
    <row r="147" customFormat="false" ht="15" hidden="false" customHeight="false" outlineLevel="0" collapsed="false">
      <c r="A147" s="28" t="s">
        <v>563</v>
      </c>
      <c r="B147" s="28" t="s">
        <v>368</v>
      </c>
      <c r="C147" s="35" t="n">
        <v>46287.5784722222</v>
      </c>
      <c r="D147" s="28" t="s">
        <v>308</v>
      </c>
      <c r="E147" s="38" t="n">
        <v>500</v>
      </c>
      <c r="F147" s="28" t="s">
        <v>225</v>
      </c>
      <c r="G147" s="28" t="s">
        <v>309</v>
      </c>
      <c r="H147" s="28" t="s">
        <v>310</v>
      </c>
      <c r="I147" s="28" t="s">
        <v>564</v>
      </c>
      <c r="J147" s="28"/>
      <c r="K147" s="28"/>
      <c r="L147" s="36" t="str">
        <f aca="false">IFERROR(INDEX(Transaction_Types!$B$5:$B$20,MATCH(D147,Transaction_Types!$A$5:$A$20,0)),"Not in catalogue")</f>
        <v>Supported</v>
      </c>
      <c r="M147" s="36" t="str">
        <f aca="false">IFERROR(INDEX(Transaction_Types!$C$5:$C$20,MATCH(D147,Transaction_Types!$A$5:$A$20,0)),"")</f>
        <v>Credit</v>
      </c>
      <c r="N147" s="39" t="n">
        <f aca="false">IF(G147="Posted",E147,0)</f>
        <v>500</v>
      </c>
      <c r="O147" s="36" t="n">
        <f aca="false">COUNTIFS($J$5:$J$3000,A147,$K$5:$K$3000,"Reverses")</f>
        <v>0</v>
      </c>
      <c r="P147" s="39" t="n">
        <f aca="false">IF(K147&lt;&gt;"","",IF(G147="Posted",E147+SUMIFS($N$5:$N$3000,$J$5:$J$3000,A147),0))</f>
        <v>500</v>
      </c>
      <c r="Q147" s="36" t="str">
        <f aca="false">IF(L147="Not in catalogue","CHECK type",IF(F147&lt;&gt;Settings!$B$6,"CHECK unit",IF(OR(AND(M147="Credit",E147&lt;=0),AND(M147="Debit",E147&gt;=0)),"CHECK sign",IF(D147="Reversal",IF(OR(J147="",COUNTIF($A$5:$A$3000,J147)=0),"CHECK reversal link",IF(E147&lt;&gt;-INDEX($E$5:$E$3000,MATCH(J147,$A$5:$A$3000,0)),"CHECK reversal amount","OK")),IF(AND(D147="Adjustment",K147&lt;&gt;"",COUNTIF($A$5:$A$3000,J147)=0),"CHECK correction link","OK")))))</f>
        <v>OK</v>
      </c>
      <c r="R147" s="40" t="n">
        <f aca="false">INT(C147)</f>
        <v>46287</v>
      </c>
    </row>
    <row r="148" customFormat="false" ht="15" hidden="false" customHeight="false" outlineLevel="0" collapsed="false">
      <c r="A148" s="28" t="s">
        <v>565</v>
      </c>
      <c r="B148" s="28" t="s">
        <v>277</v>
      </c>
      <c r="C148" s="35" t="n">
        <v>46287.60625</v>
      </c>
      <c r="D148" s="28" t="s">
        <v>308</v>
      </c>
      <c r="E148" s="38" t="n">
        <v>250</v>
      </c>
      <c r="F148" s="28" t="s">
        <v>225</v>
      </c>
      <c r="G148" s="28" t="s">
        <v>309</v>
      </c>
      <c r="H148" s="28" t="s">
        <v>310</v>
      </c>
      <c r="I148" s="28" t="s">
        <v>566</v>
      </c>
      <c r="J148" s="28"/>
      <c r="K148" s="28"/>
      <c r="L148" s="36" t="str">
        <f aca="false">IFERROR(INDEX(Transaction_Types!$B$5:$B$20,MATCH(D148,Transaction_Types!$A$5:$A$20,0)),"Not in catalogue")</f>
        <v>Supported</v>
      </c>
      <c r="M148" s="36" t="str">
        <f aca="false">IFERROR(INDEX(Transaction_Types!$C$5:$C$20,MATCH(D148,Transaction_Types!$A$5:$A$20,0)),"")</f>
        <v>Credit</v>
      </c>
      <c r="N148" s="39" t="n">
        <f aca="false">IF(G148="Posted",E148,0)</f>
        <v>250</v>
      </c>
      <c r="O148" s="36" t="n">
        <f aca="false">COUNTIFS($J$5:$J$3000,A148,$K$5:$K$3000,"Reverses")</f>
        <v>0</v>
      </c>
      <c r="P148" s="39" t="n">
        <f aca="false">IF(K148&lt;&gt;"","",IF(G148="Posted",E148+SUMIFS($N$5:$N$3000,$J$5:$J$3000,A148),0))</f>
        <v>250</v>
      </c>
      <c r="Q148" s="36" t="str">
        <f aca="false">IF(L148="Not in catalogue","CHECK type",IF(F148&lt;&gt;Settings!$B$6,"CHECK unit",IF(OR(AND(M148="Credit",E148&lt;=0),AND(M148="Debit",E148&gt;=0)),"CHECK sign",IF(D148="Reversal",IF(OR(J148="",COUNTIF($A$5:$A$3000,J148)=0),"CHECK reversal link",IF(E148&lt;&gt;-INDEX($E$5:$E$3000,MATCH(J148,$A$5:$A$3000,0)),"CHECK reversal amount","OK")),IF(AND(D148="Adjustment",K148&lt;&gt;"",COUNTIF($A$5:$A$3000,J148)=0),"CHECK correction link","OK")))))</f>
        <v>OK</v>
      </c>
      <c r="R148" s="40" t="n">
        <f aca="false">INT(C148)</f>
        <v>46287</v>
      </c>
    </row>
    <row r="149" customFormat="false" ht="15" hidden="false" customHeight="false" outlineLevel="0" collapsed="false">
      <c r="A149" s="28" t="s">
        <v>567</v>
      </c>
      <c r="B149" s="28" t="s">
        <v>227</v>
      </c>
      <c r="C149" s="35" t="n">
        <v>46287.7555555556</v>
      </c>
      <c r="D149" s="28" t="s">
        <v>308</v>
      </c>
      <c r="E149" s="38" t="n">
        <v>250</v>
      </c>
      <c r="F149" s="28" t="s">
        <v>225</v>
      </c>
      <c r="G149" s="28" t="s">
        <v>309</v>
      </c>
      <c r="H149" s="28" t="s">
        <v>313</v>
      </c>
      <c r="I149" s="28" t="s">
        <v>314</v>
      </c>
      <c r="J149" s="28"/>
      <c r="K149" s="28"/>
      <c r="L149" s="36" t="str">
        <f aca="false">IFERROR(INDEX(Transaction_Types!$B$5:$B$20,MATCH(D149,Transaction_Types!$A$5:$A$20,0)),"Not in catalogue")</f>
        <v>Supported</v>
      </c>
      <c r="M149" s="36" t="str">
        <f aca="false">IFERROR(INDEX(Transaction_Types!$C$5:$C$20,MATCH(D149,Transaction_Types!$A$5:$A$20,0)),"")</f>
        <v>Credit</v>
      </c>
      <c r="N149" s="39" t="n">
        <f aca="false">IF(G149="Posted",E149,0)</f>
        <v>250</v>
      </c>
      <c r="O149" s="36" t="n">
        <f aca="false">COUNTIFS($J$5:$J$3000,A149,$K$5:$K$3000,"Reverses")</f>
        <v>0</v>
      </c>
      <c r="P149" s="39" t="n">
        <f aca="false">IF(K149&lt;&gt;"","",IF(G149="Posted",E149+SUMIFS($N$5:$N$3000,$J$5:$J$3000,A149),0))</f>
        <v>250</v>
      </c>
      <c r="Q149" s="36" t="str">
        <f aca="false">IF(L149="Not in catalogue","CHECK type",IF(F149&lt;&gt;Settings!$B$6,"CHECK unit",IF(OR(AND(M149="Credit",E149&lt;=0),AND(M149="Debit",E149&gt;=0)),"CHECK sign",IF(D149="Reversal",IF(OR(J149="",COUNTIF($A$5:$A$3000,J149)=0),"CHECK reversal link",IF(E149&lt;&gt;-INDEX($E$5:$E$3000,MATCH(J149,$A$5:$A$3000,0)),"CHECK reversal amount","OK")),IF(AND(D149="Adjustment",K149&lt;&gt;"",COUNTIF($A$5:$A$3000,J149)=0),"CHECK correction link","OK")))))</f>
        <v>OK</v>
      </c>
      <c r="R149" s="40" t="n">
        <f aca="false">INT(C149)</f>
        <v>46287</v>
      </c>
    </row>
    <row r="150" customFormat="false" ht="15" hidden="false" customHeight="false" outlineLevel="0" collapsed="false">
      <c r="A150" s="28" t="s">
        <v>568</v>
      </c>
      <c r="B150" s="28" t="s">
        <v>231</v>
      </c>
      <c r="C150" s="35" t="n">
        <v>46287.8</v>
      </c>
      <c r="D150" s="28" t="s">
        <v>308</v>
      </c>
      <c r="E150" s="38" t="n">
        <v>200</v>
      </c>
      <c r="F150" s="28" t="s">
        <v>225</v>
      </c>
      <c r="G150" s="28" t="s">
        <v>309</v>
      </c>
      <c r="H150" s="28" t="s">
        <v>313</v>
      </c>
      <c r="I150" s="28" t="s">
        <v>314</v>
      </c>
      <c r="J150" s="28"/>
      <c r="K150" s="28"/>
      <c r="L150" s="36" t="str">
        <f aca="false">IFERROR(INDEX(Transaction_Types!$B$5:$B$20,MATCH(D150,Transaction_Types!$A$5:$A$20,0)),"Not in catalogue")</f>
        <v>Supported</v>
      </c>
      <c r="M150" s="36" t="str">
        <f aca="false">IFERROR(INDEX(Transaction_Types!$C$5:$C$20,MATCH(D150,Transaction_Types!$A$5:$A$20,0)),"")</f>
        <v>Credit</v>
      </c>
      <c r="N150" s="39" t="n">
        <f aca="false">IF(G150="Posted",E150,0)</f>
        <v>200</v>
      </c>
      <c r="O150" s="36" t="n">
        <f aca="false">COUNTIFS($J$5:$J$3000,A150,$K$5:$K$3000,"Reverses")</f>
        <v>0</v>
      </c>
      <c r="P150" s="39" t="n">
        <f aca="false">IF(K150&lt;&gt;"","",IF(G150="Posted",E150+SUMIFS($N$5:$N$3000,$J$5:$J$3000,A150),0))</f>
        <v>200</v>
      </c>
      <c r="Q150" s="36" t="str">
        <f aca="false">IF(L150="Not in catalogue","CHECK type",IF(F150&lt;&gt;Settings!$B$6,"CHECK unit",IF(OR(AND(M150="Credit",E150&lt;=0),AND(M150="Debit",E150&gt;=0)),"CHECK sign",IF(D150="Reversal",IF(OR(J150="",COUNTIF($A$5:$A$3000,J150)=0),"CHECK reversal link",IF(E150&lt;&gt;-INDEX($E$5:$E$3000,MATCH(J150,$A$5:$A$3000,0)),"CHECK reversal amount","OK")),IF(AND(D150="Adjustment",K150&lt;&gt;"",COUNTIF($A$5:$A$3000,J150)=0),"CHECK correction link","OK")))))</f>
        <v>OK</v>
      </c>
      <c r="R150" s="40" t="n">
        <f aca="false">INT(C150)</f>
        <v>46287</v>
      </c>
    </row>
    <row r="151" customFormat="false" ht="15" hidden="false" customHeight="false" outlineLevel="0" collapsed="false">
      <c r="A151" s="28" t="s">
        <v>569</v>
      </c>
      <c r="B151" s="28" t="s">
        <v>254</v>
      </c>
      <c r="C151" s="35" t="n">
        <v>46287.9895833333</v>
      </c>
      <c r="D151" s="28" t="s">
        <v>308</v>
      </c>
      <c r="E151" s="38" t="n">
        <v>250</v>
      </c>
      <c r="F151" s="28" t="s">
        <v>225</v>
      </c>
      <c r="G151" s="28" t="s">
        <v>309</v>
      </c>
      <c r="H151" s="28" t="s">
        <v>316</v>
      </c>
      <c r="I151" s="28" t="s">
        <v>570</v>
      </c>
      <c r="J151" s="28"/>
      <c r="K151" s="28"/>
      <c r="L151" s="36" t="str">
        <f aca="false">IFERROR(INDEX(Transaction_Types!$B$5:$B$20,MATCH(D151,Transaction_Types!$A$5:$A$20,0)),"Not in catalogue")</f>
        <v>Supported</v>
      </c>
      <c r="M151" s="36" t="str">
        <f aca="false">IFERROR(INDEX(Transaction_Types!$C$5:$C$20,MATCH(D151,Transaction_Types!$A$5:$A$20,0)),"")</f>
        <v>Credit</v>
      </c>
      <c r="N151" s="39" t="n">
        <f aca="false">IF(G151="Posted",E151,0)</f>
        <v>250</v>
      </c>
      <c r="O151" s="36" t="n">
        <f aca="false">COUNTIFS($J$5:$J$3000,A151,$K$5:$K$3000,"Reverses")</f>
        <v>0</v>
      </c>
      <c r="P151" s="39" t="n">
        <f aca="false">IF(K151&lt;&gt;"","",IF(G151="Posted",E151+SUMIFS($N$5:$N$3000,$J$5:$J$3000,A151),0))</f>
        <v>250</v>
      </c>
      <c r="Q151" s="36" t="str">
        <f aca="false">IF(L151="Not in catalogue","CHECK type",IF(F151&lt;&gt;Settings!$B$6,"CHECK unit",IF(OR(AND(M151="Credit",E151&lt;=0),AND(M151="Debit",E151&gt;=0)),"CHECK sign",IF(D151="Reversal",IF(OR(J151="",COUNTIF($A$5:$A$3000,J151)=0),"CHECK reversal link",IF(E151&lt;&gt;-INDEX($E$5:$E$3000,MATCH(J151,$A$5:$A$3000,0)),"CHECK reversal amount","OK")),IF(AND(D151="Adjustment",K151&lt;&gt;"",COUNTIF($A$5:$A$3000,J151)=0),"CHECK correction link","OK")))))</f>
        <v>OK</v>
      </c>
      <c r="R151" s="40" t="n">
        <f aca="false">INT(C151)</f>
        <v>46287</v>
      </c>
    </row>
    <row r="152" customFormat="false" ht="15" hidden="false" customHeight="false" outlineLevel="0" collapsed="false">
      <c r="A152" s="28" t="s">
        <v>571</v>
      </c>
      <c r="B152" s="28" t="s">
        <v>231</v>
      </c>
      <c r="C152" s="35" t="n">
        <v>46288.1090277778</v>
      </c>
      <c r="D152" s="28" t="s">
        <v>308</v>
      </c>
      <c r="E152" s="38" t="n">
        <v>400</v>
      </c>
      <c r="F152" s="28" t="s">
        <v>225</v>
      </c>
      <c r="G152" s="28" t="s">
        <v>309</v>
      </c>
      <c r="H152" s="28" t="s">
        <v>310</v>
      </c>
      <c r="I152" s="28" t="s">
        <v>572</v>
      </c>
      <c r="J152" s="28"/>
      <c r="K152" s="28"/>
      <c r="L152" s="36" t="str">
        <f aca="false">IFERROR(INDEX(Transaction_Types!$B$5:$B$20,MATCH(D152,Transaction_Types!$A$5:$A$20,0)),"Not in catalogue")</f>
        <v>Supported</v>
      </c>
      <c r="M152" s="36" t="str">
        <f aca="false">IFERROR(INDEX(Transaction_Types!$C$5:$C$20,MATCH(D152,Transaction_Types!$A$5:$A$20,0)),"")</f>
        <v>Credit</v>
      </c>
      <c r="N152" s="39" t="n">
        <f aca="false">IF(G152="Posted",E152,0)</f>
        <v>400</v>
      </c>
      <c r="O152" s="36" t="n">
        <f aca="false">COUNTIFS($J$5:$J$3000,A152,$K$5:$K$3000,"Reverses")</f>
        <v>0</v>
      </c>
      <c r="P152" s="39" t="n">
        <f aca="false">IF(K152&lt;&gt;"","",IF(G152="Posted",E152+SUMIFS($N$5:$N$3000,$J$5:$J$3000,A152),0))</f>
        <v>400</v>
      </c>
      <c r="Q152" s="36" t="str">
        <f aca="false">IF(L152="Not in catalogue","CHECK type",IF(F152&lt;&gt;Settings!$B$6,"CHECK unit",IF(OR(AND(M152="Credit",E152&lt;=0),AND(M152="Debit",E152&gt;=0)),"CHECK sign",IF(D152="Reversal",IF(OR(J152="",COUNTIF($A$5:$A$3000,J152)=0),"CHECK reversal link",IF(E152&lt;&gt;-INDEX($E$5:$E$3000,MATCH(J152,$A$5:$A$3000,0)),"CHECK reversal amount","OK")),IF(AND(D152="Adjustment",K152&lt;&gt;"",COUNTIF($A$5:$A$3000,J152)=0),"CHECK correction link","OK")))))</f>
        <v>OK</v>
      </c>
      <c r="R152" s="40" t="n">
        <f aca="false">INT(C152)</f>
        <v>46288</v>
      </c>
    </row>
    <row r="153" customFormat="false" ht="15" hidden="false" customHeight="false" outlineLevel="0" collapsed="false">
      <c r="A153" s="28" t="s">
        <v>573</v>
      </c>
      <c r="B153" s="28" t="s">
        <v>231</v>
      </c>
      <c r="C153" s="35" t="n">
        <v>46288.2680555556</v>
      </c>
      <c r="D153" s="28" t="s">
        <v>308</v>
      </c>
      <c r="E153" s="38" t="n">
        <v>250</v>
      </c>
      <c r="F153" s="28" t="s">
        <v>225</v>
      </c>
      <c r="G153" s="28" t="s">
        <v>309</v>
      </c>
      <c r="H153" s="28" t="s">
        <v>310</v>
      </c>
      <c r="I153" s="28" t="s">
        <v>574</v>
      </c>
      <c r="J153" s="28"/>
      <c r="K153" s="28"/>
      <c r="L153" s="36" t="str">
        <f aca="false">IFERROR(INDEX(Transaction_Types!$B$5:$B$20,MATCH(D153,Transaction_Types!$A$5:$A$20,0)),"Not in catalogue")</f>
        <v>Supported</v>
      </c>
      <c r="M153" s="36" t="str">
        <f aca="false">IFERROR(INDEX(Transaction_Types!$C$5:$C$20,MATCH(D153,Transaction_Types!$A$5:$A$20,0)),"")</f>
        <v>Credit</v>
      </c>
      <c r="N153" s="39" t="n">
        <f aca="false">IF(G153="Posted",E153,0)</f>
        <v>250</v>
      </c>
      <c r="O153" s="36" t="n">
        <f aca="false">COUNTIFS($J$5:$J$3000,A153,$K$5:$K$3000,"Reverses")</f>
        <v>0</v>
      </c>
      <c r="P153" s="39" t="n">
        <f aca="false">IF(K153&lt;&gt;"","",IF(G153="Posted",E153+SUMIFS($N$5:$N$3000,$J$5:$J$3000,A153),0))</f>
        <v>250</v>
      </c>
      <c r="Q153" s="36" t="str">
        <f aca="false">IF(L153="Not in catalogue","CHECK type",IF(F153&lt;&gt;Settings!$B$6,"CHECK unit",IF(OR(AND(M153="Credit",E153&lt;=0),AND(M153="Debit",E153&gt;=0)),"CHECK sign",IF(D153="Reversal",IF(OR(J153="",COUNTIF($A$5:$A$3000,J153)=0),"CHECK reversal link",IF(E153&lt;&gt;-INDEX($E$5:$E$3000,MATCH(J153,$A$5:$A$3000,0)),"CHECK reversal amount","OK")),IF(AND(D153="Adjustment",K153&lt;&gt;"",COUNTIF($A$5:$A$3000,J153)=0),"CHECK correction link","OK")))))</f>
        <v>OK</v>
      </c>
      <c r="R153" s="40" t="n">
        <f aca="false">INT(C153)</f>
        <v>46288</v>
      </c>
    </row>
    <row r="154" customFormat="false" ht="15" hidden="false" customHeight="false" outlineLevel="0" collapsed="false">
      <c r="A154" s="28" t="s">
        <v>575</v>
      </c>
      <c r="B154" s="28" t="s">
        <v>246</v>
      </c>
      <c r="C154" s="35" t="n">
        <v>46288.3346508697</v>
      </c>
      <c r="D154" s="28" t="s">
        <v>383</v>
      </c>
      <c r="E154" s="38" t="n">
        <v>-750</v>
      </c>
      <c r="F154" s="28" t="s">
        <v>225</v>
      </c>
      <c r="G154" s="28" t="s">
        <v>309</v>
      </c>
      <c r="H154" s="28" t="s">
        <v>384</v>
      </c>
      <c r="I154" s="28" t="s">
        <v>255</v>
      </c>
      <c r="J154" s="28"/>
      <c r="K154" s="28"/>
      <c r="L154" s="36" t="str">
        <f aca="false">IFERROR(INDEX(Transaction_Types!$B$5:$B$20,MATCH(D154,Transaction_Types!$A$5:$A$20,0)),"Not in catalogue")</f>
        <v>Supported</v>
      </c>
      <c r="M154" s="36" t="str">
        <f aca="false">IFERROR(INDEX(Transaction_Types!$C$5:$C$20,MATCH(D154,Transaction_Types!$A$5:$A$20,0)),"")</f>
        <v>Debit</v>
      </c>
      <c r="N154" s="39" t="n">
        <f aca="false">IF(G154="Posted",E154,0)</f>
        <v>-750</v>
      </c>
      <c r="O154" s="36" t="n">
        <f aca="false">COUNTIFS($J$5:$J$3000,A154,$K$5:$K$3000,"Reverses")</f>
        <v>0</v>
      </c>
      <c r="P154" s="39" t="n">
        <f aca="false">IF(K154&lt;&gt;"","",IF(G154="Posted",E154+SUMIFS($N$5:$N$3000,$J$5:$J$3000,A154),0))</f>
        <v>-750</v>
      </c>
      <c r="Q154" s="36" t="str">
        <f aca="false">IF(L154="Not in catalogue","CHECK type",IF(F154&lt;&gt;Settings!$B$6,"CHECK unit",IF(OR(AND(M154="Credit",E154&lt;=0),AND(M154="Debit",E154&gt;=0)),"CHECK sign",IF(D154="Reversal",IF(OR(J154="",COUNTIF($A$5:$A$3000,J154)=0),"CHECK reversal link",IF(E154&lt;&gt;-INDEX($E$5:$E$3000,MATCH(J154,$A$5:$A$3000,0)),"CHECK reversal amount","OK")),IF(AND(D154="Adjustment",K154&lt;&gt;"",COUNTIF($A$5:$A$3000,J154)=0),"CHECK correction link","OK")))))</f>
        <v>OK</v>
      </c>
      <c r="R154" s="40" t="n">
        <f aca="false">INT(C154)</f>
        <v>46288</v>
      </c>
    </row>
    <row r="155" customFormat="false" ht="15" hidden="false" customHeight="false" outlineLevel="0" collapsed="false">
      <c r="A155" s="28" t="s">
        <v>576</v>
      </c>
      <c r="B155" s="28" t="s">
        <v>260</v>
      </c>
      <c r="C155" s="35" t="n">
        <v>46288.4909722222</v>
      </c>
      <c r="D155" s="28" t="s">
        <v>308</v>
      </c>
      <c r="E155" s="38" t="n">
        <v>400</v>
      </c>
      <c r="F155" s="28" t="s">
        <v>225</v>
      </c>
      <c r="G155" s="28" t="s">
        <v>309</v>
      </c>
      <c r="H155" s="28" t="s">
        <v>310</v>
      </c>
      <c r="I155" s="28" t="s">
        <v>577</v>
      </c>
      <c r="J155" s="28"/>
      <c r="K155" s="28"/>
      <c r="L155" s="36" t="str">
        <f aca="false">IFERROR(INDEX(Transaction_Types!$B$5:$B$20,MATCH(D155,Transaction_Types!$A$5:$A$20,0)),"Not in catalogue")</f>
        <v>Supported</v>
      </c>
      <c r="M155" s="36" t="str">
        <f aca="false">IFERROR(INDEX(Transaction_Types!$C$5:$C$20,MATCH(D155,Transaction_Types!$A$5:$A$20,0)),"")</f>
        <v>Credit</v>
      </c>
      <c r="N155" s="39" t="n">
        <f aca="false">IF(G155="Posted",E155,0)</f>
        <v>400</v>
      </c>
      <c r="O155" s="36" t="n">
        <f aca="false">COUNTIFS($J$5:$J$3000,A155,$K$5:$K$3000,"Reverses")</f>
        <v>0</v>
      </c>
      <c r="P155" s="39" t="n">
        <f aca="false">IF(K155&lt;&gt;"","",IF(G155="Posted",E155+SUMIFS($N$5:$N$3000,$J$5:$J$3000,A155),0))</f>
        <v>400</v>
      </c>
      <c r="Q155" s="36" t="str">
        <f aca="false">IF(L155="Not in catalogue","CHECK type",IF(F155&lt;&gt;Settings!$B$6,"CHECK unit",IF(OR(AND(M155="Credit",E155&lt;=0),AND(M155="Debit",E155&gt;=0)),"CHECK sign",IF(D155="Reversal",IF(OR(J155="",COUNTIF($A$5:$A$3000,J155)=0),"CHECK reversal link",IF(E155&lt;&gt;-INDEX($E$5:$E$3000,MATCH(J155,$A$5:$A$3000,0)),"CHECK reversal amount","OK")),IF(AND(D155="Adjustment",K155&lt;&gt;"",COUNTIF($A$5:$A$3000,J155)=0),"CHECK correction link","OK")))))</f>
        <v>OK</v>
      </c>
      <c r="R155" s="40" t="n">
        <f aca="false">INT(C155)</f>
        <v>46288</v>
      </c>
    </row>
    <row r="156" customFormat="false" ht="15" hidden="false" customHeight="false" outlineLevel="0" collapsed="false">
      <c r="A156" s="28" t="s">
        <v>578</v>
      </c>
      <c r="B156" s="28" t="s">
        <v>236</v>
      </c>
      <c r="C156" s="35" t="n">
        <v>46288.5097222222</v>
      </c>
      <c r="D156" s="28" t="s">
        <v>308</v>
      </c>
      <c r="E156" s="38" t="n">
        <v>100</v>
      </c>
      <c r="F156" s="28" t="s">
        <v>225</v>
      </c>
      <c r="G156" s="28" t="s">
        <v>309</v>
      </c>
      <c r="H156" s="28" t="s">
        <v>316</v>
      </c>
      <c r="I156" s="28" t="s">
        <v>579</v>
      </c>
      <c r="J156" s="28"/>
      <c r="K156" s="28"/>
      <c r="L156" s="36" t="str">
        <f aca="false">IFERROR(INDEX(Transaction_Types!$B$5:$B$20,MATCH(D156,Transaction_Types!$A$5:$A$20,0)),"Not in catalogue")</f>
        <v>Supported</v>
      </c>
      <c r="M156" s="36" t="str">
        <f aca="false">IFERROR(INDEX(Transaction_Types!$C$5:$C$20,MATCH(D156,Transaction_Types!$A$5:$A$20,0)),"")</f>
        <v>Credit</v>
      </c>
      <c r="N156" s="39" t="n">
        <f aca="false">IF(G156="Posted",E156,0)</f>
        <v>100</v>
      </c>
      <c r="O156" s="36" t="n">
        <f aca="false">COUNTIFS($J$5:$J$3000,A156,$K$5:$K$3000,"Reverses")</f>
        <v>0</v>
      </c>
      <c r="P156" s="39" t="n">
        <f aca="false">IF(K156&lt;&gt;"","",IF(G156="Posted",E156+SUMIFS($N$5:$N$3000,$J$5:$J$3000,A156),0))</f>
        <v>100</v>
      </c>
      <c r="Q156" s="36" t="str">
        <f aca="false">IF(L156="Not in catalogue","CHECK type",IF(F156&lt;&gt;Settings!$B$6,"CHECK unit",IF(OR(AND(M156="Credit",E156&lt;=0),AND(M156="Debit",E156&gt;=0)),"CHECK sign",IF(D156="Reversal",IF(OR(J156="",COUNTIF($A$5:$A$3000,J156)=0),"CHECK reversal link",IF(E156&lt;&gt;-INDEX($E$5:$E$3000,MATCH(J156,$A$5:$A$3000,0)),"CHECK reversal amount","OK")),IF(AND(D156="Adjustment",K156&lt;&gt;"",COUNTIF($A$5:$A$3000,J156)=0),"CHECK correction link","OK")))))</f>
        <v>OK</v>
      </c>
      <c r="R156" s="40" t="n">
        <f aca="false">INT(C156)</f>
        <v>46288</v>
      </c>
    </row>
    <row r="157" customFormat="false" ht="15" hidden="false" customHeight="false" outlineLevel="0" collapsed="false">
      <c r="A157" s="28" t="s">
        <v>580</v>
      </c>
      <c r="B157" s="28" t="s">
        <v>277</v>
      </c>
      <c r="C157" s="35" t="n">
        <v>46288.5277777778</v>
      </c>
      <c r="D157" s="28" t="s">
        <v>308</v>
      </c>
      <c r="E157" s="38" t="n">
        <v>250</v>
      </c>
      <c r="F157" s="28" t="s">
        <v>225</v>
      </c>
      <c r="G157" s="28" t="s">
        <v>309</v>
      </c>
      <c r="H157" s="28" t="s">
        <v>310</v>
      </c>
      <c r="I157" s="28" t="s">
        <v>581</v>
      </c>
      <c r="J157" s="28"/>
      <c r="K157" s="28"/>
      <c r="L157" s="36" t="str">
        <f aca="false">IFERROR(INDEX(Transaction_Types!$B$5:$B$20,MATCH(D157,Transaction_Types!$A$5:$A$20,0)),"Not in catalogue")</f>
        <v>Supported</v>
      </c>
      <c r="M157" s="36" t="str">
        <f aca="false">IFERROR(INDEX(Transaction_Types!$C$5:$C$20,MATCH(D157,Transaction_Types!$A$5:$A$20,0)),"")</f>
        <v>Credit</v>
      </c>
      <c r="N157" s="39" t="n">
        <f aca="false">IF(G157="Posted",E157,0)</f>
        <v>250</v>
      </c>
      <c r="O157" s="36" t="n">
        <f aca="false">COUNTIFS($J$5:$J$3000,A157,$K$5:$K$3000,"Reverses")</f>
        <v>0</v>
      </c>
      <c r="P157" s="39" t="n">
        <f aca="false">IF(K157&lt;&gt;"","",IF(G157="Posted",E157+SUMIFS($N$5:$N$3000,$J$5:$J$3000,A157),0))</f>
        <v>250</v>
      </c>
      <c r="Q157" s="36" t="str">
        <f aca="false">IF(L157="Not in catalogue","CHECK type",IF(F157&lt;&gt;Settings!$B$6,"CHECK unit",IF(OR(AND(M157="Credit",E157&lt;=0),AND(M157="Debit",E157&gt;=0)),"CHECK sign",IF(D157="Reversal",IF(OR(J157="",COUNTIF($A$5:$A$3000,J157)=0),"CHECK reversal link",IF(E157&lt;&gt;-INDEX($E$5:$E$3000,MATCH(J157,$A$5:$A$3000,0)),"CHECK reversal amount","OK")),IF(AND(D157="Adjustment",K157&lt;&gt;"",COUNTIF($A$5:$A$3000,J157)=0),"CHECK correction link","OK")))))</f>
        <v>OK</v>
      </c>
      <c r="R157" s="40" t="n">
        <f aca="false">INT(C157)</f>
        <v>46288</v>
      </c>
    </row>
    <row r="158" customFormat="false" ht="15" hidden="false" customHeight="false" outlineLevel="0" collapsed="false">
      <c r="A158" s="28" t="s">
        <v>582</v>
      </c>
      <c r="B158" s="28" t="s">
        <v>254</v>
      </c>
      <c r="C158" s="35" t="n">
        <v>46288.7826388889</v>
      </c>
      <c r="D158" s="28" t="s">
        <v>308</v>
      </c>
      <c r="E158" s="38" t="n">
        <v>250</v>
      </c>
      <c r="F158" s="28" t="s">
        <v>225</v>
      </c>
      <c r="G158" s="28" t="s">
        <v>309</v>
      </c>
      <c r="H158" s="28" t="s">
        <v>313</v>
      </c>
      <c r="I158" s="28" t="s">
        <v>314</v>
      </c>
      <c r="J158" s="28"/>
      <c r="K158" s="28"/>
      <c r="L158" s="36" t="str">
        <f aca="false">IFERROR(INDEX(Transaction_Types!$B$5:$B$20,MATCH(D158,Transaction_Types!$A$5:$A$20,0)),"Not in catalogue")</f>
        <v>Supported</v>
      </c>
      <c r="M158" s="36" t="str">
        <f aca="false">IFERROR(INDEX(Transaction_Types!$C$5:$C$20,MATCH(D158,Transaction_Types!$A$5:$A$20,0)),"")</f>
        <v>Credit</v>
      </c>
      <c r="N158" s="39" t="n">
        <f aca="false">IF(G158="Posted",E158,0)</f>
        <v>250</v>
      </c>
      <c r="O158" s="36" t="n">
        <f aca="false">COUNTIFS($J$5:$J$3000,A158,$K$5:$K$3000,"Reverses")</f>
        <v>0</v>
      </c>
      <c r="P158" s="39" t="n">
        <f aca="false">IF(K158&lt;&gt;"","",IF(G158="Posted",E158+SUMIFS($N$5:$N$3000,$J$5:$J$3000,A158),0))</f>
        <v>250</v>
      </c>
      <c r="Q158" s="36" t="str">
        <f aca="false">IF(L158="Not in catalogue","CHECK type",IF(F158&lt;&gt;Settings!$B$6,"CHECK unit",IF(OR(AND(M158="Credit",E158&lt;=0),AND(M158="Debit",E158&gt;=0)),"CHECK sign",IF(D158="Reversal",IF(OR(J158="",COUNTIF($A$5:$A$3000,J158)=0),"CHECK reversal link",IF(E158&lt;&gt;-INDEX($E$5:$E$3000,MATCH(J158,$A$5:$A$3000,0)),"CHECK reversal amount","OK")),IF(AND(D158="Adjustment",K158&lt;&gt;"",COUNTIF($A$5:$A$3000,J158)=0),"CHECK correction link","OK")))))</f>
        <v>OK</v>
      </c>
      <c r="R158" s="40" t="n">
        <f aca="false">INT(C158)</f>
        <v>46288</v>
      </c>
    </row>
    <row r="159" customFormat="false" ht="15" hidden="false" customHeight="false" outlineLevel="0" collapsed="false">
      <c r="A159" s="28" t="s">
        <v>583</v>
      </c>
      <c r="B159" s="28" t="s">
        <v>265</v>
      </c>
      <c r="C159" s="35" t="n">
        <v>46288.88125</v>
      </c>
      <c r="D159" s="28" t="s">
        <v>308</v>
      </c>
      <c r="E159" s="38" t="n">
        <v>150</v>
      </c>
      <c r="F159" s="28" t="s">
        <v>225</v>
      </c>
      <c r="G159" s="28" t="s">
        <v>309</v>
      </c>
      <c r="H159" s="28" t="s">
        <v>316</v>
      </c>
      <c r="I159" s="28" t="s">
        <v>421</v>
      </c>
      <c r="J159" s="28"/>
      <c r="K159" s="28"/>
      <c r="L159" s="36" t="str">
        <f aca="false">IFERROR(INDEX(Transaction_Types!$B$5:$B$20,MATCH(D159,Transaction_Types!$A$5:$A$20,0)),"Not in catalogue")</f>
        <v>Supported</v>
      </c>
      <c r="M159" s="36" t="str">
        <f aca="false">IFERROR(INDEX(Transaction_Types!$C$5:$C$20,MATCH(D159,Transaction_Types!$A$5:$A$20,0)),"")</f>
        <v>Credit</v>
      </c>
      <c r="N159" s="39" t="n">
        <f aca="false">IF(G159="Posted",E159,0)</f>
        <v>150</v>
      </c>
      <c r="O159" s="36" t="n">
        <f aca="false">COUNTIFS($J$5:$J$3000,A159,$K$5:$K$3000,"Reverses")</f>
        <v>0</v>
      </c>
      <c r="P159" s="39" t="n">
        <f aca="false">IF(K159&lt;&gt;"","",IF(G159="Posted",E159+SUMIFS($N$5:$N$3000,$J$5:$J$3000,A159),0))</f>
        <v>150</v>
      </c>
      <c r="Q159" s="36" t="str">
        <f aca="false">IF(L159="Not in catalogue","CHECK type",IF(F159&lt;&gt;Settings!$B$6,"CHECK unit",IF(OR(AND(M159="Credit",E159&lt;=0),AND(M159="Debit",E159&gt;=0)),"CHECK sign",IF(D159="Reversal",IF(OR(J159="",COUNTIF($A$5:$A$3000,J159)=0),"CHECK reversal link",IF(E159&lt;&gt;-INDEX($E$5:$E$3000,MATCH(J159,$A$5:$A$3000,0)),"CHECK reversal amount","OK")),IF(AND(D159="Adjustment",K159&lt;&gt;"",COUNTIF($A$5:$A$3000,J159)=0),"CHECK correction link","OK")))))</f>
        <v>OK</v>
      </c>
      <c r="R159" s="40" t="n">
        <f aca="false">INT(C159)</f>
        <v>46288</v>
      </c>
    </row>
    <row r="160" customFormat="false" ht="15" hidden="false" customHeight="false" outlineLevel="0" collapsed="false">
      <c r="A160" s="28" t="s">
        <v>584</v>
      </c>
      <c r="B160" s="28" t="s">
        <v>277</v>
      </c>
      <c r="C160" s="35" t="n">
        <v>46289.0125</v>
      </c>
      <c r="D160" s="28" t="s">
        <v>308</v>
      </c>
      <c r="E160" s="38" t="n">
        <v>150</v>
      </c>
      <c r="F160" s="28" t="s">
        <v>225</v>
      </c>
      <c r="G160" s="28" t="s">
        <v>309</v>
      </c>
      <c r="H160" s="28" t="s">
        <v>316</v>
      </c>
      <c r="I160" s="28" t="s">
        <v>421</v>
      </c>
      <c r="J160" s="28"/>
      <c r="K160" s="28"/>
      <c r="L160" s="36" t="str">
        <f aca="false">IFERROR(INDEX(Transaction_Types!$B$5:$B$20,MATCH(D160,Transaction_Types!$A$5:$A$20,0)),"Not in catalogue")</f>
        <v>Supported</v>
      </c>
      <c r="M160" s="36" t="str">
        <f aca="false">IFERROR(INDEX(Transaction_Types!$C$5:$C$20,MATCH(D160,Transaction_Types!$A$5:$A$20,0)),"")</f>
        <v>Credit</v>
      </c>
      <c r="N160" s="39" t="n">
        <f aca="false">IF(G160="Posted",E160,0)</f>
        <v>150</v>
      </c>
      <c r="O160" s="36" t="n">
        <f aca="false">COUNTIFS($J$5:$J$3000,A160,$K$5:$K$3000,"Reverses")</f>
        <v>0</v>
      </c>
      <c r="P160" s="39" t="n">
        <f aca="false">IF(K160&lt;&gt;"","",IF(G160="Posted",E160+SUMIFS($N$5:$N$3000,$J$5:$J$3000,A160),0))</f>
        <v>150</v>
      </c>
      <c r="Q160" s="36" t="str">
        <f aca="false">IF(L160="Not in catalogue","CHECK type",IF(F160&lt;&gt;Settings!$B$6,"CHECK unit",IF(OR(AND(M160="Credit",E160&lt;=0),AND(M160="Debit",E160&gt;=0)),"CHECK sign",IF(D160="Reversal",IF(OR(J160="",COUNTIF($A$5:$A$3000,J160)=0),"CHECK reversal link",IF(E160&lt;&gt;-INDEX($E$5:$E$3000,MATCH(J160,$A$5:$A$3000,0)),"CHECK reversal amount","OK")),IF(AND(D160="Adjustment",K160&lt;&gt;"",COUNTIF($A$5:$A$3000,J160)=0),"CHECK correction link","OK")))))</f>
        <v>OK</v>
      </c>
      <c r="R160" s="40" t="n">
        <f aca="false">INT(C160)</f>
        <v>46289</v>
      </c>
    </row>
    <row r="161" customFormat="false" ht="15" hidden="false" customHeight="false" outlineLevel="0" collapsed="false">
      <c r="A161" s="28" t="s">
        <v>585</v>
      </c>
      <c r="B161" s="28" t="s">
        <v>239</v>
      </c>
      <c r="C161" s="35" t="n">
        <v>46289.10625</v>
      </c>
      <c r="D161" s="28" t="s">
        <v>308</v>
      </c>
      <c r="E161" s="38" t="n">
        <v>100</v>
      </c>
      <c r="F161" s="28" t="s">
        <v>225</v>
      </c>
      <c r="G161" s="28" t="s">
        <v>309</v>
      </c>
      <c r="H161" s="28" t="s">
        <v>310</v>
      </c>
      <c r="I161" s="28" t="s">
        <v>586</v>
      </c>
      <c r="J161" s="28"/>
      <c r="K161" s="28"/>
      <c r="L161" s="36" t="str">
        <f aca="false">IFERROR(INDEX(Transaction_Types!$B$5:$B$20,MATCH(D161,Transaction_Types!$A$5:$A$20,0)),"Not in catalogue")</f>
        <v>Supported</v>
      </c>
      <c r="M161" s="36" t="str">
        <f aca="false">IFERROR(INDEX(Transaction_Types!$C$5:$C$20,MATCH(D161,Transaction_Types!$A$5:$A$20,0)),"")</f>
        <v>Credit</v>
      </c>
      <c r="N161" s="39" t="n">
        <f aca="false">IF(G161="Posted",E161,0)</f>
        <v>100</v>
      </c>
      <c r="O161" s="36" t="n">
        <f aca="false">COUNTIFS($J$5:$J$3000,A161,$K$5:$K$3000,"Reverses")</f>
        <v>0</v>
      </c>
      <c r="P161" s="39" t="n">
        <f aca="false">IF(K161&lt;&gt;"","",IF(G161="Posted",E161+SUMIFS($N$5:$N$3000,$J$5:$J$3000,A161),0))</f>
        <v>100</v>
      </c>
      <c r="Q161" s="36" t="str">
        <f aca="false">IF(L161="Not in catalogue","CHECK type",IF(F161&lt;&gt;Settings!$B$6,"CHECK unit",IF(OR(AND(M161="Credit",E161&lt;=0),AND(M161="Debit",E161&gt;=0)),"CHECK sign",IF(D161="Reversal",IF(OR(J161="",COUNTIF($A$5:$A$3000,J161)=0),"CHECK reversal link",IF(E161&lt;&gt;-INDEX($E$5:$E$3000,MATCH(J161,$A$5:$A$3000,0)),"CHECK reversal amount","OK")),IF(AND(D161="Adjustment",K161&lt;&gt;"",COUNTIF($A$5:$A$3000,J161)=0),"CHECK correction link","OK")))))</f>
        <v>OK</v>
      </c>
      <c r="R161" s="40" t="n">
        <f aca="false">INT(C161)</f>
        <v>46289</v>
      </c>
    </row>
    <row r="162" customFormat="false" ht="15" hidden="false" customHeight="false" outlineLevel="0" collapsed="false">
      <c r="A162" s="28" t="s">
        <v>587</v>
      </c>
      <c r="B162" s="28" t="s">
        <v>236</v>
      </c>
      <c r="C162" s="35" t="n">
        <v>46289.3131944445</v>
      </c>
      <c r="D162" s="28" t="s">
        <v>308</v>
      </c>
      <c r="E162" s="38" t="n">
        <v>100</v>
      </c>
      <c r="F162" s="28" t="s">
        <v>225</v>
      </c>
      <c r="G162" s="28" t="s">
        <v>309</v>
      </c>
      <c r="H162" s="28" t="s">
        <v>313</v>
      </c>
      <c r="I162" s="28" t="s">
        <v>314</v>
      </c>
      <c r="J162" s="28"/>
      <c r="K162" s="28"/>
      <c r="L162" s="36" t="str">
        <f aca="false">IFERROR(INDEX(Transaction_Types!$B$5:$B$20,MATCH(D162,Transaction_Types!$A$5:$A$20,0)),"Not in catalogue")</f>
        <v>Supported</v>
      </c>
      <c r="M162" s="36" t="str">
        <f aca="false">IFERROR(INDEX(Transaction_Types!$C$5:$C$20,MATCH(D162,Transaction_Types!$A$5:$A$20,0)),"")</f>
        <v>Credit</v>
      </c>
      <c r="N162" s="39" t="n">
        <f aca="false">IF(G162="Posted",E162,0)</f>
        <v>100</v>
      </c>
      <c r="O162" s="36" t="n">
        <f aca="false">COUNTIFS($J$5:$J$3000,A162,$K$5:$K$3000,"Reverses")</f>
        <v>0</v>
      </c>
      <c r="P162" s="39" t="n">
        <f aca="false">IF(K162&lt;&gt;"","",IF(G162="Posted",E162+SUMIFS($N$5:$N$3000,$J$5:$J$3000,A162),0))</f>
        <v>100</v>
      </c>
      <c r="Q162" s="36" t="str">
        <f aca="false">IF(L162="Not in catalogue","CHECK type",IF(F162&lt;&gt;Settings!$B$6,"CHECK unit",IF(OR(AND(M162="Credit",E162&lt;=0),AND(M162="Debit",E162&gt;=0)),"CHECK sign",IF(D162="Reversal",IF(OR(J162="",COUNTIF($A$5:$A$3000,J162)=0),"CHECK reversal link",IF(E162&lt;&gt;-INDEX($E$5:$E$3000,MATCH(J162,$A$5:$A$3000,0)),"CHECK reversal amount","OK")),IF(AND(D162="Adjustment",K162&lt;&gt;"",COUNTIF($A$5:$A$3000,J162)=0),"CHECK correction link","OK")))))</f>
        <v>OK</v>
      </c>
      <c r="R162" s="40" t="n">
        <f aca="false">INT(C162)</f>
        <v>46289</v>
      </c>
    </row>
    <row r="163" customFormat="false" ht="15" hidden="false" customHeight="false" outlineLevel="0" collapsed="false">
      <c r="A163" s="28" t="s">
        <v>588</v>
      </c>
      <c r="B163" s="28" t="s">
        <v>368</v>
      </c>
      <c r="C163" s="35" t="n">
        <v>46289.4986111111</v>
      </c>
      <c r="D163" s="28" t="s">
        <v>308</v>
      </c>
      <c r="E163" s="38" t="n">
        <v>300</v>
      </c>
      <c r="F163" s="28" t="s">
        <v>225</v>
      </c>
      <c r="G163" s="28" t="s">
        <v>309</v>
      </c>
      <c r="H163" s="28" t="s">
        <v>310</v>
      </c>
      <c r="I163" s="28" t="s">
        <v>589</v>
      </c>
      <c r="J163" s="28"/>
      <c r="K163" s="28"/>
      <c r="L163" s="36" t="str">
        <f aca="false">IFERROR(INDEX(Transaction_Types!$B$5:$B$20,MATCH(D163,Transaction_Types!$A$5:$A$20,0)),"Not in catalogue")</f>
        <v>Supported</v>
      </c>
      <c r="M163" s="36" t="str">
        <f aca="false">IFERROR(INDEX(Transaction_Types!$C$5:$C$20,MATCH(D163,Transaction_Types!$A$5:$A$20,0)),"")</f>
        <v>Credit</v>
      </c>
      <c r="N163" s="39" t="n">
        <f aca="false">IF(G163="Posted",E163,0)</f>
        <v>300</v>
      </c>
      <c r="O163" s="36" t="n">
        <f aca="false">COUNTIFS($J$5:$J$3000,A163,$K$5:$K$3000,"Reverses")</f>
        <v>0</v>
      </c>
      <c r="P163" s="39" t="n">
        <f aca="false">IF(K163&lt;&gt;"","",IF(G163="Posted",E163+SUMIFS($N$5:$N$3000,$J$5:$J$3000,A163),0))</f>
        <v>300</v>
      </c>
      <c r="Q163" s="36" t="str">
        <f aca="false">IF(L163="Not in catalogue","CHECK type",IF(F163&lt;&gt;Settings!$B$6,"CHECK unit",IF(OR(AND(M163="Credit",E163&lt;=0),AND(M163="Debit",E163&gt;=0)),"CHECK sign",IF(D163="Reversal",IF(OR(J163="",COUNTIF($A$5:$A$3000,J163)=0),"CHECK reversal link",IF(E163&lt;&gt;-INDEX($E$5:$E$3000,MATCH(J163,$A$5:$A$3000,0)),"CHECK reversal amount","OK")),IF(AND(D163="Adjustment",K163&lt;&gt;"",COUNTIF($A$5:$A$3000,J163)=0),"CHECK correction link","OK")))))</f>
        <v>OK</v>
      </c>
      <c r="R163" s="40" t="n">
        <f aca="false">INT(C163)</f>
        <v>46289</v>
      </c>
    </row>
    <row r="164" customFormat="false" ht="15" hidden="false" customHeight="false" outlineLevel="0" collapsed="false">
      <c r="A164" s="28" t="s">
        <v>590</v>
      </c>
      <c r="B164" s="28" t="s">
        <v>239</v>
      </c>
      <c r="C164" s="35" t="n">
        <v>46289.7128515494</v>
      </c>
      <c r="D164" s="28" t="s">
        <v>383</v>
      </c>
      <c r="E164" s="38" t="n">
        <v>-700</v>
      </c>
      <c r="F164" s="28" t="s">
        <v>225</v>
      </c>
      <c r="G164" s="28" t="s">
        <v>309</v>
      </c>
      <c r="H164" s="28" t="s">
        <v>384</v>
      </c>
      <c r="I164" s="28" t="s">
        <v>256</v>
      </c>
      <c r="J164" s="28"/>
      <c r="K164" s="28"/>
      <c r="L164" s="36" t="str">
        <f aca="false">IFERROR(INDEX(Transaction_Types!$B$5:$B$20,MATCH(D164,Transaction_Types!$A$5:$A$20,0)),"Not in catalogue")</f>
        <v>Supported</v>
      </c>
      <c r="M164" s="36" t="str">
        <f aca="false">IFERROR(INDEX(Transaction_Types!$C$5:$C$20,MATCH(D164,Transaction_Types!$A$5:$A$20,0)),"")</f>
        <v>Debit</v>
      </c>
      <c r="N164" s="39" t="n">
        <f aca="false">IF(G164="Posted",E164,0)</f>
        <v>-700</v>
      </c>
      <c r="O164" s="36" t="n">
        <f aca="false">COUNTIFS($J$5:$J$3000,A164,$K$5:$K$3000,"Reverses")</f>
        <v>0</v>
      </c>
      <c r="P164" s="39" t="n">
        <f aca="false">IF(K164&lt;&gt;"","",IF(G164="Posted",E164+SUMIFS($N$5:$N$3000,$J$5:$J$3000,A164),0))</f>
        <v>-700</v>
      </c>
      <c r="Q164" s="36" t="str">
        <f aca="false">IF(L164="Not in catalogue","CHECK type",IF(F164&lt;&gt;Settings!$B$6,"CHECK unit",IF(OR(AND(M164="Credit",E164&lt;=0),AND(M164="Debit",E164&gt;=0)),"CHECK sign",IF(D164="Reversal",IF(OR(J164="",COUNTIF($A$5:$A$3000,J164)=0),"CHECK reversal link",IF(E164&lt;&gt;-INDEX($E$5:$E$3000,MATCH(J164,$A$5:$A$3000,0)),"CHECK reversal amount","OK")),IF(AND(D164="Adjustment",K164&lt;&gt;"",COUNTIF($A$5:$A$3000,J164)=0),"CHECK correction link","OK")))))</f>
        <v>OK</v>
      </c>
      <c r="R164" s="40" t="n">
        <f aca="false">INT(C164)</f>
        <v>46289</v>
      </c>
    </row>
    <row r="165" customFormat="false" ht="15" hidden="false" customHeight="false" outlineLevel="0" collapsed="false">
      <c r="A165" s="28" t="s">
        <v>591</v>
      </c>
      <c r="B165" s="28" t="s">
        <v>275</v>
      </c>
      <c r="C165" s="35" t="n">
        <v>46289.8548611111</v>
      </c>
      <c r="D165" s="28" t="s">
        <v>308</v>
      </c>
      <c r="E165" s="38" t="n">
        <v>200</v>
      </c>
      <c r="F165" s="28" t="s">
        <v>225</v>
      </c>
      <c r="G165" s="28" t="s">
        <v>309</v>
      </c>
      <c r="H165" s="28" t="s">
        <v>310</v>
      </c>
      <c r="I165" s="28" t="s">
        <v>592</v>
      </c>
      <c r="J165" s="28"/>
      <c r="K165" s="28"/>
      <c r="L165" s="36" t="str">
        <f aca="false">IFERROR(INDEX(Transaction_Types!$B$5:$B$20,MATCH(D165,Transaction_Types!$A$5:$A$20,0)),"Not in catalogue")</f>
        <v>Supported</v>
      </c>
      <c r="M165" s="36" t="str">
        <f aca="false">IFERROR(INDEX(Transaction_Types!$C$5:$C$20,MATCH(D165,Transaction_Types!$A$5:$A$20,0)),"")</f>
        <v>Credit</v>
      </c>
      <c r="N165" s="39" t="n">
        <f aca="false">IF(G165="Posted",E165,0)</f>
        <v>200</v>
      </c>
      <c r="O165" s="36" t="n">
        <f aca="false">COUNTIFS($J$5:$J$3000,A165,$K$5:$K$3000,"Reverses")</f>
        <v>0</v>
      </c>
      <c r="P165" s="39" t="n">
        <f aca="false">IF(K165&lt;&gt;"","",IF(G165="Posted",E165+SUMIFS($N$5:$N$3000,$J$5:$J$3000,A165),0))</f>
        <v>200</v>
      </c>
      <c r="Q165" s="36" t="str">
        <f aca="false">IF(L165="Not in catalogue","CHECK type",IF(F165&lt;&gt;Settings!$B$6,"CHECK unit",IF(OR(AND(M165="Credit",E165&lt;=0),AND(M165="Debit",E165&gt;=0)),"CHECK sign",IF(D165="Reversal",IF(OR(J165="",COUNTIF($A$5:$A$3000,J165)=0),"CHECK reversal link",IF(E165&lt;&gt;-INDEX($E$5:$E$3000,MATCH(J165,$A$5:$A$3000,0)),"CHECK reversal amount","OK")),IF(AND(D165="Adjustment",K165&lt;&gt;"",COUNTIF($A$5:$A$3000,J165)=0),"CHECK correction link","OK")))))</f>
        <v>OK</v>
      </c>
      <c r="R165" s="40" t="n">
        <f aca="false">INT(C165)</f>
        <v>46289</v>
      </c>
    </row>
    <row r="166" customFormat="false" ht="15" hidden="false" customHeight="false" outlineLevel="0" collapsed="false">
      <c r="A166" s="28" t="s">
        <v>593</v>
      </c>
      <c r="B166" s="28" t="s">
        <v>249</v>
      </c>
      <c r="C166" s="35" t="n">
        <v>46289.8673611111</v>
      </c>
      <c r="D166" s="28" t="s">
        <v>308</v>
      </c>
      <c r="E166" s="38" t="n">
        <v>150</v>
      </c>
      <c r="F166" s="28" t="s">
        <v>225</v>
      </c>
      <c r="G166" s="28" t="s">
        <v>309</v>
      </c>
      <c r="H166" s="28" t="s">
        <v>313</v>
      </c>
      <c r="I166" s="28" t="s">
        <v>314</v>
      </c>
      <c r="J166" s="28"/>
      <c r="K166" s="28"/>
      <c r="L166" s="36" t="str">
        <f aca="false">IFERROR(INDEX(Transaction_Types!$B$5:$B$20,MATCH(D166,Transaction_Types!$A$5:$A$20,0)),"Not in catalogue")</f>
        <v>Supported</v>
      </c>
      <c r="M166" s="36" t="str">
        <f aca="false">IFERROR(INDEX(Transaction_Types!$C$5:$C$20,MATCH(D166,Transaction_Types!$A$5:$A$20,0)),"")</f>
        <v>Credit</v>
      </c>
      <c r="N166" s="39" t="n">
        <f aca="false">IF(G166="Posted",E166,0)</f>
        <v>150</v>
      </c>
      <c r="O166" s="36" t="n">
        <f aca="false">COUNTIFS($J$5:$J$3000,A166,$K$5:$K$3000,"Reverses")</f>
        <v>0</v>
      </c>
      <c r="P166" s="39" t="n">
        <f aca="false">IF(K166&lt;&gt;"","",IF(G166="Posted",E166+SUMIFS($N$5:$N$3000,$J$5:$J$3000,A166),0))</f>
        <v>150</v>
      </c>
      <c r="Q166" s="36" t="str">
        <f aca="false">IF(L166="Not in catalogue","CHECK type",IF(F166&lt;&gt;Settings!$B$6,"CHECK unit",IF(OR(AND(M166="Credit",E166&lt;=0),AND(M166="Debit",E166&gt;=0)),"CHECK sign",IF(D166="Reversal",IF(OR(J166="",COUNTIF($A$5:$A$3000,J166)=0),"CHECK reversal link",IF(E166&lt;&gt;-INDEX($E$5:$E$3000,MATCH(J166,$A$5:$A$3000,0)),"CHECK reversal amount","OK")),IF(AND(D166="Adjustment",K166&lt;&gt;"",COUNTIF($A$5:$A$3000,J166)=0),"CHECK correction link","OK")))))</f>
        <v>OK</v>
      </c>
      <c r="R166" s="40" t="n">
        <f aca="false">INT(C166)</f>
        <v>46289</v>
      </c>
    </row>
    <row r="167" customFormat="false" ht="15" hidden="false" customHeight="false" outlineLevel="0" collapsed="false">
      <c r="A167" s="28" t="s">
        <v>594</v>
      </c>
      <c r="B167" s="28" t="s">
        <v>368</v>
      </c>
      <c r="C167" s="35" t="n">
        <v>46290.0347222222</v>
      </c>
      <c r="D167" s="28" t="s">
        <v>308</v>
      </c>
      <c r="E167" s="38" t="n">
        <v>400</v>
      </c>
      <c r="F167" s="28" t="s">
        <v>225</v>
      </c>
      <c r="G167" s="28" t="s">
        <v>309</v>
      </c>
      <c r="H167" s="28" t="s">
        <v>310</v>
      </c>
      <c r="I167" s="28" t="s">
        <v>595</v>
      </c>
      <c r="J167" s="28"/>
      <c r="K167" s="28"/>
      <c r="L167" s="36" t="str">
        <f aca="false">IFERROR(INDEX(Transaction_Types!$B$5:$B$20,MATCH(D167,Transaction_Types!$A$5:$A$20,0)),"Not in catalogue")</f>
        <v>Supported</v>
      </c>
      <c r="M167" s="36" t="str">
        <f aca="false">IFERROR(INDEX(Transaction_Types!$C$5:$C$20,MATCH(D167,Transaction_Types!$A$5:$A$20,0)),"")</f>
        <v>Credit</v>
      </c>
      <c r="N167" s="39" t="n">
        <f aca="false">IF(G167="Posted",E167,0)</f>
        <v>400</v>
      </c>
      <c r="O167" s="36" t="n">
        <f aca="false">COUNTIFS($J$5:$J$3000,A167,$K$5:$K$3000,"Reverses")</f>
        <v>0</v>
      </c>
      <c r="P167" s="39" t="n">
        <f aca="false">IF(K167&lt;&gt;"","",IF(G167="Posted",E167+SUMIFS($N$5:$N$3000,$J$5:$J$3000,A167),0))</f>
        <v>400</v>
      </c>
      <c r="Q167" s="36" t="str">
        <f aca="false">IF(L167="Not in catalogue","CHECK type",IF(F167&lt;&gt;Settings!$B$6,"CHECK unit",IF(OR(AND(M167="Credit",E167&lt;=0),AND(M167="Debit",E167&gt;=0)),"CHECK sign",IF(D167="Reversal",IF(OR(J167="",COUNTIF($A$5:$A$3000,J167)=0),"CHECK reversal link",IF(E167&lt;&gt;-INDEX($E$5:$E$3000,MATCH(J167,$A$5:$A$3000,0)),"CHECK reversal amount","OK")),IF(AND(D167="Adjustment",K167&lt;&gt;"",COUNTIF($A$5:$A$3000,J167)=0),"CHECK correction link","OK")))))</f>
        <v>OK</v>
      </c>
      <c r="R167" s="40" t="n">
        <f aca="false">INT(C167)</f>
        <v>46290</v>
      </c>
    </row>
    <row r="168" customFormat="false" ht="15" hidden="false" customHeight="false" outlineLevel="0" collapsed="false">
      <c r="A168" s="28" t="s">
        <v>596</v>
      </c>
      <c r="B168" s="28" t="s">
        <v>239</v>
      </c>
      <c r="C168" s="35" t="n">
        <v>46290.1534722222</v>
      </c>
      <c r="D168" s="28" t="s">
        <v>308</v>
      </c>
      <c r="E168" s="38" t="n">
        <v>500</v>
      </c>
      <c r="F168" s="28" t="s">
        <v>225</v>
      </c>
      <c r="G168" s="28" t="s">
        <v>309</v>
      </c>
      <c r="H168" s="28" t="s">
        <v>316</v>
      </c>
      <c r="I168" s="28" t="s">
        <v>597</v>
      </c>
      <c r="J168" s="28"/>
      <c r="K168" s="28"/>
      <c r="L168" s="36" t="str">
        <f aca="false">IFERROR(INDEX(Transaction_Types!$B$5:$B$20,MATCH(D168,Transaction_Types!$A$5:$A$20,0)),"Not in catalogue")</f>
        <v>Supported</v>
      </c>
      <c r="M168" s="36" t="str">
        <f aca="false">IFERROR(INDEX(Transaction_Types!$C$5:$C$20,MATCH(D168,Transaction_Types!$A$5:$A$20,0)),"")</f>
        <v>Credit</v>
      </c>
      <c r="N168" s="39" t="n">
        <f aca="false">IF(G168="Posted",E168,0)</f>
        <v>500</v>
      </c>
      <c r="O168" s="36" t="n">
        <f aca="false">COUNTIFS($J$5:$J$3000,A168,$K$5:$K$3000,"Reverses")</f>
        <v>0</v>
      </c>
      <c r="P168" s="39" t="n">
        <f aca="false">IF(K168&lt;&gt;"","",IF(G168="Posted",E168+SUMIFS($N$5:$N$3000,$J$5:$J$3000,A168),0))</f>
        <v>500</v>
      </c>
      <c r="Q168" s="36" t="str">
        <f aca="false">IF(L168="Not in catalogue","CHECK type",IF(F168&lt;&gt;Settings!$B$6,"CHECK unit",IF(OR(AND(M168="Credit",E168&lt;=0),AND(M168="Debit",E168&gt;=0)),"CHECK sign",IF(D168="Reversal",IF(OR(J168="",COUNTIF($A$5:$A$3000,J168)=0),"CHECK reversal link",IF(E168&lt;&gt;-INDEX($E$5:$E$3000,MATCH(J168,$A$5:$A$3000,0)),"CHECK reversal amount","OK")),IF(AND(D168="Adjustment",K168&lt;&gt;"",COUNTIF($A$5:$A$3000,J168)=0),"CHECK correction link","OK")))))</f>
        <v>OK</v>
      </c>
      <c r="R168" s="40" t="n">
        <f aca="false">INT(C168)</f>
        <v>46290</v>
      </c>
    </row>
    <row r="169" customFormat="false" ht="15" hidden="false" customHeight="false" outlineLevel="0" collapsed="false">
      <c r="A169" s="28" t="s">
        <v>598</v>
      </c>
      <c r="B169" s="28" t="s">
        <v>239</v>
      </c>
      <c r="C169" s="35" t="n">
        <v>46290.2034722222</v>
      </c>
      <c r="D169" s="28" t="s">
        <v>308</v>
      </c>
      <c r="E169" s="38" t="n">
        <v>300</v>
      </c>
      <c r="F169" s="28" t="s">
        <v>225</v>
      </c>
      <c r="G169" s="28" t="s">
        <v>309</v>
      </c>
      <c r="H169" s="28" t="s">
        <v>310</v>
      </c>
      <c r="I169" s="28" t="s">
        <v>599</v>
      </c>
      <c r="J169" s="28"/>
      <c r="K169" s="28"/>
      <c r="L169" s="36" t="str">
        <f aca="false">IFERROR(INDEX(Transaction_Types!$B$5:$B$20,MATCH(D169,Transaction_Types!$A$5:$A$20,0)),"Not in catalogue")</f>
        <v>Supported</v>
      </c>
      <c r="M169" s="36" t="str">
        <f aca="false">IFERROR(INDEX(Transaction_Types!$C$5:$C$20,MATCH(D169,Transaction_Types!$A$5:$A$20,0)),"")</f>
        <v>Credit</v>
      </c>
      <c r="N169" s="39" t="n">
        <f aca="false">IF(G169="Posted",E169,0)</f>
        <v>300</v>
      </c>
      <c r="O169" s="36" t="n">
        <f aca="false">COUNTIFS($J$5:$J$3000,A169,$K$5:$K$3000,"Reverses")</f>
        <v>0</v>
      </c>
      <c r="P169" s="39" t="n">
        <f aca="false">IF(K169&lt;&gt;"","",IF(G169="Posted",E169+SUMIFS($N$5:$N$3000,$J$5:$J$3000,A169),0))</f>
        <v>300</v>
      </c>
      <c r="Q169" s="36" t="str">
        <f aca="false">IF(L169="Not in catalogue","CHECK type",IF(F169&lt;&gt;Settings!$B$6,"CHECK unit",IF(OR(AND(M169="Credit",E169&lt;=0),AND(M169="Debit",E169&gt;=0)),"CHECK sign",IF(D169="Reversal",IF(OR(J169="",COUNTIF($A$5:$A$3000,J169)=0),"CHECK reversal link",IF(E169&lt;&gt;-INDEX($E$5:$E$3000,MATCH(J169,$A$5:$A$3000,0)),"CHECK reversal amount","OK")),IF(AND(D169="Adjustment",K169&lt;&gt;"",COUNTIF($A$5:$A$3000,J169)=0),"CHECK correction link","OK")))))</f>
        <v>OK</v>
      </c>
      <c r="R169" s="40" t="n">
        <f aca="false">INT(C169)</f>
        <v>46290</v>
      </c>
    </row>
    <row r="170" customFormat="false" ht="15" hidden="false" customHeight="false" outlineLevel="0" collapsed="false">
      <c r="A170" s="28" t="s">
        <v>600</v>
      </c>
      <c r="B170" s="28" t="s">
        <v>239</v>
      </c>
      <c r="C170" s="35" t="n">
        <v>46290.2701388889</v>
      </c>
      <c r="D170" s="28" t="s">
        <v>308</v>
      </c>
      <c r="E170" s="38" t="n">
        <v>300</v>
      </c>
      <c r="F170" s="28" t="s">
        <v>225</v>
      </c>
      <c r="G170" s="28" t="s">
        <v>309</v>
      </c>
      <c r="H170" s="28" t="s">
        <v>316</v>
      </c>
      <c r="I170" s="28" t="s">
        <v>320</v>
      </c>
      <c r="J170" s="28"/>
      <c r="K170" s="28"/>
      <c r="L170" s="36" t="str">
        <f aca="false">IFERROR(INDEX(Transaction_Types!$B$5:$B$20,MATCH(D170,Transaction_Types!$A$5:$A$20,0)),"Not in catalogue")</f>
        <v>Supported</v>
      </c>
      <c r="M170" s="36" t="str">
        <f aca="false">IFERROR(INDEX(Transaction_Types!$C$5:$C$20,MATCH(D170,Transaction_Types!$A$5:$A$20,0)),"")</f>
        <v>Credit</v>
      </c>
      <c r="N170" s="39" t="n">
        <f aca="false">IF(G170="Posted",E170,0)</f>
        <v>300</v>
      </c>
      <c r="O170" s="36" t="n">
        <f aca="false">COUNTIFS($J$5:$J$3000,A170,$K$5:$K$3000,"Reverses")</f>
        <v>0</v>
      </c>
      <c r="P170" s="39" t="n">
        <f aca="false">IF(K170&lt;&gt;"","",IF(G170="Posted",E170+SUMIFS($N$5:$N$3000,$J$5:$J$3000,A170),0))</f>
        <v>300</v>
      </c>
      <c r="Q170" s="36" t="str">
        <f aca="false">IF(L170="Not in catalogue","CHECK type",IF(F170&lt;&gt;Settings!$B$6,"CHECK unit",IF(OR(AND(M170="Credit",E170&lt;=0),AND(M170="Debit",E170&gt;=0)),"CHECK sign",IF(D170="Reversal",IF(OR(J170="",COUNTIF($A$5:$A$3000,J170)=0),"CHECK reversal link",IF(E170&lt;&gt;-INDEX($E$5:$E$3000,MATCH(J170,$A$5:$A$3000,0)),"CHECK reversal amount","OK")),IF(AND(D170="Adjustment",K170&lt;&gt;"",COUNTIF($A$5:$A$3000,J170)=0),"CHECK correction link","OK")))))</f>
        <v>OK</v>
      </c>
      <c r="R170" s="40" t="n">
        <f aca="false">INT(C170)</f>
        <v>46290</v>
      </c>
    </row>
    <row r="171" customFormat="false" ht="15" hidden="false" customHeight="false" outlineLevel="0" collapsed="false">
      <c r="A171" s="28" t="s">
        <v>601</v>
      </c>
      <c r="B171" s="28" t="s">
        <v>231</v>
      </c>
      <c r="C171" s="35" t="n">
        <v>46290.3569444444</v>
      </c>
      <c r="D171" s="28" t="s">
        <v>308</v>
      </c>
      <c r="E171" s="38" t="n">
        <v>300</v>
      </c>
      <c r="F171" s="28" t="s">
        <v>225</v>
      </c>
      <c r="G171" s="28" t="s">
        <v>309</v>
      </c>
      <c r="H171" s="28" t="s">
        <v>310</v>
      </c>
      <c r="I171" s="28" t="s">
        <v>602</v>
      </c>
      <c r="J171" s="28"/>
      <c r="K171" s="28"/>
      <c r="L171" s="36" t="str">
        <f aca="false">IFERROR(INDEX(Transaction_Types!$B$5:$B$20,MATCH(D171,Transaction_Types!$A$5:$A$20,0)),"Not in catalogue")</f>
        <v>Supported</v>
      </c>
      <c r="M171" s="36" t="str">
        <f aca="false">IFERROR(INDEX(Transaction_Types!$C$5:$C$20,MATCH(D171,Transaction_Types!$A$5:$A$20,0)),"")</f>
        <v>Credit</v>
      </c>
      <c r="N171" s="39" t="n">
        <f aca="false">IF(G171="Posted",E171,0)</f>
        <v>300</v>
      </c>
      <c r="O171" s="36" t="n">
        <f aca="false">COUNTIFS($J$5:$J$3000,A171,$K$5:$K$3000,"Reverses")</f>
        <v>0</v>
      </c>
      <c r="P171" s="39" t="n">
        <f aca="false">IF(K171&lt;&gt;"","",IF(G171="Posted",E171+SUMIFS($N$5:$N$3000,$J$5:$J$3000,A171),0))</f>
        <v>300</v>
      </c>
      <c r="Q171" s="36" t="str">
        <f aca="false">IF(L171="Not in catalogue","CHECK type",IF(F171&lt;&gt;Settings!$B$6,"CHECK unit",IF(OR(AND(M171="Credit",E171&lt;=0),AND(M171="Debit",E171&gt;=0)),"CHECK sign",IF(D171="Reversal",IF(OR(J171="",COUNTIF($A$5:$A$3000,J171)=0),"CHECK reversal link",IF(E171&lt;&gt;-INDEX($E$5:$E$3000,MATCH(J171,$A$5:$A$3000,0)),"CHECK reversal amount","OK")),IF(AND(D171="Adjustment",K171&lt;&gt;"",COUNTIF($A$5:$A$3000,J171)=0),"CHECK correction link","OK")))))</f>
        <v>OK</v>
      </c>
      <c r="R171" s="40" t="n">
        <f aca="false">INT(C171)</f>
        <v>46290</v>
      </c>
    </row>
    <row r="172" customFormat="false" ht="15" hidden="false" customHeight="false" outlineLevel="0" collapsed="false">
      <c r="A172" s="28" t="s">
        <v>603</v>
      </c>
      <c r="B172" s="28" t="s">
        <v>234</v>
      </c>
      <c r="C172" s="35" t="n">
        <v>46290.4215277778</v>
      </c>
      <c r="D172" s="28" t="s">
        <v>308</v>
      </c>
      <c r="E172" s="38" t="n">
        <v>200</v>
      </c>
      <c r="F172" s="28" t="s">
        <v>225</v>
      </c>
      <c r="G172" s="28" t="s">
        <v>309</v>
      </c>
      <c r="H172" s="28" t="s">
        <v>310</v>
      </c>
      <c r="I172" s="28" t="s">
        <v>604</v>
      </c>
      <c r="J172" s="28"/>
      <c r="K172" s="28"/>
      <c r="L172" s="36" t="str">
        <f aca="false">IFERROR(INDEX(Transaction_Types!$B$5:$B$20,MATCH(D172,Transaction_Types!$A$5:$A$20,0)),"Not in catalogue")</f>
        <v>Supported</v>
      </c>
      <c r="M172" s="36" t="str">
        <f aca="false">IFERROR(INDEX(Transaction_Types!$C$5:$C$20,MATCH(D172,Transaction_Types!$A$5:$A$20,0)),"")</f>
        <v>Credit</v>
      </c>
      <c r="N172" s="39" t="n">
        <f aca="false">IF(G172="Posted",E172,0)</f>
        <v>200</v>
      </c>
      <c r="O172" s="36" t="n">
        <f aca="false">COUNTIFS($J$5:$J$3000,A172,$K$5:$K$3000,"Reverses")</f>
        <v>0</v>
      </c>
      <c r="P172" s="39" t="n">
        <f aca="false">IF(K172&lt;&gt;"","",IF(G172="Posted",E172+SUMIFS($N$5:$N$3000,$J$5:$J$3000,A172),0))</f>
        <v>150</v>
      </c>
      <c r="Q172" s="36" t="str">
        <f aca="false">IF(L172="Not in catalogue","CHECK type",IF(F172&lt;&gt;Settings!$B$6,"CHECK unit",IF(OR(AND(M172="Credit",E172&lt;=0),AND(M172="Debit",E172&gt;=0)),"CHECK sign",IF(D172="Reversal",IF(OR(J172="",COUNTIF($A$5:$A$3000,J172)=0),"CHECK reversal link",IF(E172&lt;&gt;-INDEX($E$5:$E$3000,MATCH(J172,$A$5:$A$3000,0)),"CHECK reversal amount","OK")),IF(AND(D172="Adjustment",K172&lt;&gt;"",COUNTIF($A$5:$A$3000,J172)=0),"CHECK correction link","OK")))))</f>
        <v>OK</v>
      </c>
      <c r="R172" s="40" t="n">
        <f aca="false">INT(C172)</f>
        <v>46290</v>
      </c>
    </row>
    <row r="173" customFormat="false" ht="15" hidden="false" customHeight="false" outlineLevel="0" collapsed="false">
      <c r="A173" s="28" t="s">
        <v>605</v>
      </c>
      <c r="B173" s="28" t="s">
        <v>265</v>
      </c>
      <c r="C173" s="35" t="n">
        <v>46290.8979166667</v>
      </c>
      <c r="D173" s="28" t="s">
        <v>308</v>
      </c>
      <c r="E173" s="38" t="n">
        <v>100</v>
      </c>
      <c r="F173" s="28" t="s">
        <v>225</v>
      </c>
      <c r="G173" s="28" t="s">
        <v>309</v>
      </c>
      <c r="H173" s="28" t="s">
        <v>310</v>
      </c>
      <c r="I173" s="28" t="s">
        <v>606</v>
      </c>
      <c r="J173" s="28"/>
      <c r="K173" s="28"/>
      <c r="L173" s="36" t="str">
        <f aca="false">IFERROR(INDEX(Transaction_Types!$B$5:$B$20,MATCH(D173,Transaction_Types!$A$5:$A$20,0)),"Not in catalogue")</f>
        <v>Supported</v>
      </c>
      <c r="M173" s="36" t="str">
        <f aca="false">IFERROR(INDEX(Transaction_Types!$C$5:$C$20,MATCH(D173,Transaction_Types!$A$5:$A$20,0)),"")</f>
        <v>Credit</v>
      </c>
      <c r="N173" s="39" t="n">
        <f aca="false">IF(G173="Posted",E173,0)</f>
        <v>100</v>
      </c>
      <c r="O173" s="36" t="n">
        <f aca="false">COUNTIFS($J$5:$J$3000,A173,$K$5:$K$3000,"Reverses")</f>
        <v>0</v>
      </c>
      <c r="P173" s="39" t="n">
        <f aca="false">IF(K173&lt;&gt;"","",IF(G173="Posted",E173+SUMIFS($N$5:$N$3000,$J$5:$J$3000,A173),0))</f>
        <v>100</v>
      </c>
      <c r="Q173" s="36" t="str">
        <f aca="false">IF(L173="Not in catalogue","CHECK type",IF(F173&lt;&gt;Settings!$B$6,"CHECK unit",IF(OR(AND(M173="Credit",E173&lt;=0),AND(M173="Debit",E173&gt;=0)),"CHECK sign",IF(D173="Reversal",IF(OR(J173="",COUNTIF($A$5:$A$3000,J173)=0),"CHECK reversal link",IF(E173&lt;&gt;-INDEX($E$5:$E$3000,MATCH(J173,$A$5:$A$3000,0)),"CHECK reversal amount","OK")),IF(AND(D173="Adjustment",K173&lt;&gt;"",COUNTIF($A$5:$A$3000,J173)=0),"CHECK correction link","OK")))))</f>
        <v>OK</v>
      </c>
      <c r="R173" s="40" t="n">
        <f aca="false">INT(C173)</f>
        <v>46290</v>
      </c>
    </row>
    <row r="174" customFormat="false" ht="15" hidden="false" customHeight="false" outlineLevel="0" collapsed="false">
      <c r="A174" s="28" t="s">
        <v>607</v>
      </c>
      <c r="B174" s="28" t="s">
        <v>269</v>
      </c>
      <c r="C174" s="35" t="n">
        <v>46290.9527777778</v>
      </c>
      <c r="D174" s="28" t="s">
        <v>308</v>
      </c>
      <c r="E174" s="38" t="n">
        <v>100</v>
      </c>
      <c r="F174" s="28" t="s">
        <v>225</v>
      </c>
      <c r="G174" s="28" t="s">
        <v>309</v>
      </c>
      <c r="H174" s="28" t="s">
        <v>310</v>
      </c>
      <c r="I174" s="28" t="s">
        <v>608</v>
      </c>
      <c r="J174" s="28"/>
      <c r="K174" s="28"/>
      <c r="L174" s="36" t="str">
        <f aca="false">IFERROR(INDEX(Transaction_Types!$B$5:$B$20,MATCH(D174,Transaction_Types!$A$5:$A$20,0)),"Not in catalogue")</f>
        <v>Supported</v>
      </c>
      <c r="M174" s="36" t="str">
        <f aca="false">IFERROR(INDEX(Transaction_Types!$C$5:$C$20,MATCH(D174,Transaction_Types!$A$5:$A$20,0)),"")</f>
        <v>Credit</v>
      </c>
      <c r="N174" s="39" t="n">
        <f aca="false">IF(G174="Posted",E174,0)</f>
        <v>100</v>
      </c>
      <c r="O174" s="36" t="n">
        <f aca="false">COUNTIFS($J$5:$J$3000,A174,$K$5:$K$3000,"Reverses")</f>
        <v>0</v>
      </c>
      <c r="P174" s="39" t="n">
        <f aca="false">IF(K174&lt;&gt;"","",IF(G174="Posted",E174+SUMIFS($N$5:$N$3000,$J$5:$J$3000,A174),0))</f>
        <v>100</v>
      </c>
      <c r="Q174" s="36" t="str">
        <f aca="false">IF(L174="Not in catalogue","CHECK type",IF(F174&lt;&gt;Settings!$B$6,"CHECK unit",IF(OR(AND(M174="Credit",E174&lt;=0),AND(M174="Debit",E174&gt;=0)),"CHECK sign",IF(D174="Reversal",IF(OR(J174="",COUNTIF($A$5:$A$3000,J174)=0),"CHECK reversal link",IF(E174&lt;&gt;-INDEX($E$5:$E$3000,MATCH(J174,$A$5:$A$3000,0)),"CHECK reversal amount","OK")),IF(AND(D174="Adjustment",K174&lt;&gt;"",COUNTIF($A$5:$A$3000,J174)=0),"CHECK correction link","OK")))))</f>
        <v>OK</v>
      </c>
      <c r="R174" s="40" t="n">
        <f aca="false">INT(C174)</f>
        <v>46290</v>
      </c>
    </row>
    <row r="175" customFormat="false" ht="15" hidden="false" customHeight="false" outlineLevel="0" collapsed="false">
      <c r="A175" s="28" t="s">
        <v>609</v>
      </c>
      <c r="B175" s="28" t="s">
        <v>224</v>
      </c>
      <c r="C175" s="35" t="n">
        <v>46291.0589413036</v>
      </c>
      <c r="D175" s="28" t="s">
        <v>383</v>
      </c>
      <c r="E175" s="38" t="n">
        <v>-550</v>
      </c>
      <c r="F175" s="28" t="s">
        <v>225</v>
      </c>
      <c r="G175" s="28" t="s">
        <v>309</v>
      </c>
      <c r="H175" s="28" t="s">
        <v>384</v>
      </c>
      <c r="I175" s="28" t="s">
        <v>258</v>
      </c>
      <c r="J175" s="28"/>
      <c r="K175" s="28"/>
      <c r="L175" s="36" t="str">
        <f aca="false">IFERROR(INDEX(Transaction_Types!$B$5:$B$20,MATCH(D175,Transaction_Types!$A$5:$A$20,0)),"Not in catalogue")</f>
        <v>Supported</v>
      </c>
      <c r="M175" s="36" t="str">
        <f aca="false">IFERROR(INDEX(Transaction_Types!$C$5:$C$20,MATCH(D175,Transaction_Types!$A$5:$A$20,0)),"")</f>
        <v>Debit</v>
      </c>
      <c r="N175" s="39" t="n">
        <f aca="false">IF(G175="Posted",E175,0)</f>
        <v>-550</v>
      </c>
      <c r="O175" s="36" t="n">
        <f aca="false">COUNTIFS($J$5:$J$3000,A175,$K$5:$K$3000,"Reverses")</f>
        <v>0</v>
      </c>
      <c r="P175" s="39" t="n">
        <f aca="false">IF(K175&lt;&gt;"","",IF(G175="Posted",E175+SUMIFS($N$5:$N$3000,$J$5:$J$3000,A175),0))</f>
        <v>-550</v>
      </c>
      <c r="Q175" s="36" t="str">
        <f aca="false">IF(L175="Not in catalogue","CHECK type",IF(F175&lt;&gt;Settings!$B$6,"CHECK unit",IF(OR(AND(M175="Credit",E175&lt;=0),AND(M175="Debit",E175&gt;=0)),"CHECK sign",IF(D175="Reversal",IF(OR(J175="",COUNTIF($A$5:$A$3000,J175)=0),"CHECK reversal link",IF(E175&lt;&gt;-INDEX($E$5:$E$3000,MATCH(J175,$A$5:$A$3000,0)),"CHECK reversal amount","OK")),IF(AND(D175="Adjustment",K175&lt;&gt;"",COUNTIF($A$5:$A$3000,J175)=0),"CHECK correction link","OK")))))</f>
        <v>OK</v>
      </c>
      <c r="R175" s="40" t="n">
        <f aca="false">INT(C175)</f>
        <v>46291</v>
      </c>
    </row>
    <row r="176" customFormat="false" ht="15" hidden="false" customHeight="false" outlineLevel="0" collapsed="false">
      <c r="A176" s="28" t="s">
        <v>610</v>
      </c>
      <c r="B176" s="28" t="s">
        <v>249</v>
      </c>
      <c r="C176" s="35" t="n">
        <v>46291.0993055556</v>
      </c>
      <c r="D176" s="28" t="s">
        <v>308</v>
      </c>
      <c r="E176" s="38" t="n">
        <v>100</v>
      </c>
      <c r="F176" s="28" t="s">
        <v>225</v>
      </c>
      <c r="G176" s="28" t="s">
        <v>309</v>
      </c>
      <c r="H176" s="28" t="s">
        <v>316</v>
      </c>
      <c r="I176" s="28" t="s">
        <v>611</v>
      </c>
      <c r="J176" s="28"/>
      <c r="K176" s="28"/>
      <c r="L176" s="36" t="str">
        <f aca="false">IFERROR(INDEX(Transaction_Types!$B$5:$B$20,MATCH(D176,Transaction_Types!$A$5:$A$20,0)),"Not in catalogue")</f>
        <v>Supported</v>
      </c>
      <c r="M176" s="36" t="str">
        <f aca="false">IFERROR(INDEX(Transaction_Types!$C$5:$C$20,MATCH(D176,Transaction_Types!$A$5:$A$20,0)),"")</f>
        <v>Credit</v>
      </c>
      <c r="N176" s="39" t="n">
        <f aca="false">IF(G176="Posted",E176,0)</f>
        <v>100</v>
      </c>
      <c r="O176" s="36" t="n">
        <f aca="false">COUNTIFS($J$5:$J$3000,A176,$K$5:$K$3000,"Reverses")</f>
        <v>0</v>
      </c>
      <c r="P176" s="39" t="n">
        <f aca="false">IF(K176&lt;&gt;"","",IF(G176="Posted",E176+SUMIFS($N$5:$N$3000,$J$5:$J$3000,A176),0))</f>
        <v>100</v>
      </c>
      <c r="Q176" s="36" t="str">
        <f aca="false">IF(L176="Not in catalogue","CHECK type",IF(F176&lt;&gt;Settings!$B$6,"CHECK unit",IF(OR(AND(M176="Credit",E176&lt;=0),AND(M176="Debit",E176&gt;=0)),"CHECK sign",IF(D176="Reversal",IF(OR(J176="",COUNTIF($A$5:$A$3000,J176)=0),"CHECK reversal link",IF(E176&lt;&gt;-INDEX($E$5:$E$3000,MATCH(J176,$A$5:$A$3000,0)),"CHECK reversal amount","OK")),IF(AND(D176="Adjustment",K176&lt;&gt;"",COUNTIF($A$5:$A$3000,J176)=0),"CHECK correction link","OK")))))</f>
        <v>OK</v>
      </c>
      <c r="R176" s="40" t="n">
        <f aca="false">INT(C176)</f>
        <v>46291</v>
      </c>
    </row>
    <row r="177" customFormat="false" ht="15" hidden="false" customHeight="false" outlineLevel="0" collapsed="false">
      <c r="A177" s="28" t="s">
        <v>612</v>
      </c>
      <c r="B177" s="28" t="s">
        <v>239</v>
      </c>
      <c r="C177" s="35" t="n">
        <v>46291.3256944444</v>
      </c>
      <c r="D177" s="28" t="s">
        <v>308</v>
      </c>
      <c r="E177" s="38" t="n">
        <v>400</v>
      </c>
      <c r="F177" s="28" t="s">
        <v>225</v>
      </c>
      <c r="G177" s="28" t="s">
        <v>309</v>
      </c>
      <c r="H177" s="28" t="s">
        <v>310</v>
      </c>
      <c r="I177" s="28" t="s">
        <v>613</v>
      </c>
      <c r="J177" s="28"/>
      <c r="K177" s="28"/>
      <c r="L177" s="36" t="str">
        <f aca="false">IFERROR(INDEX(Transaction_Types!$B$5:$B$20,MATCH(D177,Transaction_Types!$A$5:$A$20,0)),"Not in catalogue")</f>
        <v>Supported</v>
      </c>
      <c r="M177" s="36" t="str">
        <f aca="false">IFERROR(INDEX(Transaction_Types!$C$5:$C$20,MATCH(D177,Transaction_Types!$A$5:$A$20,0)),"")</f>
        <v>Credit</v>
      </c>
      <c r="N177" s="39" t="n">
        <f aca="false">IF(G177="Posted",E177,0)</f>
        <v>400</v>
      </c>
      <c r="O177" s="36" t="n">
        <f aca="false">COUNTIFS($J$5:$J$3000,A177,$K$5:$K$3000,"Reverses")</f>
        <v>0</v>
      </c>
      <c r="P177" s="39" t="n">
        <f aca="false">IF(K177&lt;&gt;"","",IF(G177="Posted",E177+SUMIFS($N$5:$N$3000,$J$5:$J$3000,A177),0))</f>
        <v>400</v>
      </c>
      <c r="Q177" s="36" t="str">
        <f aca="false">IF(L177="Not in catalogue","CHECK type",IF(F177&lt;&gt;Settings!$B$6,"CHECK unit",IF(OR(AND(M177="Credit",E177&lt;=0),AND(M177="Debit",E177&gt;=0)),"CHECK sign",IF(D177="Reversal",IF(OR(J177="",COUNTIF($A$5:$A$3000,J177)=0),"CHECK reversal link",IF(E177&lt;&gt;-INDEX($E$5:$E$3000,MATCH(J177,$A$5:$A$3000,0)),"CHECK reversal amount","OK")),IF(AND(D177="Adjustment",K177&lt;&gt;"",COUNTIF($A$5:$A$3000,J177)=0),"CHECK correction link","OK")))))</f>
        <v>OK</v>
      </c>
      <c r="R177" s="40" t="n">
        <f aca="false">INT(C177)</f>
        <v>46291</v>
      </c>
    </row>
    <row r="178" customFormat="false" ht="15" hidden="false" customHeight="false" outlineLevel="0" collapsed="false">
      <c r="A178" s="28" t="s">
        <v>614</v>
      </c>
      <c r="B178" s="28" t="s">
        <v>263</v>
      </c>
      <c r="C178" s="35" t="n">
        <v>46291.3340277778</v>
      </c>
      <c r="D178" s="28" t="s">
        <v>308</v>
      </c>
      <c r="E178" s="38" t="n">
        <v>200</v>
      </c>
      <c r="F178" s="28" t="s">
        <v>225</v>
      </c>
      <c r="G178" s="28" t="s">
        <v>309</v>
      </c>
      <c r="H178" s="28" t="s">
        <v>313</v>
      </c>
      <c r="I178" s="28" t="s">
        <v>314</v>
      </c>
      <c r="J178" s="28"/>
      <c r="K178" s="28"/>
      <c r="L178" s="36" t="str">
        <f aca="false">IFERROR(INDEX(Transaction_Types!$B$5:$B$20,MATCH(D178,Transaction_Types!$A$5:$A$20,0)),"Not in catalogue")</f>
        <v>Supported</v>
      </c>
      <c r="M178" s="36" t="str">
        <f aca="false">IFERROR(INDEX(Transaction_Types!$C$5:$C$20,MATCH(D178,Transaction_Types!$A$5:$A$20,0)),"")</f>
        <v>Credit</v>
      </c>
      <c r="N178" s="39" t="n">
        <f aca="false">IF(G178="Posted",E178,0)</f>
        <v>200</v>
      </c>
      <c r="O178" s="36" t="n">
        <f aca="false">COUNTIFS($J$5:$J$3000,A178,$K$5:$K$3000,"Reverses")</f>
        <v>0</v>
      </c>
      <c r="P178" s="39" t="n">
        <f aca="false">IF(K178&lt;&gt;"","",IF(G178="Posted",E178+SUMIFS($N$5:$N$3000,$J$5:$J$3000,A178),0))</f>
        <v>200</v>
      </c>
      <c r="Q178" s="36" t="str">
        <f aca="false">IF(L178="Not in catalogue","CHECK type",IF(F178&lt;&gt;Settings!$B$6,"CHECK unit",IF(OR(AND(M178="Credit",E178&lt;=0),AND(M178="Debit",E178&gt;=0)),"CHECK sign",IF(D178="Reversal",IF(OR(J178="",COUNTIF($A$5:$A$3000,J178)=0),"CHECK reversal link",IF(E178&lt;&gt;-INDEX($E$5:$E$3000,MATCH(J178,$A$5:$A$3000,0)),"CHECK reversal amount","OK")),IF(AND(D178="Adjustment",K178&lt;&gt;"",COUNTIF($A$5:$A$3000,J178)=0),"CHECK correction link","OK")))))</f>
        <v>OK</v>
      </c>
      <c r="R178" s="40" t="n">
        <f aca="false">INT(C178)</f>
        <v>46291</v>
      </c>
    </row>
    <row r="179" customFormat="false" ht="15" hidden="false" customHeight="false" outlineLevel="0" collapsed="false">
      <c r="A179" s="28" t="s">
        <v>615</v>
      </c>
      <c r="B179" s="28" t="s">
        <v>224</v>
      </c>
      <c r="C179" s="35" t="n">
        <v>46291.3986111111</v>
      </c>
      <c r="D179" s="28" t="s">
        <v>308</v>
      </c>
      <c r="E179" s="38" t="n">
        <v>500</v>
      </c>
      <c r="F179" s="28" t="s">
        <v>225</v>
      </c>
      <c r="G179" s="28" t="s">
        <v>309</v>
      </c>
      <c r="H179" s="28" t="s">
        <v>316</v>
      </c>
      <c r="I179" s="28" t="s">
        <v>616</v>
      </c>
      <c r="J179" s="28"/>
      <c r="K179" s="28"/>
      <c r="L179" s="36" t="str">
        <f aca="false">IFERROR(INDEX(Transaction_Types!$B$5:$B$20,MATCH(D179,Transaction_Types!$A$5:$A$20,0)),"Not in catalogue")</f>
        <v>Supported</v>
      </c>
      <c r="M179" s="36" t="str">
        <f aca="false">IFERROR(INDEX(Transaction_Types!$C$5:$C$20,MATCH(D179,Transaction_Types!$A$5:$A$20,0)),"")</f>
        <v>Credit</v>
      </c>
      <c r="N179" s="39" t="n">
        <f aca="false">IF(G179="Posted",E179,0)</f>
        <v>500</v>
      </c>
      <c r="O179" s="36" t="n">
        <f aca="false">COUNTIFS($J$5:$J$3000,A179,$K$5:$K$3000,"Reverses")</f>
        <v>0</v>
      </c>
      <c r="P179" s="39" t="n">
        <f aca="false">IF(K179&lt;&gt;"","",IF(G179="Posted",E179+SUMIFS($N$5:$N$3000,$J$5:$J$3000,A179),0))</f>
        <v>500</v>
      </c>
      <c r="Q179" s="36" t="str">
        <f aca="false">IF(L179="Not in catalogue","CHECK type",IF(F179&lt;&gt;Settings!$B$6,"CHECK unit",IF(OR(AND(M179="Credit",E179&lt;=0),AND(M179="Debit",E179&gt;=0)),"CHECK sign",IF(D179="Reversal",IF(OR(J179="",COUNTIF($A$5:$A$3000,J179)=0),"CHECK reversal link",IF(E179&lt;&gt;-INDEX($E$5:$E$3000,MATCH(J179,$A$5:$A$3000,0)),"CHECK reversal amount","OK")),IF(AND(D179="Adjustment",K179&lt;&gt;"",COUNTIF($A$5:$A$3000,J179)=0),"CHECK correction link","OK")))))</f>
        <v>OK</v>
      </c>
      <c r="R179" s="40" t="n">
        <f aca="false">INT(C179)</f>
        <v>46291</v>
      </c>
    </row>
    <row r="180" customFormat="false" ht="15" hidden="false" customHeight="false" outlineLevel="0" collapsed="false">
      <c r="A180" s="28" t="s">
        <v>617</v>
      </c>
      <c r="B180" s="28" t="s">
        <v>236</v>
      </c>
      <c r="C180" s="35" t="n">
        <v>46291.4818927316</v>
      </c>
      <c r="D180" s="28" t="s">
        <v>383</v>
      </c>
      <c r="E180" s="38" t="n">
        <v>-850</v>
      </c>
      <c r="F180" s="28" t="s">
        <v>225</v>
      </c>
      <c r="G180" s="28" t="s">
        <v>309</v>
      </c>
      <c r="H180" s="28" t="s">
        <v>384</v>
      </c>
      <c r="I180" s="28" t="s">
        <v>257</v>
      </c>
      <c r="J180" s="28"/>
      <c r="K180" s="28"/>
      <c r="L180" s="36" t="str">
        <f aca="false">IFERROR(INDEX(Transaction_Types!$B$5:$B$20,MATCH(D180,Transaction_Types!$A$5:$A$20,0)),"Not in catalogue")</f>
        <v>Supported</v>
      </c>
      <c r="M180" s="36" t="str">
        <f aca="false">IFERROR(INDEX(Transaction_Types!$C$5:$C$20,MATCH(D180,Transaction_Types!$A$5:$A$20,0)),"")</f>
        <v>Debit</v>
      </c>
      <c r="N180" s="39" t="n">
        <f aca="false">IF(G180="Posted",E180,0)</f>
        <v>-850</v>
      </c>
      <c r="O180" s="36" t="n">
        <f aca="false">COUNTIFS($J$5:$J$3000,A180,$K$5:$K$3000,"Reverses")</f>
        <v>0</v>
      </c>
      <c r="P180" s="39" t="n">
        <f aca="false">IF(K180&lt;&gt;"","",IF(G180="Posted",E180+SUMIFS($N$5:$N$3000,$J$5:$J$3000,A180),0))</f>
        <v>-850</v>
      </c>
      <c r="Q180" s="36" t="str">
        <f aca="false">IF(L180="Not in catalogue","CHECK type",IF(F180&lt;&gt;Settings!$B$6,"CHECK unit",IF(OR(AND(M180="Credit",E180&lt;=0),AND(M180="Debit",E180&gt;=0)),"CHECK sign",IF(D180="Reversal",IF(OR(J180="",COUNTIF($A$5:$A$3000,J180)=0),"CHECK reversal link",IF(E180&lt;&gt;-INDEX($E$5:$E$3000,MATCH(J180,$A$5:$A$3000,0)),"CHECK reversal amount","OK")),IF(AND(D180="Adjustment",K180&lt;&gt;"",COUNTIF($A$5:$A$3000,J180)=0),"CHECK correction link","OK")))))</f>
        <v>OK</v>
      </c>
      <c r="R180" s="40" t="n">
        <f aca="false">INT(C180)</f>
        <v>46291</v>
      </c>
    </row>
    <row r="181" customFormat="false" ht="15" hidden="false" customHeight="false" outlineLevel="0" collapsed="false">
      <c r="A181" s="28" t="s">
        <v>618</v>
      </c>
      <c r="B181" s="28" t="s">
        <v>263</v>
      </c>
      <c r="C181" s="35" t="n">
        <v>46291.4979166667</v>
      </c>
      <c r="D181" s="28" t="s">
        <v>308</v>
      </c>
      <c r="E181" s="38" t="n">
        <v>150</v>
      </c>
      <c r="F181" s="28" t="s">
        <v>225</v>
      </c>
      <c r="G181" s="28" t="s">
        <v>309</v>
      </c>
      <c r="H181" s="28" t="s">
        <v>316</v>
      </c>
      <c r="I181" s="28" t="s">
        <v>619</v>
      </c>
      <c r="J181" s="28"/>
      <c r="K181" s="28"/>
      <c r="L181" s="36" t="str">
        <f aca="false">IFERROR(INDEX(Transaction_Types!$B$5:$B$20,MATCH(D181,Transaction_Types!$A$5:$A$20,0)),"Not in catalogue")</f>
        <v>Supported</v>
      </c>
      <c r="M181" s="36" t="str">
        <f aca="false">IFERROR(INDEX(Transaction_Types!$C$5:$C$20,MATCH(D181,Transaction_Types!$A$5:$A$20,0)),"")</f>
        <v>Credit</v>
      </c>
      <c r="N181" s="39" t="n">
        <f aca="false">IF(G181="Posted",E181,0)</f>
        <v>150</v>
      </c>
      <c r="O181" s="36" t="n">
        <f aca="false">COUNTIFS($J$5:$J$3000,A181,$K$5:$K$3000,"Reverses")</f>
        <v>0</v>
      </c>
      <c r="P181" s="39" t="n">
        <f aca="false">IF(K181&lt;&gt;"","",IF(G181="Posted",E181+SUMIFS($N$5:$N$3000,$J$5:$J$3000,A181),0))</f>
        <v>150</v>
      </c>
      <c r="Q181" s="36" t="str">
        <f aca="false">IF(L181="Not in catalogue","CHECK type",IF(F181&lt;&gt;Settings!$B$6,"CHECK unit",IF(OR(AND(M181="Credit",E181&lt;=0),AND(M181="Debit",E181&gt;=0)),"CHECK sign",IF(D181="Reversal",IF(OR(J181="",COUNTIF($A$5:$A$3000,J181)=0),"CHECK reversal link",IF(E181&lt;&gt;-INDEX($E$5:$E$3000,MATCH(J181,$A$5:$A$3000,0)),"CHECK reversal amount","OK")),IF(AND(D181="Adjustment",K181&lt;&gt;"",COUNTIF($A$5:$A$3000,J181)=0),"CHECK correction link","OK")))))</f>
        <v>OK</v>
      </c>
      <c r="R181" s="40" t="n">
        <f aca="false">INT(C181)</f>
        <v>46291</v>
      </c>
    </row>
    <row r="182" customFormat="false" ht="15" hidden="false" customHeight="false" outlineLevel="0" collapsed="false">
      <c r="A182" s="28" t="s">
        <v>620</v>
      </c>
      <c r="B182" s="28" t="s">
        <v>260</v>
      </c>
      <c r="C182" s="35" t="n">
        <v>46291.677144735</v>
      </c>
      <c r="D182" s="28" t="s">
        <v>383</v>
      </c>
      <c r="E182" s="38" t="n">
        <v>-550</v>
      </c>
      <c r="F182" s="28" t="s">
        <v>225</v>
      </c>
      <c r="G182" s="28" t="s">
        <v>309</v>
      </c>
      <c r="H182" s="28" t="s">
        <v>384</v>
      </c>
      <c r="I182" s="28" t="s">
        <v>259</v>
      </c>
      <c r="J182" s="28"/>
      <c r="K182" s="28"/>
      <c r="L182" s="36" t="str">
        <f aca="false">IFERROR(INDEX(Transaction_Types!$B$5:$B$20,MATCH(D182,Transaction_Types!$A$5:$A$20,0)),"Not in catalogue")</f>
        <v>Supported</v>
      </c>
      <c r="M182" s="36" t="str">
        <f aca="false">IFERROR(INDEX(Transaction_Types!$C$5:$C$20,MATCH(D182,Transaction_Types!$A$5:$A$20,0)),"")</f>
        <v>Debit</v>
      </c>
      <c r="N182" s="39" t="n">
        <f aca="false">IF(G182="Posted",E182,0)</f>
        <v>-550</v>
      </c>
      <c r="O182" s="36" t="n">
        <f aca="false">COUNTIFS($J$5:$J$3000,A182,$K$5:$K$3000,"Reverses")</f>
        <v>1</v>
      </c>
      <c r="P182" s="39" t="n">
        <f aca="false">IF(K182&lt;&gt;"","",IF(G182="Posted",E182+SUMIFS($N$5:$N$3000,$J$5:$J$3000,A182),0))</f>
        <v>0</v>
      </c>
      <c r="Q182" s="36" t="str">
        <f aca="false">IF(L182="Not in catalogue","CHECK type",IF(F182&lt;&gt;Settings!$B$6,"CHECK unit",IF(OR(AND(M182="Credit",E182&lt;=0),AND(M182="Debit",E182&gt;=0)),"CHECK sign",IF(D182="Reversal",IF(OR(J182="",COUNTIF($A$5:$A$3000,J182)=0),"CHECK reversal link",IF(E182&lt;&gt;-INDEX($E$5:$E$3000,MATCH(J182,$A$5:$A$3000,0)),"CHECK reversal amount","OK")),IF(AND(D182="Adjustment",K182&lt;&gt;"",COUNTIF($A$5:$A$3000,J182)=0),"CHECK correction link","OK")))))</f>
        <v>OK</v>
      </c>
      <c r="R182" s="40" t="n">
        <f aca="false">INT(C182)</f>
        <v>46291</v>
      </c>
    </row>
    <row r="183" customFormat="false" ht="15" hidden="false" customHeight="false" outlineLevel="0" collapsed="false">
      <c r="A183" s="28" t="s">
        <v>621</v>
      </c>
      <c r="B183" s="28" t="s">
        <v>263</v>
      </c>
      <c r="C183" s="35" t="n">
        <v>46291.7340277778</v>
      </c>
      <c r="D183" s="28" t="s">
        <v>308</v>
      </c>
      <c r="E183" s="38" t="n">
        <v>150</v>
      </c>
      <c r="F183" s="28" t="s">
        <v>225</v>
      </c>
      <c r="G183" s="28" t="s">
        <v>309</v>
      </c>
      <c r="H183" s="28" t="s">
        <v>310</v>
      </c>
      <c r="I183" s="28" t="s">
        <v>622</v>
      </c>
      <c r="J183" s="28"/>
      <c r="K183" s="28"/>
      <c r="L183" s="36" t="str">
        <f aca="false">IFERROR(INDEX(Transaction_Types!$B$5:$B$20,MATCH(D183,Transaction_Types!$A$5:$A$20,0)),"Not in catalogue")</f>
        <v>Supported</v>
      </c>
      <c r="M183" s="36" t="str">
        <f aca="false">IFERROR(INDEX(Transaction_Types!$C$5:$C$20,MATCH(D183,Transaction_Types!$A$5:$A$20,0)),"")</f>
        <v>Credit</v>
      </c>
      <c r="N183" s="39" t="n">
        <f aca="false">IF(G183="Posted",E183,0)</f>
        <v>150</v>
      </c>
      <c r="O183" s="36" t="n">
        <f aca="false">COUNTIFS($J$5:$J$3000,A183,$K$5:$K$3000,"Reverses")</f>
        <v>0</v>
      </c>
      <c r="P183" s="39" t="n">
        <f aca="false">IF(K183&lt;&gt;"","",IF(G183="Posted",E183+SUMIFS($N$5:$N$3000,$J$5:$J$3000,A183),0))</f>
        <v>150</v>
      </c>
      <c r="Q183" s="36" t="str">
        <f aca="false">IF(L183="Not in catalogue","CHECK type",IF(F183&lt;&gt;Settings!$B$6,"CHECK unit",IF(OR(AND(M183="Credit",E183&lt;=0),AND(M183="Debit",E183&gt;=0)),"CHECK sign",IF(D183="Reversal",IF(OR(J183="",COUNTIF($A$5:$A$3000,J183)=0),"CHECK reversal link",IF(E183&lt;&gt;-INDEX($E$5:$E$3000,MATCH(J183,$A$5:$A$3000,0)),"CHECK reversal amount","OK")),IF(AND(D183="Adjustment",K183&lt;&gt;"",COUNTIF($A$5:$A$3000,J183)=0),"CHECK correction link","OK")))))</f>
        <v>OK</v>
      </c>
      <c r="R183" s="40" t="n">
        <f aca="false">INT(C183)</f>
        <v>46291</v>
      </c>
    </row>
    <row r="184" customFormat="false" ht="15" hidden="false" customHeight="false" outlineLevel="0" collapsed="false">
      <c r="A184" s="28" t="s">
        <v>623</v>
      </c>
      <c r="B184" s="28" t="s">
        <v>229</v>
      </c>
      <c r="C184" s="35" t="n">
        <v>46291.7743055556</v>
      </c>
      <c r="D184" s="28" t="s">
        <v>308</v>
      </c>
      <c r="E184" s="38" t="n">
        <v>150</v>
      </c>
      <c r="F184" s="28" t="s">
        <v>225</v>
      </c>
      <c r="G184" s="28" t="s">
        <v>309</v>
      </c>
      <c r="H184" s="28" t="s">
        <v>310</v>
      </c>
      <c r="I184" s="28" t="s">
        <v>624</v>
      </c>
      <c r="J184" s="28"/>
      <c r="K184" s="28"/>
      <c r="L184" s="36" t="str">
        <f aca="false">IFERROR(INDEX(Transaction_Types!$B$5:$B$20,MATCH(D184,Transaction_Types!$A$5:$A$20,0)),"Not in catalogue")</f>
        <v>Supported</v>
      </c>
      <c r="M184" s="36" t="str">
        <f aca="false">IFERROR(INDEX(Transaction_Types!$C$5:$C$20,MATCH(D184,Transaction_Types!$A$5:$A$20,0)),"")</f>
        <v>Credit</v>
      </c>
      <c r="N184" s="39" t="n">
        <f aca="false">IF(G184="Posted",E184,0)</f>
        <v>150</v>
      </c>
      <c r="O184" s="36" t="n">
        <f aca="false">COUNTIFS($J$5:$J$3000,A184,$K$5:$K$3000,"Reverses")</f>
        <v>0</v>
      </c>
      <c r="P184" s="39" t="n">
        <f aca="false">IF(K184&lt;&gt;"","",IF(G184="Posted",E184+SUMIFS($N$5:$N$3000,$J$5:$J$3000,A184),0))</f>
        <v>150</v>
      </c>
      <c r="Q184" s="36" t="str">
        <f aca="false">IF(L184="Not in catalogue","CHECK type",IF(F184&lt;&gt;Settings!$B$6,"CHECK unit",IF(OR(AND(M184="Credit",E184&lt;=0),AND(M184="Debit",E184&gt;=0)),"CHECK sign",IF(D184="Reversal",IF(OR(J184="",COUNTIF($A$5:$A$3000,J184)=0),"CHECK reversal link",IF(E184&lt;&gt;-INDEX($E$5:$E$3000,MATCH(J184,$A$5:$A$3000,0)),"CHECK reversal amount","OK")),IF(AND(D184="Adjustment",K184&lt;&gt;"",COUNTIF($A$5:$A$3000,J184)=0),"CHECK correction link","OK")))))</f>
        <v>OK</v>
      </c>
      <c r="R184" s="40" t="n">
        <f aca="false">INT(C184)</f>
        <v>46291</v>
      </c>
    </row>
    <row r="185" customFormat="false" ht="15" hidden="false" customHeight="false" outlineLevel="0" collapsed="false">
      <c r="A185" s="28" t="s">
        <v>625</v>
      </c>
      <c r="B185" s="28" t="s">
        <v>231</v>
      </c>
      <c r="C185" s="35" t="n">
        <v>46291.8388888889</v>
      </c>
      <c r="D185" s="28" t="s">
        <v>308</v>
      </c>
      <c r="E185" s="38" t="n">
        <v>250</v>
      </c>
      <c r="F185" s="28" t="s">
        <v>225</v>
      </c>
      <c r="G185" s="28" t="s">
        <v>309</v>
      </c>
      <c r="H185" s="28" t="s">
        <v>310</v>
      </c>
      <c r="I185" s="28" t="s">
        <v>626</v>
      </c>
      <c r="J185" s="28"/>
      <c r="K185" s="28"/>
      <c r="L185" s="36" t="str">
        <f aca="false">IFERROR(INDEX(Transaction_Types!$B$5:$B$20,MATCH(D185,Transaction_Types!$A$5:$A$20,0)),"Not in catalogue")</f>
        <v>Supported</v>
      </c>
      <c r="M185" s="36" t="str">
        <f aca="false">IFERROR(INDEX(Transaction_Types!$C$5:$C$20,MATCH(D185,Transaction_Types!$A$5:$A$20,0)),"")</f>
        <v>Credit</v>
      </c>
      <c r="N185" s="39" t="n">
        <f aca="false">IF(G185="Posted",E185,0)</f>
        <v>250</v>
      </c>
      <c r="O185" s="36" t="n">
        <f aca="false">COUNTIFS($J$5:$J$3000,A185,$K$5:$K$3000,"Reverses")</f>
        <v>0</v>
      </c>
      <c r="P185" s="39" t="n">
        <f aca="false">IF(K185&lt;&gt;"","",IF(G185="Posted",E185+SUMIFS($N$5:$N$3000,$J$5:$J$3000,A185),0))</f>
        <v>250</v>
      </c>
      <c r="Q185" s="36" t="str">
        <f aca="false">IF(L185="Not in catalogue","CHECK type",IF(F185&lt;&gt;Settings!$B$6,"CHECK unit",IF(OR(AND(M185="Credit",E185&lt;=0),AND(M185="Debit",E185&gt;=0)),"CHECK sign",IF(D185="Reversal",IF(OR(J185="",COUNTIF($A$5:$A$3000,J185)=0),"CHECK reversal link",IF(E185&lt;&gt;-INDEX($E$5:$E$3000,MATCH(J185,$A$5:$A$3000,0)),"CHECK reversal amount","OK")),IF(AND(D185="Adjustment",K185&lt;&gt;"",COUNTIF($A$5:$A$3000,J185)=0),"CHECK correction link","OK")))))</f>
        <v>OK</v>
      </c>
      <c r="R185" s="40" t="n">
        <f aca="false">INT(C185)</f>
        <v>46291</v>
      </c>
    </row>
    <row r="186" customFormat="false" ht="15" hidden="false" customHeight="false" outlineLevel="0" collapsed="false">
      <c r="A186" s="28" t="s">
        <v>627</v>
      </c>
      <c r="B186" s="28" t="s">
        <v>275</v>
      </c>
      <c r="C186" s="35" t="n">
        <v>46291.9236111111</v>
      </c>
      <c r="D186" s="28" t="s">
        <v>308</v>
      </c>
      <c r="E186" s="38" t="n">
        <v>100</v>
      </c>
      <c r="F186" s="28" t="s">
        <v>225</v>
      </c>
      <c r="G186" s="28" t="s">
        <v>309</v>
      </c>
      <c r="H186" s="28" t="s">
        <v>310</v>
      </c>
      <c r="I186" s="28" t="s">
        <v>628</v>
      </c>
      <c r="J186" s="28"/>
      <c r="K186" s="28"/>
      <c r="L186" s="36" t="str">
        <f aca="false">IFERROR(INDEX(Transaction_Types!$B$5:$B$20,MATCH(D186,Transaction_Types!$A$5:$A$20,0)),"Not in catalogue")</f>
        <v>Supported</v>
      </c>
      <c r="M186" s="36" t="str">
        <f aca="false">IFERROR(INDEX(Transaction_Types!$C$5:$C$20,MATCH(D186,Transaction_Types!$A$5:$A$20,0)),"")</f>
        <v>Credit</v>
      </c>
      <c r="N186" s="39" t="n">
        <f aca="false">IF(G186="Posted",E186,0)</f>
        <v>100</v>
      </c>
      <c r="O186" s="36" t="n">
        <f aca="false">COUNTIFS($J$5:$J$3000,A186,$K$5:$K$3000,"Reverses")</f>
        <v>0</v>
      </c>
      <c r="P186" s="39" t="n">
        <f aca="false">IF(K186&lt;&gt;"","",IF(G186="Posted",E186+SUMIFS($N$5:$N$3000,$J$5:$J$3000,A186),0))</f>
        <v>100</v>
      </c>
      <c r="Q186" s="36" t="str">
        <f aca="false">IF(L186="Not in catalogue","CHECK type",IF(F186&lt;&gt;Settings!$B$6,"CHECK unit",IF(OR(AND(M186="Credit",E186&lt;=0),AND(M186="Debit",E186&gt;=0)),"CHECK sign",IF(D186="Reversal",IF(OR(J186="",COUNTIF($A$5:$A$3000,J186)=0),"CHECK reversal link",IF(E186&lt;&gt;-INDEX($E$5:$E$3000,MATCH(J186,$A$5:$A$3000,0)),"CHECK reversal amount","OK")),IF(AND(D186="Adjustment",K186&lt;&gt;"",COUNTIF($A$5:$A$3000,J186)=0),"CHECK correction link","OK")))))</f>
        <v>OK</v>
      </c>
      <c r="R186" s="40" t="n">
        <f aca="false">INT(C186)</f>
        <v>46291</v>
      </c>
    </row>
    <row r="187" customFormat="false" ht="15" hidden="false" customHeight="false" outlineLevel="0" collapsed="false">
      <c r="A187" s="28" t="s">
        <v>629</v>
      </c>
      <c r="B187" s="28" t="s">
        <v>224</v>
      </c>
      <c r="C187" s="35" t="n">
        <v>46292.1423611111</v>
      </c>
      <c r="D187" s="28" t="s">
        <v>308</v>
      </c>
      <c r="E187" s="38" t="n">
        <v>250</v>
      </c>
      <c r="F187" s="28" t="s">
        <v>225</v>
      </c>
      <c r="G187" s="28" t="s">
        <v>309</v>
      </c>
      <c r="H187" s="28" t="s">
        <v>310</v>
      </c>
      <c r="I187" s="28" t="s">
        <v>630</v>
      </c>
      <c r="J187" s="28"/>
      <c r="K187" s="28"/>
      <c r="L187" s="36" t="str">
        <f aca="false">IFERROR(INDEX(Transaction_Types!$B$5:$B$20,MATCH(D187,Transaction_Types!$A$5:$A$20,0)),"Not in catalogue")</f>
        <v>Supported</v>
      </c>
      <c r="M187" s="36" t="str">
        <f aca="false">IFERROR(INDEX(Transaction_Types!$C$5:$C$20,MATCH(D187,Transaction_Types!$A$5:$A$20,0)),"")</f>
        <v>Credit</v>
      </c>
      <c r="N187" s="39" t="n">
        <f aca="false">IF(G187="Posted",E187,0)</f>
        <v>250</v>
      </c>
      <c r="O187" s="36" t="n">
        <f aca="false">COUNTIFS($J$5:$J$3000,A187,$K$5:$K$3000,"Reverses")</f>
        <v>0</v>
      </c>
      <c r="P187" s="39" t="n">
        <f aca="false">IF(K187&lt;&gt;"","",IF(G187="Posted",E187+SUMIFS($N$5:$N$3000,$J$5:$J$3000,A187),0))</f>
        <v>250</v>
      </c>
      <c r="Q187" s="36" t="str">
        <f aca="false">IF(L187="Not in catalogue","CHECK type",IF(F187&lt;&gt;Settings!$B$6,"CHECK unit",IF(OR(AND(M187="Credit",E187&lt;=0),AND(M187="Debit",E187&gt;=0)),"CHECK sign",IF(D187="Reversal",IF(OR(J187="",COUNTIF($A$5:$A$3000,J187)=0),"CHECK reversal link",IF(E187&lt;&gt;-INDEX($E$5:$E$3000,MATCH(J187,$A$5:$A$3000,0)),"CHECK reversal amount","OK")),IF(AND(D187="Adjustment",K187&lt;&gt;"",COUNTIF($A$5:$A$3000,J187)=0),"CHECK correction link","OK")))))</f>
        <v>OK</v>
      </c>
      <c r="R187" s="40" t="n">
        <f aca="false">INT(C187)</f>
        <v>46292</v>
      </c>
    </row>
    <row r="188" customFormat="false" ht="15" hidden="false" customHeight="false" outlineLevel="0" collapsed="false">
      <c r="A188" s="28" t="s">
        <v>631</v>
      </c>
      <c r="B188" s="28" t="s">
        <v>224</v>
      </c>
      <c r="C188" s="35" t="n">
        <v>46292.3916666667</v>
      </c>
      <c r="D188" s="28" t="s">
        <v>308</v>
      </c>
      <c r="E188" s="38" t="n">
        <v>100</v>
      </c>
      <c r="F188" s="28" t="s">
        <v>225</v>
      </c>
      <c r="G188" s="28" t="s">
        <v>309</v>
      </c>
      <c r="H188" s="28" t="s">
        <v>316</v>
      </c>
      <c r="I188" s="28" t="s">
        <v>632</v>
      </c>
      <c r="J188" s="28"/>
      <c r="K188" s="28"/>
      <c r="L188" s="36" t="str">
        <f aca="false">IFERROR(INDEX(Transaction_Types!$B$5:$B$20,MATCH(D188,Transaction_Types!$A$5:$A$20,0)),"Not in catalogue")</f>
        <v>Supported</v>
      </c>
      <c r="M188" s="36" t="str">
        <f aca="false">IFERROR(INDEX(Transaction_Types!$C$5:$C$20,MATCH(D188,Transaction_Types!$A$5:$A$20,0)),"")</f>
        <v>Credit</v>
      </c>
      <c r="N188" s="39" t="n">
        <f aca="false">IF(G188="Posted",E188,0)</f>
        <v>100</v>
      </c>
      <c r="O188" s="36" t="n">
        <f aca="false">COUNTIFS($J$5:$J$3000,A188,$K$5:$K$3000,"Reverses")</f>
        <v>0</v>
      </c>
      <c r="P188" s="39" t="n">
        <f aca="false">IF(K188&lt;&gt;"","",IF(G188="Posted",E188+SUMIFS($N$5:$N$3000,$J$5:$J$3000,A188),0))</f>
        <v>100</v>
      </c>
      <c r="Q188" s="36" t="str">
        <f aca="false">IF(L188="Not in catalogue","CHECK type",IF(F188&lt;&gt;Settings!$B$6,"CHECK unit",IF(OR(AND(M188="Credit",E188&lt;=0),AND(M188="Debit",E188&gt;=0)),"CHECK sign",IF(D188="Reversal",IF(OR(J188="",COUNTIF($A$5:$A$3000,J188)=0),"CHECK reversal link",IF(E188&lt;&gt;-INDEX($E$5:$E$3000,MATCH(J188,$A$5:$A$3000,0)),"CHECK reversal amount","OK")),IF(AND(D188="Adjustment",K188&lt;&gt;"",COUNTIF($A$5:$A$3000,J188)=0),"CHECK correction link","OK")))))</f>
        <v>OK</v>
      </c>
      <c r="R188" s="40" t="n">
        <f aca="false">INT(C188)</f>
        <v>46292</v>
      </c>
    </row>
    <row r="189" customFormat="false" ht="15" hidden="false" customHeight="false" outlineLevel="0" collapsed="false">
      <c r="A189" s="28" t="s">
        <v>633</v>
      </c>
      <c r="B189" s="28" t="s">
        <v>289</v>
      </c>
      <c r="C189" s="35" t="n">
        <v>46292.4631944444</v>
      </c>
      <c r="D189" s="28" t="s">
        <v>308</v>
      </c>
      <c r="E189" s="38" t="n">
        <v>400</v>
      </c>
      <c r="F189" s="28" t="s">
        <v>225</v>
      </c>
      <c r="G189" s="28" t="s">
        <v>309</v>
      </c>
      <c r="H189" s="28" t="s">
        <v>310</v>
      </c>
      <c r="I189" s="28" t="s">
        <v>634</v>
      </c>
      <c r="J189" s="28"/>
      <c r="K189" s="28"/>
      <c r="L189" s="36" t="str">
        <f aca="false">IFERROR(INDEX(Transaction_Types!$B$5:$B$20,MATCH(D189,Transaction_Types!$A$5:$A$20,0)),"Not in catalogue")</f>
        <v>Supported</v>
      </c>
      <c r="M189" s="36" t="str">
        <f aca="false">IFERROR(INDEX(Transaction_Types!$C$5:$C$20,MATCH(D189,Transaction_Types!$A$5:$A$20,0)),"")</f>
        <v>Credit</v>
      </c>
      <c r="N189" s="39" t="n">
        <f aca="false">IF(G189="Posted",E189,0)</f>
        <v>400</v>
      </c>
      <c r="O189" s="36" t="n">
        <f aca="false">COUNTIFS($J$5:$J$3000,A189,$K$5:$K$3000,"Reverses")</f>
        <v>0</v>
      </c>
      <c r="P189" s="39" t="n">
        <f aca="false">IF(K189&lt;&gt;"","",IF(G189="Posted",E189+SUMIFS($N$5:$N$3000,$J$5:$J$3000,A189),0))</f>
        <v>400</v>
      </c>
      <c r="Q189" s="36" t="str">
        <f aca="false">IF(L189="Not in catalogue","CHECK type",IF(F189&lt;&gt;Settings!$B$6,"CHECK unit",IF(OR(AND(M189="Credit",E189&lt;=0),AND(M189="Debit",E189&gt;=0)),"CHECK sign",IF(D189="Reversal",IF(OR(J189="",COUNTIF($A$5:$A$3000,J189)=0),"CHECK reversal link",IF(E189&lt;&gt;-INDEX($E$5:$E$3000,MATCH(J189,$A$5:$A$3000,0)),"CHECK reversal amount","OK")),IF(AND(D189="Adjustment",K189&lt;&gt;"",COUNTIF($A$5:$A$3000,J189)=0),"CHECK correction link","OK")))))</f>
        <v>OK</v>
      </c>
      <c r="R189" s="40" t="n">
        <f aca="false">INT(C189)</f>
        <v>46292</v>
      </c>
    </row>
    <row r="190" customFormat="false" ht="15" hidden="false" customHeight="false" outlineLevel="0" collapsed="false">
      <c r="A190" s="28" t="s">
        <v>635</v>
      </c>
      <c r="B190" s="28" t="s">
        <v>263</v>
      </c>
      <c r="C190" s="35" t="n">
        <v>46292.46875</v>
      </c>
      <c r="D190" s="28" t="s">
        <v>308</v>
      </c>
      <c r="E190" s="38" t="n">
        <v>150</v>
      </c>
      <c r="F190" s="28" t="s">
        <v>225</v>
      </c>
      <c r="G190" s="28" t="s">
        <v>309</v>
      </c>
      <c r="H190" s="28" t="s">
        <v>316</v>
      </c>
      <c r="I190" s="28" t="s">
        <v>636</v>
      </c>
      <c r="J190" s="28"/>
      <c r="K190" s="28"/>
      <c r="L190" s="36" t="str">
        <f aca="false">IFERROR(INDEX(Transaction_Types!$B$5:$B$20,MATCH(D190,Transaction_Types!$A$5:$A$20,0)),"Not in catalogue")</f>
        <v>Supported</v>
      </c>
      <c r="M190" s="36" t="str">
        <f aca="false">IFERROR(INDEX(Transaction_Types!$C$5:$C$20,MATCH(D190,Transaction_Types!$A$5:$A$20,0)),"")</f>
        <v>Credit</v>
      </c>
      <c r="N190" s="39" t="n">
        <f aca="false">IF(G190="Posted",E190,0)</f>
        <v>150</v>
      </c>
      <c r="O190" s="36" t="n">
        <f aca="false">COUNTIFS($J$5:$J$3000,A190,$K$5:$K$3000,"Reverses")</f>
        <v>0</v>
      </c>
      <c r="P190" s="39" t="n">
        <f aca="false">IF(K190&lt;&gt;"","",IF(G190="Posted",E190+SUMIFS($N$5:$N$3000,$J$5:$J$3000,A190),0))</f>
        <v>150</v>
      </c>
      <c r="Q190" s="36" t="str">
        <f aca="false">IF(L190="Not in catalogue","CHECK type",IF(F190&lt;&gt;Settings!$B$6,"CHECK unit",IF(OR(AND(M190="Credit",E190&lt;=0),AND(M190="Debit",E190&gt;=0)),"CHECK sign",IF(D190="Reversal",IF(OR(J190="",COUNTIF($A$5:$A$3000,J190)=0),"CHECK reversal link",IF(E190&lt;&gt;-INDEX($E$5:$E$3000,MATCH(J190,$A$5:$A$3000,0)),"CHECK reversal amount","OK")),IF(AND(D190="Adjustment",K190&lt;&gt;"",COUNTIF($A$5:$A$3000,J190)=0),"CHECK correction link","OK")))))</f>
        <v>OK</v>
      </c>
      <c r="R190" s="40" t="n">
        <f aca="false">INT(C190)</f>
        <v>46292</v>
      </c>
    </row>
    <row r="191" customFormat="false" ht="15" hidden="false" customHeight="false" outlineLevel="0" collapsed="false">
      <c r="A191" s="28" t="s">
        <v>637</v>
      </c>
      <c r="B191" s="28" t="s">
        <v>263</v>
      </c>
      <c r="C191" s="35" t="n">
        <v>46292.6486111111</v>
      </c>
      <c r="D191" s="28" t="s">
        <v>308</v>
      </c>
      <c r="E191" s="38" t="n">
        <v>150</v>
      </c>
      <c r="F191" s="28" t="s">
        <v>225</v>
      </c>
      <c r="G191" s="28" t="s">
        <v>309</v>
      </c>
      <c r="H191" s="28" t="s">
        <v>310</v>
      </c>
      <c r="I191" s="28" t="s">
        <v>638</v>
      </c>
      <c r="J191" s="28"/>
      <c r="K191" s="28"/>
      <c r="L191" s="36" t="str">
        <f aca="false">IFERROR(INDEX(Transaction_Types!$B$5:$B$20,MATCH(D191,Transaction_Types!$A$5:$A$20,0)),"Not in catalogue")</f>
        <v>Supported</v>
      </c>
      <c r="M191" s="36" t="str">
        <f aca="false">IFERROR(INDEX(Transaction_Types!$C$5:$C$20,MATCH(D191,Transaction_Types!$A$5:$A$20,0)),"")</f>
        <v>Credit</v>
      </c>
      <c r="N191" s="39" t="n">
        <f aca="false">IF(G191="Posted",E191,0)</f>
        <v>150</v>
      </c>
      <c r="O191" s="36" t="n">
        <f aca="false">COUNTIFS($J$5:$J$3000,A191,$K$5:$K$3000,"Reverses")</f>
        <v>1</v>
      </c>
      <c r="P191" s="39" t="n">
        <f aca="false">IF(K191&lt;&gt;"","",IF(G191="Posted",E191+SUMIFS($N$5:$N$3000,$J$5:$J$3000,A191),0))</f>
        <v>0</v>
      </c>
      <c r="Q191" s="36" t="str">
        <f aca="false">IF(L191="Not in catalogue","CHECK type",IF(F191&lt;&gt;Settings!$B$6,"CHECK unit",IF(OR(AND(M191="Credit",E191&lt;=0),AND(M191="Debit",E191&gt;=0)),"CHECK sign",IF(D191="Reversal",IF(OR(J191="",COUNTIF($A$5:$A$3000,J191)=0),"CHECK reversal link",IF(E191&lt;&gt;-INDEX($E$5:$E$3000,MATCH(J191,$A$5:$A$3000,0)),"CHECK reversal amount","OK")),IF(AND(D191="Adjustment",K191&lt;&gt;"",COUNTIF($A$5:$A$3000,J191)=0),"CHECK correction link","OK")))))</f>
        <v>OK</v>
      </c>
      <c r="R191" s="40" t="n">
        <f aca="false">INT(C191)</f>
        <v>46292</v>
      </c>
    </row>
    <row r="192" customFormat="false" ht="15" hidden="false" customHeight="false" outlineLevel="0" collapsed="false">
      <c r="A192" s="28" t="s">
        <v>639</v>
      </c>
      <c r="B192" s="28" t="s">
        <v>269</v>
      </c>
      <c r="C192" s="35" t="n">
        <v>46292.6888888889</v>
      </c>
      <c r="D192" s="28" t="s">
        <v>308</v>
      </c>
      <c r="E192" s="38" t="n">
        <v>300</v>
      </c>
      <c r="F192" s="28" t="s">
        <v>225</v>
      </c>
      <c r="G192" s="28" t="s">
        <v>309</v>
      </c>
      <c r="H192" s="28" t="s">
        <v>310</v>
      </c>
      <c r="I192" s="28" t="s">
        <v>640</v>
      </c>
      <c r="J192" s="28"/>
      <c r="K192" s="28"/>
      <c r="L192" s="36" t="str">
        <f aca="false">IFERROR(INDEX(Transaction_Types!$B$5:$B$20,MATCH(D192,Transaction_Types!$A$5:$A$20,0)),"Not in catalogue")</f>
        <v>Supported</v>
      </c>
      <c r="M192" s="36" t="str">
        <f aca="false">IFERROR(INDEX(Transaction_Types!$C$5:$C$20,MATCH(D192,Transaction_Types!$A$5:$A$20,0)),"")</f>
        <v>Credit</v>
      </c>
      <c r="N192" s="39" t="n">
        <f aca="false">IF(G192="Posted",E192,0)</f>
        <v>300</v>
      </c>
      <c r="O192" s="36" t="n">
        <f aca="false">COUNTIFS($J$5:$J$3000,A192,$K$5:$K$3000,"Reverses")</f>
        <v>0</v>
      </c>
      <c r="P192" s="39" t="n">
        <f aca="false">IF(K192&lt;&gt;"","",IF(G192="Posted",E192+SUMIFS($N$5:$N$3000,$J$5:$J$3000,A192),0))</f>
        <v>300</v>
      </c>
      <c r="Q192" s="36" t="str">
        <f aca="false">IF(L192="Not in catalogue","CHECK type",IF(F192&lt;&gt;Settings!$B$6,"CHECK unit",IF(OR(AND(M192="Credit",E192&lt;=0),AND(M192="Debit",E192&gt;=0)),"CHECK sign",IF(D192="Reversal",IF(OR(J192="",COUNTIF($A$5:$A$3000,J192)=0),"CHECK reversal link",IF(E192&lt;&gt;-INDEX($E$5:$E$3000,MATCH(J192,$A$5:$A$3000,0)),"CHECK reversal amount","OK")),IF(AND(D192="Adjustment",K192&lt;&gt;"",COUNTIF($A$5:$A$3000,J192)=0),"CHECK correction link","OK")))))</f>
        <v>OK</v>
      </c>
      <c r="R192" s="40" t="n">
        <f aca="false">INT(C192)</f>
        <v>46292</v>
      </c>
    </row>
    <row r="193" customFormat="false" ht="15" hidden="false" customHeight="false" outlineLevel="0" collapsed="false">
      <c r="A193" s="28" t="s">
        <v>641</v>
      </c>
      <c r="B193" s="28" t="s">
        <v>229</v>
      </c>
      <c r="C193" s="35" t="n">
        <v>46292.8111111111</v>
      </c>
      <c r="D193" s="28" t="s">
        <v>308</v>
      </c>
      <c r="E193" s="38" t="n">
        <v>200</v>
      </c>
      <c r="F193" s="28" t="s">
        <v>225</v>
      </c>
      <c r="G193" s="28" t="s">
        <v>309</v>
      </c>
      <c r="H193" s="28" t="s">
        <v>310</v>
      </c>
      <c r="I193" s="28" t="s">
        <v>642</v>
      </c>
      <c r="J193" s="28"/>
      <c r="K193" s="28"/>
      <c r="L193" s="36" t="str">
        <f aca="false">IFERROR(INDEX(Transaction_Types!$B$5:$B$20,MATCH(D193,Transaction_Types!$A$5:$A$20,0)),"Not in catalogue")</f>
        <v>Supported</v>
      </c>
      <c r="M193" s="36" t="str">
        <f aca="false">IFERROR(INDEX(Transaction_Types!$C$5:$C$20,MATCH(D193,Transaction_Types!$A$5:$A$20,0)),"")</f>
        <v>Credit</v>
      </c>
      <c r="N193" s="39" t="n">
        <f aca="false">IF(G193="Posted",E193,0)</f>
        <v>200</v>
      </c>
      <c r="O193" s="36" t="n">
        <f aca="false">COUNTIFS($J$5:$J$3000,A193,$K$5:$K$3000,"Reverses")</f>
        <v>0</v>
      </c>
      <c r="P193" s="39" t="n">
        <f aca="false">IF(K193&lt;&gt;"","",IF(G193="Posted",E193+SUMIFS($N$5:$N$3000,$J$5:$J$3000,A193),0))</f>
        <v>200</v>
      </c>
      <c r="Q193" s="36" t="str">
        <f aca="false">IF(L193="Not in catalogue","CHECK type",IF(F193&lt;&gt;Settings!$B$6,"CHECK unit",IF(OR(AND(M193="Credit",E193&lt;=0),AND(M193="Debit",E193&gt;=0)),"CHECK sign",IF(D193="Reversal",IF(OR(J193="",COUNTIF($A$5:$A$3000,J193)=0),"CHECK reversal link",IF(E193&lt;&gt;-INDEX($E$5:$E$3000,MATCH(J193,$A$5:$A$3000,0)),"CHECK reversal amount","OK")),IF(AND(D193="Adjustment",K193&lt;&gt;"",COUNTIF($A$5:$A$3000,J193)=0),"CHECK correction link","OK")))))</f>
        <v>OK</v>
      </c>
      <c r="R193" s="40" t="n">
        <f aca="false">INT(C193)</f>
        <v>46292</v>
      </c>
    </row>
    <row r="194" customFormat="false" ht="15" hidden="false" customHeight="false" outlineLevel="0" collapsed="false">
      <c r="A194" s="28" t="s">
        <v>643</v>
      </c>
      <c r="B194" s="28" t="s">
        <v>287</v>
      </c>
      <c r="C194" s="35" t="n">
        <v>46292.8138888889</v>
      </c>
      <c r="D194" s="28" t="s">
        <v>308</v>
      </c>
      <c r="E194" s="38" t="n">
        <v>250</v>
      </c>
      <c r="F194" s="28" t="s">
        <v>225</v>
      </c>
      <c r="G194" s="28" t="s">
        <v>309</v>
      </c>
      <c r="H194" s="28" t="s">
        <v>310</v>
      </c>
      <c r="I194" s="28" t="s">
        <v>644</v>
      </c>
      <c r="J194" s="28"/>
      <c r="K194" s="28"/>
      <c r="L194" s="36" t="str">
        <f aca="false">IFERROR(INDEX(Transaction_Types!$B$5:$B$20,MATCH(D194,Transaction_Types!$A$5:$A$20,0)),"Not in catalogue")</f>
        <v>Supported</v>
      </c>
      <c r="M194" s="36" t="str">
        <f aca="false">IFERROR(INDEX(Transaction_Types!$C$5:$C$20,MATCH(D194,Transaction_Types!$A$5:$A$20,0)),"")</f>
        <v>Credit</v>
      </c>
      <c r="N194" s="39" t="n">
        <f aca="false">IF(G194="Posted",E194,0)</f>
        <v>250</v>
      </c>
      <c r="O194" s="36" t="n">
        <f aca="false">COUNTIFS($J$5:$J$3000,A194,$K$5:$K$3000,"Reverses")</f>
        <v>0</v>
      </c>
      <c r="P194" s="39" t="n">
        <f aca="false">IF(K194&lt;&gt;"","",IF(G194="Posted",E194+SUMIFS($N$5:$N$3000,$J$5:$J$3000,A194),0))</f>
        <v>250</v>
      </c>
      <c r="Q194" s="36" t="str">
        <f aca="false">IF(L194="Not in catalogue","CHECK type",IF(F194&lt;&gt;Settings!$B$6,"CHECK unit",IF(OR(AND(M194="Credit",E194&lt;=0),AND(M194="Debit",E194&gt;=0)),"CHECK sign",IF(D194="Reversal",IF(OR(J194="",COUNTIF($A$5:$A$3000,J194)=0),"CHECK reversal link",IF(E194&lt;&gt;-INDEX($E$5:$E$3000,MATCH(J194,$A$5:$A$3000,0)),"CHECK reversal amount","OK")),IF(AND(D194="Adjustment",K194&lt;&gt;"",COUNTIF($A$5:$A$3000,J194)=0),"CHECK correction link","OK")))))</f>
        <v>OK</v>
      </c>
      <c r="R194" s="40" t="n">
        <f aca="false">INT(C194)</f>
        <v>46292</v>
      </c>
    </row>
    <row r="195" customFormat="false" ht="15" hidden="false" customHeight="false" outlineLevel="0" collapsed="false">
      <c r="A195" s="28" t="s">
        <v>645</v>
      </c>
      <c r="B195" s="28" t="s">
        <v>269</v>
      </c>
      <c r="C195" s="35" t="n">
        <v>46292.8881944444</v>
      </c>
      <c r="D195" s="28" t="s">
        <v>308</v>
      </c>
      <c r="E195" s="38" t="n">
        <v>500</v>
      </c>
      <c r="F195" s="28" t="s">
        <v>225</v>
      </c>
      <c r="G195" s="28" t="s">
        <v>309</v>
      </c>
      <c r="H195" s="28" t="s">
        <v>313</v>
      </c>
      <c r="I195" s="28" t="s">
        <v>314</v>
      </c>
      <c r="J195" s="28"/>
      <c r="K195" s="28"/>
      <c r="L195" s="36" t="str">
        <f aca="false">IFERROR(INDEX(Transaction_Types!$B$5:$B$20,MATCH(D195,Transaction_Types!$A$5:$A$20,0)),"Not in catalogue")</f>
        <v>Supported</v>
      </c>
      <c r="M195" s="36" t="str">
        <f aca="false">IFERROR(INDEX(Transaction_Types!$C$5:$C$20,MATCH(D195,Transaction_Types!$A$5:$A$20,0)),"")</f>
        <v>Credit</v>
      </c>
      <c r="N195" s="39" t="n">
        <f aca="false">IF(G195="Posted",E195,0)</f>
        <v>500</v>
      </c>
      <c r="O195" s="36" t="n">
        <f aca="false">COUNTIFS($J$5:$J$3000,A195,$K$5:$K$3000,"Reverses")</f>
        <v>0</v>
      </c>
      <c r="P195" s="39" t="n">
        <f aca="false">IF(K195&lt;&gt;"","",IF(G195="Posted",E195+SUMIFS($N$5:$N$3000,$J$5:$J$3000,A195),0))</f>
        <v>500</v>
      </c>
      <c r="Q195" s="36" t="str">
        <f aca="false">IF(L195="Not in catalogue","CHECK type",IF(F195&lt;&gt;Settings!$B$6,"CHECK unit",IF(OR(AND(M195="Credit",E195&lt;=0),AND(M195="Debit",E195&gt;=0)),"CHECK sign",IF(D195="Reversal",IF(OR(J195="",COUNTIF($A$5:$A$3000,J195)=0),"CHECK reversal link",IF(E195&lt;&gt;-INDEX($E$5:$E$3000,MATCH(J195,$A$5:$A$3000,0)),"CHECK reversal amount","OK")),IF(AND(D195="Adjustment",K195&lt;&gt;"",COUNTIF($A$5:$A$3000,J195)=0),"CHECK correction link","OK")))))</f>
        <v>OK</v>
      </c>
      <c r="R195" s="40" t="n">
        <f aca="false">INT(C195)</f>
        <v>46292</v>
      </c>
    </row>
    <row r="196" customFormat="false" ht="15" hidden="false" customHeight="false" outlineLevel="0" collapsed="false">
      <c r="A196" s="28" t="s">
        <v>646</v>
      </c>
      <c r="B196" s="28" t="s">
        <v>260</v>
      </c>
      <c r="C196" s="35" t="n">
        <v>46293.15</v>
      </c>
      <c r="D196" s="28" t="s">
        <v>308</v>
      </c>
      <c r="E196" s="38" t="n">
        <v>200</v>
      </c>
      <c r="F196" s="28" t="s">
        <v>225</v>
      </c>
      <c r="G196" s="28" t="s">
        <v>309</v>
      </c>
      <c r="H196" s="28" t="s">
        <v>310</v>
      </c>
      <c r="I196" s="28" t="s">
        <v>647</v>
      </c>
      <c r="J196" s="28"/>
      <c r="K196" s="28"/>
      <c r="L196" s="36" t="str">
        <f aca="false">IFERROR(INDEX(Transaction_Types!$B$5:$B$20,MATCH(D196,Transaction_Types!$A$5:$A$20,0)),"Not in catalogue")</f>
        <v>Supported</v>
      </c>
      <c r="M196" s="36" t="str">
        <f aca="false">IFERROR(INDEX(Transaction_Types!$C$5:$C$20,MATCH(D196,Transaction_Types!$A$5:$A$20,0)),"")</f>
        <v>Credit</v>
      </c>
      <c r="N196" s="39" t="n">
        <f aca="false">IF(G196="Posted",E196,0)</f>
        <v>200</v>
      </c>
      <c r="O196" s="36" t="n">
        <f aca="false">COUNTIFS($J$5:$J$3000,A196,$K$5:$K$3000,"Reverses")</f>
        <v>0</v>
      </c>
      <c r="P196" s="39" t="n">
        <f aca="false">IF(K196&lt;&gt;"","",IF(G196="Posted",E196+SUMIFS($N$5:$N$3000,$J$5:$J$3000,A196),0))</f>
        <v>200</v>
      </c>
      <c r="Q196" s="36" t="str">
        <f aca="false">IF(L196="Not in catalogue","CHECK type",IF(F196&lt;&gt;Settings!$B$6,"CHECK unit",IF(OR(AND(M196="Credit",E196&lt;=0),AND(M196="Debit",E196&gt;=0)),"CHECK sign",IF(D196="Reversal",IF(OR(J196="",COUNTIF($A$5:$A$3000,J196)=0),"CHECK reversal link",IF(E196&lt;&gt;-INDEX($E$5:$E$3000,MATCH(J196,$A$5:$A$3000,0)),"CHECK reversal amount","OK")),IF(AND(D196="Adjustment",K196&lt;&gt;"",COUNTIF($A$5:$A$3000,J196)=0),"CHECK correction link","OK")))))</f>
        <v>OK</v>
      </c>
      <c r="R196" s="40" t="n">
        <f aca="false">INT(C196)</f>
        <v>46293</v>
      </c>
    </row>
    <row r="197" customFormat="false" ht="15" hidden="false" customHeight="false" outlineLevel="0" collapsed="false">
      <c r="A197" s="28" t="s">
        <v>648</v>
      </c>
      <c r="B197" s="28" t="s">
        <v>227</v>
      </c>
      <c r="C197" s="35" t="n">
        <v>46293.5402777778</v>
      </c>
      <c r="D197" s="28" t="s">
        <v>308</v>
      </c>
      <c r="E197" s="38" t="n">
        <v>250</v>
      </c>
      <c r="F197" s="28" t="s">
        <v>225</v>
      </c>
      <c r="G197" s="28" t="s">
        <v>309</v>
      </c>
      <c r="H197" s="28" t="s">
        <v>313</v>
      </c>
      <c r="I197" s="28" t="s">
        <v>314</v>
      </c>
      <c r="J197" s="28"/>
      <c r="K197" s="28"/>
      <c r="L197" s="36" t="str">
        <f aca="false">IFERROR(INDEX(Transaction_Types!$B$5:$B$20,MATCH(D197,Transaction_Types!$A$5:$A$20,0)),"Not in catalogue")</f>
        <v>Supported</v>
      </c>
      <c r="M197" s="36" t="str">
        <f aca="false">IFERROR(INDEX(Transaction_Types!$C$5:$C$20,MATCH(D197,Transaction_Types!$A$5:$A$20,0)),"")</f>
        <v>Credit</v>
      </c>
      <c r="N197" s="39" t="n">
        <f aca="false">IF(G197="Posted",E197,0)</f>
        <v>250</v>
      </c>
      <c r="O197" s="36" t="n">
        <f aca="false">COUNTIFS($J$5:$J$3000,A197,$K$5:$K$3000,"Reverses")</f>
        <v>0</v>
      </c>
      <c r="P197" s="39" t="n">
        <f aca="false">IF(K197&lt;&gt;"","",IF(G197="Posted",E197+SUMIFS($N$5:$N$3000,$J$5:$J$3000,A197),0))</f>
        <v>250</v>
      </c>
      <c r="Q197" s="36" t="str">
        <f aca="false">IF(L197="Not in catalogue","CHECK type",IF(F197&lt;&gt;Settings!$B$6,"CHECK unit",IF(OR(AND(M197="Credit",E197&lt;=0),AND(M197="Debit",E197&gt;=0)),"CHECK sign",IF(D197="Reversal",IF(OR(J197="",COUNTIF($A$5:$A$3000,J197)=0),"CHECK reversal link",IF(E197&lt;&gt;-INDEX($E$5:$E$3000,MATCH(J197,$A$5:$A$3000,0)),"CHECK reversal amount","OK")),IF(AND(D197="Adjustment",K197&lt;&gt;"",COUNTIF($A$5:$A$3000,J197)=0),"CHECK correction link","OK")))))</f>
        <v>OK</v>
      </c>
      <c r="R197" s="40" t="n">
        <f aca="false">INT(C197)</f>
        <v>46293</v>
      </c>
    </row>
    <row r="198" customFormat="false" ht="15" hidden="false" customHeight="false" outlineLevel="0" collapsed="false">
      <c r="A198" s="28" t="s">
        <v>649</v>
      </c>
      <c r="B198" s="28" t="s">
        <v>229</v>
      </c>
      <c r="C198" s="35" t="n">
        <v>46293.8034722222</v>
      </c>
      <c r="D198" s="28" t="s">
        <v>308</v>
      </c>
      <c r="E198" s="38" t="n">
        <v>100</v>
      </c>
      <c r="F198" s="28" t="s">
        <v>225</v>
      </c>
      <c r="G198" s="28" t="s">
        <v>309</v>
      </c>
      <c r="H198" s="28" t="s">
        <v>310</v>
      </c>
      <c r="I198" s="28" t="s">
        <v>650</v>
      </c>
      <c r="J198" s="28"/>
      <c r="K198" s="28"/>
      <c r="L198" s="36" t="str">
        <f aca="false">IFERROR(INDEX(Transaction_Types!$B$5:$B$20,MATCH(D198,Transaction_Types!$A$5:$A$20,0)),"Not in catalogue")</f>
        <v>Supported</v>
      </c>
      <c r="M198" s="36" t="str">
        <f aca="false">IFERROR(INDEX(Transaction_Types!$C$5:$C$20,MATCH(D198,Transaction_Types!$A$5:$A$20,0)),"")</f>
        <v>Credit</v>
      </c>
      <c r="N198" s="39" t="n">
        <f aca="false">IF(G198="Posted",E198,0)</f>
        <v>100</v>
      </c>
      <c r="O198" s="36" t="n">
        <f aca="false">COUNTIFS($J$5:$J$3000,A198,$K$5:$K$3000,"Reverses")</f>
        <v>0</v>
      </c>
      <c r="P198" s="39" t="n">
        <f aca="false">IF(K198&lt;&gt;"","",IF(G198="Posted",E198+SUMIFS($N$5:$N$3000,$J$5:$J$3000,A198),0))</f>
        <v>100</v>
      </c>
      <c r="Q198" s="36" t="str">
        <f aca="false">IF(L198="Not in catalogue","CHECK type",IF(F198&lt;&gt;Settings!$B$6,"CHECK unit",IF(OR(AND(M198="Credit",E198&lt;=0),AND(M198="Debit",E198&gt;=0)),"CHECK sign",IF(D198="Reversal",IF(OR(J198="",COUNTIF($A$5:$A$3000,J198)=0),"CHECK reversal link",IF(E198&lt;&gt;-INDEX($E$5:$E$3000,MATCH(J198,$A$5:$A$3000,0)),"CHECK reversal amount","OK")),IF(AND(D198="Adjustment",K198&lt;&gt;"",COUNTIF($A$5:$A$3000,J198)=0),"CHECK correction link","OK")))))</f>
        <v>OK</v>
      </c>
      <c r="R198" s="40" t="n">
        <f aca="false">INT(C198)</f>
        <v>46293</v>
      </c>
    </row>
    <row r="199" customFormat="false" ht="15" hidden="false" customHeight="false" outlineLevel="0" collapsed="false">
      <c r="A199" s="28" t="s">
        <v>651</v>
      </c>
      <c r="B199" s="28" t="s">
        <v>239</v>
      </c>
      <c r="C199" s="35" t="n">
        <v>46293.8763888889</v>
      </c>
      <c r="D199" s="28" t="s">
        <v>308</v>
      </c>
      <c r="E199" s="38" t="n">
        <v>300</v>
      </c>
      <c r="F199" s="28" t="s">
        <v>225</v>
      </c>
      <c r="G199" s="28" t="s">
        <v>309</v>
      </c>
      <c r="H199" s="28" t="s">
        <v>313</v>
      </c>
      <c r="I199" s="28" t="s">
        <v>314</v>
      </c>
      <c r="J199" s="28"/>
      <c r="K199" s="28"/>
      <c r="L199" s="36" t="str">
        <f aca="false">IFERROR(INDEX(Transaction_Types!$B$5:$B$20,MATCH(D199,Transaction_Types!$A$5:$A$20,0)),"Not in catalogue")</f>
        <v>Supported</v>
      </c>
      <c r="M199" s="36" t="str">
        <f aca="false">IFERROR(INDEX(Transaction_Types!$C$5:$C$20,MATCH(D199,Transaction_Types!$A$5:$A$20,0)),"")</f>
        <v>Credit</v>
      </c>
      <c r="N199" s="39" t="n">
        <f aca="false">IF(G199="Posted",E199,0)</f>
        <v>300</v>
      </c>
      <c r="O199" s="36" t="n">
        <f aca="false">COUNTIFS($J$5:$J$3000,A199,$K$5:$K$3000,"Reverses")</f>
        <v>0</v>
      </c>
      <c r="P199" s="39" t="n">
        <f aca="false">IF(K199&lt;&gt;"","",IF(G199="Posted",E199+SUMIFS($N$5:$N$3000,$J$5:$J$3000,A199),0))</f>
        <v>300</v>
      </c>
      <c r="Q199" s="36" t="str">
        <f aca="false">IF(L199="Not in catalogue","CHECK type",IF(F199&lt;&gt;Settings!$B$6,"CHECK unit",IF(OR(AND(M199="Credit",E199&lt;=0),AND(M199="Debit",E199&gt;=0)),"CHECK sign",IF(D199="Reversal",IF(OR(J199="",COUNTIF($A$5:$A$3000,J199)=0),"CHECK reversal link",IF(E199&lt;&gt;-INDEX($E$5:$E$3000,MATCH(J199,$A$5:$A$3000,0)),"CHECK reversal amount","OK")),IF(AND(D199="Adjustment",K199&lt;&gt;"",COUNTIF($A$5:$A$3000,J199)=0),"CHECK correction link","OK")))))</f>
        <v>OK</v>
      </c>
      <c r="R199" s="40" t="n">
        <f aca="false">INT(C199)</f>
        <v>46293</v>
      </c>
    </row>
    <row r="200" customFormat="false" ht="15" hidden="false" customHeight="false" outlineLevel="0" collapsed="false">
      <c r="A200" s="28" t="s">
        <v>652</v>
      </c>
      <c r="B200" s="28" t="s">
        <v>265</v>
      </c>
      <c r="C200" s="35" t="n">
        <v>46293.988081821</v>
      </c>
      <c r="D200" s="28" t="s">
        <v>383</v>
      </c>
      <c r="E200" s="38" t="n">
        <v>-700</v>
      </c>
      <c r="F200" s="28" t="s">
        <v>225</v>
      </c>
      <c r="G200" s="28" t="s">
        <v>309</v>
      </c>
      <c r="H200" s="28" t="s">
        <v>384</v>
      </c>
      <c r="I200" s="28" t="s">
        <v>264</v>
      </c>
      <c r="J200" s="28"/>
      <c r="K200" s="28"/>
      <c r="L200" s="36" t="str">
        <f aca="false">IFERROR(INDEX(Transaction_Types!$B$5:$B$20,MATCH(D200,Transaction_Types!$A$5:$A$20,0)),"Not in catalogue")</f>
        <v>Supported</v>
      </c>
      <c r="M200" s="36" t="str">
        <f aca="false">IFERROR(INDEX(Transaction_Types!$C$5:$C$20,MATCH(D200,Transaction_Types!$A$5:$A$20,0)),"")</f>
        <v>Debit</v>
      </c>
      <c r="N200" s="39" t="n">
        <f aca="false">IF(G200="Posted",E200,0)</f>
        <v>-700</v>
      </c>
      <c r="O200" s="36" t="n">
        <f aca="false">COUNTIFS($J$5:$J$3000,A200,$K$5:$K$3000,"Reverses")</f>
        <v>0</v>
      </c>
      <c r="P200" s="39" t="n">
        <f aca="false">IF(K200&lt;&gt;"","",IF(G200="Posted",E200+SUMIFS($N$5:$N$3000,$J$5:$J$3000,A200),0))</f>
        <v>-700</v>
      </c>
      <c r="Q200" s="36" t="str">
        <f aca="false">IF(L200="Not in catalogue","CHECK type",IF(F200&lt;&gt;Settings!$B$6,"CHECK unit",IF(OR(AND(M200="Credit",E200&lt;=0),AND(M200="Debit",E200&gt;=0)),"CHECK sign",IF(D200="Reversal",IF(OR(J200="",COUNTIF($A$5:$A$3000,J200)=0),"CHECK reversal link",IF(E200&lt;&gt;-INDEX($E$5:$E$3000,MATCH(J200,$A$5:$A$3000,0)),"CHECK reversal amount","OK")),IF(AND(D200="Adjustment",K200&lt;&gt;"",COUNTIF($A$5:$A$3000,J200)=0),"CHECK correction link","OK")))))</f>
        <v>OK</v>
      </c>
      <c r="R200" s="40" t="n">
        <f aca="false">INT(C200)</f>
        <v>46293</v>
      </c>
    </row>
    <row r="201" customFormat="false" ht="15" hidden="false" customHeight="false" outlineLevel="0" collapsed="false">
      <c r="A201" s="28" t="s">
        <v>653</v>
      </c>
      <c r="B201" s="28" t="s">
        <v>234</v>
      </c>
      <c r="C201" s="35" t="n">
        <v>46294.2140418375</v>
      </c>
      <c r="D201" s="28" t="s">
        <v>383</v>
      </c>
      <c r="E201" s="38" t="n">
        <v>-1050</v>
      </c>
      <c r="F201" s="28" t="s">
        <v>225</v>
      </c>
      <c r="G201" s="28" t="s">
        <v>309</v>
      </c>
      <c r="H201" s="28" t="s">
        <v>384</v>
      </c>
      <c r="I201" s="28" t="s">
        <v>261</v>
      </c>
      <c r="J201" s="28"/>
      <c r="K201" s="28"/>
      <c r="L201" s="36" t="str">
        <f aca="false">IFERROR(INDEX(Transaction_Types!$B$5:$B$20,MATCH(D201,Transaction_Types!$A$5:$A$20,0)),"Not in catalogue")</f>
        <v>Supported</v>
      </c>
      <c r="M201" s="36" t="str">
        <f aca="false">IFERROR(INDEX(Transaction_Types!$C$5:$C$20,MATCH(D201,Transaction_Types!$A$5:$A$20,0)),"")</f>
        <v>Debit</v>
      </c>
      <c r="N201" s="39" t="n">
        <f aca="false">IF(G201="Posted",E201,0)</f>
        <v>-1050</v>
      </c>
      <c r="O201" s="36" t="n">
        <f aca="false">COUNTIFS($J$5:$J$3000,A201,$K$5:$K$3000,"Reverses")</f>
        <v>0</v>
      </c>
      <c r="P201" s="39" t="n">
        <f aca="false">IF(K201&lt;&gt;"","",IF(G201="Posted",E201+SUMIFS($N$5:$N$3000,$J$5:$J$3000,A201),0))</f>
        <v>-1050</v>
      </c>
      <c r="Q201" s="36" t="str">
        <f aca="false">IF(L201="Not in catalogue","CHECK type",IF(F201&lt;&gt;Settings!$B$6,"CHECK unit",IF(OR(AND(M201="Credit",E201&lt;=0),AND(M201="Debit",E201&gt;=0)),"CHECK sign",IF(D201="Reversal",IF(OR(J201="",COUNTIF($A$5:$A$3000,J201)=0),"CHECK reversal link",IF(E201&lt;&gt;-INDEX($E$5:$E$3000,MATCH(J201,$A$5:$A$3000,0)),"CHECK reversal amount","OK")),IF(AND(D201="Adjustment",K201&lt;&gt;"",COUNTIF($A$5:$A$3000,J201)=0),"CHECK correction link","OK")))))</f>
        <v>OK</v>
      </c>
      <c r="R201" s="40" t="n">
        <f aca="false">INT(C201)</f>
        <v>46294</v>
      </c>
    </row>
    <row r="202" customFormat="false" ht="15" hidden="false" customHeight="false" outlineLevel="0" collapsed="false">
      <c r="A202" s="28" t="s">
        <v>654</v>
      </c>
      <c r="B202" s="28" t="s">
        <v>263</v>
      </c>
      <c r="C202" s="35" t="n">
        <v>46294.380648957</v>
      </c>
      <c r="D202" s="28" t="s">
        <v>383</v>
      </c>
      <c r="E202" s="38" t="n">
        <v>-650</v>
      </c>
      <c r="F202" s="28" t="s">
        <v>225</v>
      </c>
      <c r="G202" s="28" t="s">
        <v>309</v>
      </c>
      <c r="H202" s="28" t="s">
        <v>384</v>
      </c>
      <c r="I202" s="28" t="s">
        <v>262</v>
      </c>
      <c r="J202" s="28"/>
      <c r="K202" s="28"/>
      <c r="L202" s="36" t="str">
        <f aca="false">IFERROR(INDEX(Transaction_Types!$B$5:$B$20,MATCH(D202,Transaction_Types!$A$5:$A$20,0)),"Not in catalogue")</f>
        <v>Supported</v>
      </c>
      <c r="M202" s="36" t="str">
        <f aca="false">IFERROR(INDEX(Transaction_Types!$C$5:$C$20,MATCH(D202,Transaction_Types!$A$5:$A$20,0)),"")</f>
        <v>Debit</v>
      </c>
      <c r="N202" s="39" t="n">
        <f aca="false">IF(G202="Posted",E202,0)</f>
        <v>-650</v>
      </c>
      <c r="O202" s="36" t="n">
        <f aca="false">COUNTIFS($J$5:$J$3000,A202,$K$5:$K$3000,"Reverses")</f>
        <v>0</v>
      </c>
      <c r="P202" s="39" t="n">
        <f aca="false">IF(K202&lt;&gt;"","",IF(G202="Posted",E202+SUMIFS($N$5:$N$3000,$J$5:$J$3000,A202),0))</f>
        <v>-650</v>
      </c>
      <c r="Q202" s="36" t="str">
        <f aca="false">IF(L202="Not in catalogue","CHECK type",IF(F202&lt;&gt;Settings!$B$6,"CHECK unit",IF(OR(AND(M202="Credit",E202&lt;=0),AND(M202="Debit",E202&gt;=0)),"CHECK sign",IF(D202="Reversal",IF(OR(J202="",COUNTIF($A$5:$A$3000,J202)=0),"CHECK reversal link",IF(E202&lt;&gt;-INDEX($E$5:$E$3000,MATCH(J202,$A$5:$A$3000,0)),"CHECK reversal amount","OK")),IF(AND(D202="Adjustment",K202&lt;&gt;"",COUNTIF($A$5:$A$3000,J202)=0),"CHECK correction link","OK")))))</f>
        <v>OK</v>
      </c>
      <c r="R202" s="40" t="n">
        <f aca="false">INT(C202)</f>
        <v>46294</v>
      </c>
    </row>
    <row r="203" customFormat="false" ht="15" hidden="false" customHeight="false" outlineLevel="0" collapsed="false">
      <c r="A203" s="28" t="s">
        <v>655</v>
      </c>
      <c r="B203" s="28" t="s">
        <v>263</v>
      </c>
      <c r="C203" s="35" t="n">
        <v>46294.5548611111</v>
      </c>
      <c r="D203" s="28" t="s">
        <v>308</v>
      </c>
      <c r="E203" s="38" t="n">
        <v>100</v>
      </c>
      <c r="F203" s="28" t="s">
        <v>225</v>
      </c>
      <c r="G203" s="28" t="s">
        <v>309</v>
      </c>
      <c r="H203" s="28" t="s">
        <v>316</v>
      </c>
      <c r="I203" s="28" t="s">
        <v>656</v>
      </c>
      <c r="J203" s="28"/>
      <c r="K203" s="28"/>
      <c r="L203" s="36" t="str">
        <f aca="false">IFERROR(INDEX(Transaction_Types!$B$5:$B$20,MATCH(D203,Transaction_Types!$A$5:$A$20,0)),"Not in catalogue")</f>
        <v>Supported</v>
      </c>
      <c r="M203" s="36" t="str">
        <f aca="false">IFERROR(INDEX(Transaction_Types!$C$5:$C$20,MATCH(D203,Transaction_Types!$A$5:$A$20,0)),"")</f>
        <v>Credit</v>
      </c>
      <c r="N203" s="39" t="n">
        <f aca="false">IF(G203="Posted",E203,0)</f>
        <v>100</v>
      </c>
      <c r="O203" s="36" t="n">
        <f aca="false">COUNTIFS($J$5:$J$3000,A203,$K$5:$K$3000,"Reverses")</f>
        <v>0</v>
      </c>
      <c r="P203" s="39" t="n">
        <f aca="false">IF(K203&lt;&gt;"","",IF(G203="Posted",E203+SUMIFS($N$5:$N$3000,$J$5:$J$3000,A203),0))</f>
        <v>100</v>
      </c>
      <c r="Q203" s="36" t="str">
        <f aca="false">IF(L203="Not in catalogue","CHECK type",IF(F203&lt;&gt;Settings!$B$6,"CHECK unit",IF(OR(AND(M203="Credit",E203&lt;=0),AND(M203="Debit",E203&gt;=0)),"CHECK sign",IF(D203="Reversal",IF(OR(J203="",COUNTIF($A$5:$A$3000,J203)=0),"CHECK reversal link",IF(E203&lt;&gt;-INDEX($E$5:$E$3000,MATCH(J203,$A$5:$A$3000,0)),"CHECK reversal amount","OK")),IF(AND(D203="Adjustment",K203&lt;&gt;"",COUNTIF($A$5:$A$3000,J203)=0),"CHECK correction link","OK")))))</f>
        <v>OK</v>
      </c>
      <c r="R203" s="40" t="n">
        <f aca="false">INT(C203)</f>
        <v>46294</v>
      </c>
    </row>
    <row r="204" customFormat="false" ht="15" hidden="false" customHeight="false" outlineLevel="0" collapsed="false">
      <c r="A204" s="28" t="s">
        <v>657</v>
      </c>
      <c r="B204" s="28" t="s">
        <v>234</v>
      </c>
      <c r="C204" s="35" t="n">
        <v>46294.6298611111</v>
      </c>
      <c r="D204" s="28" t="s">
        <v>470</v>
      </c>
      <c r="E204" s="38" t="n">
        <v>-50</v>
      </c>
      <c r="F204" s="28" t="s">
        <v>225</v>
      </c>
      <c r="G204" s="28" t="s">
        <v>309</v>
      </c>
      <c r="H204" s="28" t="s">
        <v>471</v>
      </c>
      <c r="I204" s="28" t="s">
        <v>658</v>
      </c>
      <c r="J204" s="28" t="s">
        <v>603</v>
      </c>
      <c r="K204" s="28" t="s">
        <v>473</v>
      </c>
      <c r="L204" s="36" t="str">
        <f aca="false">IFERROR(INDEX(Transaction_Types!$B$5:$B$20,MATCH(D204,Transaction_Types!$A$5:$A$20,0)),"Not in catalogue")</f>
        <v>Supported</v>
      </c>
      <c r="M204" s="36" t="str">
        <f aca="false">IFERROR(INDEX(Transaction_Types!$C$5:$C$20,MATCH(D204,Transaction_Types!$A$5:$A$20,0)),"")</f>
        <v>Either</v>
      </c>
      <c r="N204" s="39" t="n">
        <f aca="false">IF(G204="Posted",E204,0)</f>
        <v>-50</v>
      </c>
      <c r="O204" s="36" t="n">
        <f aca="false">COUNTIFS($J$5:$J$3000,A204,$K$5:$K$3000,"Reverses")</f>
        <v>0</v>
      </c>
      <c r="P204" s="39" t="str">
        <f aca="false">IF(K204&lt;&gt;"","",IF(G204="Posted",E204+SUMIFS($N$5:$N$3000,$J$5:$J$3000,A204),0))</f>
        <v/>
      </c>
      <c r="Q204" s="36" t="str">
        <f aca="false">IF(L204="Not in catalogue","CHECK type",IF(F204&lt;&gt;Settings!$B$6,"CHECK unit",IF(OR(AND(M204="Credit",E204&lt;=0),AND(M204="Debit",E204&gt;=0)),"CHECK sign",IF(D204="Reversal",IF(OR(J204="",COUNTIF($A$5:$A$3000,J204)=0),"CHECK reversal link",IF(E204&lt;&gt;-INDEX($E$5:$E$3000,MATCH(J204,$A$5:$A$3000,0)),"CHECK reversal amount","OK")),IF(AND(D204="Adjustment",K204&lt;&gt;"",COUNTIF($A$5:$A$3000,J204)=0),"CHECK correction link","OK")))))</f>
        <v>OK</v>
      </c>
      <c r="R204" s="40" t="n">
        <f aca="false">INT(C204)</f>
        <v>46294</v>
      </c>
    </row>
    <row r="205" customFormat="false" ht="15" hidden="false" customHeight="false" outlineLevel="0" collapsed="false">
      <c r="A205" s="28" t="s">
        <v>659</v>
      </c>
      <c r="B205" s="28" t="s">
        <v>275</v>
      </c>
      <c r="C205" s="35" t="n">
        <v>46294.6548611111</v>
      </c>
      <c r="D205" s="28" t="s">
        <v>308</v>
      </c>
      <c r="E205" s="38" t="n">
        <v>500</v>
      </c>
      <c r="F205" s="28" t="s">
        <v>225</v>
      </c>
      <c r="G205" s="28" t="s">
        <v>309</v>
      </c>
      <c r="H205" s="28" t="s">
        <v>316</v>
      </c>
      <c r="I205" s="28" t="s">
        <v>408</v>
      </c>
      <c r="J205" s="28"/>
      <c r="K205" s="28"/>
      <c r="L205" s="36" t="str">
        <f aca="false">IFERROR(INDEX(Transaction_Types!$B$5:$B$20,MATCH(D205,Transaction_Types!$A$5:$A$20,0)),"Not in catalogue")</f>
        <v>Supported</v>
      </c>
      <c r="M205" s="36" t="str">
        <f aca="false">IFERROR(INDEX(Transaction_Types!$C$5:$C$20,MATCH(D205,Transaction_Types!$A$5:$A$20,0)),"")</f>
        <v>Credit</v>
      </c>
      <c r="N205" s="39" t="n">
        <f aca="false">IF(G205="Posted",E205,0)</f>
        <v>500</v>
      </c>
      <c r="O205" s="36" t="n">
        <f aca="false">COUNTIFS($J$5:$J$3000,A205,$K$5:$K$3000,"Reverses")</f>
        <v>0</v>
      </c>
      <c r="P205" s="39" t="n">
        <f aca="false">IF(K205&lt;&gt;"","",IF(G205="Posted",E205+SUMIFS($N$5:$N$3000,$J$5:$J$3000,A205),0))</f>
        <v>500</v>
      </c>
      <c r="Q205" s="36" t="str">
        <f aca="false">IF(L205="Not in catalogue","CHECK type",IF(F205&lt;&gt;Settings!$B$6,"CHECK unit",IF(OR(AND(M205="Credit",E205&lt;=0),AND(M205="Debit",E205&gt;=0)),"CHECK sign",IF(D205="Reversal",IF(OR(J205="",COUNTIF($A$5:$A$3000,J205)=0),"CHECK reversal link",IF(E205&lt;&gt;-INDEX($E$5:$E$3000,MATCH(J205,$A$5:$A$3000,0)),"CHECK reversal amount","OK")),IF(AND(D205="Adjustment",K205&lt;&gt;"",COUNTIF($A$5:$A$3000,J205)=0),"CHECK correction link","OK")))))</f>
        <v>OK</v>
      </c>
      <c r="R205" s="40" t="n">
        <f aca="false">INT(C205)</f>
        <v>46294</v>
      </c>
    </row>
    <row r="206" customFormat="false" ht="15" hidden="false" customHeight="false" outlineLevel="0" collapsed="false">
      <c r="A206" s="28" t="s">
        <v>660</v>
      </c>
      <c r="B206" s="28" t="s">
        <v>227</v>
      </c>
      <c r="C206" s="35" t="n">
        <v>46294.9375</v>
      </c>
      <c r="D206" s="28" t="s">
        <v>308</v>
      </c>
      <c r="E206" s="38" t="n">
        <v>500</v>
      </c>
      <c r="F206" s="28" t="s">
        <v>225</v>
      </c>
      <c r="G206" s="28" t="s">
        <v>309</v>
      </c>
      <c r="H206" s="28" t="s">
        <v>310</v>
      </c>
      <c r="I206" s="28" t="s">
        <v>661</v>
      </c>
      <c r="J206" s="28"/>
      <c r="K206" s="28"/>
      <c r="L206" s="36" t="str">
        <f aca="false">IFERROR(INDEX(Transaction_Types!$B$5:$B$20,MATCH(D206,Transaction_Types!$A$5:$A$20,0)),"Not in catalogue")</f>
        <v>Supported</v>
      </c>
      <c r="M206" s="36" t="str">
        <f aca="false">IFERROR(INDEX(Transaction_Types!$C$5:$C$20,MATCH(D206,Transaction_Types!$A$5:$A$20,0)),"")</f>
        <v>Credit</v>
      </c>
      <c r="N206" s="39" t="n">
        <f aca="false">IF(G206="Posted",E206,0)</f>
        <v>500</v>
      </c>
      <c r="O206" s="36" t="n">
        <f aca="false">COUNTIFS($J$5:$J$3000,A206,$K$5:$K$3000,"Reverses")</f>
        <v>0</v>
      </c>
      <c r="P206" s="39" t="n">
        <f aca="false">IF(K206&lt;&gt;"","",IF(G206="Posted",E206+SUMIFS($N$5:$N$3000,$J$5:$J$3000,A206),0))</f>
        <v>500</v>
      </c>
      <c r="Q206" s="36" t="str">
        <f aca="false">IF(L206="Not in catalogue","CHECK type",IF(F206&lt;&gt;Settings!$B$6,"CHECK unit",IF(OR(AND(M206="Credit",E206&lt;=0),AND(M206="Debit",E206&gt;=0)),"CHECK sign",IF(D206="Reversal",IF(OR(J206="",COUNTIF($A$5:$A$3000,J206)=0),"CHECK reversal link",IF(E206&lt;&gt;-INDEX($E$5:$E$3000,MATCH(J206,$A$5:$A$3000,0)),"CHECK reversal amount","OK")),IF(AND(D206="Adjustment",K206&lt;&gt;"",COUNTIF($A$5:$A$3000,J206)=0),"CHECK correction link","OK")))))</f>
        <v>OK</v>
      </c>
      <c r="R206" s="40" t="n">
        <f aca="false">INT(C206)</f>
        <v>46294</v>
      </c>
    </row>
    <row r="207" customFormat="false" ht="15" hidden="false" customHeight="false" outlineLevel="0" collapsed="false">
      <c r="A207" s="28" t="s">
        <v>662</v>
      </c>
      <c r="B207" s="28" t="s">
        <v>277</v>
      </c>
      <c r="C207" s="35" t="n">
        <v>46294.94375</v>
      </c>
      <c r="D207" s="28" t="s">
        <v>308</v>
      </c>
      <c r="E207" s="38" t="n">
        <v>200</v>
      </c>
      <c r="F207" s="28" t="s">
        <v>225</v>
      </c>
      <c r="G207" s="28" t="s">
        <v>309</v>
      </c>
      <c r="H207" s="28" t="s">
        <v>310</v>
      </c>
      <c r="I207" s="28" t="s">
        <v>663</v>
      </c>
      <c r="J207" s="28"/>
      <c r="K207" s="28"/>
      <c r="L207" s="36" t="str">
        <f aca="false">IFERROR(INDEX(Transaction_Types!$B$5:$B$20,MATCH(D207,Transaction_Types!$A$5:$A$20,0)),"Not in catalogue")</f>
        <v>Supported</v>
      </c>
      <c r="M207" s="36" t="str">
        <f aca="false">IFERROR(INDEX(Transaction_Types!$C$5:$C$20,MATCH(D207,Transaction_Types!$A$5:$A$20,0)),"")</f>
        <v>Credit</v>
      </c>
      <c r="N207" s="39" t="n">
        <f aca="false">IF(G207="Posted",E207,0)</f>
        <v>200</v>
      </c>
      <c r="O207" s="36" t="n">
        <f aca="false">COUNTIFS($J$5:$J$3000,A207,$K$5:$K$3000,"Reverses")</f>
        <v>0</v>
      </c>
      <c r="P207" s="39" t="n">
        <f aca="false">IF(K207&lt;&gt;"","",IF(G207="Posted",E207+SUMIFS($N$5:$N$3000,$J$5:$J$3000,A207),0))</f>
        <v>200</v>
      </c>
      <c r="Q207" s="36" t="str">
        <f aca="false">IF(L207="Not in catalogue","CHECK type",IF(F207&lt;&gt;Settings!$B$6,"CHECK unit",IF(OR(AND(M207="Credit",E207&lt;=0),AND(M207="Debit",E207&gt;=0)),"CHECK sign",IF(D207="Reversal",IF(OR(J207="",COUNTIF($A$5:$A$3000,J207)=0),"CHECK reversal link",IF(E207&lt;&gt;-INDEX($E$5:$E$3000,MATCH(J207,$A$5:$A$3000,0)),"CHECK reversal amount","OK")),IF(AND(D207="Adjustment",K207&lt;&gt;"",COUNTIF($A$5:$A$3000,J207)=0),"CHECK correction link","OK")))))</f>
        <v>OK</v>
      </c>
      <c r="R207" s="40" t="n">
        <f aca="false">INT(C207)</f>
        <v>46294</v>
      </c>
    </row>
    <row r="208" customFormat="false" ht="15" hidden="false" customHeight="false" outlineLevel="0" collapsed="false">
      <c r="A208" s="28" t="s">
        <v>664</v>
      </c>
      <c r="B208" s="28" t="s">
        <v>260</v>
      </c>
      <c r="C208" s="35" t="n">
        <v>46295.0791179818</v>
      </c>
      <c r="D208" s="28" t="s">
        <v>665</v>
      </c>
      <c r="E208" s="38" t="n">
        <v>550</v>
      </c>
      <c r="F208" s="28" t="s">
        <v>225</v>
      </c>
      <c r="G208" s="28" t="s">
        <v>309</v>
      </c>
      <c r="H208" s="28" t="s">
        <v>666</v>
      </c>
      <c r="I208" s="28" t="s">
        <v>259</v>
      </c>
      <c r="J208" s="28" t="s">
        <v>620</v>
      </c>
      <c r="K208" s="28" t="s">
        <v>667</v>
      </c>
      <c r="L208" s="36" t="str">
        <f aca="false">IFERROR(INDEX(Transaction_Types!$B$5:$B$20,MATCH(D208,Transaction_Types!$A$5:$A$20,0)),"Not in catalogue")</f>
        <v>Supported</v>
      </c>
      <c r="M208" s="36" t="str">
        <f aca="false">IFERROR(INDEX(Transaction_Types!$C$5:$C$20,MATCH(D208,Transaction_Types!$A$5:$A$20,0)),"")</f>
        <v>Either</v>
      </c>
      <c r="N208" s="39" t="n">
        <f aca="false">IF(G208="Posted",E208,0)</f>
        <v>550</v>
      </c>
      <c r="O208" s="36" t="n">
        <f aca="false">COUNTIFS($J$5:$J$3000,A208,$K$5:$K$3000,"Reverses")</f>
        <v>0</v>
      </c>
      <c r="P208" s="39" t="str">
        <f aca="false">IF(K208&lt;&gt;"","",IF(G208="Posted",E208+SUMIFS($N$5:$N$3000,$J$5:$J$3000,A208),0))</f>
        <v/>
      </c>
      <c r="Q208" s="36" t="str">
        <f aca="false">IF(L208="Not in catalogue","CHECK type",IF(F208&lt;&gt;Settings!$B$6,"CHECK unit",IF(OR(AND(M208="Credit",E208&lt;=0),AND(M208="Debit",E208&gt;=0)),"CHECK sign",IF(D208="Reversal",IF(OR(J208="",COUNTIF($A$5:$A$3000,J208)=0),"CHECK reversal link",IF(E208&lt;&gt;-INDEX($E$5:$E$3000,MATCH(J208,$A$5:$A$3000,0)),"CHECK reversal amount","OK")),IF(AND(D208="Adjustment",K208&lt;&gt;"",COUNTIF($A$5:$A$3000,J208)=0),"CHECK correction link","OK")))))</f>
        <v>OK</v>
      </c>
      <c r="R208" s="40" t="n">
        <f aca="false">INT(C208)</f>
        <v>46295</v>
      </c>
    </row>
    <row r="209" customFormat="false" ht="15" hidden="false" customHeight="false" outlineLevel="0" collapsed="false">
      <c r="A209" s="28" t="s">
        <v>668</v>
      </c>
      <c r="B209" s="28" t="s">
        <v>260</v>
      </c>
      <c r="C209" s="35" t="n">
        <v>46295.2736111111</v>
      </c>
      <c r="D209" s="28" t="s">
        <v>308</v>
      </c>
      <c r="E209" s="38" t="n">
        <v>500</v>
      </c>
      <c r="F209" s="28" t="s">
        <v>225</v>
      </c>
      <c r="G209" s="28" t="s">
        <v>309</v>
      </c>
      <c r="H209" s="28" t="s">
        <v>310</v>
      </c>
      <c r="I209" s="28" t="s">
        <v>669</v>
      </c>
      <c r="J209" s="28"/>
      <c r="K209" s="28"/>
      <c r="L209" s="36" t="str">
        <f aca="false">IFERROR(INDEX(Transaction_Types!$B$5:$B$20,MATCH(D209,Transaction_Types!$A$5:$A$20,0)),"Not in catalogue")</f>
        <v>Supported</v>
      </c>
      <c r="M209" s="36" t="str">
        <f aca="false">IFERROR(INDEX(Transaction_Types!$C$5:$C$20,MATCH(D209,Transaction_Types!$A$5:$A$20,0)),"")</f>
        <v>Credit</v>
      </c>
      <c r="N209" s="39" t="n">
        <f aca="false">IF(G209="Posted",E209,0)</f>
        <v>500</v>
      </c>
      <c r="O209" s="36" t="n">
        <f aca="false">COUNTIFS($J$5:$J$3000,A209,$K$5:$K$3000,"Reverses")</f>
        <v>0</v>
      </c>
      <c r="P209" s="39" t="n">
        <f aca="false">IF(K209&lt;&gt;"","",IF(G209="Posted",E209+SUMIFS($N$5:$N$3000,$J$5:$J$3000,A209),0))</f>
        <v>500</v>
      </c>
      <c r="Q209" s="36" t="str">
        <f aca="false">IF(L209="Not in catalogue","CHECK type",IF(F209&lt;&gt;Settings!$B$6,"CHECK unit",IF(OR(AND(M209="Credit",E209&lt;=0),AND(M209="Debit",E209&gt;=0)),"CHECK sign",IF(D209="Reversal",IF(OR(J209="",COUNTIF($A$5:$A$3000,J209)=0),"CHECK reversal link",IF(E209&lt;&gt;-INDEX($E$5:$E$3000,MATCH(J209,$A$5:$A$3000,0)),"CHECK reversal amount","OK")),IF(AND(D209="Adjustment",K209&lt;&gt;"",COUNTIF($A$5:$A$3000,J209)=0),"CHECK correction link","OK")))))</f>
        <v>OK</v>
      </c>
      <c r="R209" s="40" t="n">
        <f aca="false">INT(C209)</f>
        <v>46295</v>
      </c>
    </row>
    <row r="210" customFormat="false" ht="15" hidden="false" customHeight="false" outlineLevel="0" collapsed="false">
      <c r="A210" s="28" t="s">
        <v>670</v>
      </c>
      <c r="B210" s="28" t="s">
        <v>249</v>
      </c>
      <c r="C210" s="35" t="n">
        <v>46295.4611111111</v>
      </c>
      <c r="D210" s="28" t="s">
        <v>308</v>
      </c>
      <c r="E210" s="38" t="n">
        <v>250</v>
      </c>
      <c r="F210" s="28" t="s">
        <v>225</v>
      </c>
      <c r="G210" s="28" t="s">
        <v>309</v>
      </c>
      <c r="H210" s="28" t="s">
        <v>316</v>
      </c>
      <c r="I210" s="28" t="s">
        <v>412</v>
      </c>
      <c r="J210" s="28"/>
      <c r="K210" s="28"/>
      <c r="L210" s="36" t="str">
        <f aca="false">IFERROR(INDEX(Transaction_Types!$B$5:$B$20,MATCH(D210,Transaction_Types!$A$5:$A$20,0)),"Not in catalogue")</f>
        <v>Supported</v>
      </c>
      <c r="M210" s="36" t="str">
        <f aca="false">IFERROR(INDEX(Transaction_Types!$C$5:$C$20,MATCH(D210,Transaction_Types!$A$5:$A$20,0)),"")</f>
        <v>Credit</v>
      </c>
      <c r="N210" s="39" t="n">
        <f aca="false">IF(G210="Posted",E210,0)</f>
        <v>250</v>
      </c>
      <c r="O210" s="36" t="n">
        <f aca="false">COUNTIFS($J$5:$J$3000,A210,$K$5:$K$3000,"Reverses")</f>
        <v>0</v>
      </c>
      <c r="P210" s="39" t="n">
        <f aca="false">IF(K210&lt;&gt;"","",IF(G210="Posted",E210+SUMIFS($N$5:$N$3000,$J$5:$J$3000,A210),0))</f>
        <v>250</v>
      </c>
      <c r="Q210" s="36" t="str">
        <f aca="false">IF(L210="Not in catalogue","CHECK type",IF(F210&lt;&gt;Settings!$B$6,"CHECK unit",IF(OR(AND(M210="Credit",E210&lt;=0),AND(M210="Debit",E210&gt;=0)),"CHECK sign",IF(D210="Reversal",IF(OR(J210="",COUNTIF($A$5:$A$3000,J210)=0),"CHECK reversal link",IF(E210&lt;&gt;-INDEX($E$5:$E$3000,MATCH(J210,$A$5:$A$3000,0)),"CHECK reversal amount","OK")),IF(AND(D210="Adjustment",K210&lt;&gt;"",COUNTIF($A$5:$A$3000,J210)=0),"CHECK correction link","OK")))))</f>
        <v>OK</v>
      </c>
      <c r="R210" s="40" t="n">
        <f aca="false">INT(C210)</f>
        <v>46295</v>
      </c>
    </row>
    <row r="211" customFormat="false" ht="15" hidden="false" customHeight="false" outlineLevel="0" collapsed="false">
      <c r="A211" s="28" t="s">
        <v>671</v>
      </c>
      <c r="B211" s="28" t="s">
        <v>231</v>
      </c>
      <c r="C211" s="35" t="n">
        <v>46295.6513888889</v>
      </c>
      <c r="D211" s="28" t="s">
        <v>308</v>
      </c>
      <c r="E211" s="38" t="n">
        <v>200</v>
      </c>
      <c r="F211" s="28" t="s">
        <v>225</v>
      </c>
      <c r="G211" s="28" t="s">
        <v>309</v>
      </c>
      <c r="H211" s="28" t="s">
        <v>316</v>
      </c>
      <c r="I211" s="28" t="s">
        <v>672</v>
      </c>
      <c r="J211" s="28"/>
      <c r="K211" s="28"/>
      <c r="L211" s="36" t="str">
        <f aca="false">IFERROR(INDEX(Transaction_Types!$B$5:$B$20,MATCH(D211,Transaction_Types!$A$5:$A$20,0)),"Not in catalogue")</f>
        <v>Supported</v>
      </c>
      <c r="M211" s="36" t="str">
        <f aca="false">IFERROR(INDEX(Transaction_Types!$C$5:$C$20,MATCH(D211,Transaction_Types!$A$5:$A$20,0)),"")</f>
        <v>Credit</v>
      </c>
      <c r="N211" s="39" t="n">
        <f aca="false">IF(G211="Posted",E211,0)</f>
        <v>200</v>
      </c>
      <c r="O211" s="36" t="n">
        <f aca="false">COUNTIFS($J$5:$J$3000,A211,$K$5:$K$3000,"Reverses")</f>
        <v>0</v>
      </c>
      <c r="P211" s="39" t="n">
        <f aca="false">IF(K211&lt;&gt;"","",IF(G211="Posted",E211+SUMIFS($N$5:$N$3000,$J$5:$J$3000,A211),0))</f>
        <v>200</v>
      </c>
      <c r="Q211" s="36" t="str">
        <f aca="false">IF(L211="Not in catalogue","CHECK type",IF(F211&lt;&gt;Settings!$B$6,"CHECK unit",IF(OR(AND(M211="Credit",E211&lt;=0),AND(M211="Debit",E211&gt;=0)),"CHECK sign",IF(D211="Reversal",IF(OR(J211="",COUNTIF($A$5:$A$3000,J211)=0),"CHECK reversal link",IF(E211&lt;&gt;-INDEX($E$5:$E$3000,MATCH(J211,$A$5:$A$3000,0)),"CHECK reversal amount","OK")),IF(AND(D211="Adjustment",K211&lt;&gt;"",COUNTIF($A$5:$A$3000,J211)=0),"CHECK correction link","OK")))))</f>
        <v>OK</v>
      </c>
      <c r="R211" s="40" t="n">
        <f aca="false">INT(C211)</f>
        <v>46295</v>
      </c>
    </row>
    <row r="212" customFormat="false" ht="15" hidden="false" customHeight="false" outlineLevel="0" collapsed="false">
      <c r="A212" s="28" t="s">
        <v>673</v>
      </c>
      <c r="B212" s="28" t="s">
        <v>269</v>
      </c>
      <c r="C212" s="35" t="n">
        <v>46295.9125</v>
      </c>
      <c r="D212" s="28" t="s">
        <v>308</v>
      </c>
      <c r="E212" s="38" t="n">
        <v>150</v>
      </c>
      <c r="F212" s="28" t="s">
        <v>225</v>
      </c>
      <c r="G212" s="28" t="s">
        <v>309</v>
      </c>
      <c r="H212" s="28" t="s">
        <v>313</v>
      </c>
      <c r="I212" s="28" t="s">
        <v>314</v>
      </c>
      <c r="J212" s="28"/>
      <c r="K212" s="28"/>
      <c r="L212" s="36" t="str">
        <f aca="false">IFERROR(INDEX(Transaction_Types!$B$5:$B$20,MATCH(D212,Transaction_Types!$A$5:$A$20,0)),"Not in catalogue")</f>
        <v>Supported</v>
      </c>
      <c r="M212" s="36" t="str">
        <f aca="false">IFERROR(INDEX(Transaction_Types!$C$5:$C$20,MATCH(D212,Transaction_Types!$A$5:$A$20,0)),"")</f>
        <v>Credit</v>
      </c>
      <c r="N212" s="39" t="n">
        <f aca="false">IF(G212="Posted",E212,0)</f>
        <v>150</v>
      </c>
      <c r="O212" s="36" t="n">
        <f aca="false">COUNTIFS($J$5:$J$3000,A212,$K$5:$K$3000,"Reverses")</f>
        <v>0</v>
      </c>
      <c r="P212" s="39" t="n">
        <f aca="false">IF(K212&lt;&gt;"","",IF(G212="Posted",E212+SUMIFS($N$5:$N$3000,$J$5:$J$3000,A212),0))</f>
        <v>150</v>
      </c>
      <c r="Q212" s="36" t="str">
        <f aca="false">IF(L212="Not in catalogue","CHECK type",IF(F212&lt;&gt;Settings!$B$6,"CHECK unit",IF(OR(AND(M212="Credit",E212&lt;=0),AND(M212="Debit",E212&gt;=0)),"CHECK sign",IF(D212="Reversal",IF(OR(J212="",COUNTIF($A$5:$A$3000,J212)=0),"CHECK reversal link",IF(E212&lt;&gt;-INDEX($E$5:$E$3000,MATCH(J212,$A$5:$A$3000,0)),"CHECK reversal amount","OK")),IF(AND(D212="Adjustment",K212&lt;&gt;"",COUNTIF($A$5:$A$3000,J212)=0),"CHECK correction link","OK")))))</f>
        <v>OK</v>
      </c>
      <c r="R212" s="40" t="n">
        <f aca="false">INT(C212)</f>
        <v>46295</v>
      </c>
    </row>
    <row r="213" customFormat="false" ht="15" hidden="false" customHeight="false" outlineLevel="0" collapsed="false">
      <c r="A213" s="28" t="s">
        <v>674</v>
      </c>
      <c r="B213" s="28" t="s">
        <v>260</v>
      </c>
      <c r="C213" s="35" t="n">
        <v>46295.925</v>
      </c>
      <c r="D213" s="28" t="s">
        <v>308</v>
      </c>
      <c r="E213" s="38" t="n">
        <v>500</v>
      </c>
      <c r="F213" s="28" t="s">
        <v>225</v>
      </c>
      <c r="G213" s="28" t="s">
        <v>309</v>
      </c>
      <c r="H213" s="28" t="s">
        <v>313</v>
      </c>
      <c r="I213" s="28" t="s">
        <v>314</v>
      </c>
      <c r="J213" s="28"/>
      <c r="K213" s="28"/>
      <c r="L213" s="36" t="str">
        <f aca="false">IFERROR(INDEX(Transaction_Types!$B$5:$B$20,MATCH(D213,Transaction_Types!$A$5:$A$20,0)),"Not in catalogue")</f>
        <v>Supported</v>
      </c>
      <c r="M213" s="36" t="str">
        <f aca="false">IFERROR(INDEX(Transaction_Types!$C$5:$C$20,MATCH(D213,Transaction_Types!$A$5:$A$20,0)),"")</f>
        <v>Credit</v>
      </c>
      <c r="N213" s="39" t="n">
        <f aca="false">IF(G213="Posted",E213,0)</f>
        <v>500</v>
      </c>
      <c r="O213" s="36" t="n">
        <f aca="false">COUNTIFS($J$5:$J$3000,A213,$K$5:$K$3000,"Reverses")</f>
        <v>0</v>
      </c>
      <c r="P213" s="39" t="n">
        <f aca="false">IF(K213&lt;&gt;"","",IF(G213="Posted",E213+SUMIFS($N$5:$N$3000,$J$5:$J$3000,A213),0))</f>
        <v>500</v>
      </c>
      <c r="Q213" s="36" t="str">
        <f aca="false">IF(L213="Not in catalogue","CHECK type",IF(F213&lt;&gt;Settings!$B$6,"CHECK unit",IF(OR(AND(M213="Credit",E213&lt;=0),AND(M213="Debit",E213&gt;=0)),"CHECK sign",IF(D213="Reversal",IF(OR(J213="",COUNTIF($A$5:$A$3000,J213)=0),"CHECK reversal link",IF(E213&lt;&gt;-INDEX($E$5:$E$3000,MATCH(J213,$A$5:$A$3000,0)),"CHECK reversal amount","OK")),IF(AND(D213="Adjustment",K213&lt;&gt;"",COUNTIF($A$5:$A$3000,J213)=0),"CHECK correction link","OK")))))</f>
        <v>OK</v>
      </c>
      <c r="R213" s="40" t="n">
        <f aca="false">INT(C213)</f>
        <v>46295</v>
      </c>
    </row>
    <row r="214" customFormat="false" ht="15" hidden="false" customHeight="false" outlineLevel="0" collapsed="false">
      <c r="A214" s="28" t="s">
        <v>675</v>
      </c>
      <c r="B214" s="28" t="s">
        <v>277</v>
      </c>
      <c r="C214" s="35" t="n">
        <v>46295.9604166667</v>
      </c>
      <c r="D214" s="28" t="s">
        <v>308</v>
      </c>
      <c r="E214" s="38" t="n">
        <v>250</v>
      </c>
      <c r="F214" s="28" t="s">
        <v>225</v>
      </c>
      <c r="G214" s="28" t="s">
        <v>309</v>
      </c>
      <c r="H214" s="28" t="s">
        <v>316</v>
      </c>
      <c r="I214" s="28" t="s">
        <v>676</v>
      </c>
      <c r="J214" s="28"/>
      <c r="K214" s="28"/>
      <c r="L214" s="36" t="str">
        <f aca="false">IFERROR(INDEX(Transaction_Types!$B$5:$B$20,MATCH(D214,Transaction_Types!$A$5:$A$20,0)),"Not in catalogue")</f>
        <v>Supported</v>
      </c>
      <c r="M214" s="36" t="str">
        <f aca="false">IFERROR(INDEX(Transaction_Types!$C$5:$C$20,MATCH(D214,Transaction_Types!$A$5:$A$20,0)),"")</f>
        <v>Credit</v>
      </c>
      <c r="N214" s="39" t="n">
        <f aca="false">IF(G214="Posted",E214,0)</f>
        <v>250</v>
      </c>
      <c r="O214" s="36" t="n">
        <f aca="false">COUNTIFS($J$5:$J$3000,A214,$K$5:$K$3000,"Reverses")</f>
        <v>0</v>
      </c>
      <c r="P214" s="39" t="n">
        <f aca="false">IF(K214&lt;&gt;"","",IF(G214="Posted",E214+SUMIFS($N$5:$N$3000,$J$5:$J$3000,A214),0))</f>
        <v>250</v>
      </c>
      <c r="Q214" s="36" t="str">
        <f aca="false">IF(L214="Not in catalogue","CHECK type",IF(F214&lt;&gt;Settings!$B$6,"CHECK unit",IF(OR(AND(M214="Credit",E214&lt;=0),AND(M214="Debit",E214&gt;=0)),"CHECK sign",IF(D214="Reversal",IF(OR(J214="",COUNTIF($A$5:$A$3000,J214)=0),"CHECK reversal link",IF(E214&lt;&gt;-INDEX($E$5:$E$3000,MATCH(J214,$A$5:$A$3000,0)),"CHECK reversal amount","OK")),IF(AND(D214="Adjustment",K214&lt;&gt;"",COUNTIF($A$5:$A$3000,J214)=0),"CHECK correction link","OK")))))</f>
        <v>OK</v>
      </c>
      <c r="R214" s="40" t="n">
        <f aca="false">INT(C214)</f>
        <v>46295</v>
      </c>
    </row>
    <row r="215" customFormat="false" ht="15" hidden="false" customHeight="false" outlineLevel="0" collapsed="false">
      <c r="A215" s="28" t="s">
        <v>677</v>
      </c>
      <c r="B215" s="28" t="s">
        <v>229</v>
      </c>
      <c r="C215" s="35" t="n">
        <v>46295.9694444445</v>
      </c>
      <c r="D215" s="28" t="s">
        <v>308</v>
      </c>
      <c r="E215" s="38" t="n">
        <v>250</v>
      </c>
      <c r="F215" s="28" t="s">
        <v>225</v>
      </c>
      <c r="G215" s="28" t="s">
        <v>309</v>
      </c>
      <c r="H215" s="28" t="s">
        <v>310</v>
      </c>
      <c r="I215" s="28" t="s">
        <v>678</v>
      </c>
      <c r="J215" s="28"/>
      <c r="K215" s="28"/>
      <c r="L215" s="36" t="str">
        <f aca="false">IFERROR(INDEX(Transaction_Types!$B$5:$B$20,MATCH(D215,Transaction_Types!$A$5:$A$20,0)),"Not in catalogue")</f>
        <v>Supported</v>
      </c>
      <c r="M215" s="36" t="str">
        <f aca="false">IFERROR(INDEX(Transaction_Types!$C$5:$C$20,MATCH(D215,Transaction_Types!$A$5:$A$20,0)),"")</f>
        <v>Credit</v>
      </c>
      <c r="N215" s="39" t="n">
        <f aca="false">IF(G215="Posted",E215,0)</f>
        <v>250</v>
      </c>
      <c r="O215" s="36" t="n">
        <f aca="false">COUNTIFS($J$5:$J$3000,A215,$K$5:$K$3000,"Reverses")</f>
        <v>0</v>
      </c>
      <c r="P215" s="39" t="n">
        <f aca="false">IF(K215&lt;&gt;"","",IF(G215="Posted",E215+SUMIFS($N$5:$N$3000,$J$5:$J$3000,A215),0))</f>
        <v>250</v>
      </c>
      <c r="Q215" s="36" t="str">
        <f aca="false">IF(L215="Not in catalogue","CHECK type",IF(F215&lt;&gt;Settings!$B$6,"CHECK unit",IF(OR(AND(M215="Credit",E215&lt;=0),AND(M215="Debit",E215&gt;=0)),"CHECK sign",IF(D215="Reversal",IF(OR(J215="",COUNTIF($A$5:$A$3000,J215)=0),"CHECK reversal link",IF(E215&lt;&gt;-INDEX($E$5:$E$3000,MATCH(J215,$A$5:$A$3000,0)),"CHECK reversal amount","OK")),IF(AND(D215="Adjustment",K215&lt;&gt;"",COUNTIF($A$5:$A$3000,J215)=0),"CHECK correction link","OK")))))</f>
        <v>OK</v>
      </c>
      <c r="R215" s="40" t="n">
        <f aca="false">INT(C215)</f>
        <v>46295</v>
      </c>
    </row>
    <row r="216" customFormat="false" ht="15" hidden="false" customHeight="false" outlineLevel="0" collapsed="false">
      <c r="A216" s="28" t="s">
        <v>679</v>
      </c>
      <c r="B216" s="28" t="s">
        <v>224</v>
      </c>
      <c r="C216" s="35" t="n">
        <v>46296.2256944445</v>
      </c>
      <c r="D216" s="28" t="s">
        <v>308</v>
      </c>
      <c r="E216" s="38" t="n">
        <v>400</v>
      </c>
      <c r="F216" s="28" t="s">
        <v>225</v>
      </c>
      <c r="G216" s="28" t="s">
        <v>309</v>
      </c>
      <c r="H216" s="28" t="s">
        <v>310</v>
      </c>
      <c r="I216" s="28" t="s">
        <v>680</v>
      </c>
      <c r="J216" s="28"/>
      <c r="K216" s="28"/>
      <c r="L216" s="36" t="str">
        <f aca="false">IFERROR(INDEX(Transaction_Types!$B$5:$B$20,MATCH(D216,Transaction_Types!$A$5:$A$20,0)),"Not in catalogue")</f>
        <v>Supported</v>
      </c>
      <c r="M216" s="36" t="str">
        <f aca="false">IFERROR(INDEX(Transaction_Types!$C$5:$C$20,MATCH(D216,Transaction_Types!$A$5:$A$20,0)),"")</f>
        <v>Credit</v>
      </c>
      <c r="N216" s="39" t="n">
        <f aca="false">IF(G216="Posted",E216,0)</f>
        <v>400</v>
      </c>
      <c r="O216" s="36" t="n">
        <f aca="false">COUNTIFS($J$5:$J$3000,A216,$K$5:$K$3000,"Reverses")</f>
        <v>0</v>
      </c>
      <c r="P216" s="39" t="n">
        <f aca="false">IF(K216&lt;&gt;"","",IF(G216="Posted",E216+SUMIFS($N$5:$N$3000,$J$5:$J$3000,A216),0))</f>
        <v>400</v>
      </c>
      <c r="Q216" s="36" t="str">
        <f aca="false">IF(L216="Not in catalogue","CHECK type",IF(F216&lt;&gt;Settings!$B$6,"CHECK unit",IF(OR(AND(M216="Credit",E216&lt;=0),AND(M216="Debit",E216&gt;=0)),"CHECK sign",IF(D216="Reversal",IF(OR(J216="",COUNTIF($A$5:$A$3000,J216)=0),"CHECK reversal link",IF(E216&lt;&gt;-INDEX($E$5:$E$3000,MATCH(J216,$A$5:$A$3000,0)),"CHECK reversal amount","OK")),IF(AND(D216="Adjustment",K216&lt;&gt;"",COUNTIF($A$5:$A$3000,J216)=0),"CHECK correction link","OK")))))</f>
        <v>OK</v>
      </c>
      <c r="R216" s="40" t="n">
        <f aca="false">INT(C216)</f>
        <v>46296</v>
      </c>
    </row>
    <row r="217" customFormat="false" ht="15" hidden="false" customHeight="false" outlineLevel="0" collapsed="false">
      <c r="A217" s="28" t="s">
        <v>681</v>
      </c>
      <c r="B217" s="28" t="s">
        <v>234</v>
      </c>
      <c r="C217" s="35" t="n">
        <v>46296.4166666667</v>
      </c>
      <c r="D217" s="28" t="s">
        <v>470</v>
      </c>
      <c r="E217" s="38" t="n">
        <v>100</v>
      </c>
      <c r="F217" s="28" t="s">
        <v>225</v>
      </c>
      <c r="G217" s="28" t="s">
        <v>309</v>
      </c>
      <c r="H217" s="28" t="s">
        <v>471</v>
      </c>
      <c r="I217" s="28" t="s">
        <v>682</v>
      </c>
      <c r="J217" s="28"/>
      <c r="K217" s="28"/>
      <c r="L217" s="36" t="str">
        <f aca="false">IFERROR(INDEX(Transaction_Types!$B$5:$B$20,MATCH(D217,Transaction_Types!$A$5:$A$20,0)),"Not in catalogue")</f>
        <v>Supported</v>
      </c>
      <c r="M217" s="36" t="str">
        <f aca="false">IFERROR(INDEX(Transaction_Types!$C$5:$C$20,MATCH(D217,Transaction_Types!$A$5:$A$20,0)),"")</f>
        <v>Either</v>
      </c>
      <c r="N217" s="39" t="n">
        <f aca="false">IF(G217="Posted",E217,0)</f>
        <v>100</v>
      </c>
      <c r="O217" s="36" t="n">
        <f aca="false">COUNTIFS($J$5:$J$3000,A217,$K$5:$K$3000,"Reverses")</f>
        <v>0</v>
      </c>
      <c r="P217" s="39" t="n">
        <f aca="false">IF(K217&lt;&gt;"","",IF(G217="Posted",E217+SUMIFS($N$5:$N$3000,$J$5:$J$3000,A217),0))</f>
        <v>100</v>
      </c>
      <c r="Q217" s="36" t="str">
        <f aca="false">IF(L217="Not in catalogue","CHECK type",IF(F217&lt;&gt;Settings!$B$6,"CHECK unit",IF(OR(AND(M217="Credit",E217&lt;=0),AND(M217="Debit",E217&gt;=0)),"CHECK sign",IF(D217="Reversal",IF(OR(J217="",COUNTIF($A$5:$A$3000,J217)=0),"CHECK reversal link",IF(E217&lt;&gt;-INDEX($E$5:$E$3000,MATCH(J217,$A$5:$A$3000,0)),"CHECK reversal amount","OK")),IF(AND(D217="Adjustment",K217&lt;&gt;"",COUNTIF($A$5:$A$3000,J217)=0),"CHECK correction link","OK")))))</f>
        <v>OK</v>
      </c>
      <c r="R217" s="40" t="n">
        <f aca="false">INT(C217)</f>
        <v>46296</v>
      </c>
    </row>
    <row r="218" customFormat="false" ht="15" hidden="false" customHeight="false" outlineLevel="0" collapsed="false">
      <c r="A218" s="28" t="s">
        <v>683</v>
      </c>
      <c r="B218" s="28" t="s">
        <v>242</v>
      </c>
      <c r="C218" s="35" t="n">
        <v>46296.5902777778</v>
      </c>
      <c r="D218" s="28" t="s">
        <v>308</v>
      </c>
      <c r="E218" s="38" t="n">
        <v>200</v>
      </c>
      <c r="F218" s="28" t="s">
        <v>225</v>
      </c>
      <c r="G218" s="28" t="s">
        <v>309</v>
      </c>
      <c r="H218" s="28" t="s">
        <v>310</v>
      </c>
      <c r="I218" s="28" t="s">
        <v>684</v>
      </c>
      <c r="J218" s="28"/>
      <c r="K218" s="28"/>
      <c r="L218" s="36" t="str">
        <f aca="false">IFERROR(INDEX(Transaction_Types!$B$5:$B$20,MATCH(D218,Transaction_Types!$A$5:$A$20,0)),"Not in catalogue")</f>
        <v>Supported</v>
      </c>
      <c r="M218" s="36" t="str">
        <f aca="false">IFERROR(INDEX(Transaction_Types!$C$5:$C$20,MATCH(D218,Transaction_Types!$A$5:$A$20,0)),"")</f>
        <v>Credit</v>
      </c>
      <c r="N218" s="39" t="n">
        <f aca="false">IF(G218="Posted",E218,0)</f>
        <v>200</v>
      </c>
      <c r="O218" s="36" t="n">
        <f aca="false">COUNTIFS($J$5:$J$3000,A218,$K$5:$K$3000,"Reverses")</f>
        <v>0</v>
      </c>
      <c r="P218" s="39" t="n">
        <f aca="false">IF(K218&lt;&gt;"","",IF(G218="Posted",E218+SUMIFS($N$5:$N$3000,$J$5:$J$3000,A218),0))</f>
        <v>200</v>
      </c>
      <c r="Q218" s="36" t="str">
        <f aca="false">IF(L218="Not in catalogue","CHECK type",IF(F218&lt;&gt;Settings!$B$6,"CHECK unit",IF(OR(AND(M218="Credit",E218&lt;=0),AND(M218="Debit",E218&gt;=0)),"CHECK sign",IF(D218="Reversal",IF(OR(J218="",COUNTIF($A$5:$A$3000,J218)=0),"CHECK reversal link",IF(E218&lt;&gt;-INDEX($E$5:$E$3000,MATCH(J218,$A$5:$A$3000,0)),"CHECK reversal amount","OK")),IF(AND(D218="Adjustment",K218&lt;&gt;"",COUNTIF($A$5:$A$3000,J218)=0),"CHECK correction link","OK")))))</f>
        <v>OK</v>
      </c>
      <c r="R218" s="40" t="n">
        <f aca="false">INT(C218)</f>
        <v>46296</v>
      </c>
    </row>
    <row r="219" customFormat="false" ht="15" hidden="false" customHeight="false" outlineLevel="0" collapsed="false">
      <c r="A219" s="28" t="s">
        <v>685</v>
      </c>
      <c r="B219" s="28" t="s">
        <v>289</v>
      </c>
      <c r="C219" s="35" t="n">
        <v>46296.7520833333</v>
      </c>
      <c r="D219" s="28" t="s">
        <v>308</v>
      </c>
      <c r="E219" s="38" t="n">
        <v>400</v>
      </c>
      <c r="F219" s="28" t="s">
        <v>225</v>
      </c>
      <c r="G219" s="28" t="s">
        <v>309</v>
      </c>
      <c r="H219" s="28" t="s">
        <v>310</v>
      </c>
      <c r="I219" s="28" t="s">
        <v>686</v>
      </c>
      <c r="J219" s="28"/>
      <c r="K219" s="28"/>
      <c r="L219" s="36" t="str">
        <f aca="false">IFERROR(INDEX(Transaction_Types!$B$5:$B$20,MATCH(D219,Transaction_Types!$A$5:$A$20,0)),"Not in catalogue")</f>
        <v>Supported</v>
      </c>
      <c r="M219" s="36" t="str">
        <f aca="false">IFERROR(INDEX(Transaction_Types!$C$5:$C$20,MATCH(D219,Transaction_Types!$A$5:$A$20,0)),"")</f>
        <v>Credit</v>
      </c>
      <c r="N219" s="39" t="n">
        <f aca="false">IF(G219="Posted",E219,0)</f>
        <v>400</v>
      </c>
      <c r="O219" s="36" t="n">
        <f aca="false">COUNTIFS($J$5:$J$3000,A219,$K$5:$K$3000,"Reverses")</f>
        <v>0</v>
      </c>
      <c r="P219" s="39" t="n">
        <f aca="false">IF(K219&lt;&gt;"","",IF(G219="Posted",E219+SUMIFS($N$5:$N$3000,$J$5:$J$3000,A219),0))</f>
        <v>400</v>
      </c>
      <c r="Q219" s="36" t="str">
        <f aca="false">IF(L219="Not in catalogue","CHECK type",IF(F219&lt;&gt;Settings!$B$6,"CHECK unit",IF(OR(AND(M219="Credit",E219&lt;=0),AND(M219="Debit",E219&gt;=0)),"CHECK sign",IF(D219="Reversal",IF(OR(J219="",COUNTIF($A$5:$A$3000,J219)=0),"CHECK reversal link",IF(E219&lt;&gt;-INDEX($E$5:$E$3000,MATCH(J219,$A$5:$A$3000,0)),"CHECK reversal amount","OK")),IF(AND(D219="Adjustment",K219&lt;&gt;"",COUNTIF($A$5:$A$3000,J219)=0),"CHECK correction link","OK")))))</f>
        <v>OK</v>
      </c>
      <c r="R219" s="40" t="n">
        <f aca="false">INT(C219)</f>
        <v>46296</v>
      </c>
    </row>
    <row r="220" customFormat="false" ht="15" hidden="false" customHeight="false" outlineLevel="0" collapsed="false">
      <c r="A220" s="28" t="s">
        <v>687</v>
      </c>
      <c r="B220" s="28" t="s">
        <v>234</v>
      </c>
      <c r="C220" s="35" t="n">
        <v>46296.9736111111</v>
      </c>
      <c r="D220" s="28" t="s">
        <v>308</v>
      </c>
      <c r="E220" s="38" t="n">
        <v>250</v>
      </c>
      <c r="F220" s="28" t="s">
        <v>225</v>
      </c>
      <c r="G220" s="28" t="s">
        <v>309</v>
      </c>
      <c r="H220" s="28" t="s">
        <v>316</v>
      </c>
      <c r="I220" s="28" t="s">
        <v>427</v>
      </c>
      <c r="J220" s="28"/>
      <c r="K220" s="28"/>
      <c r="L220" s="36" t="str">
        <f aca="false">IFERROR(INDEX(Transaction_Types!$B$5:$B$20,MATCH(D220,Transaction_Types!$A$5:$A$20,0)),"Not in catalogue")</f>
        <v>Supported</v>
      </c>
      <c r="M220" s="36" t="str">
        <f aca="false">IFERROR(INDEX(Transaction_Types!$C$5:$C$20,MATCH(D220,Transaction_Types!$A$5:$A$20,0)),"")</f>
        <v>Credit</v>
      </c>
      <c r="N220" s="39" t="n">
        <f aca="false">IF(G220="Posted",E220,0)</f>
        <v>250</v>
      </c>
      <c r="O220" s="36" t="n">
        <f aca="false">COUNTIFS($J$5:$J$3000,A220,$K$5:$K$3000,"Reverses")</f>
        <v>0</v>
      </c>
      <c r="P220" s="39" t="n">
        <f aca="false">IF(K220&lt;&gt;"","",IF(G220="Posted",E220+SUMIFS($N$5:$N$3000,$J$5:$J$3000,A220),0))</f>
        <v>250</v>
      </c>
      <c r="Q220" s="36" t="str">
        <f aca="false">IF(L220="Not in catalogue","CHECK type",IF(F220&lt;&gt;Settings!$B$6,"CHECK unit",IF(OR(AND(M220="Credit",E220&lt;=0),AND(M220="Debit",E220&gt;=0)),"CHECK sign",IF(D220="Reversal",IF(OR(J220="",COUNTIF($A$5:$A$3000,J220)=0),"CHECK reversal link",IF(E220&lt;&gt;-INDEX($E$5:$E$3000,MATCH(J220,$A$5:$A$3000,0)),"CHECK reversal amount","OK")),IF(AND(D220="Adjustment",K220&lt;&gt;"",COUNTIF($A$5:$A$3000,J220)=0),"CHECK correction link","OK")))))</f>
        <v>OK</v>
      </c>
      <c r="R220" s="40" t="n">
        <f aca="false">INT(C220)</f>
        <v>46296</v>
      </c>
    </row>
    <row r="221" customFormat="false" ht="15" hidden="false" customHeight="false" outlineLevel="0" collapsed="false">
      <c r="A221" s="28" t="s">
        <v>688</v>
      </c>
      <c r="B221" s="28" t="s">
        <v>260</v>
      </c>
      <c r="C221" s="35" t="n">
        <v>46297.2416666667</v>
      </c>
      <c r="D221" s="28" t="s">
        <v>308</v>
      </c>
      <c r="E221" s="38" t="n">
        <v>400</v>
      </c>
      <c r="F221" s="28" t="s">
        <v>225</v>
      </c>
      <c r="G221" s="28" t="s">
        <v>309</v>
      </c>
      <c r="H221" s="28" t="s">
        <v>316</v>
      </c>
      <c r="I221" s="28" t="s">
        <v>344</v>
      </c>
      <c r="J221" s="28"/>
      <c r="K221" s="28"/>
      <c r="L221" s="36" t="str">
        <f aca="false">IFERROR(INDEX(Transaction_Types!$B$5:$B$20,MATCH(D221,Transaction_Types!$A$5:$A$20,0)),"Not in catalogue")</f>
        <v>Supported</v>
      </c>
      <c r="M221" s="36" t="str">
        <f aca="false">IFERROR(INDEX(Transaction_Types!$C$5:$C$20,MATCH(D221,Transaction_Types!$A$5:$A$20,0)),"")</f>
        <v>Credit</v>
      </c>
      <c r="N221" s="39" t="n">
        <f aca="false">IF(G221="Posted",E221,0)</f>
        <v>400</v>
      </c>
      <c r="O221" s="36" t="n">
        <f aca="false">COUNTIFS($J$5:$J$3000,A221,$K$5:$K$3000,"Reverses")</f>
        <v>0</v>
      </c>
      <c r="P221" s="39" t="n">
        <f aca="false">IF(K221&lt;&gt;"","",IF(G221="Posted",E221+SUMIFS($N$5:$N$3000,$J$5:$J$3000,A221),0))</f>
        <v>400</v>
      </c>
      <c r="Q221" s="36" t="str">
        <f aca="false">IF(L221="Not in catalogue","CHECK type",IF(F221&lt;&gt;Settings!$B$6,"CHECK unit",IF(OR(AND(M221="Credit",E221&lt;=0),AND(M221="Debit",E221&gt;=0)),"CHECK sign",IF(D221="Reversal",IF(OR(J221="",COUNTIF($A$5:$A$3000,J221)=0),"CHECK reversal link",IF(E221&lt;&gt;-INDEX($E$5:$E$3000,MATCH(J221,$A$5:$A$3000,0)),"CHECK reversal amount","OK")),IF(AND(D221="Adjustment",K221&lt;&gt;"",COUNTIF($A$5:$A$3000,J221)=0),"CHECK correction link","OK")))))</f>
        <v>OK</v>
      </c>
      <c r="R221" s="40" t="n">
        <f aca="false">INT(C221)</f>
        <v>46297</v>
      </c>
    </row>
    <row r="222" customFormat="false" ht="15" hidden="false" customHeight="false" outlineLevel="0" collapsed="false">
      <c r="A222" s="28" t="s">
        <v>689</v>
      </c>
      <c r="B222" s="28" t="s">
        <v>260</v>
      </c>
      <c r="C222" s="35" t="n">
        <v>46297.5534722222</v>
      </c>
      <c r="D222" s="28" t="s">
        <v>308</v>
      </c>
      <c r="E222" s="38" t="n">
        <v>100</v>
      </c>
      <c r="F222" s="28" t="s">
        <v>225</v>
      </c>
      <c r="G222" s="28" t="s">
        <v>309</v>
      </c>
      <c r="H222" s="28" t="s">
        <v>316</v>
      </c>
      <c r="I222" s="28" t="s">
        <v>690</v>
      </c>
      <c r="J222" s="28"/>
      <c r="K222" s="28"/>
      <c r="L222" s="36" t="str">
        <f aca="false">IFERROR(INDEX(Transaction_Types!$B$5:$B$20,MATCH(D222,Transaction_Types!$A$5:$A$20,0)),"Not in catalogue")</f>
        <v>Supported</v>
      </c>
      <c r="M222" s="36" t="str">
        <f aca="false">IFERROR(INDEX(Transaction_Types!$C$5:$C$20,MATCH(D222,Transaction_Types!$A$5:$A$20,0)),"")</f>
        <v>Credit</v>
      </c>
      <c r="N222" s="39" t="n">
        <f aca="false">IF(G222="Posted",E222,0)</f>
        <v>100</v>
      </c>
      <c r="O222" s="36" t="n">
        <f aca="false">COUNTIFS($J$5:$J$3000,A222,$K$5:$K$3000,"Reverses")</f>
        <v>0</v>
      </c>
      <c r="P222" s="39" t="n">
        <f aca="false">IF(K222&lt;&gt;"","",IF(G222="Posted",E222+SUMIFS($N$5:$N$3000,$J$5:$J$3000,A222),0))</f>
        <v>100</v>
      </c>
      <c r="Q222" s="36" t="str">
        <f aca="false">IF(L222="Not in catalogue","CHECK type",IF(F222&lt;&gt;Settings!$B$6,"CHECK unit",IF(OR(AND(M222="Credit",E222&lt;=0),AND(M222="Debit",E222&gt;=0)),"CHECK sign",IF(D222="Reversal",IF(OR(J222="",COUNTIF($A$5:$A$3000,J222)=0),"CHECK reversal link",IF(E222&lt;&gt;-INDEX($E$5:$E$3000,MATCH(J222,$A$5:$A$3000,0)),"CHECK reversal amount","OK")),IF(AND(D222="Adjustment",K222&lt;&gt;"",COUNTIF($A$5:$A$3000,J222)=0),"CHECK correction link","OK")))))</f>
        <v>OK</v>
      </c>
      <c r="R222" s="40" t="n">
        <f aca="false">INT(C222)</f>
        <v>46297</v>
      </c>
    </row>
    <row r="223" customFormat="false" ht="15" hidden="false" customHeight="false" outlineLevel="0" collapsed="false">
      <c r="A223" s="28" t="s">
        <v>691</v>
      </c>
      <c r="B223" s="28" t="s">
        <v>239</v>
      </c>
      <c r="C223" s="35" t="n">
        <v>46297.8215277778</v>
      </c>
      <c r="D223" s="28" t="s">
        <v>308</v>
      </c>
      <c r="E223" s="38" t="n">
        <v>200</v>
      </c>
      <c r="F223" s="28" t="s">
        <v>225</v>
      </c>
      <c r="G223" s="28" t="s">
        <v>309</v>
      </c>
      <c r="H223" s="28" t="s">
        <v>310</v>
      </c>
      <c r="I223" s="28" t="s">
        <v>692</v>
      </c>
      <c r="J223" s="28"/>
      <c r="K223" s="28"/>
      <c r="L223" s="36" t="str">
        <f aca="false">IFERROR(INDEX(Transaction_Types!$B$5:$B$20,MATCH(D223,Transaction_Types!$A$5:$A$20,0)),"Not in catalogue")</f>
        <v>Supported</v>
      </c>
      <c r="M223" s="36" t="str">
        <f aca="false">IFERROR(INDEX(Transaction_Types!$C$5:$C$20,MATCH(D223,Transaction_Types!$A$5:$A$20,0)),"")</f>
        <v>Credit</v>
      </c>
      <c r="N223" s="39" t="n">
        <f aca="false">IF(G223="Posted",E223,0)</f>
        <v>200</v>
      </c>
      <c r="O223" s="36" t="n">
        <f aca="false">COUNTIFS($J$5:$J$3000,A223,$K$5:$K$3000,"Reverses")</f>
        <v>1</v>
      </c>
      <c r="P223" s="39" t="n">
        <f aca="false">IF(K223&lt;&gt;"","",IF(G223="Posted",E223+SUMIFS($N$5:$N$3000,$J$5:$J$3000,A223),0))</f>
        <v>0</v>
      </c>
      <c r="Q223" s="36" t="str">
        <f aca="false">IF(L223="Not in catalogue","CHECK type",IF(F223&lt;&gt;Settings!$B$6,"CHECK unit",IF(OR(AND(M223="Credit",E223&lt;=0),AND(M223="Debit",E223&gt;=0)),"CHECK sign",IF(D223="Reversal",IF(OR(J223="",COUNTIF($A$5:$A$3000,J223)=0),"CHECK reversal link",IF(E223&lt;&gt;-INDEX($E$5:$E$3000,MATCH(J223,$A$5:$A$3000,0)),"CHECK reversal amount","OK")),IF(AND(D223="Adjustment",K223&lt;&gt;"",COUNTIF($A$5:$A$3000,J223)=0),"CHECK correction link","OK")))))</f>
        <v>OK</v>
      </c>
      <c r="R223" s="40" t="n">
        <f aca="false">INT(C223)</f>
        <v>46297</v>
      </c>
    </row>
    <row r="224" customFormat="false" ht="15" hidden="false" customHeight="false" outlineLevel="0" collapsed="false">
      <c r="A224" s="28" t="s">
        <v>693</v>
      </c>
      <c r="B224" s="28" t="s">
        <v>229</v>
      </c>
      <c r="C224" s="35" t="n">
        <v>46298.1929300276</v>
      </c>
      <c r="D224" s="28" t="s">
        <v>383</v>
      </c>
      <c r="E224" s="38" t="n">
        <v>-850</v>
      </c>
      <c r="F224" s="28" t="s">
        <v>225</v>
      </c>
      <c r="G224" s="28" t="s">
        <v>309</v>
      </c>
      <c r="H224" s="28" t="s">
        <v>384</v>
      </c>
      <c r="I224" s="28" t="s">
        <v>267</v>
      </c>
      <c r="J224" s="28"/>
      <c r="K224" s="28"/>
      <c r="L224" s="36" t="str">
        <f aca="false">IFERROR(INDEX(Transaction_Types!$B$5:$B$20,MATCH(D224,Transaction_Types!$A$5:$A$20,0)),"Not in catalogue")</f>
        <v>Supported</v>
      </c>
      <c r="M224" s="36" t="str">
        <f aca="false">IFERROR(INDEX(Transaction_Types!$C$5:$C$20,MATCH(D224,Transaction_Types!$A$5:$A$20,0)),"")</f>
        <v>Debit</v>
      </c>
      <c r="N224" s="39" t="n">
        <f aca="false">IF(G224="Posted",E224,0)</f>
        <v>-850</v>
      </c>
      <c r="O224" s="36" t="n">
        <f aca="false">COUNTIFS($J$5:$J$3000,A224,$K$5:$K$3000,"Reverses")</f>
        <v>0</v>
      </c>
      <c r="P224" s="39" t="n">
        <f aca="false">IF(K224&lt;&gt;"","",IF(G224="Posted",E224+SUMIFS($N$5:$N$3000,$J$5:$J$3000,A224),0))</f>
        <v>-850</v>
      </c>
      <c r="Q224" s="36" t="str">
        <f aca="false">IF(L224="Not in catalogue","CHECK type",IF(F224&lt;&gt;Settings!$B$6,"CHECK unit",IF(OR(AND(M224="Credit",E224&lt;=0),AND(M224="Debit",E224&gt;=0)),"CHECK sign",IF(D224="Reversal",IF(OR(J224="",COUNTIF($A$5:$A$3000,J224)=0),"CHECK reversal link",IF(E224&lt;&gt;-INDEX($E$5:$E$3000,MATCH(J224,$A$5:$A$3000,0)),"CHECK reversal amount","OK")),IF(AND(D224="Adjustment",K224&lt;&gt;"",COUNTIF($A$5:$A$3000,J224)=0),"CHECK correction link","OK")))))</f>
        <v>OK</v>
      </c>
      <c r="R224" s="40" t="n">
        <f aca="false">INT(C224)</f>
        <v>46298</v>
      </c>
    </row>
    <row r="225" customFormat="false" ht="15" hidden="false" customHeight="false" outlineLevel="0" collapsed="false">
      <c r="A225" s="28" t="s">
        <v>694</v>
      </c>
      <c r="B225" s="28" t="s">
        <v>260</v>
      </c>
      <c r="C225" s="35" t="n">
        <v>46298.5402777778</v>
      </c>
      <c r="D225" s="28" t="s">
        <v>308</v>
      </c>
      <c r="E225" s="38" t="n">
        <v>400</v>
      </c>
      <c r="F225" s="28" t="s">
        <v>225</v>
      </c>
      <c r="G225" s="28" t="s">
        <v>309</v>
      </c>
      <c r="H225" s="28" t="s">
        <v>313</v>
      </c>
      <c r="I225" s="28" t="s">
        <v>314</v>
      </c>
      <c r="J225" s="28"/>
      <c r="K225" s="28"/>
      <c r="L225" s="36" t="str">
        <f aca="false">IFERROR(INDEX(Transaction_Types!$B$5:$B$20,MATCH(D225,Transaction_Types!$A$5:$A$20,0)),"Not in catalogue")</f>
        <v>Supported</v>
      </c>
      <c r="M225" s="36" t="str">
        <f aca="false">IFERROR(INDEX(Transaction_Types!$C$5:$C$20,MATCH(D225,Transaction_Types!$A$5:$A$20,0)),"")</f>
        <v>Credit</v>
      </c>
      <c r="N225" s="39" t="n">
        <f aca="false">IF(G225="Posted",E225,0)</f>
        <v>400</v>
      </c>
      <c r="O225" s="36" t="n">
        <f aca="false">COUNTIFS($J$5:$J$3000,A225,$K$5:$K$3000,"Reverses")</f>
        <v>0</v>
      </c>
      <c r="P225" s="39" t="n">
        <f aca="false">IF(K225&lt;&gt;"","",IF(G225="Posted",E225+SUMIFS($N$5:$N$3000,$J$5:$J$3000,A225),0))</f>
        <v>400</v>
      </c>
      <c r="Q225" s="36" t="str">
        <f aca="false">IF(L225="Not in catalogue","CHECK type",IF(F225&lt;&gt;Settings!$B$6,"CHECK unit",IF(OR(AND(M225="Credit",E225&lt;=0),AND(M225="Debit",E225&gt;=0)),"CHECK sign",IF(D225="Reversal",IF(OR(J225="",COUNTIF($A$5:$A$3000,J225)=0),"CHECK reversal link",IF(E225&lt;&gt;-INDEX($E$5:$E$3000,MATCH(J225,$A$5:$A$3000,0)),"CHECK reversal amount","OK")),IF(AND(D225="Adjustment",K225&lt;&gt;"",COUNTIF($A$5:$A$3000,J225)=0),"CHECK correction link","OK")))))</f>
        <v>OK</v>
      </c>
      <c r="R225" s="40" t="n">
        <f aca="false">INT(C225)</f>
        <v>46298</v>
      </c>
    </row>
    <row r="226" customFormat="false" ht="15" hidden="false" customHeight="false" outlineLevel="0" collapsed="false">
      <c r="A226" s="28" t="s">
        <v>695</v>
      </c>
      <c r="B226" s="28" t="s">
        <v>249</v>
      </c>
      <c r="C226" s="35" t="n">
        <v>46298.5409722222</v>
      </c>
      <c r="D226" s="28" t="s">
        <v>308</v>
      </c>
      <c r="E226" s="38" t="n">
        <v>150</v>
      </c>
      <c r="F226" s="28" t="s">
        <v>225</v>
      </c>
      <c r="G226" s="28" t="s">
        <v>309</v>
      </c>
      <c r="H226" s="28" t="s">
        <v>310</v>
      </c>
      <c r="I226" s="28" t="s">
        <v>696</v>
      </c>
      <c r="J226" s="28"/>
      <c r="K226" s="28"/>
      <c r="L226" s="36" t="str">
        <f aca="false">IFERROR(INDEX(Transaction_Types!$B$5:$B$20,MATCH(D226,Transaction_Types!$A$5:$A$20,0)),"Not in catalogue")</f>
        <v>Supported</v>
      </c>
      <c r="M226" s="36" t="str">
        <f aca="false">IFERROR(INDEX(Transaction_Types!$C$5:$C$20,MATCH(D226,Transaction_Types!$A$5:$A$20,0)),"")</f>
        <v>Credit</v>
      </c>
      <c r="N226" s="39" t="n">
        <f aca="false">IF(G226="Posted",E226,0)</f>
        <v>150</v>
      </c>
      <c r="O226" s="36" t="n">
        <f aca="false">COUNTIFS($J$5:$J$3000,A226,$K$5:$K$3000,"Reverses")</f>
        <v>0</v>
      </c>
      <c r="P226" s="39" t="n">
        <f aca="false">IF(K226&lt;&gt;"","",IF(G226="Posted",E226+SUMIFS($N$5:$N$3000,$J$5:$J$3000,A226),0))</f>
        <v>150</v>
      </c>
      <c r="Q226" s="36" t="str">
        <f aca="false">IF(L226="Not in catalogue","CHECK type",IF(F226&lt;&gt;Settings!$B$6,"CHECK unit",IF(OR(AND(M226="Credit",E226&lt;=0),AND(M226="Debit",E226&gt;=0)),"CHECK sign",IF(D226="Reversal",IF(OR(J226="",COUNTIF($A$5:$A$3000,J226)=0),"CHECK reversal link",IF(E226&lt;&gt;-INDEX($E$5:$E$3000,MATCH(J226,$A$5:$A$3000,0)),"CHECK reversal amount","OK")),IF(AND(D226="Adjustment",K226&lt;&gt;"",COUNTIF($A$5:$A$3000,J226)=0),"CHECK correction link","OK")))))</f>
        <v>OK</v>
      </c>
      <c r="R226" s="40" t="n">
        <f aca="false">INT(C226)</f>
        <v>46298</v>
      </c>
    </row>
    <row r="227" customFormat="false" ht="15" hidden="false" customHeight="false" outlineLevel="0" collapsed="false">
      <c r="A227" s="28" t="s">
        <v>697</v>
      </c>
      <c r="B227" s="28" t="s">
        <v>263</v>
      </c>
      <c r="C227" s="35" t="n">
        <v>46298.7736111111</v>
      </c>
      <c r="D227" s="28" t="s">
        <v>665</v>
      </c>
      <c r="E227" s="38" t="n">
        <v>-150</v>
      </c>
      <c r="F227" s="28" t="s">
        <v>225</v>
      </c>
      <c r="G227" s="28" t="s">
        <v>309</v>
      </c>
      <c r="H227" s="28" t="s">
        <v>471</v>
      </c>
      <c r="I227" s="28" t="s">
        <v>638</v>
      </c>
      <c r="J227" s="28" t="s">
        <v>637</v>
      </c>
      <c r="K227" s="28" t="s">
        <v>667</v>
      </c>
      <c r="L227" s="36" t="str">
        <f aca="false">IFERROR(INDEX(Transaction_Types!$B$5:$B$20,MATCH(D227,Transaction_Types!$A$5:$A$20,0)),"Not in catalogue")</f>
        <v>Supported</v>
      </c>
      <c r="M227" s="36" t="str">
        <f aca="false">IFERROR(INDEX(Transaction_Types!$C$5:$C$20,MATCH(D227,Transaction_Types!$A$5:$A$20,0)),"")</f>
        <v>Either</v>
      </c>
      <c r="N227" s="39" t="n">
        <f aca="false">IF(G227="Posted",E227,0)</f>
        <v>-150</v>
      </c>
      <c r="O227" s="36" t="n">
        <f aca="false">COUNTIFS($J$5:$J$3000,A227,$K$5:$K$3000,"Reverses")</f>
        <v>0</v>
      </c>
      <c r="P227" s="39" t="str">
        <f aca="false">IF(K227&lt;&gt;"","",IF(G227="Posted",E227+SUMIFS($N$5:$N$3000,$J$5:$J$3000,A227),0))</f>
        <v/>
      </c>
      <c r="Q227" s="36" t="str">
        <f aca="false">IF(L227="Not in catalogue","CHECK type",IF(F227&lt;&gt;Settings!$B$6,"CHECK unit",IF(OR(AND(M227="Credit",E227&lt;=0),AND(M227="Debit",E227&gt;=0)),"CHECK sign",IF(D227="Reversal",IF(OR(J227="",COUNTIF($A$5:$A$3000,J227)=0),"CHECK reversal link",IF(E227&lt;&gt;-INDEX($E$5:$E$3000,MATCH(J227,$A$5:$A$3000,0)),"CHECK reversal amount","OK")),IF(AND(D227="Adjustment",K227&lt;&gt;"",COUNTIF($A$5:$A$3000,J227)=0),"CHECK correction link","OK")))))</f>
        <v>OK</v>
      </c>
      <c r="R227" s="40" t="n">
        <f aca="false">INT(C227)</f>
        <v>46298</v>
      </c>
    </row>
    <row r="228" customFormat="false" ht="15" hidden="false" customHeight="false" outlineLevel="0" collapsed="false">
      <c r="A228" s="28" t="s">
        <v>698</v>
      </c>
      <c r="B228" s="28" t="s">
        <v>227</v>
      </c>
      <c r="C228" s="35" t="n">
        <v>46298.9861111111</v>
      </c>
      <c r="D228" s="28" t="s">
        <v>308</v>
      </c>
      <c r="E228" s="38" t="n">
        <v>150</v>
      </c>
      <c r="F228" s="28" t="s">
        <v>225</v>
      </c>
      <c r="G228" s="28" t="s">
        <v>309</v>
      </c>
      <c r="H228" s="28" t="s">
        <v>310</v>
      </c>
      <c r="I228" s="28" t="s">
        <v>699</v>
      </c>
      <c r="J228" s="28"/>
      <c r="K228" s="28"/>
      <c r="L228" s="36" t="str">
        <f aca="false">IFERROR(INDEX(Transaction_Types!$B$5:$B$20,MATCH(D228,Transaction_Types!$A$5:$A$20,0)),"Not in catalogue")</f>
        <v>Supported</v>
      </c>
      <c r="M228" s="36" t="str">
        <f aca="false">IFERROR(INDEX(Transaction_Types!$C$5:$C$20,MATCH(D228,Transaction_Types!$A$5:$A$20,0)),"")</f>
        <v>Credit</v>
      </c>
      <c r="N228" s="39" t="n">
        <f aca="false">IF(G228="Posted",E228,0)</f>
        <v>150</v>
      </c>
      <c r="O228" s="36" t="n">
        <f aca="false">COUNTIFS($J$5:$J$3000,A228,$K$5:$K$3000,"Reverses")</f>
        <v>0</v>
      </c>
      <c r="P228" s="39" t="n">
        <f aca="false">IF(K228&lt;&gt;"","",IF(G228="Posted",E228+SUMIFS($N$5:$N$3000,$J$5:$J$3000,A228),0))</f>
        <v>150</v>
      </c>
      <c r="Q228" s="36" t="str">
        <f aca="false">IF(L228="Not in catalogue","CHECK type",IF(F228&lt;&gt;Settings!$B$6,"CHECK unit",IF(OR(AND(M228="Credit",E228&lt;=0),AND(M228="Debit",E228&gt;=0)),"CHECK sign",IF(D228="Reversal",IF(OR(J228="",COUNTIF($A$5:$A$3000,J228)=0),"CHECK reversal link",IF(E228&lt;&gt;-INDEX($E$5:$E$3000,MATCH(J228,$A$5:$A$3000,0)),"CHECK reversal amount","OK")),IF(AND(D228="Adjustment",K228&lt;&gt;"",COUNTIF($A$5:$A$3000,J228)=0),"CHECK correction link","OK")))))</f>
        <v>OK</v>
      </c>
      <c r="R228" s="40" t="n">
        <f aca="false">INT(C228)</f>
        <v>46298</v>
      </c>
    </row>
    <row r="229" customFormat="false" ht="15" hidden="false" customHeight="false" outlineLevel="0" collapsed="false">
      <c r="A229" s="28" t="s">
        <v>700</v>
      </c>
      <c r="B229" s="28" t="s">
        <v>269</v>
      </c>
      <c r="C229" s="35" t="n">
        <v>46299.0576388889</v>
      </c>
      <c r="D229" s="28" t="s">
        <v>308</v>
      </c>
      <c r="E229" s="38" t="n">
        <v>300</v>
      </c>
      <c r="F229" s="28" t="s">
        <v>225</v>
      </c>
      <c r="G229" s="28" t="s">
        <v>309</v>
      </c>
      <c r="H229" s="28" t="s">
        <v>316</v>
      </c>
      <c r="I229" s="28" t="s">
        <v>701</v>
      </c>
      <c r="J229" s="28"/>
      <c r="K229" s="28"/>
      <c r="L229" s="36" t="str">
        <f aca="false">IFERROR(INDEX(Transaction_Types!$B$5:$B$20,MATCH(D229,Transaction_Types!$A$5:$A$20,0)),"Not in catalogue")</f>
        <v>Supported</v>
      </c>
      <c r="M229" s="36" t="str">
        <f aca="false">IFERROR(INDEX(Transaction_Types!$C$5:$C$20,MATCH(D229,Transaction_Types!$A$5:$A$20,0)),"")</f>
        <v>Credit</v>
      </c>
      <c r="N229" s="39" t="n">
        <f aca="false">IF(G229="Posted",E229,0)</f>
        <v>300</v>
      </c>
      <c r="O229" s="36" t="n">
        <f aca="false">COUNTIFS($J$5:$J$3000,A229,$K$5:$K$3000,"Reverses")</f>
        <v>0</v>
      </c>
      <c r="P229" s="39" t="n">
        <f aca="false">IF(K229&lt;&gt;"","",IF(G229="Posted",E229+SUMIFS($N$5:$N$3000,$J$5:$J$3000,A229),0))</f>
        <v>300</v>
      </c>
      <c r="Q229" s="36" t="str">
        <f aca="false">IF(L229="Not in catalogue","CHECK type",IF(F229&lt;&gt;Settings!$B$6,"CHECK unit",IF(OR(AND(M229="Credit",E229&lt;=0),AND(M229="Debit",E229&gt;=0)),"CHECK sign",IF(D229="Reversal",IF(OR(J229="",COUNTIF($A$5:$A$3000,J229)=0),"CHECK reversal link",IF(E229&lt;&gt;-INDEX($E$5:$E$3000,MATCH(J229,$A$5:$A$3000,0)),"CHECK reversal amount","OK")),IF(AND(D229="Adjustment",K229&lt;&gt;"",COUNTIF($A$5:$A$3000,J229)=0),"CHECK correction link","OK")))))</f>
        <v>OK</v>
      </c>
      <c r="R229" s="40" t="n">
        <f aca="false">INT(C229)</f>
        <v>46299</v>
      </c>
    </row>
    <row r="230" customFormat="false" ht="15" hidden="false" customHeight="false" outlineLevel="0" collapsed="false">
      <c r="A230" s="28" t="s">
        <v>702</v>
      </c>
      <c r="B230" s="28" t="s">
        <v>227</v>
      </c>
      <c r="C230" s="35" t="n">
        <v>46299.26875</v>
      </c>
      <c r="D230" s="28" t="s">
        <v>308</v>
      </c>
      <c r="E230" s="38" t="n">
        <v>100</v>
      </c>
      <c r="F230" s="28" t="s">
        <v>225</v>
      </c>
      <c r="G230" s="28" t="s">
        <v>309</v>
      </c>
      <c r="H230" s="28" t="s">
        <v>310</v>
      </c>
      <c r="I230" s="28" t="s">
        <v>703</v>
      </c>
      <c r="J230" s="28"/>
      <c r="K230" s="28"/>
      <c r="L230" s="36" t="str">
        <f aca="false">IFERROR(INDEX(Transaction_Types!$B$5:$B$20,MATCH(D230,Transaction_Types!$A$5:$A$20,0)),"Not in catalogue")</f>
        <v>Supported</v>
      </c>
      <c r="M230" s="36" t="str">
        <f aca="false">IFERROR(INDEX(Transaction_Types!$C$5:$C$20,MATCH(D230,Transaction_Types!$A$5:$A$20,0)),"")</f>
        <v>Credit</v>
      </c>
      <c r="N230" s="39" t="n">
        <f aca="false">IF(G230="Posted",E230,0)</f>
        <v>100</v>
      </c>
      <c r="O230" s="36" t="n">
        <f aca="false">COUNTIFS($J$5:$J$3000,A230,$K$5:$K$3000,"Reverses")</f>
        <v>0</v>
      </c>
      <c r="P230" s="39" t="n">
        <f aca="false">IF(K230&lt;&gt;"","",IF(G230="Posted",E230+SUMIFS($N$5:$N$3000,$J$5:$J$3000,A230),0))</f>
        <v>100</v>
      </c>
      <c r="Q230" s="36" t="str">
        <f aca="false">IF(L230="Not in catalogue","CHECK type",IF(F230&lt;&gt;Settings!$B$6,"CHECK unit",IF(OR(AND(M230="Credit",E230&lt;=0),AND(M230="Debit",E230&gt;=0)),"CHECK sign",IF(D230="Reversal",IF(OR(J230="",COUNTIF($A$5:$A$3000,J230)=0),"CHECK reversal link",IF(E230&lt;&gt;-INDEX($E$5:$E$3000,MATCH(J230,$A$5:$A$3000,0)),"CHECK reversal amount","OK")),IF(AND(D230="Adjustment",K230&lt;&gt;"",COUNTIF($A$5:$A$3000,J230)=0),"CHECK correction link","OK")))))</f>
        <v>OK</v>
      </c>
      <c r="R230" s="40" t="n">
        <f aca="false">INT(C230)</f>
        <v>46299</v>
      </c>
    </row>
    <row r="231" customFormat="false" ht="15" hidden="false" customHeight="false" outlineLevel="0" collapsed="false">
      <c r="A231" s="28" t="s">
        <v>704</v>
      </c>
      <c r="B231" s="28" t="s">
        <v>254</v>
      </c>
      <c r="C231" s="35" t="n">
        <v>46299.3298611111</v>
      </c>
      <c r="D231" s="28" t="s">
        <v>308</v>
      </c>
      <c r="E231" s="38" t="n">
        <v>300</v>
      </c>
      <c r="F231" s="28" t="s">
        <v>225</v>
      </c>
      <c r="G231" s="28" t="s">
        <v>309</v>
      </c>
      <c r="H231" s="28" t="s">
        <v>310</v>
      </c>
      <c r="I231" s="28" t="s">
        <v>705</v>
      </c>
      <c r="J231" s="28"/>
      <c r="K231" s="28"/>
      <c r="L231" s="36" t="str">
        <f aca="false">IFERROR(INDEX(Transaction_Types!$B$5:$B$20,MATCH(D231,Transaction_Types!$A$5:$A$20,0)),"Not in catalogue")</f>
        <v>Supported</v>
      </c>
      <c r="M231" s="36" t="str">
        <f aca="false">IFERROR(INDEX(Transaction_Types!$C$5:$C$20,MATCH(D231,Transaction_Types!$A$5:$A$20,0)),"")</f>
        <v>Credit</v>
      </c>
      <c r="N231" s="39" t="n">
        <f aca="false">IF(G231="Posted",E231,0)</f>
        <v>300</v>
      </c>
      <c r="O231" s="36" t="n">
        <f aca="false">COUNTIFS($J$5:$J$3000,A231,$K$5:$K$3000,"Reverses")</f>
        <v>0</v>
      </c>
      <c r="P231" s="39" t="n">
        <f aca="false">IF(K231&lt;&gt;"","",IF(G231="Posted",E231+SUMIFS($N$5:$N$3000,$J$5:$J$3000,A231),0))</f>
        <v>300</v>
      </c>
      <c r="Q231" s="36" t="str">
        <f aca="false">IF(L231="Not in catalogue","CHECK type",IF(F231&lt;&gt;Settings!$B$6,"CHECK unit",IF(OR(AND(M231="Credit",E231&lt;=0),AND(M231="Debit",E231&gt;=0)),"CHECK sign",IF(D231="Reversal",IF(OR(J231="",COUNTIF($A$5:$A$3000,J231)=0),"CHECK reversal link",IF(E231&lt;&gt;-INDEX($E$5:$E$3000,MATCH(J231,$A$5:$A$3000,0)),"CHECK reversal amount","OK")),IF(AND(D231="Adjustment",K231&lt;&gt;"",COUNTIF($A$5:$A$3000,J231)=0),"CHECK correction link","OK")))))</f>
        <v>OK</v>
      </c>
      <c r="R231" s="40" t="n">
        <f aca="false">INT(C231)</f>
        <v>46299</v>
      </c>
    </row>
    <row r="232" customFormat="false" ht="15" hidden="false" customHeight="false" outlineLevel="0" collapsed="false">
      <c r="A232" s="28" t="s">
        <v>706</v>
      </c>
      <c r="B232" s="28" t="s">
        <v>260</v>
      </c>
      <c r="C232" s="35" t="n">
        <v>46299.3979166667</v>
      </c>
      <c r="D232" s="28" t="s">
        <v>308</v>
      </c>
      <c r="E232" s="38" t="n">
        <v>300</v>
      </c>
      <c r="F232" s="28" t="s">
        <v>225</v>
      </c>
      <c r="G232" s="28" t="s">
        <v>309</v>
      </c>
      <c r="H232" s="28" t="s">
        <v>316</v>
      </c>
      <c r="I232" s="28" t="s">
        <v>707</v>
      </c>
      <c r="J232" s="28"/>
      <c r="K232" s="28"/>
      <c r="L232" s="36" t="str">
        <f aca="false">IFERROR(INDEX(Transaction_Types!$B$5:$B$20,MATCH(D232,Transaction_Types!$A$5:$A$20,0)),"Not in catalogue")</f>
        <v>Supported</v>
      </c>
      <c r="M232" s="36" t="str">
        <f aca="false">IFERROR(INDEX(Transaction_Types!$C$5:$C$20,MATCH(D232,Transaction_Types!$A$5:$A$20,0)),"")</f>
        <v>Credit</v>
      </c>
      <c r="N232" s="39" t="n">
        <f aca="false">IF(G232="Posted",E232,0)</f>
        <v>300</v>
      </c>
      <c r="O232" s="36" t="n">
        <f aca="false">COUNTIFS($J$5:$J$3000,A232,$K$5:$K$3000,"Reverses")</f>
        <v>0</v>
      </c>
      <c r="P232" s="39" t="n">
        <f aca="false">IF(K232&lt;&gt;"","",IF(G232="Posted",E232+SUMIFS($N$5:$N$3000,$J$5:$J$3000,A232),0))</f>
        <v>300</v>
      </c>
      <c r="Q232" s="36" t="str">
        <f aca="false">IF(L232="Not in catalogue","CHECK type",IF(F232&lt;&gt;Settings!$B$6,"CHECK unit",IF(OR(AND(M232="Credit",E232&lt;=0),AND(M232="Debit",E232&gt;=0)),"CHECK sign",IF(D232="Reversal",IF(OR(J232="",COUNTIF($A$5:$A$3000,J232)=0),"CHECK reversal link",IF(E232&lt;&gt;-INDEX($E$5:$E$3000,MATCH(J232,$A$5:$A$3000,0)),"CHECK reversal amount","OK")),IF(AND(D232="Adjustment",K232&lt;&gt;"",COUNTIF($A$5:$A$3000,J232)=0),"CHECK correction link","OK")))))</f>
        <v>OK</v>
      </c>
      <c r="R232" s="40" t="n">
        <f aca="false">INT(C232)</f>
        <v>46299</v>
      </c>
    </row>
    <row r="233" customFormat="false" ht="15" hidden="false" customHeight="false" outlineLevel="0" collapsed="false">
      <c r="A233" s="28" t="s">
        <v>708</v>
      </c>
      <c r="B233" s="28" t="s">
        <v>231</v>
      </c>
      <c r="C233" s="35" t="n">
        <v>46299.9388888889</v>
      </c>
      <c r="D233" s="28" t="s">
        <v>308</v>
      </c>
      <c r="E233" s="38" t="n">
        <v>200</v>
      </c>
      <c r="F233" s="28" t="s">
        <v>225</v>
      </c>
      <c r="G233" s="28" t="s">
        <v>309</v>
      </c>
      <c r="H233" s="28" t="s">
        <v>316</v>
      </c>
      <c r="I233" s="28" t="s">
        <v>490</v>
      </c>
      <c r="J233" s="28"/>
      <c r="K233" s="28"/>
      <c r="L233" s="36" t="str">
        <f aca="false">IFERROR(INDEX(Transaction_Types!$B$5:$B$20,MATCH(D233,Transaction_Types!$A$5:$A$20,0)),"Not in catalogue")</f>
        <v>Supported</v>
      </c>
      <c r="M233" s="36" t="str">
        <f aca="false">IFERROR(INDEX(Transaction_Types!$C$5:$C$20,MATCH(D233,Transaction_Types!$A$5:$A$20,0)),"")</f>
        <v>Credit</v>
      </c>
      <c r="N233" s="39" t="n">
        <f aca="false">IF(G233="Posted",E233,0)</f>
        <v>200</v>
      </c>
      <c r="O233" s="36" t="n">
        <f aca="false">COUNTIFS($J$5:$J$3000,A233,$K$5:$K$3000,"Reverses")</f>
        <v>0</v>
      </c>
      <c r="P233" s="39" t="n">
        <f aca="false">IF(K233&lt;&gt;"","",IF(G233="Posted",E233+SUMIFS($N$5:$N$3000,$J$5:$J$3000,A233),0))</f>
        <v>200</v>
      </c>
      <c r="Q233" s="36" t="str">
        <f aca="false">IF(L233="Not in catalogue","CHECK type",IF(F233&lt;&gt;Settings!$B$6,"CHECK unit",IF(OR(AND(M233="Credit",E233&lt;=0),AND(M233="Debit",E233&gt;=0)),"CHECK sign",IF(D233="Reversal",IF(OR(J233="",COUNTIF($A$5:$A$3000,J233)=0),"CHECK reversal link",IF(E233&lt;&gt;-INDEX($E$5:$E$3000,MATCH(J233,$A$5:$A$3000,0)),"CHECK reversal amount","OK")),IF(AND(D233="Adjustment",K233&lt;&gt;"",COUNTIF($A$5:$A$3000,J233)=0),"CHECK correction link","OK")))))</f>
        <v>OK</v>
      </c>
      <c r="R233" s="40" t="n">
        <f aca="false">INT(C233)</f>
        <v>46299</v>
      </c>
    </row>
    <row r="234" customFormat="false" ht="15" hidden="false" customHeight="false" outlineLevel="0" collapsed="false">
      <c r="A234" s="28" t="s">
        <v>709</v>
      </c>
      <c r="B234" s="28" t="s">
        <v>239</v>
      </c>
      <c r="C234" s="35" t="n">
        <v>46299.9465277778</v>
      </c>
      <c r="D234" s="28" t="s">
        <v>665</v>
      </c>
      <c r="E234" s="38" t="n">
        <v>-200</v>
      </c>
      <c r="F234" s="28" t="s">
        <v>225</v>
      </c>
      <c r="G234" s="28" t="s">
        <v>309</v>
      </c>
      <c r="H234" s="28" t="s">
        <v>471</v>
      </c>
      <c r="I234" s="28" t="s">
        <v>692</v>
      </c>
      <c r="J234" s="28" t="s">
        <v>691</v>
      </c>
      <c r="K234" s="28" t="s">
        <v>667</v>
      </c>
      <c r="L234" s="36" t="str">
        <f aca="false">IFERROR(INDEX(Transaction_Types!$B$5:$B$20,MATCH(D234,Transaction_Types!$A$5:$A$20,0)),"Not in catalogue")</f>
        <v>Supported</v>
      </c>
      <c r="M234" s="36" t="str">
        <f aca="false">IFERROR(INDEX(Transaction_Types!$C$5:$C$20,MATCH(D234,Transaction_Types!$A$5:$A$20,0)),"")</f>
        <v>Either</v>
      </c>
      <c r="N234" s="39" t="n">
        <f aca="false">IF(G234="Posted",E234,0)</f>
        <v>-200</v>
      </c>
      <c r="O234" s="36" t="n">
        <f aca="false">COUNTIFS($J$5:$J$3000,A234,$K$5:$K$3000,"Reverses")</f>
        <v>0</v>
      </c>
      <c r="P234" s="39" t="str">
        <f aca="false">IF(K234&lt;&gt;"","",IF(G234="Posted",E234+SUMIFS($N$5:$N$3000,$J$5:$J$3000,A234),0))</f>
        <v/>
      </c>
      <c r="Q234" s="36" t="str">
        <f aca="false">IF(L234="Not in catalogue","CHECK type",IF(F234&lt;&gt;Settings!$B$6,"CHECK unit",IF(OR(AND(M234="Credit",E234&lt;=0),AND(M234="Debit",E234&gt;=0)),"CHECK sign",IF(D234="Reversal",IF(OR(J234="",COUNTIF($A$5:$A$3000,J234)=0),"CHECK reversal link",IF(E234&lt;&gt;-INDEX($E$5:$E$3000,MATCH(J234,$A$5:$A$3000,0)),"CHECK reversal amount","OK")),IF(AND(D234="Adjustment",K234&lt;&gt;"",COUNTIF($A$5:$A$3000,J234)=0),"CHECK correction link","OK")))))</f>
        <v>OK</v>
      </c>
      <c r="R234" s="40" t="n">
        <f aca="false">INT(C234)</f>
        <v>46299</v>
      </c>
    </row>
    <row r="235" customFormat="false" ht="15" hidden="false" customHeight="false" outlineLevel="0" collapsed="false">
      <c r="A235" s="28" t="s">
        <v>710</v>
      </c>
      <c r="B235" s="28" t="s">
        <v>275</v>
      </c>
      <c r="C235" s="35" t="n">
        <v>46300.2291666667</v>
      </c>
      <c r="D235" s="28" t="s">
        <v>308</v>
      </c>
      <c r="E235" s="38" t="n">
        <v>200</v>
      </c>
      <c r="F235" s="28" t="s">
        <v>225</v>
      </c>
      <c r="G235" s="28" t="s">
        <v>309</v>
      </c>
      <c r="H235" s="28" t="s">
        <v>310</v>
      </c>
      <c r="I235" s="28" t="s">
        <v>711</v>
      </c>
      <c r="J235" s="28"/>
      <c r="K235" s="28"/>
      <c r="L235" s="36" t="str">
        <f aca="false">IFERROR(INDEX(Transaction_Types!$B$5:$B$20,MATCH(D235,Transaction_Types!$A$5:$A$20,0)),"Not in catalogue")</f>
        <v>Supported</v>
      </c>
      <c r="M235" s="36" t="str">
        <f aca="false">IFERROR(INDEX(Transaction_Types!$C$5:$C$20,MATCH(D235,Transaction_Types!$A$5:$A$20,0)),"")</f>
        <v>Credit</v>
      </c>
      <c r="N235" s="39" t="n">
        <f aca="false">IF(G235="Posted",E235,0)</f>
        <v>200</v>
      </c>
      <c r="O235" s="36" t="n">
        <f aca="false">COUNTIFS($J$5:$J$3000,A235,$K$5:$K$3000,"Reverses")</f>
        <v>0</v>
      </c>
      <c r="P235" s="39" t="n">
        <f aca="false">IF(K235&lt;&gt;"","",IF(G235="Posted",E235+SUMIFS($N$5:$N$3000,$J$5:$J$3000,A235),0))</f>
        <v>200</v>
      </c>
      <c r="Q235" s="36" t="str">
        <f aca="false">IF(L235="Not in catalogue","CHECK type",IF(F235&lt;&gt;Settings!$B$6,"CHECK unit",IF(OR(AND(M235="Credit",E235&lt;=0),AND(M235="Debit",E235&gt;=0)),"CHECK sign",IF(D235="Reversal",IF(OR(J235="",COUNTIF($A$5:$A$3000,J235)=0),"CHECK reversal link",IF(E235&lt;&gt;-INDEX($E$5:$E$3000,MATCH(J235,$A$5:$A$3000,0)),"CHECK reversal amount","OK")),IF(AND(D235="Adjustment",K235&lt;&gt;"",COUNTIF($A$5:$A$3000,J235)=0),"CHECK correction link","OK")))))</f>
        <v>OK</v>
      </c>
      <c r="R235" s="40" t="n">
        <f aca="false">INT(C235)</f>
        <v>46300</v>
      </c>
    </row>
    <row r="236" customFormat="false" ht="15" hidden="false" customHeight="false" outlineLevel="0" collapsed="false">
      <c r="A236" s="28" t="s">
        <v>712</v>
      </c>
      <c r="B236" s="28" t="s">
        <v>269</v>
      </c>
      <c r="C236" s="35" t="n">
        <v>46300.2487224292</v>
      </c>
      <c r="D236" s="28" t="s">
        <v>383</v>
      </c>
      <c r="E236" s="38" t="n">
        <v>-1500</v>
      </c>
      <c r="F236" s="28" t="s">
        <v>225</v>
      </c>
      <c r="G236" s="28" t="s">
        <v>309</v>
      </c>
      <c r="H236" s="28" t="s">
        <v>384</v>
      </c>
      <c r="I236" s="28" t="s">
        <v>268</v>
      </c>
      <c r="J236" s="28"/>
      <c r="K236" s="28"/>
      <c r="L236" s="36" t="str">
        <f aca="false">IFERROR(INDEX(Transaction_Types!$B$5:$B$20,MATCH(D236,Transaction_Types!$A$5:$A$20,0)),"Not in catalogue")</f>
        <v>Supported</v>
      </c>
      <c r="M236" s="36" t="str">
        <f aca="false">IFERROR(INDEX(Transaction_Types!$C$5:$C$20,MATCH(D236,Transaction_Types!$A$5:$A$20,0)),"")</f>
        <v>Debit</v>
      </c>
      <c r="N236" s="39" t="n">
        <f aca="false">IF(G236="Posted",E236,0)</f>
        <v>-1500</v>
      </c>
      <c r="O236" s="36" t="n">
        <f aca="false">COUNTIFS($J$5:$J$3000,A236,$K$5:$K$3000,"Reverses")</f>
        <v>0</v>
      </c>
      <c r="P236" s="39" t="n">
        <f aca="false">IF(K236&lt;&gt;"","",IF(G236="Posted",E236+SUMIFS($N$5:$N$3000,$J$5:$J$3000,A236),0))</f>
        <v>-1500</v>
      </c>
      <c r="Q236" s="36" t="str">
        <f aca="false">IF(L236="Not in catalogue","CHECK type",IF(F236&lt;&gt;Settings!$B$6,"CHECK unit",IF(OR(AND(M236="Credit",E236&lt;=0),AND(M236="Debit",E236&gt;=0)),"CHECK sign",IF(D236="Reversal",IF(OR(J236="",COUNTIF($A$5:$A$3000,J236)=0),"CHECK reversal link",IF(E236&lt;&gt;-INDEX($E$5:$E$3000,MATCH(J236,$A$5:$A$3000,0)),"CHECK reversal amount","OK")),IF(AND(D236="Adjustment",K236&lt;&gt;"",COUNTIF($A$5:$A$3000,J236)=0),"CHECK correction link","OK")))))</f>
        <v>OK</v>
      </c>
      <c r="R236" s="40" t="n">
        <f aca="false">INT(C236)</f>
        <v>46300</v>
      </c>
    </row>
    <row r="237" customFormat="false" ht="15" hidden="false" customHeight="false" outlineLevel="0" collapsed="false">
      <c r="A237" s="28" t="s">
        <v>713</v>
      </c>
      <c r="B237" s="28" t="s">
        <v>231</v>
      </c>
      <c r="C237" s="35" t="n">
        <v>46300.4263888889</v>
      </c>
      <c r="D237" s="28" t="s">
        <v>308</v>
      </c>
      <c r="E237" s="38" t="n">
        <v>400</v>
      </c>
      <c r="F237" s="28" t="s">
        <v>225</v>
      </c>
      <c r="G237" s="28" t="s">
        <v>309</v>
      </c>
      <c r="H237" s="28" t="s">
        <v>310</v>
      </c>
      <c r="I237" s="28" t="s">
        <v>714</v>
      </c>
      <c r="J237" s="28"/>
      <c r="K237" s="28"/>
      <c r="L237" s="36" t="str">
        <f aca="false">IFERROR(INDEX(Transaction_Types!$B$5:$B$20,MATCH(D237,Transaction_Types!$A$5:$A$20,0)),"Not in catalogue")</f>
        <v>Supported</v>
      </c>
      <c r="M237" s="36" t="str">
        <f aca="false">IFERROR(INDEX(Transaction_Types!$C$5:$C$20,MATCH(D237,Transaction_Types!$A$5:$A$20,0)),"")</f>
        <v>Credit</v>
      </c>
      <c r="N237" s="39" t="n">
        <f aca="false">IF(G237="Posted",E237,0)</f>
        <v>400</v>
      </c>
      <c r="O237" s="36" t="n">
        <f aca="false">COUNTIFS($J$5:$J$3000,A237,$K$5:$K$3000,"Reverses")</f>
        <v>0</v>
      </c>
      <c r="P237" s="39" t="n">
        <f aca="false">IF(K237&lt;&gt;"","",IF(G237="Posted",E237+SUMIFS($N$5:$N$3000,$J$5:$J$3000,A237),0))</f>
        <v>400</v>
      </c>
      <c r="Q237" s="36" t="str">
        <f aca="false">IF(L237="Not in catalogue","CHECK type",IF(F237&lt;&gt;Settings!$B$6,"CHECK unit",IF(OR(AND(M237="Credit",E237&lt;=0),AND(M237="Debit",E237&gt;=0)),"CHECK sign",IF(D237="Reversal",IF(OR(J237="",COUNTIF($A$5:$A$3000,J237)=0),"CHECK reversal link",IF(E237&lt;&gt;-INDEX($E$5:$E$3000,MATCH(J237,$A$5:$A$3000,0)),"CHECK reversal amount","OK")),IF(AND(D237="Adjustment",K237&lt;&gt;"",COUNTIF($A$5:$A$3000,J237)=0),"CHECK correction link","OK")))))</f>
        <v>OK</v>
      </c>
      <c r="R237" s="40" t="n">
        <f aca="false">INT(C237)</f>
        <v>46300</v>
      </c>
    </row>
    <row r="238" customFormat="false" ht="15" hidden="false" customHeight="false" outlineLevel="0" collapsed="false">
      <c r="A238" s="28" t="s">
        <v>715</v>
      </c>
      <c r="B238" s="28" t="s">
        <v>224</v>
      </c>
      <c r="C238" s="35" t="n">
        <v>46300.4576388889</v>
      </c>
      <c r="D238" s="28" t="s">
        <v>308</v>
      </c>
      <c r="E238" s="38" t="n">
        <v>250</v>
      </c>
      <c r="F238" s="28" t="s">
        <v>225</v>
      </c>
      <c r="G238" s="28" t="s">
        <v>309</v>
      </c>
      <c r="H238" s="28" t="s">
        <v>310</v>
      </c>
      <c r="I238" s="28" t="s">
        <v>716</v>
      </c>
      <c r="J238" s="28"/>
      <c r="K238" s="28"/>
      <c r="L238" s="36" t="str">
        <f aca="false">IFERROR(INDEX(Transaction_Types!$B$5:$B$20,MATCH(D238,Transaction_Types!$A$5:$A$20,0)),"Not in catalogue")</f>
        <v>Supported</v>
      </c>
      <c r="M238" s="36" t="str">
        <f aca="false">IFERROR(INDEX(Transaction_Types!$C$5:$C$20,MATCH(D238,Transaction_Types!$A$5:$A$20,0)),"")</f>
        <v>Credit</v>
      </c>
      <c r="N238" s="39" t="n">
        <f aca="false">IF(G238="Posted",E238,0)</f>
        <v>250</v>
      </c>
      <c r="O238" s="36" t="n">
        <f aca="false">COUNTIFS($J$5:$J$3000,A238,$K$5:$K$3000,"Reverses")</f>
        <v>0</v>
      </c>
      <c r="P238" s="39" t="n">
        <f aca="false">IF(K238&lt;&gt;"","",IF(G238="Posted",E238+SUMIFS($N$5:$N$3000,$J$5:$J$3000,A238),0))</f>
        <v>250</v>
      </c>
      <c r="Q238" s="36" t="str">
        <f aca="false">IF(L238="Not in catalogue","CHECK type",IF(F238&lt;&gt;Settings!$B$6,"CHECK unit",IF(OR(AND(M238="Credit",E238&lt;=0),AND(M238="Debit",E238&gt;=0)),"CHECK sign",IF(D238="Reversal",IF(OR(J238="",COUNTIF($A$5:$A$3000,J238)=0),"CHECK reversal link",IF(E238&lt;&gt;-INDEX($E$5:$E$3000,MATCH(J238,$A$5:$A$3000,0)),"CHECK reversal amount","OK")),IF(AND(D238="Adjustment",K238&lt;&gt;"",COUNTIF($A$5:$A$3000,J238)=0),"CHECK correction link","OK")))))</f>
        <v>OK</v>
      </c>
      <c r="R238" s="40" t="n">
        <f aca="false">INT(C238)</f>
        <v>46300</v>
      </c>
    </row>
    <row r="239" customFormat="false" ht="15" hidden="false" customHeight="false" outlineLevel="0" collapsed="false">
      <c r="A239" s="28" t="s">
        <v>717</v>
      </c>
      <c r="B239" s="28" t="s">
        <v>242</v>
      </c>
      <c r="C239" s="35" t="n">
        <v>46300.5652777778</v>
      </c>
      <c r="D239" s="28" t="s">
        <v>308</v>
      </c>
      <c r="E239" s="38" t="n">
        <v>250</v>
      </c>
      <c r="F239" s="28" t="s">
        <v>225</v>
      </c>
      <c r="G239" s="28" t="s">
        <v>309</v>
      </c>
      <c r="H239" s="28" t="s">
        <v>310</v>
      </c>
      <c r="I239" s="28" t="s">
        <v>718</v>
      </c>
      <c r="J239" s="28"/>
      <c r="K239" s="28"/>
      <c r="L239" s="36" t="str">
        <f aca="false">IFERROR(INDEX(Transaction_Types!$B$5:$B$20,MATCH(D239,Transaction_Types!$A$5:$A$20,0)),"Not in catalogue")</f>
        <v>Supported</v>
      </c>
      <c r="M239" s="36" t="str">
        <f aca="false">IFERROR(INDEX(Transaction_Types!$C$5:$C$20,MATCH(D239,Transaction_Types!$A$5:$A$20,0)),"")</f>
        <v>Credit</v>
      </c>
      <c r="N239" s="39" t="n">
        <f aca="false">IF(G239="Posted",E239,0)</f>
        <v>250</v>
      </c>
      <c r="O239" s="36" t="n">
        <f aca="false">COUNTIFS($J$5:$J$3000,A239,$K$5:$K$3000,"Reverses")</f>
        <v>0</v>
      </c>
      <c r="P239" s="39" t="n">
        <f aca="false">IF(K239&lt;&gt;"","",IF(G239="Posted",E239+SUMIFS($N$5:$N$3000,$J$5:$J$3000,A239),0))</f>
        <v>250</v>
      </c>
      <c r="Q239" s="36" t="str">
        <f aca="false">IF(L239="Not in catalogue","CHECK type",IF(F239&lt;&gt;Settings!$B$6,"CHECK unit",IF(OR(AND(M239="Credit",E239&lt;=0),AND(M239="Debit",E239&gt;=0)),"CHECK sign",IF(D239="Reversal",IF(OR(J239="",COUNTIF($A$5:$A$3000,J239)=0),"CHECK reversal link",IF(E239&lt;&gt;-INDEX($E$5:$E$3000,MATCH(J239,$A$5:$A$3000,0)),"CHECK reversal amount","OK")),IF(AND(D239="Adjustment",K239&lt;&gt;"",COUNTIF($A$5:$A$3000,J239)=0),"CHECK correction link","OK")))))</f>
        <v>OK</v>
      </c>
      <c r="R239" s="40" t="n">
        <f aca="false">INT(C239)</f>
        <v>46300</v>
      </c>
    </row>
    <row r="240" customFormat="false" ht="15" hidden="false" customHeight="false" outlineLevel="0" collapsed="false">
      <c r="A240" s="28" t="s">
        <v>719</v>
      </c>
      <c r="B240" s="28" t="s">
        <v>249</v>
      </c>
      <c r="C240" s="35" t="n">
        <v>46300.7631944444</v>
      </c>
      <c r="D240" s="28" t="s">
        <v>308</v>
      </c>
      <c r="E240" s="38" t="n">
        <v>100</v>
      </c>
      <c r="F240" s="28" t="s">
        <v>225</v>
      </c>
      <c r="G240" s="28" t="s">
        <v>309</v>
      </c>
      <c r="H240" s="28" t="s">
        <v>310</v>
      </c>
      <c r="I240" s="28" t="s">
        <v>720</v>
      </c>
      <c r="J240" s="28"/>
      <c r="K240" s="28"/>
      <c r="L240" s="36" t="str">
        <f aca="false">IFERROR(INDEX(Transaction_Types!$B$5:$B$20,MATCH(D240,Transaction_Types!$A$5:$A$20,0)),"Not in catalogue")</f>
        <v>Supported</v>
      </c>
      <c r="M240" s="36" t="str">
        <f aca="false">IFERROR(INDEX(Transaction_Types!$C$5:$C$20,MATCH(D240,Transaction_Types!$A$5:$A$20,0)),"")</f>
        <v>Credit</v>
      </c>
      <c r="N240" s="39" t="n">
        <f aca="false">IF(G240="Posted",E240,0)</f>
        <v>100</v>
      </c>
      <c r="O240" s="36" t="n">
        <f aca="false">COUNTIFS($J$5:$J$3000,A240,$K$5:$K$3000,"Reverses")</f>
        <v>1</v>
      </c>
      <c r="P240" s="39" t="n">
        <f aca="false">IF(K240&lt;&gt;"","",IF(G240="Posted",E240+SUMIFS($N$5:$N$3000,$J$5:$J$3000,A240),0))</f>
        <v>0</v>
      </c>
      <c r="Q240" s="36" t="str">
        <f aca="false">IF(L240="Not in catalogue","CHECK type",IF(F240&lt;&gt;Settings!$B$6,"CHECK unit",IF(OR(AND(M240="Credit",E240&lt;=0),AND(M240="Debit",E240&gt;=0)),"CHECK sign",IF(D240="Reversal",IF(OR(J240="",COUNTIF($A$5:$A$3000,J240)=0),"CHECK reversal link",IF(E240&lt;&gt;-INDEX($E$5:$E$3000,MATCH(J240,$A$5:$A$3000,0)),"CHECK reversal amount","OK")),IF(AND(D240="Adjustment",K240&lt;&gt;"",COUNTIF($A$5:$A$3000,J240)=0),"CHECK correction link","OK")))))</f>
        <v>OK</v>
      </c>
      <c r="R240" s="40" t="n">
        <f aca="false">INT(C240)</f>
        <v>46300</v>
      </c>
    </row>
    <row r="241" customFormat="false" ht="15" hidden="false" customHeight="false" outlineLevel="0" collapsed="false">
      <c r="A241" s="28" t="s">
        <v>721</v>
      </c>
      <c r="B241" s="28" t="s">
        <v>229</v>
      </c>
      <c r="C241" s="35" t="n">
        <v>46300.9625</v>
      </c>
      <c r="D241" s="28" t="s">
        <v>308</v>
      </c>
      <c r="E241" s="38" t="n">
        <v>400</v>
      </c>
      <c r="F241" s="28" t="s">
        <v>225</v>
      </c>
      <c r="G241" s="28" t="s">
        <v>309</v>
      </c>
      <c r="H241" s="28" t="s">
        <v>310</v>
      </c>
      <c r="I241" s="28" t="s">
        <v>722</v>
      </c>
      <c r="J241" s="28"/>
      <c r="K241" s="28"/>
      <c r="L241" s="36" t="str">
        <f aca="false">IFERROR(INDEX(Transaction_Types!$B$5:$B$20,MATCH(D241,Transaction_Types!$A$5:$A$20,0)),"Not in catalogue")</f>
        <v>Supported</v>
      </c>
      <c r="M241" s="36" t="str">
        <f aca="false">IFERROR(INDEX(Transaction_Types!$C$5:$C$20,MATCH(D241,Transaction_Types!$A$5:$A$20,0)),"")</f>
        <v>Credit</v>
      </c>
      <c r="N241" s="39" t="n">
        <f aca="false">IF(G241="Posted",E241,0)</f>
        <v>400</v>
      </c>
      <c r="O241" s="36" t="n">
        <f aca="false">COUNTIFS($J$5:$J$3000,A241,$K$5:$K$3000,"Reverses")</f>
        <v>0</v>
      </c>
      <c r="P241" s="39" t="n">
        <f aca="false">IF(K241&lt;&gt;"","",IF(G241="Posted",E241+SUMIFS($N$5:$N$3000,$J$5:$J$3000,A241),0))</f>
        <v>400</v>
      </c>
      <c r="Q241" s="36" t="str">
        <f aca="false">IF(L241="Not in catalogue","CHECK type",IF(F241&lt;&gt;Settings!$B$6,"CHECK unit",IF(OR(AND(M241="Credit",E241&lt;=0),AND(M241="Debit",E241&gt;=0)),"CHECK sign",IF(D241="Reversal",IF(OR(J241="",COUNTIF($A$5:$A$3000,J241)=0),"CHECK reversal link",IF(E241&lt;&gt;-INDEX($E$5:$E$3000,MATCH(J241,$A$5:$A$3000,0)),"CHECK reversal amount","OK")),IF(AND(D241="Adjustment",K241&lt;&gt;"",COUNTIF($A$5:$A$3000,J241)=0),"CHECK correction link","OK")))))</f>
        <v>OK</v>
      </c>
      <c r="R241" s="40" t="n">
        <f aca="false">INT(C241)</f>
        <v>46300</v>
      </c>
    </row>
    <row r="242" customFormat="false" ht="15" hidden="false" customHeight="false" outlineLevel="0" collapsed="false">
      <c r="A242" s="28" t="s">
        <v>723</v>
      </c>
      <c r="B242" s="28" t="s">
        <v>265</v>
      </c>
      <c r="C242" s="35" t="n">
        <v>46301.3270833333</v>
      </c>
      <c r="D242" s="28" t="s">
        <v>308</v>
      </c>
      <c r="E242" s="38" t="n">
        <v>200</v>
      </c>
      <c r="F242" s="28" t="s">
        <v>225</v>
      </c>
      <c r="G242" s="28" t="s">
        <v>309</v>
      </c>
      <c r="H242" s="28" t="s">
        <v>310</v>
      </c>
      <c r="I242" s="28" t="s">
        <v>724</v>
      </c>
      <c r="J242" s="28"/>
      <c r="K242" s="28"/>
      <c r="L242" s="36" t="str">
        <f aca="false">IFERROR(INDEX(Transaction_Types!$B$5:$B$20,MATCH(D242,Transaction_Types!$A$5:$A$20,0)),"Not in catalogue")</f>
        <v>Supported</v>
      </c>
      <c r="M242" s="36" t="str">
        <f aca="false">IFERROR(INDEX(Transaction_Types!$C$5:$C$20,MATCH(D242,Transaction_Types!$A$5:$A$20,0)),"")</f>
        <v>Credit</v>
      </c>
      <c r="N242" s="39" t="n">
        <f aca="false">IF(G242="Posted",E242,0)</f>
        <v>200</v>
      </c>
      <c r="O242" s="36" t="n">
        <f aca="false">COUNTIFS($J$5:$J$3000,A242,$K$5:$K$3000,"Reverses")</f>
        <v>0</v>
      </c>
      <c r="P242" s="39" t="n">
        <f aca="false">IF(K242&lt;&gt;"","",IF(G242="Posted",E242+SUMIFS($N$5:$N$3000,$J$5:$J$3000,A242),0))</f>
        <v>200</v>
      </c>
      <c r="Q242" s="36" t="str">
        <f aca="false">IF(L242="Not in catalogue","CHECK type",IF(F242&lt;&gt;Settings!$B$6,"CHECK unit",IF(OR(AND(M242="Credit",E242&lt;=0),AND(M242="Debit",E242&gt;=0)),"CHECK sign",IF(D242="Reversal",IF(OR(J242="",COUNTIF($A$5:$A$3000,J242)=0),"CHECK reversal link",IF(E242&lt;&gt;-INDEX($E$5:$E$3000,MATCH(J242,$A$5:$A$3000,0)),"CHECK reversal amount","OK")),IF(AND(D242="Adjustment",K242&lt;&gt;"",COUNTIF($A$5:$A$3000,J242)=0),"CHECK correction link","OK")))))</f>
        <v>OK</v>
      </c>
      <c r="R242" s="40" t="n">
        <f aca="false">INT(C242)</f>
        <v>46301</v>
      </c>
    </row>
    <row r="243" customFormat="false" ht="15" hidden="false" customHeight="false" outlineLevel="0" collapsed="false">
      <c r="A243" s="28" t="s">
        <v>725</v>
      </c>
      <c r="B243" s="28" t="s">
        <v>224</v>
      </c>
      <c r="C243" s="35" t="n">
        <v>46301.3722222222</v>
      </c>
      <c r="D243" s="28" t="s">
        <v>308</v>
      </c>
      <c r="E243" s="38" t="n">
        <v>300</v>
      </c>
      <c r="F243" s="28" t="s">
        <v>225</v>
      </c>
      <c r="G243" s="28" t="s">
        <v>309</v>
      </c>
      <c r="H243" s="28" t="s">
        <v>310</v>
      </c>
      <c r="I243" s="28" t="s">
        <v>726</v>
      </c>
      <c r="J243" s="28"/>
      <c r="K243" s="28"/>
      <c r="L243" s="36" t="str">
        <f aca="false">IFERROR(INDEX(Transaction_Types!$B$5:$B$20,MATCH(D243,Transaction_Types!$A$5:$A$20,0)),"Not in catalogue")</f>
        <v>Supported</v>
      </c>
      <c r="M243" s="36" t="str">
        <f aca="false">IFERROR(INDEX(Transaction_Types!$C$5:$C$20,MATCH(D243,Transaction_Types!$A$5:$A$20,0)),"")</f>
        <v>Credit</v>
      </c>
      <c r="N243" s="39" t="n">
        <f aca="false">IF(G243="Posted",E243,0)</f>
        <v>300</v>
      </c>
      <c r="O243" s="36" t="n">
        <f aca="false">COUNTIFS($J$5:$J$3000,A243,$K$5:$K$3000,"Reverses")</f>
        <v>0</v>
      </c>
      <c r="P243" s="39" t="n">
        <f aca="false">IF(K243&lt;&gt;"","",IF(G243="Posted",E243+SUMIFS($N$5:$N$3000,$J$5:$J$3000,A243),0))</f>
        <v>300</v>
      </c>
      <c r="Q243" s="36" t="str">
        <f aca="false">IF(L243="Not in catalogue","CHECK type",IF(F243&lt;&gt;Settings!$B$6,"CHECK unit",IF(OR(AND(M243="Credit",E243&lt;=0),AND(M243="Debit",E243&gt;=0)),"CHECK sign",IF(D243="Reversal",IF(OR(J243="",COUNTIF($A$5:$A$3000,J243)=0),"CHECK reversal link",IF(E243&lt;&gt;-INDEX($E$5:$E$3000,MATCH(J243,$A$5:$A$3000,0)),"CHECK reversal amount","OK")),IF(AND(D243="Adjustment",K243&lt;&gt;"",COUNTIF($A$5:$A$3000,J243)=0),"CHECK correction link","OK")))))</f>
        <v>OK</v>
      </c>
      <c r="R243" s="40" t="n">
        <f aca="false">INT(C243)</f>
        <v>46301</v>
      </c>
    </row>
    <row r="244" customFormat="false" ht="15" hidden="false" customHeight="false" outlineLevel="0" collapsed="false">
      <c r="A244" s="28" t="s">
        <v>727</v>
      </c>
      <c r="B244" s="28" t="s">
        <v>236</v>
      </c>
      <c r="C244" s="35" t="n">
        <v>46301.8791666667</v>
      </c>
      <c r="D244" s="28" t="s">
        <v>308</v>
      </c>
      <c r="E244" s="38" t="n">
        <v>100</v>
      </c>
      <c r="F244" s="28" t="s">
        <v>225</v>
      </c>
      <c r="G244" s="28" t="s">
        <v>309</v>
      </c>
      <c r="H244" s="28" t="s">
        <v>310</v>
      </c>
      <c r="I244" s="28" t="s">
        <v>728</v>
      </c>
      <c r="J244" s="28"/>
      <c r="K244" s="28"/>
      <c r="L244" s="36" t="str">
        <f aca="false">IFERROR(INDEX(Transaction_Types!$B$5:$B$20,MATCH(D244,Transaction_Types!$A$5:$A$20,0)),"Not in catalogue")</f>
        <v>Supported</v>
      </c>
      <c r="M244" s="36" t="str">
        <f aca="false">IFERROR(INDEX(Transaction_Types!$C$5:$C$20,MATCH(D244,Transaction_Types!$A$5:$A$20,0)),"")</f>
        <v>Credit</v>
      </c>
      <c r="N244" s="39" t="n">
        <f aca="false">IF(G244="Posted",E244,0)</f>
        <v>100</v>
      </c>
      <c r="O244" s="36" t="n">
        <f aca="false">COUNTIFS($J$5:$J$3000,A244,$K$5:$K$3000,"Reverses")</f>
        <v>0</v>
      </c>
      <c r="P244" s="39" t="n">
        <f aca="false">IF(K244&lt;&gt;"","",IF(G244="Posted",E244+SUMIFS($N$5:$N$3000,$J$5:$J$3000,A244),0))</f>
        <v>100</v>
      </c>
      <c r="Q244" s="36" t="str">
        <f aca="false">IF(L244="Not in catalogue","CHECK type",IF(F244&lt;&gt;Settings!$B$6,"CHECK unit",IF(OR(AND(M244="Credit",E244&lt;=0),AND(M244="Debit",E244&gt;=0)),"CHECK sign",IF(D244="Reversal",IF(OR(J244="",COUNTIF($A$5:$A$3000,J244)=0),"CHECK reversal link",IF(E244&lt;&gt;-INDEX($E$5:$E$3000,MATCH(J244,$A$5:$A$3000,0)),"CHECK reversal amount","OK")),IF(AND(D244="Adjustment",K244&lt;&gt;"",COUNTIF($A$5:$A$3000,J244)=0),"CHECK correction link","OK")))))</f>
        <v>OK</v>
      </c>
      <c r="R244" s="40" t="n">
        <f aca="false">INT(C244)</f>
        <v>46301</v>
      </c>
    </row>
    <row r="245" customFormat="false" ht="15" hidden="false" customHeight="false" outlineLevel="0" collapsed="false">
      <c r="A245" s="28" t="s">
        <v>729</v>
      </c>
      <c r="B245" s="28" t="s">
        <v>368</v>
      </c>
      <c r="C245" s="35" t="n">
        <v>46301.8805555556</v>
      </c>
      <c r="D245" s="28" t="s">
        <v>308</v>
      </c>
      <c r="E245" s="38" t="n">
        <v>500</v>
      </c>
      <c r="F245" s="28" t="s">
        <v>225</v>
      </c>
      <c r="G245" s="28" t="s">
        <v>309</v>
      </c>
      <c r="H245" s="28" t="s">
        <v>313</v>
      </c>
      <c r="I245" s="28" t="s">
        <v>314</v>
      </c>
      <c r="J245" s="28"/>
      <c r="K245" s="28"/>
      <c r="L245" s="36" t="str">
        <f aca="false">IFERROR(INDEX(Transaction_Types!$B$5:$B$20,MATCH(D245,Transaction_Types!$A$5:$A$20,0)),"Not in catalogue")</f>
        <v>Supported</v>
      </c>
      <c r="M245" s="36" t="str">
        <f aca="false">IFERROR(INDEX(Transaction_Types!$C$5:$C$20,MATCH(D245,Transaction_Types!$A$5:$A$20,0)),"")</f>
        <v>Credit</v>
      </c>
      <c r="N245" s="39" t="n">
        <f aca="false">IF(G245="Posted",E245,0)</f>
        <v>500</v>
      </c>
      <c r="O245" s="36" t="n">
        <f aca="false">COUNTIFS($J$5:$J$3000,A245,$K$5:$K$3000,"Reverses")</f>
        <v>0</v>
      </c>
      <c r="P245" s="39" t="n">
        <f aca="false">IF(K245&lt;&gt;"","",IF(G245="Posted",E245+SUMIFS($N$5:$N$3000,$J$5:$J$3000,A245),0))</f>
        <v>500</v>
      </c>
      <c r="Q245" s="36" t="str">
        <f aca="false">IF(L245="Not in catalogue","CHECK type",IF(F245&lt;&gt;Settings!$B$6,"CHECK unit",IF(OR(AND(M245="Credit",E245&lt;=0),AND(M245="Debit",E245&gt;=0)),"CHECK sign",IF(D245="Reversal",IF(OR(J245="",COUNTIF($A$5:$A$3000,J245)=0),"CHECK reversal link",IF(E245&lt;&gt;-INDEX($E$5:$E$3000,MATCH(J245,$A$5:$A$3000,0)),"CHECK reversal amount","OK")),IF(AND(D245="Adjustment",K245&lt;&gt;"",COUNTIF($A$5:$A$3000,J245)=0),"CHECK correction link","OK")))))</f>
        <v>OK</v>
      </c>
      <c r="R245" s="40" t="n">
        <f aca="false">INT(C245)</f>
        <v>46301</v>
      </c>
    </row>
    <row r="246" customFormat="false" ht="15" hidden="false" customHeight="false" outlineLevel="0" collapsed="false">
      <c r="A246" s="28" t="s">
        <v>730</v>
      </c>
      <c r="B246" s="28" t="s">
        <v>231</v>
      </c>
      <c r="C246" s="35" t="n">
        <v>46302.3395833333</v>
      </c>
      <c r="D246" s="28" t="s">
        <v>308</v>
      </c>
      <c r="E246" s="38" t="n">
        <v>200</v>
      </c>
      <c r="F246" s="28" t="s">
        <v>225</v>
      </c>
      <c r="G246" s="28" t="s">
        <v>731</v>
      </c>
      <c r="H246" s="28" t="s">
        <v>310</v>
      </c>
      <c r="I246" s="28" t="s">
        <v>732</v>
      </c>
      <c r="J246" s="28"/>
      <c r="K246" s="28"/>
      <c r="L246" s="36" t="str">
        <f aca="false">IFERROR(INDEX(Transaction_Types!$B$5:$B$20,MATCH(D246,Transaction_Types!$A$5:$A$20,0)),"Not in catalogue")</f>
        <v>Supported</v>
      </c>
      <c r="M246" s="36" t="str">
        <f aca="false">IFERROR(INDEX(Transaction_Types!$C$5:$C$20,MATCH(D246,Transaction_Types!$A$5:$A$20,0)),"")</f>
        <v>Credit</v>
      </c>
      <c r="N246" s="39" t="n">
        <f aca="false">IF(G246="Posted",E246,0)</f>
        <v>0</v>
      </c>
      <c r="O246" s="36" t="n">
        <f aca="false">COUNTIFS($J$5:$J$3000,A246,$K$5:$K$3000,"Reverses")</f>
        <v>0</v>
      </c>
      <c r="P246" s="39" t="n">
        <f aca="false">IF(K246&lt;&gt;"","",IF(G246="Posted",E246+SUMIFS($N$5:$N$3000,$J$5:$J$3000,A246),0))</f>
        <v>0</v>
      </c>
      <c r="Q246" s="36" t="str">
        <f aca="false">IF(L246="Not in catalogue","CHECK type",IF(F246&lt;&gt;Settings!$B$6,"CHECK unit",IF(OR(AND(M246="Credit",E246&lt;=0),AND(M246="Debit",E246&gt;=0)),"CHECK sign",IF(D246="Reversal",IF(OR(J246="",COUNTIF($A$5:$A$3000,J246)=0),"CHECK reversal link",IF(E246&lt;&gt;-INDEX($E$5:$E$3000,MATCH(J246,$A$5:$A$3000,0)),"CHECK reversal amount","OK")),IF(AND(D246="Adjustment",K246&lt;&gt;"",COUNTIF($A$5:$A$3000,J246)=0),"CHECK correction link","OK")))))</f>
        <v>OK</v>
      </c>
      <c r="R246" s="40" t="n">
        <f aca="false">INT(C246)</f>
        <v>46302</v>
      </c>
    </row>
    <row r="247" customFormat="false" ht="15" hidden="false" customHeight="false" outlineLevel="0" collapsed="false">
      <c r="A247" s="28" t="s">
        <v>733</v>
      </c>
      <c r="B247" s="28" t="s">
        <v>265</v>
      </c>
      <c r="C247" s="35" t="n">
        <v>46302.4021969494</v>
      </c>
      <c r="D247" s="28" t="s">
        <v>383</v>
      </c>
      <c r="E247" s="38" t="n">
        <v>-1550</v>
      </c>
      <c r="F247" s="28" t="s">
        <v>225</v>
      </c>
      <c r="G247" s="28" t="s">
        <v>309</v>
      </c>
      <c r="H247" s="28" t="s">
        <v>384</v>
      </c>
      <c r="I247" s="28" t="s">
        <v>270</v>
      </c>
      <c r="J247" s="28"/>
      <c r="K247" s="28"/>
      <c r="L247" s="36" t="str">
        <f aca="false">IFERROR(INDEX(Transaction_Types!$B$5:$B$20,MATCH(D247,Transaction_Types!$A$5:$A$20,0)),"Not in catalogue")</f>
        <v>Supported</v>
      </c>
      <c r="M247" s="36" t="str">
        <f aca="false">IFERROR(INDEX(Transaction_Types!$C$5:$C$20,MATCH(D247,Transaction_Types!$A$5:$A$20,0)),"")</f>
        <v>Debit</v>
      </c>
      <c r="N247" s="39" t="n">
        <f aca="false">IF(G247="Posted",E247,0)</f>
        <v>-1550</v>
      </c>
      <c r="O247" s="36" t="n">
        <f aca="false">COUNTIFS($J$5:$J$3000,A247,$K$5:$K$3000,"Reverses")</f>
        <v>0</v>
      </c>
      <c r="P247" s="39" t="n">
        <f aca="false">IF(K247&lt;&gt;"","",IF(G247="Posted",E247+SUMIFS($N$5:$N$3000,$J$5:$J$3000,A247),0))</f>
        <v>-1550</v>
      </c>
      <c r="Q247" s="36" t="str">
        <f aca="false">IF(L247="Not in catalogue","CHECK type",IF(F247&lt;&gt;Settings!$B$6,"CHECK unit",IF(OR(AND(M247="Credit",E247&lt;=0),AND(M247="Debit",E247&gt;=0)),"CHECK sign",IF(D247="Reversal",IF(OR(J247="",COUNTIF($A$5:$A$3000,J247)=0),"CHECK reversal link",IF(E247&lt;&gt;-INDEX($E$5:$E$3000,MATCH(J247,$A$5:$A$3000,0)),"CHECK reversal amount","OK")),IF(AND(D247="Adjustment",K247&lt;&gt;"",COUNTIF($A$5:$A$3000,J247)=0),"CHECK correction link","OK")))))</f>
        <v>OK</v>
      </c>
      <c r="R247" s="40" t="n">
        <f aca="false">INT(C247)</f>
        <v>46302</v>
      </c>
    </row>
    <row r="248" customFormat="false" ht="15" hidden="false" customHeight="false" outlineLevel="0" collapsed="false">
      <c r="A248" s="28" t="s">
        <v>734</v>
      </c>
      <c r="B248" s="28" t="s">
        <v>242</v>
      </c>
      <c r="C248" s="35" t="n">
        <v>46302.4826388889</v>
      </c>
      <c r="D248" s="28" t="s">
        <v>308</v>
      </c>
      <c r="E248" s="38" t="n">
        <v>300</v>
      </c>
      <c r="F248" s="28" t="s">
        <v>225</v>
      </c>
      <c r="G248" s="28" t="s">
        <v>309</v>
      </c>
      <c r="H248" s="28" t="s">
        <v>310</v>
      </c>
      <c r="I248" s="28" t="s">
        <v>735</v>
      </c>
      <c r="J248" s="28"/>
      <c r="K248" s="28"/>
      <c r="L248" s="36" t="str">
        <f aca="false">IFERROR(INDEX(Transaction_Types!$B$5:$B$20,MATCH(D248,Transaction_Types!$A$5:$A$20,0)),"Not in catalogue")</f>
        <v>Supported</v>
      </c>
      <c r="M248" s="36" t="str">
        <f aca="false">IFERROR(INDEX(Transaction_Types!$C$5:$C$20,MATCH(D248,Transaction_Types!$A$5:$A$20,0)),"")</f>
        <v>Credit</v>
      </c>
      <c r="N248" s="39" t="n">
        <f aca="false">IF(G248="Posted",E248,0)</f>
        <v>300</v>
      </c>
      <c r="O248" s="36" t="n">
        <f aca="false">COUNTIFS($J$5:$J$3000,A248,$K$5:$K$3000,"Reverses")</f>
        <v>0</v>
      </c>
      <c r="P248" s="39" t="n">
        <f aca="false">IF(K248&lt;&gt;"","",IF(G248="Posted",E248+SUMIFS($N$5:$N$3000,$J$5:$J$3000,A248),0))</f>
        <v>300</v>
      </c>
      <c r="Q248" s="36" t="str">
        <f aca="false">IF(L248="Not in catalogue","CHECK type",IF(F248&lt;&gt;Settings!$B$6,"CHECK unit",IF(OR(AND(M248="Credit",E248&lt;=0),AND(M248="Debit",E248&gt;=0)),"CHECK sign",IF(D248="Reversal",IF(OR(J248="",COUNTIF($A$5:$A$3000,J248)=0),"CHECK reversal link",IF(E248&lt;&gt;-INDEX($E$5:$E$3000,MATCH(J248,$A$5:$A$3000,0)),"CHECK reversal amount","OK")),IF(AND(D248="Adjustment",K248&lt;&gt;"",COUNTIF($A$5:$A$3000,J248)=0),"CHECK correction link","OK")))))</f>
        <v>OK</v>
      </c>
      <c r="R248" s="40" t="n">
        <f aca="false">INT(C248)</f>
        <v>46302</v>
      </c>
    </row>
    <row r="249" customFormat="false" ht="15" hidden="false" customHeight="false" outlineLevel="0" collapsed="false">
      <c r="A249" s="28" t="s">
        <v>736</v>
      </c>
      <c r="B249" s="28" t="s">
        <v>368</v>
      </c>
      <c r="C249" s="35" t="n">
        <v>46302.5597222222</v>
      </c>
      <c r="D249" s="28" t="s">
        <v>308</v>
      </c>
      <c r="E249" s="38" t="n">
        <v>300</v>
      </c>
      <c r="F249" s="28" t="s">
        <v>225</v>
      </c>
      <c r="G249" s="28" t="s">
        <v>309</v>
      </c>
      <c r="H249" s="28" t="s">
        <v>310</v>
      </c>
      <c r="I249" s="28" t="s">
        <v>737</v>
      </c>
      <c r="J249" s="28"/>
      <c r="K249" s="28"/>
      <c r="L249" s="36" t="str">
        <f aca="false">IFERROR(INDEX(Transaction_Types!$B$5:$B$20,MATCH(D249,Transaction_Types!$A$5:$A$20,0)),"Not in catalogue")</f>
        <v>Supported</v>
      </c>
      <c r="M249" s="36" t="str">
        <f aca="false">IFERROR(INDEX(Transaction_Types!$C$5:$C$20,MATCH(D249,Transaction_Types!$A$5:$A$20,0)),"")</f>
        <v>Credit</v>
      </c>
      <c r="N249" s="39" t="n">
        <f aca="false">IF(G249="Posted",E249,0)</f>
        <v>300</v>
      </c>
      <c r="O249" s="36" t="n">
        <f aca="false">COUNTIFS($J$5:$J$3000,A249,$K$5:$K$3000,"Reverses")</f>
        <v>0</v>
      </c>
      <c r="P249" s="39" t="n">
        <f aca="false">IF(K249&lt;&gt;"","",IF(G249="Posted",E249+SUMIFS($N$5:$N$3000,$J$5:$J$3000,A249),0))</f>
        <v>300</v>
      </c>
      <c r="Q249" s="36" t="str">
        <f aca="false">IF(L249="Not in catalogue","CHECK type",IF(F249&lt;&gt;Settings!$B$6,"CHECK unit",IF(OR(AND(M249="Credit",E249&lt;=0),AND(M249="Debit",E249&gt;=0)),"CHECK sign",IF(D249="Reversal",IF(OR(J249="",COUNTIF($A$5:$A$3000,J249)=0),"CHECK reversal link",IF(E249&lt;&gt;-INDEX($E$5:$E$3000,MATCH(J249,$A$5:$A$3000,0)),"CHECK reversal amount","OK")),IF(AND(D249="Adjustment",K249&lt;&gt;"",COUNTIF($A$5:$A$3000,J249)=0),"CHECK correction link","OK")))))</f>
        <v>OK</v>
      </c>
      <c r="R249" s="40" t="n">
        <f aca="false">INT(C249)</f>
        <v>46302</v>
      </c>
    </row>
    <row r="250" customFormat="false" ht="15" hidden="false" customHeight="false" outlineLevel="0" collapsed="false">
      <c r="A250" s="28" t="s">
        <v>738</v>
      </c>
      <c r="B250" s="28" t="s">
        <v>275</v>
      </c>
      <c r="C250" s="35" t="n">
        <v>46302.6020833333</v>
      </c>
      <c r="D250" s="28" t="s">
        <v>308</v>
      </c>
      <c r="E250" s="38" t="n">
        <v>300</v>
      </c>
      <c r="F250" s="28" t="s">
        <v>225</v>
      </c>
      <c r="G250" s="28" t="s">
        <v>309</v>
      </c>
      <c r="H250" s="28" t="s">
        <v>310</v>
      </c>
      <c r="I250" s="28" t="s">
        <v>739</v>
      </c>
      <c r="J250" s="28"/>
      <c r="K250" s="28"/>
      <c r="L250" s="36" t="str">
        <f aca="false">IFERROR(INDEX(Transaction_Types!$B$5:$B$20,MATCH(D250,Transaction_Types!$A$5:$A$20,0)),"Not in catalogue")</f>
        <v>Supported</v>
      </c>
      <c r="M250" s="36" t="str">
        <f aca="false">IFERROR(INDEX(Transaction_Types!$C$5:$C$20,MATCH(D250,Transaction_Types!$A$5:$A$20,0)),"")</f>
        <v>Credit</v>
      </c>
      <c r="N250" s="39" t="n">
        <f aca="false">IF(G250="Posted",E250,0)</f>
        <v>300</v>
      </c>
      <c r="O250" s="36" t="n">
        <f aca="false">COUNTIFS($J$5:$J$3000,A250,$K$5:$K$3000,"Reverses")</f>
        <v>0</v>
      </c>
      <c r="P250" s="39" t="n">
        <f aca="false">IF(K250&lt;&gt;"","",IF(G250="Posted",E250+SUMIFS($N$5:$N$3000,$J$5:$J$3000,A250),0))</f>
        <v>300</v>
      </c>
      <c r="Q250" s="36" t="str">
        <f aca="false">IF(L250="Not in catalogue","CHECK type",IF(F250&lt;&gt;Settings!$B$6,"CHECK unit",IF(OR(AND(M250="Credit",E250&lt;=0),AND(M250="Debit",E250&gt;=0)),"CHECK sign",IF(D250="Reversal",IF(OR(J250="",COUNTIF($A$5:$A$3000,J250)=0),"CHECK reversal link",IF(E250&lt;&gt;-INDEX($E$5:$E$3000,MATCH(J250,$A$5:$A$3000,0)),"CHECK reversal amount","OK")),IF(AND(D250="Adjustment",K250&lt;&gt;"",COUNTIF($A$5:$A$3000,J250)=0),"CHECK correction link","OK")))))</f>
        <v>OK</v>
      </c>
      <c r="R250" s="40" t="n">
        <f aca="false">INT(C250)</f>
        <v>46302</v>
      </c>
    </row>
    <row r="251" customFormat="false" ht="15" hidden="false" customHeight="false" outlineLevel="0" collapsed="false">
      <c r="A251" s="28" t="s">
        <v>740</v>
      </c>
      <c r="B251" s="28" t="s">
        <v>368</v>
      </c>
      <c r="C251" s="35" t="n">
        <v>46302.6854166667</v>
      </c>
      <c r="D251" s="28" t="s">
        <v>308</v>
      </c>
      <c r="E251" s="38" t="n">
        <v>250</v>
      </c>
      <c r="F251" s="28" t="s">
        <v>225</v>
      </c>
      <c r="G251" s="28" t="s">
        <v>309</v>
      </c>
      <c r="H251" s="28" t="s">
        <v>310</v>
      </c>
      <c r="I251" s="28" t="s">
        <v>741</v>
      </c>
      <c r="J251" s="28"/>
      <c r="K251" s="28"/>
      <c r="L251" s="36" t="str">
        <f aca="false">IFERROR(INDEX(Transaction_Types!$B$5:$B$20,MATCH(D251,Transaction_Types!$A$5:$A$20,0)),"Not in catalogue")</f>
        <v>Supported</v>
      </c>
      <c r="M251" s="36" t="str">
        <f aca="false">IFERROR(INDEX(Transaction_Types!$C$5:$C$20,MATCH(D251,Transaction_Types!$A$5:$A$20,0)),"")</f>
        <v>Credit</v>
      </c>
      <c r="N251" s="39" t="n">
        <f aca="false">IF(G251="Posted",E251,0)</f>
        <v>250</v>
      </c>
      <c r="O251" s="36" t="n">
        <f aca="false">COUNTIFS($J$5:$J$3000,A251,$K$5:$K$3000,"Reverses")</f>
        <v>0</v>
      </c>
      <c r="P251" s="39" t="n">
        <f aca="false">IF(K251&lt;&gt;"","",IF(G251="Posted",E251+SUMIFS($N$5:$N$3000,$J$5:$J$3000,A251),0))</f>
        <v>250</v>
      </c>
      <c r="Q251" s="36" t="str">
        <f aca="false">IF(L251="Not in catalogue","CHECK type",IF(F251&lt;&gt;Settings!$B$6,"CHECK unit",IF(OR(AND(M251="Credit",E251&lt;=0),AND(M251="Debit",E251&gt;=0)),"CHECK sign",IF(D251="Reversal",IF(OR(J251="",COUNTIF($A$5:$A$3000,J251)=0),"CHECK reversal link",IF(E251&lt;&gt;-INDEX($E$5:$E$3000,MATCH(J251,$A$5:$A$3000,0)),"CHECK reversal amount","OK")),IF(AND(D251="Adjustment",K251&lt;&gt;"",COUNTIF($A$5:$A$3000,J251)=0),"CHECK correction link","OK")))))</f>
        <v>OK</v>
      </c>
      <c r="R251" s="40" t="n">
        <f aca="false">INT(C251)</f>
        <v>46302</v>
      </c>
    </row>
    <row r="252" customFormat="false" ht="15" hidden="false" customHeight="false" outlineLevel="0" collapsed="false">
      <c r="A252" s="28" t="s">
        <v>742</v>
      </c>
      <c r="B252" s="28" t="s">
        <v>249</v>
      </c>
      <c r="C252" s="35" t="n">
        <v>46302.8881944444</v>
      </c>
      <c r="D252" s="28" t="s">
        <v>665</v>
      </c>
      <c r="E252" s="38" t="n">
        <v>-100</v>
      </c>
      <c r="F252" s="28" t="s">
        <v>225</v>
      </c>
      <c r="G252" s="28" t="s">
        <v>309</v>
      </c>
      <c r="H252" s="28" t="s">
        <v>471</v>
      </c>
      <c r="I252" s="28" t="s">
        <v>720</v>
      </c>
      <c r="J252" s="28" t="s">
        <v>719</v>
      </c>
      <c r="K252" s="28" t="s">
        <v>667</v>
      </c>
      <c r="L252" s="36" t="str">
        <f aca="false">IFERROR(INDEX(Transaction_Types!$B$5:$B$20,MATCH(D252,Transaction_Types!$A$5:$A$20,0)),"Not in catalogue")</f>
        <v>Supported</v>
      </c>
      <c r="M252" s="36" t="str">
        <f aca="false">IFERROR(INDEX(Transaction_Types!$C$5:$C$20,MATCH(D252,Transaction_Types!$A$5:$A$20,0)),"")</f>
        <v>Either</v>
      </c>
      <c r="N252" s="39" t="n">
        <f aca="false">IF(G252="Posted",E252,0)</f>
        <v>-100</v>
      </c>
      <c r="O252" s="36" t="n">
        <f aca="false">COUNTIFS($J$5:$J$3000,A252,$K$5:$K$3000,"Reverses")</f>
        <v>0</v>
      </c>
      <c r="P252" s="39" t="str">
        <f aca="false">IF(K252&lt;&gt;"","",IF(G252="Posted",E252+SUMIFS($N$5:$N$3000,$J$5:$J$3000,A252),0))</f>
        <v/>
      </c>
      <c r="Q252" s="36" t="str">
        <f aca="false">IF(L252="Not in catalogue","CHECK type",IF(F252&lt;&gt;Settings!$B$6,"CHECK unit",IF(OR(AND(M252="Credit",E252&lt;=0),AND(M252="Debit",E252&gt;=0)),"CHECK sign",IF(D252="Reversal",IF(OR(J252="",COUNTIF($A$5:$A$3000,J252)=0),"CHECK reversal link",IF(E252&lt;&gt;-INDEX($E$5:$E$3000,MATCH(J252,$A$5:$A$3000,0)),"CHECK reversal amount","OK")),IF(AND(D252="Adjustment",K252&lt;&gt;"",COUNTIF($A$5:$A$3000,J252)=0),"CHECK correction link","OK")))))</f>
        <v>OK</v>
      </c>
      <c r="R252" s="40" t="n">
        <f aca="false">INT(C252)</f>
        <v>46302</v>
      </c>
    </row>
    <row r="253" customFormat="false" ht="15" hidden="false" customHeight="false" outlineLevel="0" collapsed="false">
      <c r="A253" s="28" t="s">
        <v>743</v>
      </c>
      <c r="B253" s="28" t="s">
        <v>289</v>
      </c>
      <c r="C253" s="35" t="n">
        <v>46303.3284722222</v>
      </c>
      <c r="D253" s="28" t="s">
        <v>308</v>
      </c>
      <c r="E253" s="38" t="n">
        <v>200</v>
      </c>
      <c r="F253" s="28" t="s">
        <v>225</v>
      </c>
      <c r="G253" s="28" t="s">
        <v>309</v>
      </c>
      <c r="H253" s="28" t="s">
        <v>316</v>
      </c>
      <c r="I253" s="28" t="s">
        <v>744</v>
      </c>
      <c r="J253" s="28"/>
      <c r="K253" s="28"/>
      <c r="L253" s="36" t="str">
        <f aca="false">IFERROR(INDEX(Transaction_Types!$B$5:$B$20,MATCH(D253,Transaction_Types!$A$5:$A$20,0)),"Not in catalogue")</f>
        <v>Supported</v>
      </c>
      <c r="M253" s="36" t="str">
        <f aca="false">IFERROR(INDEX(Transaction_Types!$C$5:$C$20,MATCH(D253,Transaction_Types!$A$5:$A$20,0)),"")</f>
        <v>Credit</v>
      </c>
      <c r="N253" s="39" t="n">
        <f aca="false">IF(G253="Posted",E253,0)</f>
        <v>200</v>
      </c>
      <c r="O253" s="36" t="n">
        <f aca="false">COUNTIFS($J$5:$J$3000,A253,$K$5:$K$3000,"Reverses")</f>
        <v>0</v>
      </c>
      <c r="P253" s="39" t="n">
        <f aca="false">IF(K253&lt;&gt;"","",IF(G253="Posted",E253+SUMIFS($N$5:$N$3000,$J$5:$J$3000,A253),0))</f>
        <v>200</v>
      </c>
      <c r="Q253" s="36" t="str">
        <f aca="false">IF(L253="Not in catalogue","CHECK type",IF(F253&lt;&gt;Settings!$B$6,"CHECK unit",IF(OR(AND(M253="Credit",E253&lt;=0),AND(M253="Debit",E253&gt;=0)),"CHECK sign",IF(D253="Reversal",IF(OR(J253="",COUNTIF($A$5:$A$3000,J253)=0),"CHECK reversal link",IF(E253&lt;&gt;-INDEX($E$5:$E$3000,MATCH(J253,$A$5:$A$3000,0)),"CHECK reversal amount","OK")),IF(AND(D253="Adjustment",K253&lt;&gt;"",COUNTIF($A$5:$A$3000,J253)=0),"CHECK correction link","OK")))))</f>
        <v>OK</v>
      </c>
      <c r="R253" s="40" t="n">
        <f aca="false">INT(C253)</f>
        <v>46303</v>
      </c>
    </row>
    <row r="254" customFormat="false" ht="15" hidden="false" customHeight="false" outlineLevel="0" collapsed="false">
      <c r="A254" s="28" t="s">
        <v>745</v>
      </c>
      <c r="B254" s="28" t="s">
        <v>263</v>
      </c>
      <c r="C254" s="35" t="n">
        <v>46303.3770833333</v>
      </c>
      <c r="D254" s="28" t="s">
        <v>308</v>
      </c>
      <c r="E254" s="38" t="n">
        <v>200</v>
      </c>
      <c r="F254" s="28" t="s">
        <v>225</v>
      </c>
      <c r="G254" s="28" t="s">
        <v>309</v>
      </c>
      <c r="H254" s="28" t="s">
        <v>310</v>
      </c>
      <c r="I254" s="28" t="s">
        <v>746</v>
      </c>
      <c r="J254" s="28"/>
      <c r="K254" s="28"/>
      <c r="L254" s="36" t="str">
        <f aca="false">IFERROR(INDEX(Transaction_Types!$B$5:$B$20,MATCH(D254,Transaction_Types!$A$5:$A$20,0)),"Not in catalogue")</f>
        <v>Supported</v>
      </c>
      <c r="M254" s="36" t="str">
        <f aca="false">IFERROR(INDEX(Transaction_Types!$C$5:$C$20,MATCH(D254,Transaction_Types!$A$5:$A$20,0)),"")</f>
        <v>Credit</v>
      </c>
      <c r="N254" s="39" t="n">
        <f aca="false">IF(G254="Posted",E254,0)</f>
        <v>200</v>
      </c>
      <c r="O254" s="36" t="n">
        <f aca="false">COUNTIFS($J$5:$J$3000,A254,$K$5:$K$3000,"Reverses")</f>
        <v>0</v>
      </c>
      <c r="P254" s="39" t="n">
        <f aca="false">IF(K254&lt;&gt;"","",IF(G254="Posted",E254+SUMIFS($N$5:$N$3000,$J$5:$J$3000,A254),0))</f>
        <v>200</v>
      </c>
      <c r="Q254" s="36" t="str">
        <f aca="false">IF(L254="Not in catalogue","CHECK type",IF(F254&lt;&gt;Settings!$B$6,"CHECK unit",IF(OR(AND(M254="Credit",E254&lt;=0),AND(M254="Debit",E254&gt;=0)),"CHECK sign",IF(D254="Reversal",IF(OR(J254="",COUNTIF($A$5:$A$3000,J254)=0),"CHECK reversal link",IF(E254&lt;&gt;-INDEX($E$5:$E$3000,MATCH(J254,$A$5:$A$3000,0)),"CHECK reversal amount","OK")),IF(AND(D254="Adjustment",K254&lt;&gt;"",COUNTIF($A$5:$A$3000,J254)=0),"CHECK correction link","OK")))))</f>
        <v>OK</v>
      </c>
      <c r="R254" s="40" t="n">
        <f aca="false">INT(C254)</f>
        <v>46303</v>
      </c>
    </row>
    <row r="255" customFormat="false" ht="15" hidden="false" customHeight="false" outlineLevel="0" collapsed="false">
      <c r="A255" s="28" t="s">
        <v>747</v>
      </c>
      <c r="B255" s="28" t="s">
        <v>269</v>
      </c>
      <c r="C255" s="35" t="n">
        <v>46303.5986111111</v>
      </c>
      <c r="D255" s="28" t="s">
        <v>308</v>
      </c>
      <c r="E255" s="38" t="n">
        <v>100</v>
      </c>
      <c r="F255" s="28" t="s">
        <v>225</v>
      </c>
      <c r="G255" s="28" t="s">
        <v>309</v>
      </c>
      <c r="H255" s="28" t="s">
        <v>313</v>
      </c>
      <c r="I255" s="28" t="s">
        <v>314</v>
      </c>
      <c r="J255" s="28"/>
      <c r="K255" s="28"/>
      <c r="L255" s="36" t="str">
        <f aca="false">IFERROR(INDEX(Transaction_Types!$B$5:$B$20,MATCH(D255,Transaction_Types!$A$5:$A$20,0)),"Not in catalogue")</f>
        <v>Supported</v>
      </c>
      <c r="M255" s="36" t="str">
        <f aca="false">IFERROR(INDEX(Transaction_Types!$C$5:$C$20,MATCH(D255,Transaction_Types!$A$5:$A$20,0)),"")</f>
        <v>Credit</v>
      </c>
      <c r="N255" s="39" t="n">
        <f aca="false">IF(G255="Posted",E255,0)</f>
        <v>100</v>
      </c>
      <c r="O255" s="36" t="n">
        <f aca="false">COUNTIFS($J$5:$J$3000,A255,$K$5:$K$3000,"Reverses")</f>
        <v>0</v>
      </c>
      <c r="P255" s="39" t="n">
        <f aca="false">IF(K255&lt;&gt;"","",IF(G255="Posted",E255+SUMIFS($N$5:$N$3000,$J$5:$J$3000,A255),0))</f>
        <v>100</v>
      </c>
      <c r="Q255" s="36" t="str">
        <f aca="false">IF(L255="Not in catalogue","CHECK type",IF(F255&lt;&gt;Settings!$B$6,"CHECK unit",IF(OR(AND(M255="Credit",E255&lt;=0),AND(M255="Debit",E255&gt;=0)),"CHECK sign",IF(D255="Reversal",IF(OR(J255="",COUNTIF($A$5:$A$3000,J255)=0),"CHECK reversal link",IF(E255&lt;&gt;-INDEX($E$5:$E$3000,MATCH(J255,$A$5:$A$3000,0)),"CHECK reversal amount","OK")),IF(AND(D255="Adjustment",K255&lt;&gt;"",COUNTIF($A$5:$A$3000,J255)=0),"CHECK correction link","OK")))))</f>
        <v>OK</v>
      </c>
      <c r="R255" s="40" t="n">
        <f aca="false">INT(C255)</f>
        <v>46303</v>
      </c>
    </row>
    <row r="256" customFormat="false" ht="15" hidden="false" customHeight="false" outlineLevel="0" collapsed="false">
      <c r="A256" s="28" t="s">
        <v>748</v>
      </c>
      <c r="B256" s="28" t="s">
        <v>239</v>
      </c>
      <c r="C256" s="35" t="n">
        <v>46303.64375</v>
      </c>
      <c r="D256" s="28" t="s">
        <v>308</v>
      </c>
      <c r="E256" s="38" t="n">
        <v>300</v>
      </c>
      <c r="F256" s="28" t="s">
        <v>225</v>
      </c>
      <c r="G256" s="28" t="s">
        <v>309</v>
      </c>
      <c r="H256" s="28" t="s">
        <v>313</v>
      </c>
      <c r="I256" s="28" t="s">
        <v>314</v>
      </c>
      <c r="J256" s="28"/>
      <c r="K256" s="28"/>
      <c r="L256" s="36" t="str">
        <f aca="false">IFERROR(INDEX(Transaction_Types!$B$5:$B$20,MATCH(D256,Transaction_Types!$A$5:$A$20,0)),"Not in catalogue")</f>
        <v>Supported</v>
      </c>
      <c r="M256" s="36" t="str">
        <f aca="false">IFERROR(INDEX(Transaction_Types!$C$5:$C$20,MATCH(D256,Transaction_Types!$A$5:$A$20,0)),"")</f>
        <v>Credit</v>
      </c>
      <c r="N256" s="39" t="n">
        <f aca="false">IF(G256="Posted",E256,0)</f>
        <v>300</v>
      </c>
      <c r="O256" s="36" t="n">
        <f aca="false">COUNTIFS($J$5:$J$3000,A256,$K$5:$K$3000,"Reverses")</f>
        <v>0</v>
      </c>
      <c r="P256" s="39" t="n">
        <f aca="false">IF(K256&lt;&gt;"","",IF(G256="Posted",E256+SUMIFS($N$5:$N$3000,$J$5:$J$3000,A256),0))</f>
        <v>300</v>
      </c>
      <c r="Q256" s="36" t="str">
        <f aca="false">IF(L256="Not in catalogue","CHECK type",IF(F256&lt;&gt;Settings!$B$6,"CHECK unit",IF(OR(AND(M256="Credit",E256&lt;=0),AND(M256="Debit",E256&gt;=0)),"CHECK sign",IF(D256="Reversal",IF(OR(J256="",COUNTIF($A$5:$A$3000,J256)=0),"CHECK reversal link",IF(E256&lt;&gt;-INDEX($E$5:$E$3000,MATCH(J256,$A$5:$A$3000,0)),"CHECK reversal amount","OK")),IF(AND(D256="Adjustment",K256&lt;&gt;"",COUNTIF($A$5:$A$3000,J256)=0),"CHECK correction link","OK")))))</f>
        <v>OK</v>
      </c>
      <c r="R256" s="40" t="n">
        <f aca="false">INT(C256)</f>
        <v>46303</v>
      </c>
    </row>
    <row r="257" customFormat="false" ht="15" hidden="false" customHeight="false" outlineLevel="0" collapsed="false">
      <c r="A257" s="28" t="s">
        <v>749</v>
      </c>
      <c r="B257" s="28" t="s">
        <v>269</v>
      </c>
      <c r="C257" s="35" t="n">
        <v>46303.9645833333</v>
      </c>
      <c r="D257" s="28" t="s">
        <v>308</v>
      </c>
      <c r="E257" s="38" t="n">
        <v>400</v>
      </c>
      <c r="F257" s="28" t="s">
        <v>225</v>
      </c>
      <c r="G257" s="28" t="s">
        <v>309</v>
      </c>
      <c r="H257" s="28" t="s">
        <v>310</v>
      </c>
      <c r="I257" s="28" t="s">
        <v>750</v>
      </c>
      <c r="J257" s="28"/>
      <c r="K257" s="28"/>
      <c r="L257" s="36" t="str">
        <f aca="false">IFERROR(INDEX(Transaction_Types!$B$5:$B$20,MATCH(D257,Transaction_Types!$A$5:$A$20,0)),"Not in catalogue")</f>
        <v>Supported</v>
      </c>
      <c r="M257" s="36" t="str">
        <f aca="false">IFERROR(INDEX(Transaction_Types!$C$5:$C$20,MATCH(D257,Transaction_Types!$A$5:$A$20,0)),"")</f>
        <v>Credit</v>
      </c>
      <c r="N257" s="39" t="n">
        <f aca="false">IF(G257="Posted",E257,0)</f>
        <v>400</v>
      </c>
      <c r="O257" s="36" t="n">
        <f aca="false">COUNTIFS($J$5:$J$3000,A257,$K$5:$K$3000,"Reverses")</f>
        <v>0</v>
      </c>
      <c r="P257" s="39" t="n">
        <f aca="false">IF(K257&lt;&gt;"","",IF(G257="Posted",E257+SUMIFS($N$5:$N$3000,$J$5:$J$3000,A257),0))</f>
        <v>400</v>
      </c>
      <c r="Q257" s="36" t="str">
        <f aca="false">IF(L257="Not in catalogue","CHECK type",IF(F257&lt;&gt;Settings!$B$6,"CHECK unit",IF(OR(AND(M257="Credit",E257&lt;=0),AND(M257="Debit",E257&gt;=0)),"CHECK sign",IF(D257="Reversal",IF(OR(J257="",COUNTIF($A$5:$A$3000,J257)=0),"CHECK reversal link",IF(E257&lt;&gt;-INDEX($E$5:$E$3000,MATCH(J257,$A$5:$A$3000,0)),"CHECK reversal amount","OK")),IF(AND(D257="Adjustment",K257&lt;&gt;"",COUNTIF($A$5:$A$3000,J257)=0),"CHECK correction link","OK")))))</f>
        <v>OK</v>
      </c>
      <c r="R257" s="40" t="n">
        <f aca="false">INT(C257)</f>
        <v>46303</v>
      </c>
    </row>
    <row r="258" customFormat="false" ht="15" hidden="false" customHeight="false" outlineLevel="0" collapsed="false">
      <c r="A258" s="28" t="s">
        <v>751</v>
      </c>
      <c r="B258" s="28" t="s">
        <v>260</v>
      </c>
      <c r="C258" s="35" t="n">
        <v>46303.9986111111</v>
      </c>
      <c r="D258" s="28" t="s">
        <v>308</v>
      </c>
      <c r="E258" s="38" t="n">
        <v>100</v>
      </c>
      <c r="F258" s="28" t="s">
        <v>225</v>
      </c>
      <c r="G258" s="28" t="s">
        <v>309</v>
      </c>
      <c r="H258" s="28" t="s">
        <v>316</v>
      </c>
      <c r="I258" s="28" t="s">
        <v>364</v>
      </c>
      <c r="J258" s="28"/>
      <c r="K258" s="28"/>
      <c r="L258" s="36" t="str">
        <f aca="false">IFERROR(INDEX(Transaction_Types!$B$5:$B$20,MATCH(D258,Transaction_Types!$A$5:$A$20,0)),"Not in catalogue")</f>
        <v>Supported</v>
      </c>
      <c r="M258" s="36" t="str">
        <f aca="false">IFERROR(INDEX(Transaction_Types!$C$5:$C$20,MATCH(D258,Transaction_Types!$A$5:$A$20,0)),"")</f>
        <v>Credit</v>
      </c>
      <c r="N258" s="39" t="n">
        <f aca="false">IF(G258="Posted",E258,0)</f>
        <v>100</v>
      </c>
      <c r="O258" s="36" t="n">
        <f aca="false">COUNTIFS($J$5:$J$3000,A258,$K$5:$K$3000,"Reverses")</f>
        <v>0</v>
      </c>
      <c r="P258" s="39" t="n">
        <f aca="false">IF(K258&lt;&gt;"","",IF(G258="Posted",E258+SUMIFS($N$5:$N$3000,$J$5:$J$3000,A258),0))</f>
        <v>100</v>
      </c>
      <c r="Q258" s="36" t="str">
        <f aca="false">IF(L258="Not in catalogue","CHECK type",IF(F258&lt;&gt;Settings!$B$6,"CHECK unit",IF(OR(AND(M258="Credit",E258&lt;=0),AND(M258="Debit",E258&gt;=0)),"CHECK sign",IF(D258="Reversal",IF(OR(J258="",COUNTIF($A$5:$A$3000,J258)=0),"CHECK reversal link",IF(E258&lt;&gt;-INDEX($E$5:$E$3000,MATCH(J258,$A$5:$A$3000,0)),"CHECK reversal amount","OK")),IF(AND(D258="Adjustment",K258&lt;&gt;"",COUNTIF($A$5:$A$3000,J258)=0),"CHECK correction link","OK")))))</f>
        <v>OK</v>
      </c>
      <c r="R258" s="40" t="n">
        <f aca="false">INT(C258)</f>
        <v>46303</v>
      </c>
    </row>
    <row r="259" customFormat="false" ht="15" hidden="false" customHeight="false" outlineLevel="0" collapsed="false">
      <c r="A259" s="28" t="s">
        <v>752</v>
      </c>
      <c r="B259" s="28" t="s">
        <v>231</v>
      </c>
      <c r="C259" s="35" t="n">
        <v>46304.0388888889</v>
      </c>
      <c r="D259" s="28" t="s">
        <v>308</v>
      </c>
      <c r="E259" s="38" t="n">
        <v>100</v>
      </c>
      <c r="F259" s="28" t="s">
        <v>225</v>
      </c>
      <c r="G259" s="28" t="s">
        <v>309</v>
      </c>
      <c r="H259" s="28" t="s">
        <v>310</v>
      </c>
      <c r="I259" s="28" t="s">
        <v>753</v>
      </c>
      <c r="J259" s="28"/>
      <c r="K259" s="28"/>
      <c r="L259" s="36" t="str">
        <f aca="false">IFERROR(INDEX(Transaction_Types!$B$5:$B$20,MATCH(D259,Transaction_Types!$A$5:$A$20,0)),"Not in catalogue")</f>
        <v>Supported</v>
      </c>
      <c r="M259" s="36" t="str">
        <f aca="false">IFERROR(INDEX(Transaction_Types!$C$5:$C$20,MATCH(D259,Transaction_Types!$A$5:$A$20,0)),"")</f>
        <v>Credit</v>
      </c>
      <c r="N259" s="39" t="n">
        <f aca="false">IF(G259="Posted",E259,0)</f>
        <v>100</v>
      </c>
      <c r="O259" s="36" t="n">
        <f aca="false">COUNTIFS($J$5:$J$3000,A259,$K$5:$K$3000,"Reverses")</f>
        <v>0</v>
      </c>
      <c r="P259" s="39" t="n">
        <f aca="false">IF(K259&lt;&gt;"","",IF(G259="Posted",E259+SUMIFS($N$5:$N$3000,$J$5:$J$3000,A259),0))</f>
        <v>100</v>
      </c>
      <c r="Q259" s="36" t="str">
        <f aca="false">IF(L259="Not in catalogue","CHECK type",IF(F259&lt;&gt;Settings!$B$6,"CHECK unit",IF(OR(AND(M259="Credit",E259&lt;=0),AND(M259="Debit",E259&gt;=0)),"CHECK sign",IF(D259="Reversal",IF(OR(J259="",COUNTIF($A$5:$A$3000,J259)=0),"CHECK reversal link",IF(E259&lt;&gt;-INDEX($E$5:$E$3000,MATCH(J259,$A$5:$A$3000,0)),"CHECK reversal amount","OK")),IF(AND(D259="Adjustment",K259&lt;&gt;"",COUNTIF($A$5:$A$3000,J259)=0),"CHECK correction link","OK")))))</f>
        <v>OK</v>
      </c>
      <c r="R259" s="40" t="n">
        <f aca="false">INT(C259)</f>
        <v>46304</v>
      </c>
    </row>
    <row r="260" customFormat="false" ht="15" hidden="false" customHeight="false" outlineLevel="0" collapsed="false">
      <c r="A260" s="28" t="s">
        <v>754</v>
      </c>
      <c r="B260" s="28" t="s">
        <v>277</v>
      </c>
      <c r="C260" s="35" t="n">
        <v>46304.0916666667</v>
      </c>
      <c r="D260" s="28" t="s">
        <v>308</v>
      </c>
      <c r="E260" s="38" t="n">
        <v>100</v>
      </c>
      <c r="F260" s="28" t="s">
        <v>225</v>
      </c>
      <c r="G260" s="28" t="s">
        <v>309</v>
      </c>
      <c r="H260" s="28" t="s">
        <v>310</v>
      </c>
      <c r="I260" s="28" t="s">
        <v>755</v>
      </c>
      <c r="J260" s="28"/>
      <c r="K260" s="28"/>
      <c r="L260" s="36" t="str">
        <f aca="false">IFERROR(INDEX(Transaction_Types!$B$5:$B$20,MATCH(D260,Transaction_Types!$A$5:$A$20,0)),"Not in catalogue")</f>
        <v>Supported</v>
      </c>
      <c r="M260" s="36" t="str">
        <f aca="false">IFERROR(INDEX(Transaction_Types!$C$5:$C$20,MATCH(D260,Transaction_Types!$A$5:$A$20,0)),"")</f>
        <v>Credit</v>
      </c>
      <c r="N260" s="39" t="n">
        <f aca="false">IF(G260="Posted",E260,0)</f>
        <v>100</v>
      </c>
      <c r="O260" s="36" t="n">
        <f aca="false">COUNTIFS($J$5:$J$3000,A260,$K$5:$K$3000,"Reverses")</f>
        <v>0</v>
      </c>
      <c r="P260" s="39" t="n">
        <f aca="false">IF(K260&lt;&gt;"","",IF(G260="Posted",E260+SUMIFS($N$5:$N$3000,$J$5:$J$3000,A260),0))</f>
        <v>100</v>
      </c>
      <c r="Q260" s="36" t="str">
        <f aca="false">IF(L260="Not in catalogue","CHECK type",IF(F260&lt;&gt;Settings!$B$6,"CHECK unit",IF(OR(AND(M260="Credit",E260&lt;=0),AND(M260="Debit",E260&gt;=0)),"CHECK sign",IF(D260="Reversal",IF(OR(J260="",COUNTIF($A$5:$A$3000,J260)=0),"CHECK reversal link",IF(E260&lt;&gt;-INDEX($E$5:$E$3000,MATCH(J260,$A$5:$A$3000,0)),"CHECK reversal amount","OK")),IF(AND(D260="Adjustment",K260&lt;&gt;"",COUNTIF($A$5:$A$3000,J260)=0),"CHECK correction link","OK")))))</f>
        <v>OK</v>
      </c>
      <c r="R260" s="40" t="n">
        <f aca="false">INT(C260)</f>
        <v>46304</v>
      </c>
    </row>
    <row r="261" customFormat="false" ht="15" hidden="false" customHeight="false" outlineLevel="0" collapsed="false">
      <c r="A261" s="28" t="s">
        <v>756</v>
      </c>
      <c r="B261" s="28" t="s">
        <v>287</v>
      </c>
      <c r="C261" s="35" t="n">
        <v>46304.1881944445</v>
      </c>
      <c r="D261" s="28" t="s">
        <v>308</v>
      </c>
      <c r="E261" s="38" t="n">
        <v>150</v>
      </c>
      <c r="F261" s="28" t="s">
        <v>225</v>
      </c>
      <c r="G261" s="28" t="s">
        <v>309</v>
      </c>
      <c r="H261" s="28" t="s">
        <v>310</v>
      </c>
      <c r="I261" s="28" t="s">
        <v>757</v>
      </c>
      <c r="J261" s="28"/>
      <c r="K261" s="28"/>
      <c r="L261" s="36" t="str">
        <f aca="false">IFERROR(INDEX(Transaction_Types!$B$5:$B$20,MATCH(D261,Transaction_Types!$A$5:$A$20,0)),"Not in catalogue")</f>
        <v>Supported</v>
      </c>
      <c r="M261" s="36" t="str">
        <f aca="false">IFERROR(INDEX(Transaction_Types!$C$5:$C$20,MATCH(D261,Transaction_Types!$A$5:$A$20,0)),"")</f>
        <v>Credit</v>
      </c>
      <c r="N261" s="39" t="n">
        <f aca="false">IF(G261="Posted",E261,0)</f>
        <v>150</v>
      </c>
      <c r="O261" s="36" t="n">
        <f aca="false">COUNTIFS($J$5:$J$3000,A261,$K$5:$K$3000,"Reverses")</f>
        <v>0</v>
      </c>
      <c r="P261" s="39" t="n">
        <f aca="false">IF(K261&lt;&gt;"","",IF(G261="Posted",E261+SUMIFS($N$5:$N$3000,$J$5:$J$3000,A261),0))</f>
        <v>150</v>
      </c>
      <c r="Q261" s="36" t="str">
        <f aca="false">IF(L261="Not in catalogue","CHECK type",IF(F261&lt;&gt;Settings!$B$6,"CHECK unit",IF(OR(AND(M261="Credit",E261&lt;=0),AND(M261="Debit",E261&gt;=0)),"CHECK sign",IF(D261="Reversal",IF(OR(J261="",COUNTIF($A$5:$A$3000,J261)=0),"CHECK reversal link",IF(E261&lt;&gt;-INDEX($E$5:$E$3000,MATCH(J261,$A$5:$A$3000,0)),"CHECK reversal amount","OK")),IF(AND(D261="Adjustment",K261&lt;&gt;"",COUNTIF($A$5:$A$3000,J261)=0),"CHECK correction link","OK")))))</f>
        <v>OK</v>
      </c>
      <c r="R261" s="40" t="n">
        <f aca="false">INT(C261)</f>
        <v>46304</v>
      </c>
    </row>
    <row r="262" customFormat="false" ht="15" hidden="false" customHeight="false" outlineLevel="0" collapsed="false">
      <c r="A262" s="28" t="s">
        <v>758</v>
      </c>
      <c r="B262" s="28" t="s">
        <v>246</v>
      </c>
      <c r="C262" s="35" t="n">
        <v>46304.2291666667</v>
      </c>
      <c r="D262" s="28" t="s">
        <v>308</v>
      </c>
      <c r="E262" s="38" t="n">
        <v>250</v>
      </c>
      <c r="F262" s="28" t="s">
        <v>225</v>
      </c>
      <c r="G262" s="28" t="s">
        <v>309</v>
      </c>
      <c r="H262" s="28" t="s">
        <v>310</v>
      </c>
      <c r="I262" s="28" t="s">
        <v>759</v>
      </c>
      <c r="J262" s="28"/>
      <c r="K262" s="28"/>
      <c r="L262" s="36" t="str">
        <f aca="false">IFERROR(INDEX(Transaction_Types!$B$5:$B$20,MATCH(D262,Transaction_Types!$A$5:$A$20,0)),"Not in catalogue")</f>
        <v>Supported</v>
      </c>
      <c r="M262" s="36" t="str">
        <f aca="false">IFERROR(INDEX(Transaction_Types!$C$5:$C$20,MATCH(D262,Transaction_Types!$A$5:$A$20,0)),"")</f>
        <v>Credit</v>
      </c>
      <c r="N262" s="39" t="n">
        <f aca="false">IF(G262="Posted",E262,0)</f>
        <v>250</v>
      </c>
      <c r="O262" s="36" t="n">
        <f aca="false">COUNTIFS($J$5:$J$3000,A262,$K$5:$K$3000,"Reverses")</f>
        <v>0</v>
      </c>
      <c r="P262" s="39" t="n">
        <f aca="false">IF(K262&lt;&gt;"","",IF(G262="Posted",E262+SUMIFS($N$5:$N$3000,$J$5:$J$3000,A262),0))</f>
        <v>250</v>
      </c>
      <c r="Q262" s="36" t="str">
        <f aca="false">IF(L262="Not in catalogue","CHECK type",IF(F262&lt;&gt;Settings!$B$6,"CHECK unit",IF(OR(AND(M262="Credit",E262&lt;=0),AND(M262="Debit",E262&gt;=0)),"CHECK sign",IF(D262="Reversal",IF(OR(J262="",COUNTIF($A$5:$A$3000,J262)=0),"CHECK reversal link",IF(E262&lt;&gt;-INDEX($E$5:$E$3000,MATCH(J262,$A$5:$A$3000,0)),"CHECK reversal amount","OK")),IF(AND(D262="Adjustment",K262&lt;&gt;"",COUNTIF($A$5:$A$3000,J262)=0),"CHECK correction link","OK")))))</f>
        <v>OK</v>
      </c>
      <c r="R262" s="40" t="n">
        <f aca="false">INT(C262)</f>
        <v>46304</v>
      </c>
    </row>
    <row r="263" customFormat="false" ht="15" hidden="false" customHeight="false" outlineLevel="0" collapsed="false">
      <c r="A263" s="28" t="s">
        <v>760</v>
      </c>
      <c r="B263" s="28" t="s">
        <v>265</v>
      </c>
      <c r="C263" s="35" t="n">
        <v>46304.2868055556</v>
      </c>
      <c r="D263" s="28" t="s">
        <v>308</v>
      </c>
      <c r="E263" s="38" t="n">
        <v>300</v>
      </c>
      <c r="F263" s="28" t="s">
        <v>225</v>
      </c>
      <c r="G263" s="28" t="s">
        <v>309</v>
      </c>
      <c r="H263" s="28" t="s">
        <v>310</v>
      </c>
      <c r="I263" s="28" t="s">
        <v>761</v>
      </c>
      <c r="J263" s="28"/>
      <c r="K263" s="28"/>
      <c r="L263" s="36" t="str">
        <f aca="false">IFERROR(INDEX(Transaction_Types!$B$5:$B$20,MATCH(D263,Transaction_Types!$A$5:$A$20,0)),"Not in catalogue")</f>
        <v>Supported</v>
      </c>
      <c r="M263" s="36" t="str">
        <f aca="false">IFERROR(INDEX(Transaction_Types!$C$5:$C$20,MATCH(D263,Transaction_Types!$A$5:$A$20,0)),"")</f>
        <v>Credit</v>
      </c>
      <c r="N263" s="39" t="n">
        <f aca="false">IF(G263="Posted",E263,0)</f>
        <v>300</v>
      </c>
      <c r="O263" s="36" t="n">
        <f aca="false">COUNTIFS($J$5:$J$3000,A263,$K$5:$K$3000,"Reverses")</f>
        <v>0</v>
      </c>
      <c r="P263" s="39" t="n">
        <f aca="false">IF(K263&lt;&gt;"","",IF(G263="Posted",E263+SUMIFS($N$5:$N$3000,$J$5:$J$3000,A263),0))</f>
        <v>300</v>
      </c>
      <c r="Q263" s="36" t="str">
        <f aca="false">IF(L263="Not in catalogue","CHECK type",IF(F263&lt;&gt;Settings!$B$6,"CHECK unit",IF(OR(AND(M263="Credit",E263&lt;=0),AND(M263="Debit",E263&gt;=0)),"CHECK sign",IF(D263="Reversal",IF(OR(J263="",COUNTIF($A$5:$A$3000,J263)=0),"CHECK reversal link",IF(E263&lt;&gt;-INDEX($E$5:$E$3000,MATCH(J263,$A$5:$A$3000,0)),"CHECK reversal amount","OK")),IF(AND(D263="Adjustment",K263&lt;&gt;"",COUNTIF($A$5:$A$3000,J263)=0),"CHECK correction link","OK")))))</f>
        <v>OK</v>
      </c>
      <c r="R263" s="40" t="n">
        <f aca="false">INT(C263)</f>
        <v>46304</v>
      </c>
    </row>
    <row r="264" customFormat="false" ht="15" hidden="false" customHeight="false" outlineLevel="0" collapsed="false">
      <c r="A264" s="28" t="s">
        <v>762</v>
      </c>
      <c r="B264" s="28" t="s">
        <v>275</v>
      </c>
      <c r="C264" s="35" t="n">
        <v>46304.6243055556</v>
      </c>
      <c r="D264" s="28" t="s">
        <v>308</v>
      </c>
      <c r="E264" s="38" t="n">
        <v>100</v>
      </c>
      <c r="F264" s="28" t="s">
        <v>225</v>
      </c>
      <c r="G264" s="28" t="s">
        <v>309</v>
      </c>
      <c r="H264" s="28" t="s">
        <v>316</v>
      </c>
      <c r="I264" s="28" t="s">
        <v>707</v>
      </c>
      <c r="J264" s="28"/>
      <c r="K264" s="28"/>
      <c r="L264" s="36" t="str">
        <f aca="false">IFERROR(INDEX(Transaction_Types!$B$5:$B$20,MATCH(D264,Transaction_Types!$A$5:$A$20,0)),"Not in catalogue")</f>
        <v>Supported</v>
      </c>
      <c r="M264" s="36" t="str">
        <f aca="false">IFERROR(INDEX(Transaction_Types!$C$5:$C$20,MATCH(D264,Transaction_Types!$A$5:$A$20,0)),"")</f>
        <v>Credit</v>
      </c>
      <c r="N264" s="39" t="n">
        <f aca="false">IF(G264="Posted",E264,0)</f>
        <v>100</v>
      </c>
      <c r="O264" s="36" t="n">
        <f aca="false">COUNTIFS($J$5:$J$3000,A264,$K$5:$K$3000,"Reverses")</f>
        <v>0</v>
      </c>
      <c r="P264" s="39" t="n">
        <f aca="false">IF(K264&lt;&gt;"","",IF(G264="Posted",E264+SUMIFS($N$5:$N$3000,$J$5:$J$3000,A264),0))</f>
        <v>100</v>
      </c>
      <c r="Q264" s="36" t="str">
        <f aca="false">IF(L264="Not in catalogue","CHECK type",IF(F264&lt;&gt;Settings!$B$6,"CHECK unit",IF(OR(AND(M264="Credit",E264&lt;=0),AND(M264="Debit",E264&gt;=0)),"CHECK sign",IF(D264="Reversal",IF(OR(J264="",COUNTIF($A$5:$A$3000,J264)=0),"CHECK reversal link",IF(E264&lt;&gt;-INDEX($E$5:$E$3000,MATCH(J264,$A$5:$A$3000,0)),"CHECK reversal amount","OK")),IF(AND(D264="Adjustment",K264&lt;&gt;"",COUNTIF($A$5:$A$3000,J264)=0),"CHECK correction link","OK")))))</f>
        <v>OK</v>
      </c>
      <c r="R264" s="40" t="n">
        <f aca="false">INT(C264)</f>
        <v>46304</v>
      </c>
    </row>
    <row r="265" customFormat="false" ht="15" hidden="false" customHeight="false" outlineLevel="0" collapsed="false">
      <c r="A265" s="28" t="s">
        <v>763</v>
      </c>
      <c r="B265" s="28" t="s">
        <v>231</v>
      </c>
      <c r="C265" s="35" t="n">
        <v>46304.638857583</v>
      </c>
      <c r="D265" s="28" t="s">
        <v>383</v>
      </c>
      <c r="E265" s="38" t="n">
        <v>-800</v>
      </c>
      <c r="F265" s="28" t="s">
        <v>225</v>
      </c>
      <c r="G265" s="28" t="s">
        <v>309</v>
      </c>
      <c r="H265" s="28" t="s">
        <v>384</v>
      </c>
      <c r="I265" s="28" t="s">
        <v>271</v>
      </c>
      <c r="J265" s="28"/>
      <c r="K265" s="28"/>
      <c r="L265" s="36" t="str">
        <f aca="false">IFERROR(INDEX(Transaction_Types!$B$5:$B$20,MATCH(D265,Transaction_Types!$A$5:$A$20,0)),"Not in catalogue")</f>
        <v>Supported</v>
      </c>
      <c r="M265" s="36" t="str">
        <f aca="false">IFERROR(INDEX(Transaction_Types!$C$5:$C$20,MATCH(D265,Transaction_Types!$A$5:$A$20,0)),"")</f>
        <v>Debit</v>
      </c>
      <c r="N265" s="39" t="n">
        <f aca="false">IF(G265="Posted",E265,0)</f>
        <v>-800</v>
      </c>
      <c r="O265" s="36" t="n">
        <f aca="false">COUNTIFS($J$5:$J$3000,A265,$K$5:$K$3000,"Reverses")</f>
        <v>0</v>
      </c>
      <c r="P265" s="39" t="n">
        <f aca="false">IF(K265&lt;&gt;"","",IF(G265="Posted",E265+SUMIFS($N$5:$N$3000,$J$5:$J$3000,A265),0))</f>
        <v>-800</v>
      </c>
      <c r="Q265" s="36" t="str">
        <f aca="false">IF(L265="Not in catalogue","CHECK type",IF(F265&lt;&gt;Settings!$B$6,"CHECK unit",IF(OR(AND(M265="Credit",E265&lt;=0),AND(M265="Debit",E265&gt;=0)),"CHECK sign",IF(D265="Reversal",IF(OR(J265="",COUNTIF($A$5:$A$3000,J265)=0),"CHECK reversal link",IF(E265&lt;&gt;-INDEX($E$5:$E$3000,MATCH(J265,$A$5:$A$3000,0)),"CHECK reversal amount","OK")),IF(AND(D265="Adjustment",K265&lt;&gt;"",COUNTIF($A$5:$A$3000,J265)=0),"CHECK correction link","OK")))))</f>
        <v>OK</v>
      </c>
      <c r="R265" s="40" t="n">
        <f aca="false">INT(C265)</f>
        <v>46304</v>
      </c>
    </row>
    <row r="266" customFormat="false" ht="15" hidden="false" customHeight="false" outlineLevel="0" collapsed="false">
      <c r="A266" s="28" t="s">
        <v>764</v>
      </c>
      <c r="B266" s="28" t="s">
        <v>236</v>
      </c>
      <c r="C266" s="35" t="n">
        <v>46304.6652777778</v>
      </c>
      <c r="D266" s="28" t="s">
        <v>308</v>
      </c>
      <c r="E266" s="38" t="n">
        <v>500</v>
      </c>
      <c r="F266" s="28" t="s">
        <v>225</v>
      </c>
      <c r="G266" s="28" t="s">
        <v>309</v>
      </c>
      <c r="H266" s="28" t="s">
        <v>313</v>
      </c>
      <c r="I266" s="28" t="s">
        <v>314</v>
      </c>
      <c r="J266" s="28"/>
      <c r="K266" s="28"/>
      <c r="L266" s="36" t="str">
        <f aca="false">IFERROR(INDEX(Transaction_Types!$B$5:$B$20,MATCH(D266,Transaction_Types!$A$5:$A$20,0)),"Not in catalogue")</f>
        <v>Supported</v>
      </c>
      <c r="M266" s="36" t="str">
        <f aca="false">IFERROR(INDEX(Transaction_Types!$C$5:$C$20,MATCH(D266,Transaction_Types!$A$5:$A$20,0)),"")</f>
        <v>Credit</v>
      </c>
      <c r="N266" s="39" t="n">
        <f aca="false">IF(G266="Posted",E266,0)</f>
        <v>500</v>
      </c>
      <c r="O266" s="36" t="n">
        <f aca="false">COUNTIFS($J$5:$J$3000,A266,$K$5:$K$3000,"Reverses")</f>
        <v>0</v>
      </c>
      <c r="P266" s="39" t="n">
        <f aca="false">IF(K266&lt;&gt;"","",IF(G266="Posted",E266+SUMIFS($N$5:$N$3000,$J$5:$J$3000,A266),0))</f>
        <v>500</v>
      </c>
      <c r="Q266" s="36" t="str">
        <f aca="false">IF(L266="Not in catalogue","CHECK type",IF(F266&lt;&gt;Settings!$B$6,"CHECK unit",IF(OR(AND(M266="Credit",E266&lt;=0),AND(M266="Debit",E266&gt;=0)),"CHECK sign",IF(D266="Reversal",IF(OR(J266="",COUNTIF($A$5:$A$3000,J266)=0),"CHECK reversal link",IF(E266&lt;&gt;-INDEX($E$5:$E$3000,MATCH(J266,$A$5:$A$3000,0)),"CHECK reversal amount","OK")),IF(AND(D266="Adjustment",K266&lt;&gt;"",COUNTIF($A$5:$A$3000,J266)=0),"CHECK correction link","OK")))))</f>
        <v>OK</v>
      </c>
      <c r="R266" s="40" t="n">
        <f aca="false">INT(C266)</f>
        <v>46304</v>
      </c>
    </row>
    <row r="267" customFormat="false" ht="15" hidden="false" customHeight="false" outlineLevel="0" collapsed="false">
      <c r="A267" s="28" t="s">
        <v>765</v>
      </c>
      <c r="B267" s="28" t="s">
        <v>275</v>
      </c>
      <c r="C267" s="35" t="n">
        <v>46304.9326388889</v>
      </c>
      <c r="D267" s="28" t="s">
        <v>308</v>
      </c>
      <c r="E267" s="38" t="n">
        <v>250</v>
      </c>
      <c r="F267" s="28" t="s">
        <v>225</v>
      </c>
      <c r="G267" s="28" t="s">
        <v>309</v>
      </c>
      <c r="H267" s="28" t="s">
        <v>310</v>
      </c>
      <c r="I267" s="28" t="s">
        <v>766</v>
      </c>
      <c r="J267" s="28"/>
      <c r="K267" s="28"/>
      <c r="L267" s="36" t="str">
        <f aca="false">IFERROR(INDEX(Transaction_Types!$B$5:$B$20,MATCH(D267,Transaction_Types!$A$5:$A$20,0)),"Not in catalogue")</f>
        <v>Supported</v>
      </c>
      <c r="M267" s="36" t="str">
        <f aca="false">IFERROR(INDEX(Transaction_Types!$C$5:$C$20,MATCH(D267,Transaction_Types!$A$5:$A$20,0)),"")</f>
        <v>Credit</v>
      </c>
      <c r="N267" s="39" t="n">
        <f aca="false">IF(G267="Posted",E267,0)</f>
        <v>250</v>
      </c>
      <c r="O267" s="36" t="n">
        <f aca="false">COUNTIFS($J$5:$J$3000,A267,$K$5:$K$3000,"Reverses")</f>
        <v>0</v>
      </c>
      <c r="P267" s="39" t="n">
        <f aca="false">IF(K267&lt;&gt;"","",IF(G267="Posted",E267+SUMIFS($N$5:$N$3000,$J$5:$J$3000,A267),0))</f>
        <v>250</v>
      </c>
      <c r="Q267" s="36" t="str">
        <f aca="false">IF(L267="Not in catalogue","CHECK type",IF(F267&lt;&gt;Settings!$B$6,"CHECK unit",IF(OR(AND(M267="Credit",E267&lt;=0),AND(M267="Debit",E267&gt;=0)),"CHECK sign",IF(D267="Reversal",IF(OR(J267="",COUNTIF($A$5:$A$3000,J267)=0),"CHECK reversal link",IF(E267&lt;&gt;-INDEX($E$5:$E$3000,MATCH(J267,$A$5:$A$3000,0)),"CHECK reversal amount","OK")),IF(AND(D267="Adjustment",K267&lt;&gt;"",COUNTIF($A$5:$A$3000,J267)=0),"CHECK correction link","OK")))))</f>
        <v>OK</v>
      </c>
      <c r="R267" s="40" t="n">
        <f aca="false">INT(C267)</f>
        <v>46304</v>
      </c>
    </row>
    <row r="268" customFormat="false" ht="15" hidden="false" customHeight="false" outlineLevel="0" collapsed="false">
      <c r="A268" s="28" t="s">
        <v>767</v>
      </c>
      <c r="B268" s="28" t="s">
        <v>229</v>
      </c>
      <c r="C268" s="35" t="n">
        <v>46305.1027777778</v>
      </c>
      <c r="D268" s="28" t="s">
        <v>308</v>
      </c>
      <c r="E268" s="38" t="n">
        <v>300</v>
      </c>
      <c r="F268" s="28" t="s">
        <v>225</v>
      </c>
      <c r="G268" s="28" t="s">
        <v>309</v>
      </c>
      <c r="H268" s="28" t="s">
        <v>310</v>
      </c>
      <c r="I268" s="28" t="s">
        <v>768</v>
      </c>
      <c r="J268" s="28"/>
      <c r="K268" s="28"/>
      <c r="L268" s="36" t="str">
        <f aca="false">IFERROR(INDEX(Transaction_Types!$B$5:$B$20,MATCH(D268,Transaction_Types!$A$5:$A$20,0)),"Not in catalogue")</f>
        <v>Supported</v>
      </c>
      <c r="M268" s="36" t="str">
        <f aca="false">IFERROR(INDEX(Transaction_Types!$C$5:$C$20,MATCH(D268,Transaction_Types!$A$5:$A$20,0)),"")</f>
        <v>Credit</v>
      </c>
      <c r="N268" s="39" t="n">
        <f aca="false">IF(G268="Posted",E268,0)</f>
        <v>300</v>
      </c>
      <c r="O268" s="36" t="n">
        <f aca="false">COUNTIFS($J$5:$J$3000,A268,$K$5:$K$3000,"Reverses")</f>
        <v>0</v>
      </c>
      <c r="P268" s="39" t="n">
        <f aca="false">IF(K268&lt;&gt;"","",IF(G268="Posted",E268+SUMIFS($N$5:$N$3000,$J$5:$J$3000,A268),0))</f>
        <v>300</v>
      </c>
      <c r="Q268" s="36" t="str">
        <f aca="false">IF(L268="Not in catalogue","CHECK type",IF(F268&lt;&gt;Settings!$B$6,"CHECK unit",IF(OR(AND(M268="Credit",E268&lt;=0),AND(M268="Debit",E268&gt;=0)),"CHECK sign",IF(D268="Reversal",IF(OR(J268="",COUNTIF($A$5:$A$3000,J268)=0),"CHECK reversal link",IF(E268&lt;&gt;-INDEX($E$5:$E$3000,MATCH(J268,$A$5:$A$3000,0)),"CHECK reversal amount","OK")),IF(AND(D268="Adjustment",K268&lt;&gt;"",COUNTIF($A$5:$A$3000,J268)=0),"CHECK correction link","OK")))))</f>
        <v>OK</v>
      </c>
      <c r="R268" s="40" t="n">
        <f aca="false">INT(C268)</f>
        <v>46305</v>
      </c>
    </row>
    <row r="269" customFormat="false" ht="15" hidden="false" customHeight="false" outlineLevel="0" collapsed="false">
      <c r="A269" s="28" t="s">
        <v>769</v>
      </c>
      <c r="B269" s="28" t="s">
        <v>229</v>
      </c>
      <c r="C269" s="35" t="n">
        <v>46305.3208333333</v>
      </c>
      <c r="D269" s="28" t="s">
        <v>308</v>
      </c>
      <c r="E269" s="38" t="n">
        <v>400</v>
      </c>
      <c r="F269" s="28" t="s">
        <v>225</v>
      </c>
      <c r="G269" s="28" t="s">
        <v>309</v>
      </c>
      <c r="H269" s="28" t="s">
        <v>316</v>
      </c>
      <c r="I269" s="28" t="s">
        <v>770</v>
      </c>
      <c r="J269" s="28"/>
      <c r="K269" s="28"/>
      <c r="L269" s="36" t="str">
        <f aca="false">IFERROR(INDEX(Transaction_Types!$B$5:$B$20,MATCH(D269,Transaction_Types!$A$5:$A$20,0)),"Not in catalogue")</f>
        <v>Supported</v>
      </c>
      <c r="M269" s="36" t="str">
        <f aca="false">IFERROR(INDEX(Transaction_Types!$C$5:$C$20,MATCH(D269,Transaction_Types!$A$5:$A$20,0)),"")</f>
        <v>Credit</v>
      </c>
      <c r="N269" s="39" t="n">
        <f aca="false">IF(G269="Posted",E269,0)</f>
        <v>400</v>
      </c>
      <c r="O269" s="36" t="n">
        <f aca="false">COUNTIFS($J$5:$J$3000,A269,$K$5:$K$3000,"Reverses")</f>
        <v>0</v>
      </c>
      <c r="P269" s="39" t="n">
        <f aca="false">IF(K269&lt;&gt;"","",IF(G269="Posted",E269+SUMIFS($N$5:$N$3000,$J$5:$J$3000,A269),0))</f>
        <v>400</v>
      </c>
      <c r="Q269" s="36" t="str">
        <f aca="false">IF(L269="Not in catalogue","CHECK type",IF(F269&lt;&gt;Settings!$B$6,"CHECK unit",IF(OR(AND(M269="Credit",E269&lt;=0),AND(M269="Debit",E269&gt;=0)),"CHECK sign",IF(D269="Reversal",IF(OR(J269="",COUNTIF($A$5:$A$3000,J269)=0),"CHECK reversal link",IF(E269&lt;&gt;-INDEX($E$5:$E$3000,MATCH(J269,$A$5:$A$3000,0)),"CHECK reversal amount","OK")),IF(AND(D269="Adjustment",K269&lt;&gt;"",COUNTIF($A$5:$A$3000,J269)=0),"CHECK correction link","OK")))))</f>
        <v>OK</v>
      </c>
      <c r="R269" s="40" t="n">
        <f aca="false">INT(C269)</f>
        <v>46305</v>
      </c>
    </row>
    <row r="270" customFormat="false" ht="15" hidden="false" customHeight="false" outlineLevel="0" collapsed="false">
      <c r="A270" s="28" t="s">
        <v>771</v>
      </c>
      <c r="B270" s="28" t="s">
        <v>275</v>
      </c>
      <c r="C270" s="35" t="n">
        <v>46305.6222222222</v>
      </c>
      <c r="D270" s="28" t="s">
        <v>308</v>
      </c>
      <c r="E270" s="38" t="n">
        <v>250</v>
      </c>
      <c r="F270" s="28" t="s">
        <v>225</v>
      </c>
      <c r="G270" s="28" t="s">
        <v>309</v>
      </c>
      <c r="H270" s="28" t="s">
        <v>310</v>
      </c>
      <c r="I270" s="28" t="s">
        <v>772</v>
      </c>
      <c r="J270" s="28"/>
      <c r="K270" s="28"/>
      <c r="L270" s="36" t="str">
        <f aca="false">IFERROR(INDEX(Transaction_Types!$B$5:$B$20,MATCH(D270,Transaction_Types!$A$5:$A$20,0)),"Not in catalogue")</f>
        <v>Supported</v>
      </c>
      <c r="M270" s="36" t="str">
        <f aca="false">IFERROR(INDEX(Transaction_Types!$C$5:$C$20,MATCH(D270,Transaction_Types!$A$5:$A$20,0)),"")</f>
        <v>Credit</v>
      </c>
      <c r="N270" s="39" t="n">
        <f aca="false">IF(G270="Posted",E270,0)</f>
        <v>250</v>
      </c>
      <c r="O270" s="36" t="n">
        <f aca="false">COUNTIFS($J$5:$J$3000,A270,$K$5:$K$3000,"Reverses")</f>
        <v>0</v>
      </c>
      <c r="P270" s="39" t="n">
        <f aca="false">IF(K270&lt;&gt;"","",IF(G270="Posted",E270+SUMIFS($N$5:$N$3000,$J$5:$J$3000,A270),0))</f>
        <v>250</v>
      </c>
      <c r="Q270" s="36" t="str">
        <f aca="false">IF(L270="Not in catalogue","CHECK type",IF(F270&lt;&gt;Settings!$B$6,"CHECK unit",IF(OR(AND(M270="Credit",E270&lt;=0),AND(M270="Debit",E270&gt;=0)),"CHECK sign",IF(D270="Reversal",IF(OR(J270="",COUNTIF($A$5:$A$3000,J270)=0),"CHECK reversal link",IF(E270&lt;&gt;-INDEX($E$5:$E$3000,MATCH(J270,$A$5:$A$3000,0)),"CHECK reversal amount","OK")),IF(AND(D270="Adjustment",K270&lt;&gt;"",COUNTIF($A$5:$A$3000,J270)=0),"CHECK correction link","OK")))))</f>
        <v>OK</v>
      </c>
      <c r="R270" s="40" t="n">
        <f aca="false">INT(C270)</f>
        <v>46305</v>
      </c>
    </row>
    <row r="271" customFormat="false" ht="15" hidden="false" customHeight="false" outlineLevel="0" collapsed="false">
      <c r="A271" s="28" t="s">
        <v>773</v>
      </c>
      <c r="B271" s="28" t="s">
        <v>239</v>
      </c>
      <c r="C271" s="35" t="n">
        <v>46305.7222222222</v>
      </c>
      <c r="D271" s="28" t="s">
        <v>308</v>
      </c>
      <c r="E271" s="38" t="n">
        <v>150</v>
      </c>
      <c r="F271" s="28" t="s">
        <v>225</v>
      </c>
      <c r="G271" s="28" t="s">
        <v>309</v>
      </c>
      <c r="H271" s="28" t="s">
        <v>310</v>
      </c>
      <c r="I271" s="28" t="s">
        <v>774</v>
      </c>
      <c r="J271" s="28"/>
      <c r="K271" s="28"/>
      <c r="L271" s="36" t="str">
        <f aca="false">IFERROR(INDEX(Transaction_Types!$B$5:$B$20,MATCH(D271,Transaction_Types!$A$5:$A$20,0)),"Not in catalogue")</f>
        <v>Supported</v>
      </c>
      <c r="M271" s="36" t="str">
        <f aca="false">IFERROR(INDEX(Transaction_Types!$C$5:$C$20,MATCH(D271,Transaction_Types!$A$5:$A$20,0)),"")</f>
        <v>Credit</v>
      </c>
      <c r="N271" s="39" t="n">
        <f aca="false">IF(G271="Posted",E271,0)</f>
        <v>150</v>
      </c>
      <c r="O271" s="36" t="n">
        <f aca="false">COUNTIFS($J$5:$J$3000,A271,$K$5:$K$3000,"Reverses")</f>
        <v>0</v>
      </c>
      <c r="P271" s="39" t="n">
        <f aca="false">IF(K271&lt;&gt;"","",IF(G271="Posted",E271+SUMIFS($N$5:$N$3000,$J$5:$J$3000,A271),0))</f>
        <v>150</v>
      </c>
      <c r="Q271" s="36" t="str">
        <f aca="false">IF(L271="Not in catalogue","CHECK type",IF(F271&lt;&gt;Settings!$B$6,"CHECK unit",IF(OR(AND(M271="Credit",E271&lt;=0),AND(M271="Debit",E271&gt;=0)),"CHECK sign",IF(D271="Reversal",IF(OR(J271="",COUNTIF($A$5:$A$3000,J271)=0),"CHECK reversal link",IF(E271&lt;&gt;-INDEX($E$5:$E$3000,MATCH(J271,$A$5:$A$3000,0)),"CHECK reversal amount","OK")),IF(AND(D271="Adjustment",K271&lt;&gt;"",COUNTIF($A$5:$A$3000,J271)=0),"CHECK correction link","OK")))))</f>
        <v>OK</v>
      </c>
      <c r="R271" s="40" t="n">
        <f aca="false">INT(C271)</f>
        <v>46305</v>
      </c>
    </row>
    <row r="272" customFormat="false" ht="15" hidden="false" customHeight="false" outlineLevel="0" collapsed="false">
      <c r="A272" s="28" t="s">
        <v>775</v>
      </c>
      <c r="B272" s="28" t="s">
        <v>277</v>
      </c>
      <c r="C272" s="35" t="n">
        <v>46306.0650301268</v>
      </c>
      <c r="D272" s="28" t="s">
        <v>383</v>
      </c>
      <c r="E272" s="38" t="n">
        <v>-1700</v>
      </c>
      <c r="F272" s="28" t="s">
        <v>225</v>
      </c>
      <c r="G272" s="28" t="s">
        <v>309</v>
      </c>
      <c r="H272" s="28" t="s">
        <v>384</v>
      </c>
      <c r="I272" s="28" t="s">
        <v>276</v>
      </c>
      <c r="J272" s="28"/>
      <c r="K272" s="28"/>
      <c r="L272" s="36" t="str">
        <f aca="false">IFERROR(INDEX(Transaction_Types!$B$5:$B$20,MATCH(D272,Transaction_Types!$A$5:$A$20,0)),"Not in catalogue")</f>
        <v>Supported</v>
      </c>
      <c r="M272" s="36" t="str">
        <f aca="false">IFERROR(INDEX(Transaction_Types!$C$5:$C$20,MATCH(D272,Transaction_Types!$A$5:$A$20,0)),"")</f>
        <v>Debit</v>
      </c>
      <c r="N272" s="39" t="n">
        <f aca="false">IF(G272="Posted",E272,0)</f>
        <v>-1700</v>
      </c>
      <c r="O272" s="36" t="n">
        <f aca="false">COUNTIFS($J$5:$J$3000,A272,$K$5:$K$3000,"Reverses")</f>
        <v>0</v>
      </c>
      <c r="P272" s="39" t="n">
        <f aca="false">IF(K272&lt;&gt;"","",IF(G272="Posted",E272+SUMIFS($N$5:$N$3000,$J$5:$J$3000,A272),0))</f>
        <v>-1700</v>
      </c>
      <c r="Q272" s="36" t="str">
        <f aca="false">IF(L272="Not in catalogue","CHECK type",IF(F272&lt;&gt;Settings!$B$6,"CHECK unit",IF(OR(AND(M272="Credit",E272&lt;=0),AND(M272="Debit",E272&gt;=0)),"CHECK sign",IF(D272="Reversal",IF(OR(J272="",COUNTIF($A$5:$A$3000,J272)=0),"CHECK reversal link",IF(E272&lt;&gt;-INDEX($E$5:$E$3000,MATCH(J272,$A$5:$A$3000,0)),"CHECK reversal amount","OK")),IF(AND(D272="Adjustment",K272&lt;&gt;"",COUNTIF($A$5:$A$3000,J272)=0),"CHECK correction link","OK")))))</f>
        <v>OK</v>
      </c>
      <c r="R272" s="40" t="n">
        <f aca="false">INT(C272)</f>
        <v>46306</v>
      </c>
    </row>
    <row r="273" customFormat="false" ht="15" hidden="false" customHeight="false" outlineLevel="0" collapsed="false">
      <c r="A273" s="28" t="s">
        <v>776</v>
      </c>
      <c r="B273" s="28" t="s">
        <v>254</v>
      </c>
      <c r="C273" s="35" t="n">
        <v>46306.24375</v>
      </c>
      <c r="D273" s="28" t="s">
        <v>308</v>
      </c>
      <c r="E273" s="38" t="n">
        <v>500</v>
      </c>
      <c r="F273" s="28" t="s">
        <v>225</v>
      </c>
      <c r="G273" s="28" t="s">
        <v>309</v>
      </c>
      <c r="H273" s="28" t="s">
        <v>310</v>
      </c>
      <c r="I273" s="28" t="s">
        <v>777</v>
      </c>
      <c r="J273" s="28"/>
      <c r="K273" s="28"/>
      <c r="L273" s="36" t="str">
        <f aca="false">IFERROR(INDEX(Transaction_Types!$B$5:$B$20,MATCH(D273,Transaction_Types!$A$5:$A$20,0)),"Not in catalogue")</f>
        <v>Supported</v>
      </c>
      <c r="M273" s="36" t="str">
        <f aca="false">IFERROR(INDEX(Transaction_Types!$C$5:$C$20,MATCH(D273,Transaction_Types!$A$5:$A$20,0)),"")</f>
        <v>Credit</v>
      </c>
      <c r="N273" s="39" t="n">
        <f aca="false">IF(G273="Posted",E273,0)</f>
        <v>500</v>
      </c>
      <c r="O273" s="36" t="n">
        <f aca="false">COUNTIFS($J$5:$J$3000,A273,$K$5:$K$3000,"Reverses")</f>
        <v>0</v>
      </c>
      <c r="P273" s="39" t="n">
        <f aca="false">IF(K273&lt;&gt;"","",IF(G273="Posted",E273+SUMIFS($N$5:$N$3000,$J$5:$J$3000,A273),0))</f>
        <v>500</v>
      </c>
      <c r="Q273" s="36" t="str">
        <f aca="false">IF(L273="Not in catalogue","CHECK type",IF(F273&lt;&gt;Settings!$B$6,"CHECK unit",IF(OR(AND(M273="Credit",E273&lt;=0),AND(M273="Debit",E273&gt;=0)),"CHECK sign",IF(D273="Reversal",IF(OR(J273="",COUNTIF($A$5:$A$3000,J273)=0),"CHECK reversal link",IF(E273&lt;&gt;-INDEX($E$5:$E$3000,MATCH(J273,$A$5:$A$3000,0)),"CHECK reversal amount","OK")),IF(AND(D273="Adjustment",K273&lt;&gt;"",COUNTIF($A$5:$A$3000,J273)=0),"CHECK correction link","OK")))))</f>
        <v>OK</v>
      </c>
      <c r="R273" s="40" t="n">
        <f aca="false">INT(C273)</f>
        <v>46306</v>
      </c>
    </row>
    <row r="274" customFormat="false" ht="15" hidden="false" customHeight="false" outlineLevel="0" collapsed="false">
      <c r="A274" s="28" t="s">
        <v>778</v>
      </c>
      <c r="B274" s="28" t="s">
        <v>246</v>
      </c>
      <c r="C274" s="35" t="n">
        <v>46306.2736111111</v>
      </c>
      <c r="D274" s="28" t="s">
        <v>308</v>
      </c>
      <c r="E274" s="38" t="n">
        <v>400</v>
      </c>
      <c r="F274" s="28" t="s">
        <v>225</v>
      </c>
      <c r="G274" s="28" t="s">
        <v>309</v>
      </c>
      <c r="H274" s="28" t="s">
        <v>310</v>
      </c>
      <c r="I274" s="28" t="s">
        <v>779</v>
      </c>
      <c r="J274" s="28"/>
      <c r="K274" s="28"/>
      <c r="L274" s="36" t="str">
        <f aca="false">IFERROR(INDEX(Transaction_Types!$B$5:$B$20,MATCH(D274,Transaction_Types!$A$5:$A$20,0)),"Not in catalogue")</f>
        <v>Supported</v>
      </c>
      <c r="M274" s="36" t="str">
        <f aca="false">IFERROR(INDEX(Transaction_Types!$C$5:$C$20,MATCH(D274,Transaction_Types!$A$5:$A$20,0)),"")</f>
        <v>Credit</v>
      </c>
      <c r="N274" s="39" t="n">
        <f aca="false">IF(G274="Posted",E274,0)</f>
        <v>400</v>
      </c>
      <c r="O274" s="36" t="n">
        <f aca="false">COUNTIFS($J$5:$J$3000,A274,$K$5:$K$3000,"Reverses")</f>
        <v>0</v>
      </c>
      <c r="P274" s="39" t="n">
        <f aca="false">IF(K274&lt;&gt;"","",IF(G274="Posted",E274+SUMIFS($N$5:$N$3000,$J$5:$J$3000,A274),0))</f>
        <v>400</v>
      </c>
      <c r="Q274" s="36" t="str">
        <f aca="false">IF(L274="Not in catalogue","CHECK type",IF(F274&lt;&gt;Settings!$B$6,"CHECK unit",IF(OR(AND(M274="Credit",E274&lt;=0),AND(M274="Debit",E274&gt;=0)),"CHECK sign",IF(D274="Reversal",IF(OR(J274="",COUNTIF($A$5:$A$3000,J274)=0),"CHECK reversal link",IF(E274&lt;&gt;-INDEX($E$5:$E$3000,MATCH(J274,$A$5:$A$3000,0)),"CHECK reversal amount","OK")),IF(AND(D274="Adjustment",K274&lt;&gt;"",COUNTIF($A$5:$A$3000,J274)=0),"CHECK correction link","OK")))))</f>
        <v>OK</v>
      </c>
      <c r="R274" s="40" t="n">
        <f aca="false">INT(C274)</f>
        <v>46306</v>
      </c>
    </row>
    <row r="275" customFormat="false" ht="15" hidden="false" customHeight="false" outlineLevel="0" collapsed="false">
      <c r="A275" s="28" t="s">
        <v>780</v>
      </c>
      <c r="B275" s="28" t="s">
        <v>239</v>
      </c>
      <c r="C275" s="35" t="n">
        <v>46306.6868055556</v>
      </c>
      <c r="D275" s="28" t="s">
        <v>308</v>
      </c>
      <c r="E275" s="38" t="n">
        <v>250</v>
      </c>
      <c r="F275" s="28" t="s">
        <v>225</v>
      </c>
      <c r="G275" s="28" t="s">
        <v>309</v>
      </c>
      <c r="H275" s="28" t="s">
        <v>313</v>
      </c>
      <c r="I275" s="28" t="s">
        <v>314</v>
      </c>
      <c r="J275" s="28"/>
      <c r="K275" s="28"/>
      <c r="L275" s="36" t="str">
        <f aca="false">IFERROR(INDEX(Transaction_Types!$B$5:$B$20,MATCH(D275,Transaction_Types!$A$5:$A$20,0)),"Not in catalogue")</f>
        <v>Supported</v>
      </c>
      <c r="M275" s="36" t="str">
        <f aca="false">IFERROR(INDEX(Transaction_Types!$C$5:$C$20,MATCH(D275,Transaction_Types!$A$5:$A$20,0)),"")</f>
        <v>Credit</v>
      </c>
      <c r="N275" s="39" t="n">
        <f aca="false">IF(G275="Posted",E275,0)</f>
        <v>250</v>
      </c>
      <c r="O275" s="36" t="n">
        <f aca="false">COUNTIFS($J$5:$J$3000,A275,$K$5:$K$3000,"Reverses")</f>
        <v>0</v>
      </c>
      <c r="P275" s="39" t="n">
        <f aca="false">IF(K275&lt;&gt;"","",IF(G275="Posted",E275+SUMIFS($N$5:$N$3000,$J$5:$J$3000,A275),0))</f>
        <v>250</v>
      </c>
      <c r="Q275" s="36" t="str">
        <f aca="false">IF(L275="Not in catalogue","CHECK type",IF(F275&lt;&gt;Settings!$B$6,"CHECK unit",IF(OR(AND(M275="Credit",E275&lt;=0),AND(M275="Debit",E275&gt;=0)),"CHECK sign",IF(D275="Reversal",IF(OR(J275="",COUNTIF($A$5:$A$3000,J275)=0),"CHECK reversal link",IF(E275&lt;&gt;-INDEX($E$5:$E$3000,MATCH(J275,$A$5:$A$3000,0)),"CHECK reversal amount","OK")),IF(AND(D275="Adjustment",K275&lt;&gt;"",COUNTIF($A$5:$A$3000,J275)=0),"CHECK correction link","OK")))))</f>
        <v>OK</v>
      </c>
      <c r="R275" s="40" t="n">
        <f aca="false">INT(C275)</f>
        <v>46306</v>
      </c>
    </row>
    <row r="276" customFormat="false" ht="15" hidden="false" customHeight="false" outlineLevel="0" collapsed="false">
      <c r="A276" s="28" t="s">
        <v>781</v>
      </c>
      <c r="B276" s="28" t="s">
        <v>236</v>
      </c>
      <c r="C276" s="35" t="n">
        <v>46306.7524698906</v>
      </c>
      <c r="D276" s="28" t="s">
        <v>383</v>
      </c>
      <c r="E276" s="38" t="n">
        <v>-550</v>
      </c>
      <c r="F276" s="28" t="s">
        <v>225</v>
      </c>
      <c r="G276" s="28" t="s">
        <v>309</v>
      </c>
      <c r="H276" s="28" t="s">
        <v>384</v>
      </c>
      <c r="I276" s="28" t="s">
        <v>279</v>
      </c>
      <c r="J276" s="28"/>
      <c r="K276" s="28"/>
      <c r="L276" s="36" t="str">
        <f aca="false">IFERROR(INDEX(Transaction_Types!$B$5:$B$20,MATCH(D276,Transaction_Types!$A$5:$A$20,0)),"Not in catalogue")</f>
        <v>Supported</v>
      </c>
      <c r="M276" s="36" t="str">
        <f aca="false">IFERROR(INDEX(Transaction_Types!$C$5:$C$20,MATCH(D276,Transaction_Types!$A$5:$A$20,0)),"")</f>
        <v>Debit</v>
      </c>
      <c r="N276" s="39" t="n">
        <f aca="false">IF(G276="Posted",E276,0)</f>
        <v>-550</v>
      </c>
      <c r="O276" s="36" t="n">
        <f aca="false">COUNTIFS($J$5:$J$3000,A276,$K$5:$K$3000,"Reverses")</f>
        <v>0</v>
      </c>
      <c r="P276" s="39" t="n">
        <f aca="false">IF(K276&lt;&gt;"","",IF(G276="Posted",E276+SUMIFS($N$5:$N$3000,$J$5:$J$3000,A276),0))</f>
        <v>-550</v>
      </c>
      <c r="Q276" s="36" t="str">
        <f aca="false">IF(L276="Not in catalogue","CHECK type",IF(F276&lt;&gt;Settings!$B$6,"CHECK unit",IF(OR(AND(M276="Credit",E276&lt;=0),AND(M276="Debit",E276&gt;=0)),"CHECK sign",IF(D276="Reversal",IF(OR(J276="",COUNTIF($A$5:$A$3000,J276)=0),"CHECK reversal link",IF(E276&lt;&gt;-INDEX($E$5:$E$3000,MATCH(J276,$A$5:$A$3000,0)),"CHECK reversal amount","OK")),IF(AND(D276="Adjustment",K276&lt;&gt;"",COUNTIF($A$5:$A$3000,J276)=0),"CHECK correction link","OK")))))</f>
        <v>OK</v>
      </c>
      <c r="R276" s="40" t="n">
        <f aca="false">INT(C276)</f>
        <v>46306</v>
      </c>
    </row>
    <row r="277" customFormat="false" ht="15" hidden="false" customHeight="false" outlineLevel="0" collapsed="false">
      <c r="A277" s="28" t="s">
        <v>782</v>
      </c>
      <c r="B277" s="28" t="s">
        <v>239</v>
      </c>
      <c r="C277" s="35" t="n">
        <v>46306.8152777778</v>
      </c>
      <c r="D277" s="28" t="s">
        <v>308</v>
      </c>
      <c r="E277" s="38" t="n">
        <v>300</v>
      </c>
      <c r="F277" s="28" t="s">
        <v>225</v>
      </c>
      <c r="G277" s="28" t="s">
        <v>783</v>
      </c>
      <c r="H277" s="28" t="s">
        <v>310</v>
      </c>
      <c r="I277" s="28" t="s">
        <v>784</v>
      </c>
      <c r="J277" s="28"/>
      <c r="K277" s="28"/>
      <c r="L277" s="36" t="str">
        <f aca="false">IFERROR(INDEX(Transaction_Types!$B$5:$B$20,MATCH(D277,Transaction_Types!$A$5:$A$20,0)),"Not in catalogue")</f>
        <v>Supported</v>
      </c>
      <c r="M277" s="36" t="str">
        <f aca="false">IFERROR(INDEX(Transaction_Types!$C$5:$C$20,MATCH(D277,Transaction_Types!$A$5:$A$20,0)),"")</f>
        <v>Credit</v>
      </c>
      <c r="N277" s="39" t="n">
        <f aca="false">IF(G277="Posted",E277,0)</f>
        <v>0</v>
      </c>
      <c r="O277" s="36" t="n">
        <f aca="false">COUNTIFS($J$5:$J$3000,A277,$K$5:$K$3000,"Reverses")</f>
        <v>0</v>
      </c>
      <c r="P277" s="39" t="n">
        <f aca="false">IF(K277&lt;&gt;"","",IF(G277="Posted",E277+SUMIFS($N$5:$N$3000,$J$5:$J$3000,A277),0))</f>
        <v>0</v>
      </c>
      <c r="Q277" s="36" t="str">
        <f aca="false">IF(L277="Not in catalogue","CHECK type",IF(F277&lt;&gt;Settings!$B$6,"CHECK unit",IF(OR(AND(M277="Credit",E277&lt;=0),AND(M277="Debit",E277&gt;=0)),"CHECK sign",IF(D277="Reversal",IF(OR(J277="",COUNTIF($A$5:$A$3000,J277)=0),"CHECK reversal link",IF(E277&lt;&gt;-INDEX($E$5:$E$3000,MATCH(J277,$A$5:$A$3000,0)),"CHECK reversal amount","OK")),IF(AND(D277="Adjustment",K277&lt;&gt;"",COUNTIF($A$5:$A$3000,J277)=0),"CHECK correction link","OK")))))</f>
        <v>OK</v>
      </c>
      <c r="R277" s="40" t="n">
        <f aca="false">INT(C277)</f>
        <v>46306</v>
      </c>
    </row>
    <row r="278" customFormat="false" ht="15" hidden="false" customHeight="false" outlineLevel="0" collapsed="false">
      <c r="A278" s="28" t="s">
        <v>785</v>
      </c>
      <c r="B278" s="28" t="s">
        <v>269</v>
      </c>
      <c r="C278" s="35" t="n">
        <v>46306.8548611111</v>
      </c>
      <c r="D278" s="28" t="s">
        <v>308</v>
      </c>
      <c r="E278" s="38" t="n">
        <v>300</v>
      </c>
      <c r="F278" s="28" t="s">
        <v>225</v>
      </c>
      <c r="G278" s="28" t="s">
        <v>309</v>
      </c>
      <c r="H278" s="28" t="s">
        <v>310</v>
      </c>
      <c r="I278" s="28" t="s">
        <v>786</v>
      </c>
      <c r="J278" s="28"/>
      <c r="K278" s="28"/>
      <c r="L278" s="36" t="str">
        <f aca="false">IFERROR(INDEX(Transaction_Types!$B$5:$B$20,MATCH(D278,Transaction_Types!$A$5:$A$20,0)),"Not in catalogue")</f>
        <v>Supported</v>
      </c>
      <c r="M278" s="36" t="str">
        <f aca="false">IFERROR(INDEX(Transaction_Types!$C$5:$C$20,MATCH(D278,Transaction_Types!$A$5:$A$20,0)),"")</f>
        <v>Credit</v>
      </c>
      <c r="N278" s="39" t="n">
        <f aca="false">IF(G278="Posted",E278,0)</f>
        <v>300</v>
      </c>
      <c r="O278" s="36" t="n">
        <f aca="false">COUNTIFS($J$5:$J$3000,A278,$K$5:$K$3000,"Reverses")</f>
        <v>0</v>
      </c>
      <c r="P278" s="39" t="n">
        <f aca="false">IF(K278&lt;&gt;"","",IF(G278="Posted",E278+SUMIFS($N$5:$N$3000,$J$5:$J$3000,A278),0))</f>
        <v>300</v>
      </c>
      <c r="Q278" s="36" t="str">
        <f aca="false">IF(L278="Not in catalogue","CHECK type",IF(F278&lt;&gt;Settings!$B$6,"CHECK unit",IF(OR(AND(M278="Credit",E278&lt;=0),AND(M278="Debit",E278&gt;=0)),"CHECK sign",IF(D278="Reversal",IF(OR(J278="",COUNTIF($A$5:$A$3000,J278)=0),"CHECK reversal link",IF(E278&lt;&gt;-INDEX($E$5:$E$3000,MATCH(J278,$A$5:$A$3000,0)),"CHECK reversal amount","OK")),IF(AND(D278="Adjustment",K278&lt;&gt;"",COUNTIF($A$5:$A$3000,J278)=0),"CHECK correction link","OK")))))</f>
        <v>OK</v>
      </c>
      <c r="R278" s="40" t="n">
        <f aca="false">INT(C278)</f>
        <v>46306</v>
      </c>
    </row>
    <row r="279" customFormat="false" ht="15" hidden="false" customHeight="false" outlineLevel="0" collapsed="false">
      <c r="A279" s="28" t="s">
        <v>787</v>
      </c>
      <c r="B279" s="28" t="s">
        <v>289</v>
      </c>
      <c r="C279" s="35" t="n">
        <v>46306.8555555556</v>
      </c>
      <c r="D279" s="28" t="s">
        <v>308</v>
      </c>
      <c r="E279" s="38" t="n">
        <v>250</v>
      </c>
      <c r="F279" s="28" t="s">
        <v>225</v>
      </c>
      <c r="G279" s="28" t="s">
        <v>309</v>
      </c>
      <c r="H279" s="28" t="s">
        <v>313</v>
      </c>
      <c r="I279" s="28" t="s">
        <v>314</v>
      </c>
      <c r="J279" s="28"/>
      <c r="K279" s="28"/>
      <c r="L279" s="36" t="str">
        <f aca="false">IFERROR(INDEX(Transaction_Types!$B$5:$B$20,MATCH(D279,Transaction_Types!$A$5:$A$20,0)),"Not in catalogue")</f>
        <v>Supported</v>
      </c>
      <c r="M279" s="36" t="str">
        <f aca="false">IFERROR(INDEX(Transaction_Types!$C$5:$C$20,MATCH(D279,Transaction_Types!$A$5:$A$20,0)),"")</f>
        <v>Credit</v>
      </c>
      <c r="N279" s="39" t="n">
        <f aca="false">IF(G279="Posted",E279,0)</f>
        <v>250</v>
      </c>
      <c r="O279" s="36" t="n">
        <f aca="false">COUNTIFS($J$5:$J$3000,A279,$K$5:$K$3000,"Reverses")</f>
        <v>0</v>
      </c>
      <c r="P279" s="39" t="n">
        <f aca="false">IF(K279&lt;&gt;"","",IF(G279="Posted",E279+SUMIFS($N$5:$N$3000,$J$5:$J$3000,A279),0))</f>
        <v>250</v>
      </c>
      <c r="Q279" s="36" t="str">
        <f aca="false">IF(L279="Not in catalogue","CHECK type",IF(F279&lt;&gt;Settings!$B$6,"CHECK unit",IF(OR(AND(M279="Credit",E279&lt;=0),AND(M279="Debit",E279&gt;=0)),"CHECK sign",IF(D279="Reversal",IF(OR(J279="",COUNTIF($A$5:$A$3000,J279)=0),"CHECK reversal link",IF(E279&lt;&gt;-INDEX($E$5:$E$3000,MATCH(J279,$A$5:$A$3000,0)),"CHECK reversal amount","OK")),IF(AND(D279="Adjustment",K279&lt;&gt;"",COUNTIF($A$5:$A$3000,J279)=0),"CHECK correction link","OK")))))</f>
        <v>OK</v>
      </c>
      <c r="R279" s="40" t="n">
        <f aca="false">INT(C279)</f>
        <v>46306</v>
      </c>
    </row>
    <row r="280" customFormat="false" ht="15" hidden="false" customHeight="false" outlineLevel="0" collapsed="false">
      <c r="A280" s="28" t="s">
        <v>788</v>
      </c>
      <c r="B280" s="28" t="s">
        <v>227</v>
      </c>
      <c r="C280" s="35" t="n">
        <v>46306.9736111111</v>
      </c>
      <c r="D280" s="28" t="s">
        <v>308</v>
      </c>
      <c r="E280" s="38" t="n">
        <v>100</v>
      </c>
      <c r="F280" s="28" t="s">
        <v>225</v>
      </c>
      <c r="G280" s="28" t="s">
        <v>309</v>
      </c>
      <c r="H280" s="28" t="s">
        <v>316</v>
      </c>
      <c r="I280" s="28" t="s">
        <v>397</v>
      </c>
      <c r="J280" s="28"/>
      <c r="K280" s="28"/>
      <c r="L280" s="36" t="str">
        <f aca="false">IFERROR(INDEX(Transaction_Types!$B$5:$B$20,MATCH(D280,Transaction_Types!$A$5:$A$20,0)),"Not in catalogue")</f>
        <v>Supported</v>
      </c>
      <c r="M280" s="36" t="str">
        <f aca="false">IFERROR(INDEX(Transaction_Types!$C$5:$C$20,MATCH(D280,Transaction_Types!$A$5:$A$20,0)),"")</f>
        <v>Credit</v>
      </c>
      <c r="N280" s="39" t="n">
        <f aca="false">IF(G280="Posted",E280,0)</f>
        <v>100</v>
      </c>
      <c r="O280" s="36" t="n">
        <f aca="false">COUNTIFS($J$5:$J$3000,A280,$K$5:$K$3000,"Reverses")</f>
        <v>0</v>
      </c>
      <c r="P280" s="39" t="n">
        <f aca="false">IF(K280&lt;&gt;"","",IF(G280="Posted",E280+SUMIFS($N$5:$N$3000,$J$5:$J$3000,A280),0))</f>
        <v>100</v>
      </c>
      <c r="Q280" s="36" t="str">
        <f aca="false">IF(L280="Not in catalogue","CHECK type",IF(F280&lt;&gt;Settings!$B$6,"CHECK unit",IF(OR(AND(M280="Credit",E280&lt;=0),AND(M280="Debit",E280&gt;=0)),"CHECK sign",IF(D280="Reversal",IF(OR(J280="",COUNTIF($A$5:$A$3000,J280)=0),"CHECK reversal link",IF(E280&lt;&gt;-INDEX($E$5:$E$3000,MATCH(J280,$A$5:$A$3000,0)),"CHECK reversal amount","OK")),IF(AND(D280="Adjustment",K280&lt;&gt;"",COUNTIF($A$5:$A$3000,J280)=0),"CHECK correction link","OK")))))</f>
        <v>OK</v>
      </c>
      <c r="R280" s="40" t="n">
        <f aca="false">INT(C280)</f>
        <v>46306</v>
      </c>
    </row>
    <row r="281" customFormat="false" ht="15" hidden="false" customHeight="false" outlineLevel="0" collapsed="false">
      <c r="A281" s="28" t="s">
        <v>789</v>
      </c>
      <c r="B281" s="28" t="s">
        <v>227</v>
      </c>
      <c r="C281" s="35" t="n">
        <v>46307.3784722222</v>
      </c>
      <c r="D281" s="28" t="s">
        <v>308</v>
      </c>
      <c r="E281" s="38" t="n">
        <v>500</v>
      </c>
      <c r="F281" s="28" t="s">
        <v>225</v>
      </c>
      <c r="G281" s="28" t="s">
        <v>309</v>
      </c>
      <c r="H281" s="28" t="s">
        <v>316</v>
      </c>
      <c r="I281" s="28" t="s">
        <v>790</v>
      </c>
      <c r="J281" s="28"/>
      <c r="K281" s="28"/>
      <c r="L281" s="36" t="str">
        <f aca="false">IFERROR(INDEX(Transaction_Types!$B$5:$B$20,MATCH(D281,Transaction_Types!$A$5:$A$20,0)),"Not in catalogue")</f>
        <v>Supported</v>
      </c>
      <c r="M281" s="36" t="str">
        <f aca="false">IFERROR(INDEX(Transaction_Types!$C$5:$C$20,MATCH(D281,Transaction_Types!$A$5:$A$20,0)),"")</f>
        <v>Credit</v>
      </c>
      <c r="N281" s="39" t="n">
        <f aca="false">IF(G281="Posted",E281,0)</f>
        <v>500</v>
      </c>
      <c r="O281" s="36" t="n">
        <f aca="false">COUNTIFS($J$5:$J$3000,A281,$K$5:$K$3000,"Reverses")</f>
        <v>0</v>
      </c>
      <c r="P281" s="39" t="n">
        <f aca="false">IF(K281&lt;&gt;"","",IF(G281="Posted",E281+SUMIFS($N$5:$N$3000,$J$5:$J$3000,A281),0))</f>
        <v>500</v>
      </c>
      <c r="Q281" s="36" t="str">
        <f aca="false">IF(L281="Not in catalogue","CHECK type",IF(F281&lt;&gt;Settings!$B$6,"CHECK unit",IF(OR(AND(M281="Credit",E281&lt;=0),AND(M281="Debit",E281&gt;=0)),"CHECK sign",IF(D281="Reversal",IF(OR(J281="",COUNTIF($A$5:$A$3000,J281)=0),"CHECK reversal link",IF(E281&lt;&gt;-INDEX($E$5:$E$3000,MATCH(J281,$A$5:$A$3000,0)),"CHECK reversal amount","OK")),IF(AND(D281="Adjustment",K281&lt;&gt;"",COUNTIF($A$5:$A$3000,J281)=0),"CHECK correction link","OK")))))</f>
        <v>OK</v>
      </c>
      <c r="R281" s="40" t="n">
        <f aca="false">INT(C281)</f>
        <v>46307</v>
      </c>
    </row>
    <row r="282" customFormat="false" ht="15" hidden="false" customHeight="false" outlineLevel="0" collapsed="false">
      <c r="A282" s="28" t="s">
        <v>791</v>
      </c>
      <c r="B282" s="28" t="s">
        <v>260</v>
      </c>
      <c r="C282" s="35" t="n">
        <v>46307.4097222222</v>
      </c>
      <c r="D282" s="28" t="s">
        <v>308</v>
      </c>
      <c r="E282" s="38" t="n">
        <v>300</v>
      </c>
      <c r="F282" s="28" t="s">
        <v>225</v>
      </c>
      <c r="G282" s="28" t="s">
        <v>309</v>
      </c>
      <c r="H282" s="28" t="s">
        <v>310</v>
      </c>
      <c r="I282" s="28" t="s">
        <v>792</v>
      </c>
      <c r="J282" s="28"/>
      <c r="K282" s="28"/>
      <c r="L282" s="36" t="str">
        <f aca="false">IFERROR(INDEX(Transaction_Types!$B$5:$B$20,MATCH(D282,Transaction_Types!$A$5:$A$20,0)),"Not in catalogue")</f>
        <v>Supported</v>
      </c>
      <c r="M282" s="36" t="str">
        <f aca="false">IFERROR(INDEX(Transaction_Types!$C$5:$C$20,MATCH(D282,Transaction_Types!$A$5:$A$20,0)),"")</f>
        <v>Credit</v>
      </c>
      <c r="N282" s="39" t="n">
        <f aca="false">IF(G282="Posted",E282,0)</f>
        <v>300</v>
      </c>
      <c r="O282" s="36" t="n">
        <f aca="false">COUNTIFS($J$5:$J$3000,A282,$K$5:$K$3000,"Reverses")</f>
        <v>0</v>
      </c>
      <c r="P282" s="39" t="n">
        <f aca="false">IF(K282&lt;&gt;"","",IF(G282="Posted",E282+SUMIFS($N$5:$N$3000,$J$5:$J$3000,A282),0))</f>
        <v>300</v>
      </c>
      <c r="Q282" s="36" t="str">
        <f aca="false">IF(L282="Not in catalogue","CHECK type",IF(F282&lt;&gt;Settings!$B$6,"CHECK unit",IF(OR(AND(M282="Credit",E282&lt;=0),AND(M282="Debit",E282&gt;=0)),"CHECK sign",IF(D282="Reversal",IF(OR(J282="",COUNTIF($A$5:$A$3000,J282)=0),"CHECK reversal link",IF(E282&lt;&gt;-INDEX($E$5:$E$3000,MATCH(J282,$A$5:$A$3000,0)),"CHECK reversal amount","OK")),IF(AND(D282="Adjustment",K282&lt;&gt;"",COUNTIF($A$5:$A$3000,J282)=0),"CHECK correction link","OK")))))</f>
        <v>OK</v>
      </c>
      <c r="R282" s="40" t="n">
        <f aca="false">INT(C282)</f>
        <v>46307</v>
      </c>
    </row>
    <row r="283" customFormat="false" ht="15" hidden="false" customHeight="false" outlineLevel="0" collapsed="false">
      <c r="A283" s="28" t="s">
        <v>793</v>
      </c>
      <c r="B283" s="28" t="s">
        <v>289</v>
      </c>
      <c r="C283" s="35" t="n">
        <v>46307.7131944444</v>
      </c>
      <c r="D283" s="28" t="s">
        <v>308</v>
      </c>
      <c r="E283" s="38" t="n">
        <v>150</v>
      </c>
      <c r="F283" s="28" t="s">
        <v>225</v>
      </c>
      <c r="G283" s="28" t="s">
        <v>309</v>
      </c>
      <c r="H283" s="28" t="s">
        <v>313</v>
      </c>
      <c r="I283" s="28" t="s">
        <v>314</v>
      </c>
      <c r="J283" s="28"/>
      <c r="K283" s="28"/>
      <c r="L283" s="36" t="str">
        <f aca="false">IFERROR(INDEX(Transaction_Types!$B$5:$B$20,MATCH(D283,Transaction_Types!$A$5:$A$20,0)),"Not in catalogue")</f>
        <v>Supported</v>
      </c>
      <c r="M283" s="36" t="str">
        <f aca="false">IFERROR(INDEX(Transaction_Types!$C$5:$C$20,MATCH(D283,Transaction_Types!$A$5:$A$20,0)),"")</f>
        <v>Credit</v>
      </c>
      <c r="N283" s="39" t="n">
        <f aca="false">IF(G283="Posted",E283,0)</f>
        <v>150</v>
      </c>
      <c r="O283" s="36" t="n">
        <f aca="false">COUNTIFS($J$5:$J$3000,A283,$K$5:$K$3000,"Reverses")</f>
        <v>0</v>
      </c>
      <c r="P283" s="39" t="n">
        <f aca="false">IF(K283&lt;&gt;"","",IF(G283="Posted",E283+SUMIFS($N$5:$N$3000,$J$5:$J$3000,A283),0))</f>
        <v>150</v>
      </c>
      <c r="Q283" s="36" t="str">
        <f aca="false">IF(L283="Not in catalogue","CHECK type",IF(F283&lt;&gt;Settings!$B$6,"CHECK unit",IF(OR(AND(M283="Credit",E283&lt;=0),AND(M283="Debit",E283&gt;=0)),"CHECK sign",IF(D283="Reversal",IF(OR(J283="",COUNTIF($A$5:$A$3000,J283)=0),"CHECK reversal link",IF(E283&lt;&gt;-INDEX($E$5:$E$3000,MATCH(J283,$A$5:$A$3000,0)),"CHECK reversal amount","OK")),IF(AND(D283="Adjustment",K283&lt;&gt;"",COUNTIF($A$5:$A$3000,J283)=0),"CHECK correction link","OK")))))</f>
        <v>OK</v>
      </c>
      <c r="R283" s="40" t="n">
        <f aca="false">INT(C283)</f>
        <v>46307</v>
      </c>
    </row>
    <row r="284" customFormat="false" ht="15" hidden="false" customHeight="false" outlineLevel="0" collapsed="false">
      <c r="A284" s="28" t="s">
        <v>794</v>
      </c>
      <c r="B284" s="28" t="s">
        <v>242</v>
      </c>
      <c r="C284" s="35" t="n">
        <v>46307.8804299212</v>
      </c>
      <c r="D284" s="28" t="s">
        <v>383</v>
      </c>
      <c r="E284" s="38" t="n">
        <v>-500</v>
      </c>
      <c r="F284" s="28" t="s">
        <v>225</v>
      </c>
      <c r="G284" s="28" t="s">
        <v>309</v>
      </c>
      <c r="H284" s="28" t="s">
        <v>384</v>
      </c>
      <c r="I284" s="28" t="s">
        <v>278</v>
      </c>
      <c r="J284" s="28"/>
      <c r="K284" s="28"/>
      <c r="L284" s="36" t="str">
        <f aca="false">IFERROR(INDEX(Transaction_Types!$B$5:$B$20,MATCH(D284,Transaction_Types!$A$5:$A$20,0)),"Not in catalogue")</f>
        <v>Supported</v>
      </c>
      <c r="M284" s="36" t="str">
        <f aca="false">IFERROR(INDEX(Transaction_Types!$C$5:$C$20,MATCH(D284,Transaction_Types!$A$5:$A$20,0)),"")</f>
        <v>Debit</v>
      </c>
      <c r="N284" s="39" t="n">
        <f aca="false">IF(G284="Posted",E284,0)</f>
        <v>-500</v>
      </c>
      <c r="O284" s="36" t="n">
        <f aca="false">COUNTIFS($J$5:$J$3000,A284,$K$5:$K$3000,"Reverses")</f>
        <v>0</v>
      </c>
      <c r="P284" s="39" t="n">
        <f aca="false">IF(K284&lt;&gt;"","",IF(G284="Posted",E284+SUMIFS($N$5:$N$3000,$J$5:$J$3000,A284),0))</f>
        <v>-500</v>
      </c>
      <c r="Q284" s="36" t="str">
        <f aca="false">IF(L284="Not in catalogue","CHECK type",IF(F284&lt;&gt;Settings!$B$6,"CHECK unit",IF(OR(AND(M284="Credit",E284&lt;=0),AND(M284="Debit",E284&gt;=0)),"CHECK sign",IF(D284="Reversal",IF(OR(J284="",COUNTIF($A$5:$A$3000,J284)=0),"CHECK reversal link",IF(E284&lt;&gt;-INDEX($E$5:$E$3000,MATCH(J284,$A$5:$A$3000,0)),"CHECK reversal amount","OK")),IF(AND(D284="Adjustment",K284&lt;&gt;"",COUNTIF($A$5:$A$3000,J284)=0),"CHECK correction link","OK")))))</f>
        <v>OK</v>
      </c>
      <c r="R284" s="40" t="n">
        <f aca="false">INT(C284)</f>
        <v>46307</v>
      </c>
    </row>
    <row r="285" customFormat="false" ht="15" hidden="false" customHeight="false" outlineLevel="0" collapsed="false">
      <c r="A285" s="28" t="s">
        <v>795</v>
      </c>
      <c r="B285" s="28" t="s">
        <v>242</v>
      </c>
      <c r="C285" s="35" t="n">
        <v>46308.1736111111</v>
      </c>
      <c r="D285" s="28" t="s">
        <v>308</v>
      </c>
      <c r="E285" s="38" t="n">
        <v>300</v>
      </c>
      <c r="F285" s="28" t="s">
        <v>225</v>
      </c>
      <c r="G285" s="28" t="s">
        <v>309</v>
      </c>
      <c r="H285" s="28" t="s">
        <v>313</v>
      </c>
      <c r="I285" s="28" t="s">
        <v>314</v>
      </c>
      <c r="J285" s="28"/>
      <c r="K285" s="28"/>
      <c r="L285" s="36" t="str">
        <f aca="false">IFERROR(INDEX(Transaction_Types!$B$5:$B$20,MATCH(D285,Transaction_Types!$A$5:$A$20,0)),"Not in catalogue")</f>
        <v>Supported</v>
      </c>
      <c r="M285" s="36" t="str">
        <f aca="false">IFERROR(INDEX(Transaction_Types!$C$5:$C$20,MATCH(D285,Transaction_Types!$A$5:$A$20,0)),"")</f>
        <v>Credit</v>
      </c>
      <c r="N285" s="39" t="n">
        <f aca="false">IF(G285="Posted",E285,0)</f>
        <v>300</v>
      </c>
      <c r="O285" s="36" t="n">
        <f aca="false">COUNTIFS($J$5:$J$3000,A285,$K$5:$K$3000,"Reverses")</f>
        <v>0</v>
      </c>
      <c r="P285" s="39" t="n">
        <f aca="false">IF(K285&lt;&gt;"","",IF(G285="Posted",E285+SUMIFS($N$5:$N$3000,$J$5:$J$3000,A285),0))</f>
        <v>300</v>
      </c>
      <c r="Q285" s="36" t="str">
        <f aca="false">IF(L285="Not in catalogue","CHECK type",IF(F285&lt;&gt;Settings!$B$6,"CHECK unit",IF(OR(AND(M285="Credit",E285&lt;=0),AND(M285="Debit",E285&gt;=0)),"CHECK sign",IF(D285="Reversal",IF(OR(J285="",COUNTIF($A$5:$A$3000,J285)=0),"CHECK reversal link",IF(E285&lt;&gt;-INDEX($E$5:$E$3000,MATCH(J285,$A$5:$A$3000,0)),"CHECK reversal amount","OK")),IF(AND(D285="Adjustment",K285&lt;&gt;"",COUNTIF($A$5:$A$3000,J285)=0),"CHECK correction link","OK")))))</f>
        <v>OK</v>
      </c>
      <c r="R285" s="40" t="n">
        <f aca="false">INT(C285)</f>
        <v>46308</v>
      </c>
    </row>
    <row r="286" customFormat="false" ht="15" hidden="false" customHeight="false" outlineLevel="0" collapsed="false">
      <c r="A286" s="28" t="s">
        <v>796</v>
      </c>
      <c r="B286" s="28" t="s">
        <v>263</v>
      </c>
      <c r="C286" s="35" t="n">
        <v>46308.2305555556</v>
      </c>
      <c r="D286" s="28" t="s">
        <v>308</v>
      </c>
      <c r="E286" s="38" t="n">
        <v>200</v>
      </c>
      <c r="F286" s="28" t="s">
        <v>225</v>
      </c>
      <c r="G286" s="28" t="s">
        <v>731</v>
      </c>
      <c r="H286" s="28" t="s">
        <v>310</v>
      </c>
      <c r="I286" s="28" t="s">
        <v>797</v>
      </c>
      <c r="J286" s="28"/>
      <c r="K286" s="28"/>
      <c r="L286" s="36" t="str">
        <f aca="false">IFERROR(INDEX(Transaction_Types!$B$5:$B$20,MATCH(D286,Transaction_Types!$A$5:$A$20,0)),"Not in catalogue")</f>
        <v>Supported</v>
      </c>
      <c r="M286" s="36" t="str">
        <f aca="false">IFERROR(INDEX(Transaction_Types!$C$5:$C$20,MATCH(D286,Transaction_Types!$A$5:$A$20,0)),"")</f>
        <v>Credit</v>
      </c>
      <c r="N286" s="39" t="n">
        <f aca="false">IF(G286="Posted",E286,0)</f>
        <v>0</v>
      </c>
      <c r="O286" s="36" t="n">
        <f aca="false">COUNTIFS($J$5:$J$3000,A286,$K$5:$K$3000,"Reverses")</f>
        <v>0</v>
      </c>
      <c r="P286" s="39" t="n">
        <f aca="false">IF(K286&lt;&gt;"","",IF(G286="Posted",E286+SUMIFS($N$5:$N$3000,$J$5:$J$3000,A286),0))</f>
        <v>0</v>
      </c>
      <c r="Q286" s="36" t="str">
        <f aca="false">IF(L286="Not in catalogue","CHECK type",IF(F286&lt;&gt;Settings!$B$6,"CHECK unit",IF(OR(AND(M286="Credit",E286&lt;=0),AND(M286="Debit",E286&gt;=0)),"CHECK sign",IF(D286="Reversal",IF(OR(J286="",COUNTIF($A$5:$A$3000,J286)=0),"CHECK reversal link",IF(E286&lt;&gt;-INDEX($E$5:$E$3000,MATCH(J286,$A$5:$A$3000,0)),"CHECK reversal amount","OK")),IF(AND(D286="Adjustment",K286&lt;&gt;"",COUNTIF($A$5:$A$3000,J286)=0),"CHECK correction link","OK")))))</f>
        <v>OK</v>
      </c>
      <c r="R286" s="40" t="n">
        <f aca="false">INT(C286)</f>
        <v>46308</v>
      </c>
    </row>
    <row r="287" customFormat="false" ht="15" hidden="false" customHeight="false" outlineLevel="0" collapsed="false">
      <c r="A287" s="28" t="s">
        <v>798</v>
      </c>
      <c r="B287" s="28" t="s">
        <v>242</v>
      </c>
      <c r="C287" s="35" t="n">
        <v>46308.4270833333</v>
      </c>
      <c r="D287" s="28" t="s">
        <v>308</v>
      </c>
      <c r="E287" s="38" t="n">
        <v>200</v>
      </c>
      <c r="F287" s="28" t="s">
        <v>225</v>
      </c>
      <c r="G287" s="28" t="s">
        <v>309</v>
      </c>
      <c r="H287" s="28" t="s">
        <v>310</v>
      </c>
      <c r="I287" s="28" t="s">
        <v>799</v>
      </c>
      <c r="J287" s="28"/>
      <c r="K287" s="28"/>
      <c r="L287" s="36" t="str">
        <f aca="false">IFERROR(INDEX(Transaction_Types!$B$5:$B$20,MATCH(D287,Transaction_Types!$A$5:$A$20,0)),"Not in catalogue")</f>
        <v>Supported</v>
      </c>
      <c r="M287" s="36" t="str">
        <f aca="false">IFERROR(INDEX(Transaction_Types!$C$5:$C$20,MATCH(D287,Transaction_Types!$A$5:$A$20,0)),"")</f>
        <v>Credit</v>
      </c>
      <c r="N287" s="39" t="n">
        <f aca="false">IF(G287="Posted",E287,0)</f>
        <v>200</v>
      </c>
      <c r="O287" s="36" t="n">
        <f aca="false">COUNTIFS($J$5:$J$3000,A287,$K$5:$K$3000,"Reverses")</f>
        <v>0</v>
      </c>
      <c r="P287" s="39" t="n">
        <f aca="false">IF(K287&lt;&gt;"","",IF(G287="Posted",E287+SUMIFS($N$5:$N$3000,$J$5:$J$3000,A287),0))</f>
        <v>200</v>
      </c>
      <c r="Q287" s="36" t="str">
        <f aca="false">IF(L287="Not in catalogue","CHECK type",IF(F287&lt;&gt;Settings!$B$6,"CHECK unit",IF(OR(AND(M287="Credit",E287&lt;=0),AND(M287="Debit",E287&gt;=0)),"CHECK sign",IF(D287="Reversal",IF(OR(J287="",COUNTIF($A$5:$A$3000,J287)=0),"CHECK reversal link",IF(E287&lt;&gt;-INDEX($E$5:$E$3000,MATCH(J287,$A$5:$A$3000,0)),"CHECK reversal amount","OK")),IF(AND(D287="Adjustment",K287&lt;&gt;"",COUNTIF($A$5:$A$3000,J287)=0),"CHECK correction link","OK")))))</f>
        <v>OK</v>
      </c>
      <c r="R287" s="40" t="n">
        <f aca="false">INT(C287)</f>
        <v>46308</v>
      </c>
    </row>
    <row r="288" customFormat="false" ht="15" hidden="false" customHeight="false" outlineLevel="0" collapsed="false">
      <c r="A288" s="28" t="s">
        <v>800</v>
      </c>
      <c r="B288" s="28" t="s">
        <v>239</v>
      </c>
      <c r="C288" s="35" t="n">
        <v>46308.4472222222</v>
      </c>
      <c r="D288" s="28" t="s">
        <v>308</v>
      </c>
      <c r="E288" s="38" t="n">
        <v>100</v>
      </c>
      <c r="F288" s="28" t="s">
        <v>225</v>
      </c>
      <c r="G288" s="28" t="s">
        <v>801</v>
      </c>
      <c r="H288" s="28" t="s">
        <v>310</v>
      </c>
      <c r="I288" s="28" t="s">
        <v>802</v>
      </c>
      <c r="J288" s="28"/>
      <c r="K288" s="28"/>
      <c r="L288" s="36" t="str">
        <f aca="false">IFERROR(INDEX(Transaction_Types!$B$5:$B$20,MATCH(D288,Transaction_Types!$A$5:$A$20,0)),"Not in catalogue")</f>
        <v>Supported</v>
      </c>
      <c r="M288" s="36" t="str">
        <f aca="false">IFERROR(INDEX(Transaction_Types!$C$5:$C$20,MATCH(D288,Transaction_Types!$A$5:$A$20,0)),"")</f>
        <v>Credit</v>
      </c>
      <c r="N288" s="39" t="n">
        <f aca="false">IF(G288="Posted",E288,0)</f>
        <v>0</v>
      </c>
      <c r="O288" s="36" t="n">
        <f aca="false">COUNTIFS($J$5:$J$3000,A288,$K$5:$K$3000,"Reverses")</f>
        <v>0</v>
      </c>
      <c r="P288" s="39" t="n">
        <f aca="false">IF(K288&lt;&gt;"","",IF(G288="Posted",E288+SUMIFS($N$5:$N$3000,$J$5:$J$3000,A288),0))</f>
        <v>0</v>
      </c>
      <c r="Q288" s="36" t="str">
        <f aca="false">IF(L288="Not in catalogue","CHECK type",IF(F288&lt;&gt;Settings!$B$6,"CHECK unit",IF(OR(AND(M288="Credit",E288&lt;=0),AND(M288="Debit",E288&gt;=0)),"CHECK sign",IF(D288="Reversal",IF(OR(J288="",COUNTIF($A$5:$A$3000,J288)=0),"CHECK reversal link",IF(E288&lt;&gt;-INDEX($E$5:$E$3000,MATCH(J288,$A$5:$A$3000,0)),"CHECK reversal amount","OK")),IF(AND(D288="Adjustment",K288&lt;&gt;"",COUNTIF($A$5:$A$3000,J288)=0),"CHECK correction link","OK")))))</f>
        <v>OK</v>
      </c>
      <c r="R288" s="40" t="n">
        <f aca="false">INT(C288)</f>
        <v>46308</v>
      </c>
    </row>
    <row r="289" customFormat="false" ht="15" hidden="false" customHeight="false" outlineLevel="0" collapsed="false">
      <c r="A289" s="28" t="s">
        <v>803</v>
      </c>
      <c r="B289" s="28" t="s">
        <v>269</v>
      </c>
      <c r="C289" s="35" t="n">
        <v>46308.4902777778</v>
      </c>
      <c r="D289" s="28" t="s">
        <v>308</v>
      </c>
      <c r="E289" s="38" t="n">
        <v>500</v>
      </c>
      <c r="F289" s="28" t="s">
        <v>225</v>
      </c>
      <c r="G289" s="28" t="s">
        <v>309</v>
      </c>
      <c r="H289" s="28" t="s">
        <v>310</v>
      </c>
      <c r="I289" s="28" t="s">
        <v>804</v>
      </c>
      <c r="J289" s="28"/>
      <c r="K289" s="28"/>
      <c r="L289" s="36" t="str">
        <f aca="false">IFERROR(INDEX(Transaction_Types!$B$5:$B$20,MATCH(D289,Transaction_Types!$A$5:$A$20,0)),"Not in catalogue")</f>
        <v>Supported</v>
      </c>
      <c r="M289" s="36" t="str">
        <f aca="false">IFERROR(INDEX(Transaction_Types!$C$5:$C$20,MATCH(D289,Transaction_Types!$A$5:$A$20,0)),"")</f>
        <v>Credit</v>
      </c>
      <c r="N289" s="39" t="n">
        <f aca="false">IF(G289="Posted",E289,0)</f>
        <v>500</v>
      </c>
      <c r="O289" s="36" t="n">
        <f aca="false">COUNTIFS($J$5:$J$3000,A289,$K$5:$K$3000,"Reverses")</f>
        <v>0</v>
      </c>
      <c r="P289" s="39" t="n">
        <f aca="false">IF(K289&lt;&gt;"","",IF(G289="Posted",E289+SUMIFS($N$5:$N$3000,$J$5:$J$3000,A289),0))</f>
        <v>500</v>
      </c>
      <c r="Q289" s="36" t="str">
        <f aca="false">IF(L289="Not in catalogue","CHECK type",IF(F289&lt;&gt;Settings!$B$6,"CHECK unit",IF(OR(AND(M289="Credit",E289&lt;=0),AND(M289="Debit",E289&gt;=0)),"CHECK sign",IF(D289="Reversal",IF(OR(J289="",COUNTIF($A$5:$A$3000,J289)=0),"CHECK reversal link",IF(E289&lt;&gt;-INDEX($E$5:$E$3000,MATCH(J289,$A$5:$A$3000,0)),"CHECK reversal amount","OK")),IF(AND(D289="Adjustment",K289&lt;&gt;"",COUNTIF($A$5:$A$3000,J289)=0),"CHECK correction link","OK")))))</f>
        <v>OK</v>
      </c>
      <c r="R289" s="40" t="n">
        <f aca="false">INT(C289)</f>
        <v>46308</v>
      </c>
    </row>
    <row r="290" customFormat="false" ht="15" hidden="false" customHeight="false" outlineLevel="0" collapsed="false">
      <c r="A290" s="28" t="s">
        <v>805</v>
      </c>
      <c r="B290" s="28" t="s">
        <v>287</v>
      </c>
      <c r="C290" s="35" t="n">
        <v>46308.5791666667</v>
      </c>
      <c r="D290" s="28" t="s">
        <v>308</v>
      </c>
      <c r="E290" s="38" t="n">
        <v>200</v>
      </c>
      <c r="F290" s="28" t="s">
        <v>225</v>
      </c>
      <c r="G290" s="28" t="s">
        <v>309</v>
      </c>
      <c r="H290" s="28" t="s">
        <v>310</v>
      </c>
      <c r="I290" s="28" t="s">
        <v>806</v>
      </c>
      <c r="J290" s="28"/>
      <c r="K290" s="28"/>
      <c r="L290" s="36" t="str">
        <f aca="false">IFERROR(INDEX(Transaction_Types!$B$5:$B$20,MATCH(D290,Transaction_Types!$A$5:$A$20,0)),"Not in catalogue")</f>
        <v>Supported</v>
      </c>
      <c r="M290" s="36" t="str">
        <f aca="false">IFERROR(INDEX(Transaction_Types!$C$5:$C$20,MATCH(D290,Transaction_Types!$A$5:$A$20,0)),"")</f>
        <v>Credit</v>
      </c>
      <c r="N290" s="39" t="n">
        <f aca="false">IF(G290="Posted",E290,0)</f>
        <v>200</v>
      </c>
      <c r="O290" s="36" t="n">
        <f aca="false">COUNTIFS($J$5:$J$3000,A290,$K$5:$K$3000,"Reverses")</f>
        <v>0</v>
      </c>
      <c r="P290" s="39" t="n">
        <f aca="false">IF(K290&lt;&gt;"","",IF(G290="Posted",E290+SUMIFS($N$5:$N$3000,$J$5:$J$3000,A290),0))</f>
        <v>200</v>
      </c>
      <c r="Q290" s="36" t="str">
        <f aca="false">IF(L290="Not in catalogue","CHECK type",IF(F290&lt;&gt;Settings!$B$6,"CHECK unit",IF(OR(AND(M290="Credit",E290&lt;=0),AND(M290="Debit",E290&gt;=0)),"CHECK sign",IF(D290="Reversal",IF(OR(J290="",COUNTIF($A$5:$A$3000,J290)=0),"CHECK reversal link",IF(E290&lt;&gt;-INDEX($E$5:$E$3000,MATCH(J290,$A$5:$A$3000,0)),"CHECK reversal amount","OK")),IF(AND(D290="Adjustment",K290&lt;&gt;"",COUNTIF($A$5:$A$3000,J290)=0),"CHECK correction link","OK")))))</f>
        <v>OK</v>
      </c>
      <c r="R290" s="40" t="n">
        <f aca="false">INT(C290)</f>
        <v>46308</v>
      </c>
    </row>
    <row r="291" customFormat="false" ht="15" hidden="false" customHeight="false" outlineLevel="0" collapsed="false">
      <c r="A291" s="28" t="s">
        <v>807</v>
      </c>
      <c r="B291" s="28" t="s">
        <v>227</v>
      </c>
      <c r="C291" s="35" t="n">
        <v>46308.6444444444</v>
      </c>
      <c r="D291" s="28" t="s">
        <v>308</v>
      </c>
      <c r="E291" s="38" t="n">
        <v>200</v>
      </c>
      <c r="F291" s="28" t="s">
        <v>225</v>
      </c>
      <c r="G291" s="28" t="s">
        <v>309</v>
      </c>
      <c r="H291" s="28" t="s">
        <v>316</v>
      </c>
      <c r="I291" s="28" t="s">
        <v>636</v>
      </c>
      <c r="J291" s="28"/>
      <c r="K291" s="28"/>
      <c r="L291" s="36" t="str">
        <f aca="false">IFERROR(INDEX(Transaction_Types!$B$5:$B$20,MATCH(D291,Transaction_Types!$A$5:$A$20,0)),"Not in catalogue")</f>
        <v>Supported</v>
      </c>
      <c r="M291" s="36" t="str">
        <f aca="false">IFERROR(INDEX(Transaction_Types!$C$5:$C$20,MATCH(D291,Transaction_Types!$A$5:$A$20,0)),"")</f>
        <v>Credit</v>
      </c>
      <c r="N291" s="39" t="n">
        <f aca="false">IF(G291="Posted",E291,0)</f>
        <v>200</v>
      </c>
      <c r="O291" s="36" t="n">
        <f aca="false">COUNTIFS($J$5:$J$3000,A291,$K$5:$K$3000,"Reverses")</f>
        <v>0</v>
      </c>
      <c r="P291" s="39" t="n">
        <f aca="false">IF(K291&lt;&gt;"","",IF(G291="Posted",E291+SUMIFS($N$5:$N$3000,$J$5:$J$3000,A291),0))</f>
        <v>200</v>
      </c>
      <c r="Q291" s="36" t="str">
        <f aca="false">IF(L291="Not in catalogue","CHECK type",IF(F291&lt;&gt;Settings!$B$6,"CHECK unit",IF(OR(AND(M291="Credit",E291&lt;=0),AND(M291="Debit",E291&gt;=0)),"CHECK sign",IF(D291="Reversal",IF(OR(J291="",COUNTIF($A$5:$A$3000,J291)=0),"CHECK reversal link",IF(E291&lt;&gt;-INDEX($E$5:$E$3000,MATCH(J291,$A$5:$A$3000,0)),"CHECK reversal amount","OK")),IF(AND(D291="Adjustment",K291&lt;&gt;"",COUNTIF($A$5:$A$3000,J291)=0),"CHECK correction link","OK")))))</f>
        <v>OK</v>
      </c>
      <c r="R291" s="40" t="n">
        <f aca="false">INT(C291)</f>
        <v>46308</v>
      </c>
    </row>
    <row r="292" customFormat="false" ht="15" hidden="false" customHeight="false" outlineLevel="0" collapsed="false">
      <c r="A292" s="28" t="s">
        <v>808</v>
      </c>
      <c r="B292" s="28" t="s">
        <v>246</v>
      </c>
      <c r="C292" s="35" t="n">
        <v>46308.7576388889</v>
      </c>
      <c r="D292" s="28" t="s">
        <v>308</v>
      </c>
      <c r="E292" s="38" t="n">
        <v>400</v>
      </c>
      <c r="F292" s="28" t="s">
        <v>225</v>
      </c>
      <c r="G292" s="28" t="s">
        <v>309</v>
      </c>
      <c r="H292" s="28" t="s">
        <v>316</v>
      </c>
      <c r="I292" s="28" t="s">
        <v>636</v>
      </c>
      <c r="J292" s="28"/>
      <c r="K292" s="28"/>
      <c r="L292" s="36" t="str">
        <f aca="false">IFERROR(INDEX(Transaction_Types!$B$5:$B$20,MATCH(D292,Transaction_Types!$A$5:$A$20,0)),"Not in catalogue")</f>
        <v>Supported</v>
      </c>
      <c r="M292" s="36" t="str">
        <f aca="false">IFERROR(INDEX(Transaction_Types!$C$5:$C$20,MATCH(D292,Transaction_Types!$A$5:$A$20,0)),"")</f>
        <v>Credit</v>
      </c>
      <c r="N292" s="39" t="n">
        <f aca="false">IF(G292="Posted",E292,0)</f>
        <v>400</v>
      </c>
      <c r="O292" s="36" t="n">
        <f aca="false">COUNTIFS($J$5:$J$3000,A292,$K$5:$K$3000,"Reverses")</f>
        <v>0</v>
      </c>
      <c r="P292" s="39" t="n">
        <f aca="false">IF(K292&lt;&gt;"","",IF(G292="Posted",E292+SUMIFS($N$5:$N$3000,$J$5:$J$3000,A292),0))</f>
        <v>400</v>
      </c>
      <c r="Q292" s="36" t="str">
        <f aca="false">IF(L292="Not in catalogue","CHECK type",IF(F292&lt;&gt;Settings!$B$6,"CHECK unit",IF(OR(AND(M292="Credit",E292&lt;=0),AND(M292="Debit",E292&gt;=0)),"CHECK sign",IF(D292="Reversal",IF(OR(J292="",COUNTIF($A$5:$A$3000,J292)=0),"CHECK reversal link",IF(E292&lt;&gt;-INDEX($E$5:$E$3000,MATCH(J292,$A$5:$A$3000,0)),"CHECK reversal amount","OK")),IF(AND(D292="Adjustment",K292&lt;&gt;"",COUNTIF($A$5:$A$3000,J292)=0),"CHECK correction link","OK")))))</f>
        <v>OK</v>
      </c>
      <c r="R292" s="40" t="n">
        <f aca="false">INT(C292)</f>
        <v>46308</v>
      </c>
    </row>
    <row r="293" customFormat="false" ht="15" hidden="false" customHeight="false" outlineLevel="0" collapsed="false">
      <c r="A293" s="28" t="s">
        <v>809</v>
      </c>
      <c r="B293" s="28" t="s">
        <v>234</v>
      </c>
      <c r="C293" s="35" t="n">
        <v>46310.4798227455</v>
      </c>
      <c r="D293" s="28" t="s">
        <v>383</v>
      </c>
      <c r="E293" s="38" t="n">
        <v>-950</v>
      </c>
      <c r="F293" s="28" t="s">
        <v>225</v>
      </c>
      <c r="G293" s="28" t="s">
        <v>309</v>
      </c>
      <c r="H293" s="28" t="s">
        <v>384</v>
      </c>
      <c r="I293" s="28" t="s">
        <v>281</v>
      </c>
      <c r="J293" s="28"/>
      <c r="K293" s="28"/>
      <c r="L293" s="36" t="str">
        <f aca="false">IFERROR(INDEX(Transaction_Types!$B$5:$B$20,MATCH(D293,Transaction_Types!$A$5:$A$20,0)),"Not in catalogue")</f>
        <v>Supported</v>
      </c>
      <c r="M293" s="36" t="str">
        <f aca="false">IFERROR(INDEX(Transaction_Types!$C$5:$C$20,MATCH(D293,Transaction_Types!$A$5:$A$20,0)),"")</f>
        <v>Debit</v>
      </c>
      <c r="N293" s="39" t="n">
        <f aca="false">IF(G293="Posted",E293,0)</f>
        <v>-950</v>
      </c>
      <c r="O293" s="36" t="n">
        <f aca="false">COUNTIFS($J$5:$J$3000,A293,$K$5:$K$3000,"Reverses")</f>
        <v>0</v>
      </c>
      <c r="P293" s="39" t="n">
        <f aca="false">IF(K293&lt;&gt;"","",IF(G293="Posted",E293+SUMIFS($N$5:$N$3000,$J$5:$J$3000,A293),0))</f>
        <v>-950</v>
      </c>
      <c r="Q293" s="36" t="str">
        <f aca="false">IF(L293="Not in catalogue","CHECK type",IF(F293&lt;&gt;Settings!$B$6,"CHECK unit",IF(OR(AND(M293="Credit",E293&lt;=0),AND(M293="Debit",E293&gt;=0)),"CHECK sign",IF(D293="Reversal",IF(OR(J293="",COUNTIF($A$5:$A$3000,J293)=0),"CHECK reversal link",IF(E293&lt;&gt;-INDEX($E$5:$E$3000,MATCH(J293,$A$5:$A$3000,0)),"CHECK reversal amount","OK")),IF(AND(D293="Adjustment",K293&lt;&gt;"",COUNTIF($A$5:$A$3000,J293)=0),"CHECK correction link","OK")))))</f>
        <v>OK</v>
      </c>
      <c r="R293" s="40" t="n">
        <f aca="false">INT(C293)</f>
        <v>46310</v>
      </c>
    </row>
  </sheetData>
  <autoFilter ref="A4:R293"/>
  <dataValidations count="4">
    <dataValidation allowBlank="true" errorStyle="stop" operator="between" showDropDown="false" showErrorMessage="false" showInputMessage="false" sqref="D5:D1293" type="list">
      <formula1>"Reward Credit,Redemption,Reversal,Adjustment,Withdrawal Hold,Hold Release,Fee / Charge,Expiry"</formula1>
      <formula2>0</formula2>
    </dataValidation>
    <dataValidation allowBlank="true" errorStyle="stop" operator="between" showDropDown="false" showErrorMessage="false" showInputMessage="false" sqref="G5:G1293" type="list">
      <formula1>"Posted,Pending,Failed,Voided"</formula1>
      <formula2>0</formula2>
    </dataValidation>
    <dataValidation allowBlank="true" errorStyle="stop" operator="between" showDropDown="false" showErrorMessage="false" showInputMessage="false" sqref="K5:K1293" type="list">
      <formula1>"Reverses,Corrects"</formula1>
      <formula2>0</formula2>
    </dataValidation>
    <dataValidation allowBlank="true" errorStyle="stop" operator="between" showDropDown="false" showErrorMessage="false" showInputMessage="false" sqref="H5:H1293" type="list">
      <formula1>"Task Reward,Referral Reward,Campaign Bonus,Withdrawal,Admin Console,System"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810</v>
      </c>
    </row>
    <row r="2" customFormat="false" ht="15" hidden="false" customHeight="false" outlineLevel="0" collapsed="false">
      <c r="A2" s="33" t="s">
        <v>811</v>
      </c>
    </row>
    <row r="4" customFormat="false" ht="39.75" hidden="false" customHeight="true" outlineLevel="0" collapsed="false">
      <c r="A4" s="12" t="s">
        <v>205</v>
      </c>
      <c r="B4" s="12" t="s">
        <v>812</v>
      </c>
      <c r="C4" s="12" t="s">
        <v>813</v>
      </c>
      <c r="D4" s="12" t="s">
        <v>814</v>
      </c>
      <c r="E4" s="12" t="s">
        <v>815</v>
      </c>
      <c r="F4" s="12" t="s">
        <v>816</v>
      </c>
      <c r="G4" s="12" t="s">
        <v>817</v>
      </c>
      <c r="H4" s="12" t="s">
        <v>818</v>
      </c>
      <c r="I4" s="12" t="s">
        <v>88</v>
      </c>
      <c r="J4" s="12" t="s">
        <v>819</v>
      </c>
    </row>
    <row r="5" customFormat="false" ht="15" hidden="false" customHeight="false" outlineLevel="0" collapsed="false">
      <c r="A5" s="28" t="s">
        <v>263</v>
      </c>
      <c r="B5" s="30" t="n">
        <f aca="false">SUMIFS(Wallet_Transactions!$N$5:$N$3000,Wallet_Transactions!$B$5:$B$3000,$A5,Wallet_Transactions!$D$5:$D$3000,"Reward Credit")</f>
        <v>2200</v>
      </c>
      <c r="C5" s="30" t="n">
        <f aca="false">SUMIFS(Wallet_Transactions!$N$5:$N$3000,Wallet_Transactions!$B$5:$B$3000,$A5,Wallet_Transactions!$D$5:$D$3000,"Redemption")</f>
        <v>-650</v>
      </c>
      <c r="D5" s="30" t="n">
        <f aca="false">SUMIFS(Wallet_Transactions!$N$5:$N$3000,Wallet_Transactions!$B$5:$B$3000,$A5,Wallet_Transactions!$D$5:$D$3000,"Reversal")</f>
        <v>-150</v>
      </c>
      <c r="E5" s="30" t="n">
        <f aca="false">SUMIFS(Wallet_Transactions!$N$5:$N$3000,Wallet_Transactions!$B$5:$B$3000,$A5,Wallet_Transactions!$D$5:$D$3000,"Adjustment")</f>
        <v>0</v>
      </c>
      <c r="F5" s="30" t="n">
        <f aca="false">G5-SUM(B5:E5)</f>
        <v>0</v>
      </c>
      <c r="G5" s="41" t="n">
        <f aca="false">SUMIFS(Wallet_Transactions!$N$5:$N$3000,Wallet_Transactions!$B$5:$B$3000,$A5)</f>
        <v>1400</v>
      </c>
      <c r="H5" s="14" t="n">
        <f aca="false">SUMIFS(Withdrawals!$C$5:$C$1000,Withdrawals!$B$5:$B$1000,$A5,Withdrawals!$L$5:$L$1000,1,Withdrawals!$D$5:$D$1000,Settings!$B$6)</f>
        <v>1150</v>
      </c>
      <c r="I5" s="14" t="n">
        <f aca="false">COUNTIF(Withdrawals!$B$5:$B$1000,$A5)</f>
        <v>2</v>
      </c>
      <c r="J5" s="21" t="str">
        <f aca="false">IF(G5&lt;0,"NEGATIVE",IF(H5&gt;G5,"Pending &gt; balance","OK"))</f>
        <v>OK</v>
      </c>
    </row>
    <row r="6" customFormat="false" ht="15" hidden="false" customHeight="false" outlineLevel="0" collapsed="false">
      <c r="A6" s="28" t="s">
        <v>224</v>
      </c>
      <c r="B6" s="30" t="n">
        <f aca="false">SUMIFS(Wallet_Transactions!$N$5:$N$3000,Wallet_Transactions!$B$5:$B$3000,$A6,Wallet_Transactions!$D$5:$D$3000,"Reward Credit")</f>
        <v>3850</v>
      </c>
      <c r="C6" s="30" t="n">
        <f aca="false">SUMIFS(Wallet_Transactions!$N$5:$N$3000,Wallet_Transactions!$B$5:$B$3000,$A6,Wallet_Transactions!$D$5:$D$3000,"Redemption")</f>
        <v>-3500</v>
      </c>
      <c r="D6" s="30" t="n">
        <f aca="false">SUMIFS(Wallet_Transactions!$N$5:$N$3000,Wallet_Transactions!$B$5:$B$3000,$A6,Wallet_Transactions!$D$5:$D$3000,"Reversal")</f>
        <v>0</v>
      </c>
      <c r="E6" s="30" t="n">
        <f aca="false">SUMIFS(Wallet_Transactions!$N$5:$N$3000,Wallet_Transactions!$B$5:$B$3000,$A6,Wallet_Transactions!$D$5:$D$3000,"Adjustment")</f>
        <v>0</v>
      </c>
      <c r="F6" s="30" t="n">
        <f aca="false">G6-SUM(B6:E6)</f>
        <v>0</v>
      </c>
      <c r="G6" s="41" t="n">
        <f aca="false">SUMIFS(Wallet_Transactions!$N$5:$N$3000,Wallet_Transactions!$B$5:$B$3000,$A6)</f>
        <v>350</v>
      </c>
      <c r="H6" s="14" t="n">
        <f aca="false">SUMIFS(Withdrawals!$C$5:$C$1000,Withdrawals!$B$5:$B$1000,$A6,Withdrawals!$L$5:$L$1000,1,Withdrawals!$D$5:$D$1000,Settings!$B$6)</f>
        <v>0</v>
      </c>
      <c r="I6" s="14" t="n">
        <f aca="false">COUNTIF(Withdrawals!$B$5:$B$1000,$A6)</f>
        <v>4</v>
      </c>
      <c r="J6" s="21" t="str">
        <f aca="false">IF(G6&lt;0,"NEGATIVE",IF(H6&gt;G6,"Pending &gt; balance","OK"))</f>
        <v>OK</v>
      </c>
    </row>
    <row r="7" customFormat="false" ht="15" hidden="false" customHeight="false" outlineLevel="0" collapsed="false">
      <c r="A7" s="28" t="s">
        <v>229</v>
      </c>
      <c r="B7" s="30" t="n">
        <f aca="false">SUMIFS(Wallet_Transactions!$N$5:$N$3000,Wallet_Transactions!$B$5:$B$3000,$A7,Wallet_Transactions!$D$5:$D$3000,"Reward Credit")</f>
        <v>3850</v>
      </c>
      <c r="C7" s="30" t="n">
        <f aca="false">SUMIFS(Wallet_Transactions!$N$5:$N$3000,Wallet_Transactions!$B$5:$B$3000,$A7,Wallet_Transactions!$D$5:$D$3000,"Redemption")</f>
        <v>-3700</v>
      </c>
      <c r="D7" s="30" t="n">
        <f aca="false">SUMIFS(Wallet_Transactions!$N$5:$N$3000,Wallet_Transactions!$B$5:$B$3000,$A7,Wallet_Transactions!$D$5:$D$3000,"Reversal")</f>
        <v>0</v>
      </c>
      <c r="E7" s="30" t="n">
        <f aca="false">SUMIFS(Wallet_Transactions!$N$5:$N$3000,Wallet_Transactions!$B$5:$B$3000,$A7,Wallet_Transactions!$D$5:$D$3000,"Adjustment")</f>
        <v>0</v>
      </c>
      <c r="F7" s="30" t="n">
        <f aca="false">G7-SUM(B7:E7)</f>
        <v>0</v>
      </c>
      <c r="G7" s="41" t="n">
        <f aca="false">SUMIFS(Wallet_Transactions!$N$5:$N$3000,Wallet_Transactions!$B$5:$B$3000,$A7)</f>
        <v>150</v>
      </c>
      <c r="H7" s="14" t="n">
        <f aca="false">SUMIFS(Withdrawals!$C$5:$C$1000,Withdrawals!$B$5:$B$1000,$A7,Withdrawals!$L$5:$L$1000,1,Withdrawals!$D$5:$D$1000,Settings!$B$6)</f>
        <v>0</v>
      </c>
      <c r="I7" s="14" t="n">
        <f aca="false">COUNTIF(Withdrawals!$B$5:$B$1000,$A7)</f>
        <v>4</v>
      </c>
      <c r="J7" s="21" t="str">
        <f aca="false">IF(G7&lt;0,"NEGATIVE",IF(H7&gt;G7,"Pending &gt; balance","OK"))</f>
        <v>OK</v>
      </c>
    </row>
    <row r="8" customFormat="false" ht="15" hidden="false" customHeight="false" outlineLevel="0" collapsed="false">
      <c r="A8" s="28" t="s">
        <v>234</v>
      </c>
      <c r="B8" s="30" t="n">
        <f aca="false">SUMIFS(Wallet_Transactions!$N$5:$N$3000,Wallet_Transactions!$B$5:$B$3000,$A8,Wallet_Transactions!$D$5:$D$3000,"Reward Credit")</f>
        <v>2150</v>
      </c>
      <c r="C8" s="30" t="n">
        <f aca="false">SUMIFS(Wallet_Transactions!$N$5:$N$3000,Wallet_Transactions!$B$5:$B$3000,$A8,Wallet_Transactions!$D$5:$D$3000,"Redemption")</f>
        <v>-2000</v>
      </c>
      <c r="D8" s="30" t="n">
        <f aca="false">SUMIFS(Wallet_Transactions!$N$5:$N$3000,Wallet_Transactions!$B$5:$B$3000,$A8,Wallet_Transactions!$D$5:$D$3000,"Reversal")</f>
        <v>0</v>
      </c>
      <c r="E8" s="30" t="n">
        <f aca="false">SUMIFS(Wallet_Transactions!$N$5:$N$3000,Wallet_Transactions!$B$5:$B$3000,$A8,Wallet_Transactions!$D$5:$D$3000,"Adjustment")</f>
        <v>50</v>
      </c>
      <c r="F8" s="30" t="n">
        <f aca="false">G8-SUM(B8:E8)</f>
        <v>0</v>
      </c>
      <c r="G8" s="41" t="n">
        <f aca="false">SUMIFS(Wallet_Transactions!$N$5:$N$3000,Wallet_Transactions!$B$5:$B$3000,$A8)</f>
        <v>200</v>
      </c>
      <c r="H8" s="14" t="n">
        <f aca="false">SUMIFS(Withdrawals!$C$5:$C$1000,Withdrawals!$B$5:$B$1000,$A8,Withdrawals!$L$5:$L$1000,1,Withdrawals!$D$5:$D$1000,Settings!$B$6)</f>
        <v>0</v>
      </c>
      <c r="I8" s="14" t="n">
        <f aca="false">COUNTIF(Withdrawals!$B$5:$B$1000,$A8)</f>
        <v>3</v>
      </c>
      <c r="J8" s="21" t="str">
        <f aca="false">IF(G8&lt;0,"NEGATIVE",IF(H8&gt;G8,"Pending &gt; balance","OK"))</f>
        <v>OK</v>
      </c>
    </row>
    <row r="9" customFormat="false" ht="15" hidden="false" customHeight="false" outlineLevel="0" collapsed="false">
      <c r="A9" s="28" t="s">
        <v>368</v>
      </c>
      <c r="B9" s="30" t="n">
        <f aca="false">SUMIFS(Wallet_Transactions!$N$5:$N$3000,Wallet_Transactions!$B$5:$B$3000,$A9,Wallet_Transactions!$D$5:$D$3000,"Reward Credit")</f>
        <v>4350</v>
      </c>
      <c r="C9" s="30" t="n">
        <f aca="false">SUMIFS(Wallet_Transactions!$N$5:$N$3000,Wallet_Transactions!$B$5:$B$3000,$A9,Wallet_Transactions!$D$5:$D$3000,"Redemption")</f>
        <v>0</v>
      </c>
      <c r="D9" s="30" t="n">
        <f aca="false">SUMIFS(Wallet_Transactions!$N$5:$N$3000,Wallet_Transactions!$B$5:$B$3000,$A9,Wallet_Transactions!$D$5:$D$3000,"Reversal")</f>
        <v>0</v>
      </c>
      <c r="E9" s="30" t="n">
        <f aca="false">SUMIFS(Wallet_Transactions!$N$5:$N$3000,Wallet_Transactions!$B$5:$B$3000,$A9,Wallet_Transactions!$D$5:$D$3000,"Adjustment")</f>
        <v>0</v>
      </c>
      <c r="F9" s="30" t="n">
        <f aca="false">G9-SUM(B9:E9)</f>
        <v>0</v>
      </c>
      <c r="G9" s="41" t="n">
        <f aca="false">SUMIFS(Wallet_Transactions!$N$5:$N$3000,Wallet_Transactions!$B$5:$B$3000,$A9)</f>
        <v>4350</v>
      </c>
      <c r="H9" s="14" t="n">
        <f aca="false">SUMIFS(Withdrawals!$C$5:$C$1000,Withdrawals!$B$5:$B$1000,$A9,Withdrawals!$L$5:$L$1000,1,Withdrawals!$D$5:$D$1000,Settings!$B$6)</f>
        <v>0</v>
      </c>
      <c r="I9" s="14" t="n">
        <f aca="false">COUNTIF(Withdrawals!$B$5:$B$1000,$A9)</f>
        <v>0</v>
      </c>
      <c r="J9" s="21" t="str">
        <f aca="false">IF(G9&lt;0,"NEGATIVE",IF(H9&gt;G9,"Pending &gt; balance","OK"))</f>
        <v>OK</v>
      </c>
    </row>
    <row r="10" customFormat="false" ht="15" hidden="false" customHeight="false" outlineLevel="0" collapsed="false">
      <c r="A10" s="28" t="s">
        <v>227</v>
      </c>
      <c r="B10" s="30" t="n">
        <f aca="false">SUMIFS(Wallet_Transactions!$N$5:$N$3000,Wallet_Transactions!$B$5:$B$3000,$A10,Wallet_Transactions!$D$5:$D$3000,"Reward Credit")</f>
        <v>3600</v>
      </c>
      <c r="C10" s="30" t="n">
        <f aca="false">SUMIFS(Wallet_Transactions!$N$5:$N$3000,Wallet_Transactions!$B$5:$B$3000,$A10,Wallet_Transactions!$D$5:$D$3000,"Redemption")</f>
        <v>-1100</v>
      </c>
      <c r="D10" s="30" t="n">
        <f aca="false">SUMIFS(Wallet_Transactions!$N$5:$N$3000,Wallet_Transactions!$B$5:$B$3000,$A10,Wallet_Transactions!$D$5:$D$3000,"Reversal")</f>
        <v>0</v>
      </c>
      <c r="E10" s="30" t="n">
        <f aca="false">SUMIFS(Wallet_Transactions!$N$5:$N$3000,Wallet_Transactions!$B$5:$B$3000,$A10,Wallet_Transactions!$D$5:$D$3000,"Adjustment")</f>
        <v>0</v>
      </c>
      <c r="F10" s="30" t="n">
        <f aca="false">G10-SUM(B10:E10)</f>
        <v>0</v>
      </c>
      <c r="G10" s="41" t="n">
        <f aca="false">SUMIFS(Wallet_Transactions!$N$5:$N$3000,Wallet_Transactions!$B$5:$B$3000,$A10)</f>
        <v>2500</v>
      </c>
      <c r="H10" s="14" t="n">
        <f aca="false">SUMIFS(Withdrawals!$C$5:$C$1000,Withdrawals!$B$5:$B$1000,$A10,Withdrawals!$L$5:$L$1000,1,Withdrawals!$D$5:$D$1000,Settings!$B$6)</f>
        <v>0</v>
      </c>
      <c r="I10" s="14" t="n">
        <f aca="false">COUNTIF(Withdrawals!$B$5:$B$1000,$A10)</f>
        <v>1</v>
      </c>
      <c r="J10" s="21" t="str">
        <f aca="false">IF(G10&lt;0,"NEGATIVE",IF(H10&gt;G10,"Pending &gt; balance","OK"))</f>
        <v>OK</v>
      </c>
    </row>
    <row r="11" customFormat="false" ht="15" hidden="false" customHeight="false" outlineLevel="0" collapsed="false">
      <c r="A11" s="28" t="s">
        <v>269</v>
      </c>
      <c r="B11" s="30" t="n">
        <f aca="false">SUMIFS(Wallet_Transactions!$N$5:$N$3000,Wallet_Transactions!$B$5:$B$3000,$A11,Wallet_Transactions!$D$5:$D$3000,"Reward Credit")</f>
        <v>3100</v>
      </c>
      <c r="C11" s="30" t="n">
        <f aca="false">SUMIFS(Wallet_Transactions!$N$5:$N$3000,Wallet_Transactions!$B$5:$B$3000,$A11,Wallet_Transactions!$D$5:$D$3000,"Redemption")</f>
        <v>-1500</v>
      </c>
      <c r="D11" s="30" t="n">
        <f aca="false">SUMIFS(Wallet_Transactions!$N$5:$N$3000,Wallet_Transactions!$B$5:$B$3000,$A11,Wallet_Transactions!$D$5:$D$3000,"Reversal")</f>
        <v>0</v>
      </c>
      <c r="E11" s="30" t="n">
        <f aca="false">SUMIFS(Wallet_Transactions!$N$5:$N$3000,Wallet_Transactions!$B$5:$B$3000,$A11,Wallet_Transactions!$D$5:$D$3000,"Adjustment")</f>
        <v>0</v>
      </c>
      <c r="F11" s="30" t="n">
        <f aca="false">G11-SUM(B11:E11)</f>
        <v>0</v>
      </c>
      <c r="G11" s="41" t="n">
        <f aca="false">SUMIFS(Wallet_Transactions!$N$5:$N$3000,Wallet_Transactions!$B$5:$B$3000,$A11)</f>
        <v>1600</v>
      </c>
      <c r="H11" s="14" t="n">
        <f aca="false">SUMIFS(Withdrawals!$C$5:$C$1000,Withdrawals!$B$5:$B$1000,$A11,Withdrawals!$L$5:$L$1000,1,Withdrawals!$D$5:$D$1000,Settings!$B$6)</f>
        <v>1500</v>
      </c>
      <c r="I11" s="14" t="n">
        <f aca="false">COUNTIF(Withdrawals!$B$5:$B$1000,$A11)</f>
        <v>3</v>
      </c>
      <c r="J11" s="21" t="str">
        <f aca="false">IF(G11&lt;0,"NEGATIVE",IF(H11&gt;G11,"Pending &gt; balance","OK"))</f>
        <v>OK</v>
      </c>
    </row>
    <row r="12" customFormat="false" ht="15" hidden="false" customHeight="false" outlineLevel="0" collapsed="false">
      <c r="A12" s="28" t="s">
        <v>239</v>
      </c>
      <c r="B12" s="30" t="n">
        <f aca="false">SUMIFS(Wallet_Transactions!$N$5:$N$3000,Wallet_Transactions!$B$5:$B$3000,$A12,Wallet_Transactions!$D$5:$D$3000,"Reward Credit")</f>
        <v>4200</v>
      </c>
      <c r="C12" s="30" t="n">
        <f aca="false">SUMIFS(Wallet_Transactions!$N$5:$N$3000,Wallet_Transactions!$B$5:$B$3000,$A12,Wallet_Transactions!$D$5:$D$3000,"Redemption")</f>
        <v>-2450</v>
      </c>
      <c r="D12" s="30" t="n">
        <f aca="false">SUMIFS(Wallet_Transactions!$N$5:$N$3000,Wallet_Transactions!$B$5:$B$3000,$A12,Wallet_Transactions!$D$5:$D$3000,"Reversal")</f>
        <v>-200</v>
      </c>
      <c r="E12" s="30" t="n">
        <f aca="false">SUMIFS(Wallet_Transactions!$N$5:$N$3000,Wallet_Transactions!$B$5:$B$3000,$A12,Wallet_Transactions!$D$5:$D$3000,"Adjustment")</f>
        <v>0</v>
      </c>
      <c r="F12" s="30" t="n">
        <f aca="false">G12-SUM(B12:E12)</f>
        <v>0</v>
      </c>
      <c r="G12" s="41" t="n">
        <f aca="false">SUMIFS(Wallet_Transactions!$N$5:$N$3000,Wallet_Transactions!$B$5:$B$3000,$A12)</f>
        <v>1550</v>
      </c>
      <c r="H12" s="14" t="n">
        <f aca="false">SUMIFS(Withdrawals!$C$5:$C$1000,Withdrawals!$B$5:$B$1000,$A12,Withdrawals!$L$5:$L$1000,1,Withdrawals!$D$5:$D$1000,Settings!$B$6)</f>
        <v>1100</v>
      </c>
      <c r="I12" s="14" t="n">
        <f aca="false">COUNTIF(Withdrawals!$B$5:$B$1000,$A12)</f>
        <v>4</v>
      </c>
      <c r="J12" s="21" t="str">
        <f aca="false">IF(G12&lt;0,"NEGATIVE",IF(H12&gt;G12,"Pending &gt; balance","OK"))</f>
        <v>OK</v>
      </c>
    </row>
    <row r="13" customFormat="false" ht="15" hidden="false" customHeight="false" outlineLevel="0" collapsed="false">
      <c r="A13" s="28" t="s">
        <v>246</v>
      </c>
      <c r="B13" s="30" t="n">
        <f aca="false">SUMIFS(Wallet_Transactions!$N$5:$N$3000,Wallet_Transactions!$B$5:$B$3000,$A13,Wallet_Transactions!$D$5:$D$3000,"Reward Credit")</f>
        <v>2900</v>
      </c>
      <c r="C13" s="30" t="n">
        <f aca="false">SUMIFS(Wallet_Transactions!$N$5:$N$3000,Wallet_Transactions!$B$5:$B$3000,$A13,Wallet_Transactions!$D$5:$D$3000,"Redemption")</f>
        <v>-2700</v>
      </c>
      <c r="D13" s="30" t="n">
        <f aca="false">SUMIFS(Wallet_Transactions!$N$5:$N$3000,Wallet_Transactions!$B$5:$B$3000,$A13,Wallet_Transactions!$D$5:$D$3000,"Reversal")</f>
        <v>0</v>
      </c>
      <c r="E13" s="30" t="n">
        <f aca="false">SUMIFS(Wallet_Transactions!$N$5:$N$3000,Wallet_Transactions!$B$5:$B$3000,$A13,Wallet_Transactions!$D$5:$D$3000,"Adjustment")</f>
        <v>0</v>
      </c>
      <c r="F13" s="30" t="n">
        <f aca="false">G13-SUM(B13:E13)</f>
        <v>0</v>
      </c>
      <c r="G13" s="41" t="n">
        <f aca="false">SUMIFS(Wallet_Transactions!$N$5:$N$3000,Wallet_Transactions!$B$5:$B$3000,$A13)</f>
        <v>200</v>
      </c>
      <c r="H13" s="14" t="n">
        <f aca="false">SUMIFS(Withdrawals!$C$5:$C$1000,Withdrawals!$B$5:$B$1000,$A13,Withdrawals!$L$5:$L$1000,1,Withdrawals!$D$5:$D$1000,Settings!$B$6)</f>
        <v>0</v>
      </c>
      <c r="I13" s="14" t="n">
        <f aca="false">COUNTIF(Withdrawals!$B$5:$B$1000,$A13)</f>
        <v>2</v>
      </c>
      <c r="J13" s="21" t="str">
        <f aca="false">IF(G13&lt;0,"NEGATIVE",IF(H13&gt;G13,"Pending &gt; balance","OK"))</f>
        <v>OK</v>
      </c>
    </row>
    <row r="14" customFormat="false" ht="15" hidden="false" customHeight="false" outlineLevel="0" collapsed="false">
      <c r="A14" s="28" t="s">
        <v>236</v>
      </c>
      <c r="B14" s="30" t="n">
        <f aca="false">SUMIFS(Wallet_Transactions!$N$5:$N$3000,Wallet_Transactions!$B$5:$B$3000,$A14,Wallet_Transactions!$D$5:$D$3000,"Reward Credit")</f>
        <v>2550</v>
      </c>
      <c r="C14" s="30" t="n">
        <f aca="false">SUMIFS(Wallet_Transactions!$N$5:$N$3000,Wallet_Transactions!$B$5:$B$3000,$A14,Wallet_Transactions!$D$5:$D$3000,"Redemption")</f>
        <v>-1400</v>
      </c>
      <c r="D14" s="30" t="n">
        <f aca="false">SUMIFS(Wallet_Transactions!$N$5:$N$3000,Wallet_Transactions!$B$5:$B$3000,$A14,Wallet_Transactions!$D$5:$D$3000,"Reversal")</f>
        <v>0</v>
      </c>
      <c r="E14" s="30" t="n">
        <f aca="false">SUMIFS(Wallet_Transactions!$N$5:$N$3000,Wallet_Transactions!$B$5:$B$3000,$A14,Wallet_Transactions!$D$5:$D$3000,"Adjustment")</f>
        <v>0</v>
      </c>
      <c r="F14" s="30" t="n">
        <f aca="false">G14-SUM(B14:E14)</f>
        <v>0</v>
      </c>
      <c r="G14" s="41" t="n">
        <f aca="false">SUMIFS(Wallet_Transactions!$N$5:$N$3000,Wallet_Transactions!$B$5:$B$3000,$A14)</f>
        <v>1150</v>
      </c>
      <c r="H14" s="14" t="n">
        <f aca="false">SUMIFS(Withdrawals!$C$5:$C$1000,Withdrawals!$B$5:$B$1000,$A14,Withdrawals!$L$5:$L$1000,1,Withdrawals!$D$5:$D$1000,Settings!$B$6)</f>
        <v>1100</v>
      </c>
      <c r="I14" s="14" t="n">
        <f aca="false">COUNTIF(Withdrawals!$B$5:$B$1000,$A14)</f>
        <v>5</v>
      </c>
      <c r="J14" s="21" t="str">
        <f aca="false">IF(G14&lt;0,"NEGATIVE",IF(H14&gt;G14,"Pending &gt; balance","OK"))</f>
        <v>OK</v>
      </c>
    </row>
    <row r="15" customFormat="false" ht="15" hidden="false" customHeight="false" outlineLevel="0" collapsed="false">
      <c r="A15" s="28" t="s">
        <v>242</v>
      </c>
      <c r="B15" s="30" t="n">
        <f aca="false">SUMIFS(Wallet_Transactions!$N$5:$N$3000,Wallet_Transactions!$B$5:$B$3000,$A15,Wallet_Transactions!$D$5:$D$3000,"Reward Credit")</f>
        <v>2750</v>
      </c>
      <c r="C15" s="30" t="n">
        <f aca="false">SUMIFS(Wallet_Transactions!$N$5:$N$3000,Wallet_Transactions!$B$5:$B$3000,$A15,Wallet_Transactions!$D$5:$D$3000,"Redemption")</f>
        <v>-2450</v>
      </c>
      <c r="D15" s="30" t="n">
        <f aca="false">SUMIFS(Wallet_Transactions!$N$5:$N$3000,Wallet_Transactions!$B$5:$B$3000,$A15,Wallet_Transactions!$D$5:$D$3000,"Reversal")</f>
        <v>0</v>
      </c>
      <c r="E15" s="30" t="n">
        <f aca="false">SUMIFS(Wallet_Transactions!$N$5:$N$3000,Wallet_Transactions!$B$5:$B$3000,$A15,Wallet_Transactions!$D$5:$D$3000,"Adjustment")</f>
        <v>-50</v>
      </c>
      <c r="F15" s="30" t="n">
        <f aca="false">G15-SUM(B15:E15)</f>
        <v>0</v>
      </c>
      <c r="G15" s="41" t="n">
        <f aca="false">SUMIFS(Wallet_Transactions!$N$5:$N$3000,Wallet_Transactions!$B$5:$B$3000,$A15)</f>
        <v>250</v>
      </c>
      <c r="H15" s="14" t="n">
        <f aca="false">SUMIFS(Withdrawals!$C$5:$C$1000,Withdrawals!$B$5:$B$1000,$A15,Withdrawals!$L$5:$L$1000,1,Withdrawals!$D$5:$D$1000,Settings!$B$6)</f>
        <v>0</v>
      </c>
      <c r="I15" s="14" t="n">
        <f aca="false">COUNTIF(Withdrawals!$B$5:$B$1000,$A15)</f>
        <v>3</v>
      </c>
      <c r="J15" s="21" t="str">
        <f aca="false">IF(G15&lt;0,"NEGATIVE",IF(H15&gt;G15,"Pending &gt; balance","OK"))</f>
        <v>OK</v>
      </c>
    </row>
    <row r="16" customFormat="false" ht="15" hidden="false" customHeight="false" outlineLevel="0" collapsed="false">
      <c r="A16" s="28" t="s">
        <v>277</v>
      </c>
      <c r="B16" s="30" t="n">
        <f aca="false">SUMIFS(Wallet_Transactions!$N$5:$N$3000,Wallet_Transactions!$B$5:$B$3000,$A16,Wallet_Transactions!$D$5:$D$3000,"Reward Credit")</f>
        <v>1850</v>
      </c>
      <c r="C16" s="30" t="n">
        <f aca="false">SUMIFS(Wallet_Transactions!$N$5:$N$3000,Wallet_Transactions!$B$5:$B$3000,$A16,Wallet_Transactions!$D$5:$D$3000,"Redemption")</f>
        <v>-1700</v>
      </c>
      <c r="D16" s="30" t="n">
        <f aca="false">SUMIFS(Wallet_Transactions!$N$5:$N$3000,Wallet_Transactions!$B$5:$B$3000,$A16,Wallet_Transactions!$D$5:$D$3000,"Reversal")</f>
        <v>0</v>
      </c>
      <c r="E16" s="30" t="n">
        <f aca="false">SUMIFS(Wallet_Transactions!$N$5:$N$3000,Wallet_Transactions!$B$5:$B$3000,$A16,Wallet_Transactions!$D$5:$D$3000,"Adjustment")</f>
        <v>0</v>
      </c>
      <c r="F16" s="30" t="n">
        <f aca="false">G16-SUM(B16:E16)</f>
        <v>0</v>
      </c>
      <c r="G16" s="41" t="n">
        <f aca="false">SUMIFS(Wallet_Transactions!$N$5:$N$3000,Wallet_Transactions!$B$5:$B$3000,$A16)</f>
        <v>150</v>
      </c>
      <c r="H16" s="14" t="n">
        <f aca="false">SUMIFS(Withdrawals!$C$5:$C$1000,Withdrawals!$B$5:$B$1000,$A16,Withdrawals!$L$5:$L$1000,1,Withdrawals!$D$5:$D$1000,Settings!$B$6)</f>
        <v>0</v>
      </c>
      <c r="I16" s="14" t="n">
        <f aca="false">COUNTIF(Withdrawals!$B$5:$B$1000,$A16)</f>
        <v>1</v>
      </c>
      <c r="J16" s="21" t="str">
        <f aca="false">IF(G16&lt;0,"NEGATIVE",IF(H16&gt;G16,"Pending &gt; balance","OK"))</f>
        <v>OK</v>
      </c>
    </row>
    <row r="17" customFormat="false" ht="15" hidden="false" customHeight="false" outlineLevel="0" collapsed="false">
      <c r="A17" s="28" t="s">
        <v>265</v>
      </c>
      <c r="B17" s="30" t="n">
        <f aca="false">SUMIFS(Wallet_Transactions!$N$5:$N$3000,Wallet_Transactions!$B$5:$B$3000,$A17,Wallet_Transactions!$D$5:$D$3000,"Reward Credit")</f>
        <v>2800</v>
      </c>
      <c r="C17" s="30" t="n">
        <f aca="false">SUMIFS(Wallet_Transactions!$N$5:$N$3000,Wallet_Transactions!$B$5:$B$3000,$A17,Wallet_Transactions!$D$5:$D$3000,"Redemption")</f>
        <v>-2250</v>
      </c>
      <c r="D17" s="30" t="n">
        <f aca="false">SUMIFS(Wallet_Transactions!$N$5:$N$3000,Wallet_Transactions!$B$5:$B$3000,$A17,Wallet_Transactions!$D$5:$D$3000,"Reversal")</f>
        <v>0</v>
      </c>
      <c r="E17" s="30" t="n">
        <f aca="false">SUMIFS(Wallet_Transactions!$N$5:$N$3000,Wallet_Transactions!$B$5:$B$3000,$A17,Wallet_Transactions!$D$5:$D$3000,"Adjustment")</f>
        <v>0</v>
      </c>
      <c r="F17" s="30" t="n">
        <f aca="false">G17-SUM(B17:E17)</f>
        <v>0</v>
      </c>
      <c r="G17" s="41" t="n">
        <f aca="false">SUMIFS(Wallet_Transactions!$N$5:$N$3000,Wallet_Transactions!$B$5:$B$3000,$A17)</f>
        <v>550</v>
      </c>
      <c r="H17" s="14" t="n">
        <f aca="false">SUMIFS(Withdrawals!$C$5:$C$1000,Withdrawals!$B$5:$B$1000,$A17,Withdrawals!$L$5:$L$1000,1,Withdrawals!$D$5:$D$1000,Settings!$B$6)</f>
        <v>0</v>
      </c>
      <c r="I17" s="14" t="n">
        <f aca="false">COUNTIF(Withdrawals!$B$5:$B$1000,$A17)</f>
        <v>2</v>
      </c>
      <c r="J17" s="21" t="str">
        <f aca="false">IF(G17&lt;0,"NEGATIVE",IF(H17&gt;G17,"Pending &gt; balance","OK"))</f>
        <v>OK</v>
      </c>
    </row>
    <row r="18" customFormat="false" ht="15" hidden="false" customHeight="false" outlineLevel="0" collapsed="false">
      <c r="A18" s="28" t="s">
        <v>260</v>
      </c>
      <c r="B18" s="30" t="n">
        <f aca="false">SUMIFS(Wallet_Transactions!$N$5:$N$3000,Wallet_Transactions!$B$5:$B$3000,$A18,Wallet_Transactions!$D$5:$D$3000,"Reward Credit")</f>
        <v>3400</v>
      </c>
      <c r="C18" s="30" t="n">
        <f aca="false">SUMIFS(Wallet_Transactions!$N$5:$N$3000,Wallet_Transactions!$B$5:$B$3000,$A18,Wallet_Transactions!$D$5:$D$3000,"Redemption")</f>
        <v>-550</v>
      </c>
      <c r="D18" s="30" t="n">
        <f aca="false">SUMIFS(Wallet_Transactions!$N$5:$N$3000,Wallet_Transactions!$B$5:$B$3000,$A18,Wallet_Transactions!$D$5:$D$3000,"Reversal")</f>
        <v>550</v>
      </c>
      <c r="E18" s="30" t="n">
        <f aca="false">SUMIFS(Wallet_Transactions!$N$5:$N$3000,Wallet_Transactions!$B$5:$B$3000,$A18,Wallet_Transactions!$D$5:$D$3000,"Adjustment")</f>
        <v>0</v>
      </c>
      <c r="F18" s="30" t="n">
        <f aca="false">G18-SUM(B18:E18)</f>
        <v>0</v>
      </c>
      <c r="G18" s="41" t="n">
        <f aca="false">SUMIFS(Wallet_Transactions!$N$5:$N$3000,Wallet_Transactions!$B$5:$B$3000,$A18)</f>
        <v>3400</v>
      </c>
      <c r="H18" s="14" t="n">
        <f aca="false">SUMIFS(Withdrawals!$C$5:$C$1000,Withdrawals!$B$5:$B$1000,$A18,Withdrawals!$L$5:$L$1000,1,Withdrawals!$D$5:$D$1000,Settings!$B$6)</f>
        <v>550</v>
      </c>
      <c r="I18" s="14" t="n">
        <f aca="false">COUNTIF(Withdrawals!$B$5:$B$1000,$A18)</f>
        <v>2</v>
      </c>
      <c r="J18" s="21" t="str">
        <f aca="false">IF(G18&lt;0,"NEGATIVE",IF(H18&gt;G18,"Pending &gt; balance","OK"))</f>
        <v>OK</v>
      </c>
    </row>
    <row r="19" customFormat="false" ht="15" hidden="false" customHeight="false" outlineLevel="0" collapsed="false">
      <c r="A19" s="28" t="s">
        <v>231</v>
      </c>
      <c r="B19" s="30" t="n">
        <f aca="false">SUMIFS(Wallet_Transactions!$N$5:$N$3000,Wallet_Transactions!$B$5:$B$3000,$A19,Wallet_Transactions!$D$5:$D$3000,"Reward Credit")</f>
        <v>4000</v>
      </c>
      <c r="C19" s="30" t="n">
        <f aca="false">SUMIFS(Wallet_Transactions!$N$5:$N$3000,Wallet_Transactions!$B$5:$B$3000,$A19,Wallet_Transactions!$D$5:$D$3000,"Redemption")</f>
        <v>-3650</v>
      </c>
      <c r="D19" s="30" t="n">
        <f aca="false">SUMIFS(Wallet_Transactions!$N$5:$N$3000,Wallet_Transactions!$B$5:$B$3000,$A19,Wallet_Transactions!$D$5:$D$3000,"Reversal")</f>
        <v>0</v>
      </c>
      <c r="E19" s="30" t="n">
        <f aca="false">SUMIFS(Wallet_Transactions!$N$5:$N$3000,Wallet_Transactions!$B$5:$B$3000,$A19,Wallet_Transactions!$D$5:$D$3000,"Adjustment")</f>
        <v>0</v>
      </c>
      <c r="F19" s="30" t="n">
        <f aca="false">G19-SUM(B19:E19)</f>
        <v>0</v>
      </c>
      <c r="G19" s="41" t="n">
        <f aca="false">SUMIFS(Wallet_Transactions!$N$5:$N$3000,Wallet_Transactions!$B$5:$B$3000,$A19)</f>
        <v>350</v>
      </c>
      <c r="H19" s="14" t="n">
        <f aca="false">SUMIFS(Withdrawals!$C$5:$C$1000,Withdrawals!$B$5:$B$1000,$A19,Withdrawals!$L$5:$L$1000,1,Withdrawals!$D$5:$D$1000,Settings!$B$6)</f>
        <v>0</v>
      </c>
      <c r="I19" s="14" t="n">
        <f aca="false">COUNTIF(Withdrawals!$B$5:$B$1000,$A19)</f>
        <v>5</v>
      </c>
      <c r="J19" s="21" t="str">
        <f aca="false">IF(G19&lt;0,"NEGATIVE",IF(H19&gt;G19,"Pending &gt; balance","OK"))</f>
        <v>OK</v>
      </c>
    </row>
    <row r="20" customFormat="false" ht="15" hidden="false" customHeight="false" outlineLevel="0" collapsed="false">
      <c r="A20" s="28" t="s">
        <v>289</v>
      </c>
      <c r="B20" s="30" t="n">
        <f aca="false">SUMIFS(Wallet_Transactions!$N$5:$N$3000,Wallet_Transactions!$B$5:$B$3000,$A20,Wallet_Transactions!$D$5:$D$3000,"Reward Credit")</f>
        <v>3250</v>
      </c>
      <c r="C20" s="30" t="n">
        <f aca="false">SUMIFS(Wallet_Transactions!$N$5:$N$3000,Wallet_Transactions!$B$5:$B$3000,$A20,Wallet_Transactions!$D$5:$D$3000,"Redemption")</f>
        <v>0</v>
      </c>
      <c r="D20" s="30" t="n">
        <f aca="false">SUMIFS(Wallet_Transactions!$N$5:$N$3000,Wallet_Transactions!$B$5:$B$3000,$A20,Wallet_Transactions!$D$5:$D$3000,"Reversal")</f>
        <v>0</v>
      </c>
      <c r="E20" s="30" t="n">
        <f aca="false">SUMIFS(Wallet_Transactions!$N$5:$N$3000,Wallet_Transactions!$B$5:$B$3000,$A20,Wallet_Transactions!$D$5:$D$3000,"Adjustment")</f>
        <v>0</v>
      </c>
      <c r="F20" s="30" t="n">
        <f aca="false">G20-SUM(B20:E20)</f>
        <v>0</v>
      </c>
      <c r="G20" s="41" t="n">
        <f aca="false">SUMIFS(Wallet_Transactions!$N$5:$N$3000,Wallet_Transactions!$B$5:$B$3000,$A20)</f>
        <v>3250</v>
      </c>
      <c r="H20" s="14" t="n">
        <f aca="false">SUMIFS(Withdrawals!$C$5:$C$1000,Withdrawals!$B$5:$B$1000,$A20,Withdrawals!$L$5:$L$1000,1,Withdrawals!$D$5:$D$1000,Settings!$B$6)</f>
        <v>1500</v>
      </c>
      <c r="I20" s="14" t="n">
        <f aca="false">COUNTIF(Withdrawals!$B$5:$B$1000,$A20)</f>
        <v>1</v>
      </c>
      <c r="J20" s="21" t="str">
        <f aca="false">IF(G20&lt;0,"NEGATIVE",IF(H20&gt;G20,"Pending &gt; balance","OK"))</f>
        <v>OK</v>
      </c>
    </row>
    <row r="21" customFormat="false" ht="15" hidden="false" customHeight="false" outlineLevel="0" collapsed="false">
      <c r="A21" s="28" t="s">
        <v>287</v>
      </c>
      <c r="B21" s="30" t="n">
        <f aca="false">SUMIFS(Wallet_Transactions!$N$5:$N$3000,Wallet_Transactions!$B$5:$B$3000,$A21,Wallet_Transactions!$D$5:$D$3000,"Reward Credit")</f>
        <v>2600</v>
      </c>
      <c r="C21" s="30" t="n">
        <f aca="false">SUMIFS(Wallet_Transactions!$N$5:$N$3000,Wallet_Transactions!$B$5:$B$3000,$A21,Wallet_Transactions!$D$5:$D$3000,"Redemption")</f>
        <v>0</v>
      </c>
      <c r="D21" s="30" t="n">
        <f aca="false">SUMIFS(Wallet_Transactions!$N$5:$N$3000,Wallet_Transactions!$B$5:$B$3000,$A21,Wallet_Transactions!$D$5:$D$3000,"Reversal")</f>
        <v>0</v>
      </c>
      <c r="E21" s="30" t="n">
        <f aca="false">SUMIFS(Wallet_Transactions!$N$5:$N$3000,Wallet_Transactions!$B$5:$B$3000,$A21,Wallet_Transactions!$D$5:$D$3000,"Adjustment")</f>
        <v>0</v>
      </c>
      <c r="F21" s="30" t="n">
        <f aca="false">G21-SUM(B21:E21)</f>
        <v>0</v>
      </c>
      <c r="G21" s="41" t="n">
        <f aca="false">SUMIFS(Wallet_Transactions!$N$5:$N$3000,Wallet_Transactions!$B$5:$B$3000,$A21)</f>
        <v>2600</v>
      </c>
      <c r="H21" s="14" t="n">
        <f aca="false">SUMIFS(Withdrawals!$C$5:$C$1000,Withdrawals!$B$5:$B$1000,$A21,Withdrawals!$L$5:$L$1000,1,Withdrawals!$D$5:$D$1000,Settings!$B$6)</f>
        <v>1850</v>
      </c>
      <c r="I21" s="14" t="n">
        <f aca="false">COUNTIF(Withdrawals!$B$5:$B$1000,$A21)</f>
        <v>2</v>
      </c>
      <c r="J21" s="21" t="str">
        <f aca="false">IF(G21&lt;0,"NEGATIVE",IF(H21&gt;G21,"Pending &gt; balance","OK"))</f>
        <v>OK</v>
      </c>
    </row>
    <row r="22" customFormat="false" ht="15" hidden="false" customHeight="false" outlineLevel="0" collapsed="false">
      <c r="A22" s="28" t="s">
        <v>254</v>
      </c>
      <c r="B22" s="30" t="n">
        <f aca="false">SUMIFS(Wallet_Transactions!$N$5:$N$3000,Wallet_Transactions!$B$5:$B$3000,$A22,Wallet_Transactions!$D$5:$D$3000,"Reward Credit")</f>
        <v>3750</v>
      </c>
      <c r="C22" s="30" t="n">
        <f aca="false">SUMIFS(Wallet_Transactions!$N$5:$N$3000,Wallet_Transactions!$B$5:$B$3000,$A22,Wallet_Transactions!$D$5:$D$3000,"Redemption")</f>
        <v>0</v>
      </c>
      <c r="D22" s="30" t="n">
        <f aca="false">SUMIFS(Wallet_Transactions!$N$5:$N$3000,Wallet_Transactions!$B$5:$B$3000,$A22,Wallet_Transactions!$D$5:$D$3000,"Reversal")</f>
        <v>0</v>
      </c>
      <c r="E22" s="30" t="n">
        <f aca="false">SUMIFS(Wallet_Transactions!$N$5:$N$3000,Wallet_Transactions!$B$5:$B$3000,$A22,Wallet_Transactions!$D$5:$D$3000,"Adjustment")</f>
        <v>0</v>
      </c>
      <c r="F22" s="30" t="n">
        <f aca="false">G22-SUM(B22:E22)</f>
        <v>0</v>
      </c>
      <c r="G22" s="41" t="n">
        <f aca="false">SUMIFS(Wallet_Transactions!$N$5:$N$3000,Wallet_Transactions!$B$5:$B$3000,$A22)</f>
        <v>3750</v>
      </c>
      <c r="H22" s="14" t="n">
        <f aca="false">SUMIFS(Withdrawals!$C$5:$C$1000,Withdrawals!$B$5:$B$1000,$A22,Withdrawals!$L$5:$L$1000,1,Withdrawals!$D$5:$D$1000,Settings!$B$6)</f>
        <v>750</v>
      </c>
      <c r="I22" s="14" t="n">
        <f aca="false">COUNTIF(Withdrawals!$B$5:$B$1000,$A22)</f>
        <v>2</v>
      </c>
      <c r="J22" s="21" t="str">
        <f aca="false">IF(G22&lt;0,"NEGATIVE",IF(H22&gt;G22,"Pending &gt; balance","OK"))</f>
        <v>OK</v>
      </c>
    </row>
    <row r="23" customFormat="false" ht="15" hidden="false" customHeight="false" outlineLevel="0" collapsed="false">
      <c r="A23" s="28" t="s">
        <v>275</v>
      </c>
      <c r="B23" s="30" t="n">
        <f aca="false">SUMIFS(Wallet_Transactions!$N$5:$N$3000,Wallet_Transactions!$B$5:$B$3000,$A23,Wallet_Transactions!$D$5:$D$3000,"Reward Credit")</f>
        <v>4250</v>
      </c>
      <c r="C23" s="30" t="n">
        <f aca="false">SUMIFS(Wallet_Transactions!$N$5:$N$3000,Wallet_Transactions!$B$5:$B$3000,$A23,Wallet_Transactions!$D$5:$D$3000,"Redemption")</f>
        <v>0</v>
      </c>
      <c r="D23" s="30" t="n">
        <f aca="false">SUMIFS(Wallet_Transactions!$N$5:$N$3000,Wallet_Transactions!$B$5:$B$3000,$A23,Wallet_Transactions!$D$5:$D$3000,"Reversal")</f>
        <v>0</v>
      </c>
      <c r="E23" s="30" t="n">
        <f aca="false">SUMIFS(Wallet_Transactions!$N$5:$N$3000,Wallet_Transactions!$B$5:$B$3000,$A23,Wallet_Transactions!$D$5:$D$3000,"Adjustment")</f>
        <v>0</v>
      </c>
      <c r="F23" s="30" t="n">
        <f aca="false">G23-SUM(B23:E23)</f>
        <v>0</v>
      </c>
      <c r="G23" s="41" t="n">
        <f aca="false">SUMIFS(Wallet_Transactions!$N$5:$N$3000,Wallet_Transactions!$B$5:$B$3000,$A23)</f>
        <v>4250</v>
      </c>
      <c r="H23" s="14" t="n">
        <f aca="false">SUMIFS(Withdrawals!$C$5:$C$1000,Withdrawals!$B$5:$B$1000,$A23,Withdrawals!$L$5:$L$1000,1,Withdrawals!$D$5:$D$1000,Settings!$B$6)</f>
        <v>600</v>
      </c>
      <c r="I23" s="14" t="n">
        <f aca="false">COUNTIF(Withdrawals!$B$5:$B$1000,$A23)</f>
        <v>1</v>
      </c>
      <c r="J23" s="21" t="str">
        <f aca="false">IF(G23&lt;0,"NEGATIVE",IF(H23&gt;G23,"Pending &gt; balance","OK"))</f>
        <v>OK</v>
      </c>
    </row>
    <row r="24" customFormat="false" ht="15" hidden="false" customHeight="false" outlineLevel="0" collapsed="false">
      <c r="A24" s="28" t="s">
        <v>249</v>
      </c>
      <c r="B24" s="30" t="n">
        <f aca="false">SUMIFS(Wallet_Transactions!$N$5:$N$3000,Wallet_Transactions!$B$5:$B$3000,$A24,Wallet_Transactions!$D$5:$D$3000,"Reward Credit")</f>
        <v>2100</v>
      </c>
      <c r="C24" s="30" t="n">
        <f aca="false">SUMIFS(Wallet_Transactions!$N$5:$N$3000,Wallet_Transactions!$B$5:$B$3000,$A24,Wallet_Transactions!$D$5:$D$3000,"Redemption")</f>
        <v>-600</v>
      </c>
      <c r="D24" s="30" t="n">
        <f aca="false">SUMIFS(Wallet_Transactions!$N$5:$N$3000,Wallet_Transactions!$B$5:$B$3000,$A24,Wallet_Transactions!$D$5:$D$3000,"Reversal")</f>
        <v>-100</v>
      </c>
      <c r="E24" s="30" t="n">
        <f aca="false">SUMIFS(Wallet_Transactions!$N$5:$N$3000,Wallet_Transactions!$B$5:$B$3000,$A24,Wallet_Transactions!$D$5:$D$3000,"Adjustment")</f>
        <v>0</v>
      </c>
      <c r="F24" s="30" t="n">
        <f aca="false">G24-SUM(B24:E24)</f>
        <v>0</v>
      </c>
      <c r="G24" s="41" t="n">
        <f aca="false">SUMIFS(Wallet_Transactions!$N$5:$N$3000,Wallet_Transactions!$B$5:$B$3000,$A24)</f>
        <v>1400</v>
      </c>
      <c r="H24" s="14" t="n">
        <f aca="false">SUMIFS(Withdrawals!$C$5:$C$1000,Withdrawals!$B$5:$B$1000,$A24,Withdrawals!$L$5:$L$1000,1,Withdrawals!$D$5:$D$1000,Settings!$B$6)</f>
        <v>0</v>
      </c>
      <c r="I24" s="14" t="n">
        <f aca="false">COUNTIF(Withdrawals!$B$5:$B$1000,$A24)</f>
        <v>1</v>
      </c>
      <c r="J24" s="21" t="str">
        <f aca="false">IF(G24&lt;0,"NEGATIVE",IF(H24&gt;G24,"Pending &gt; balance","OK"))</f>
        <v>OK</v>
      </c>
    </row>
    <row r="25" customFormat="false" ht="15" hidden="false" customHeight="false" outlineLevel="0" collapsed="false">
      <c r="A25" s="13" t="s">
        <v>156</v>
      </c>
      <c r="B25" s="41" t="n">
        <f aca="false">SUM(B5:B24)</f>
        <v>63500</v>
      </c>
      <c r="C25" s="41" t="n">
        <f aca="false">SUM(C5:C24)</f>
        <v>-30200</v>
      </c>
      <c r="D25" s="41" t="n">
        <f aca="false">SUM(D5:D24)</f>
        <v>100</v>
      </c>
      <c r="E25" s="41" t="n">
        <f aca="false">SUM(E5:E24)</f>
        <v>0</v>
      </c>
      <c r="F25" s="41" t="n">
        <f aca="false">SUM(F5:F24)</f>
        <v>0</v>
      </c>
      <c r="G25" s="41" t="n">
        <f aca="false">SUM(G5:G24)</f>
        <v>33400</v>
      </c>
      <c r="H25" s="41" t="n">
        <f aca="false">SUM(H5:H24)</f>
        <v>10100</v>
      </c>
      <c r="I25" s="41" t="n">
        <f aca="false">SUM(I5:I24)</f>
        <v>48</v>
      </c>
    </row>
    <row r="26" customFormat="false" ht="15" hidden="false" customHeight="false" outlineLevel="0" collapsed="false">
      <c r="A26" s="33" t="s">
        <v>820</v>
      </c>
      <c r="G26" s="20" t="n">
        <f aca="false">G25-SUM(Wallet_Transactions!$N$5:$N$3000)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17.35" hidden="false" customHeight="false" outlineLevel="0" collapsed="false">
      <c r="A1" s="1" t="s">
        <v>821</v>
      </c>
    </row>
    <row r="2" customFormat="false" ht="15" hidden="false" customHeight="false" outlineLevel="0" collapsed="false">
      <c r="A2" s="33" t="s">
        <v>822</v>
      </c>
    </row>
    <row r="4" customFormat="false" ht="43.5" hidden="false" customHeight="true" outlineLevel="0" collapsed="false">
      <c r="A4" s="12" t="s">
        <v>306</v>
      </c>
      <c r="B4" s="12" t="s">
        <v>823</v>
      </c>
      <c r="C4" s="12" t="s">
        <v>206</v>
      </c>
      <c r="D4" s="12" t="s">
        <v>72</v>
      </c>
      <c r="E4" s="12" t="s">
        <v>824</v>
      </c>
      <c r="F4" s="12" t="s">
        <v>74</v>
      </c>
      <c r="G4" s="12" t="s">
        <v>76</v>
      </c>
      <c r="H4" s="12" t="s">
        <v>825</v>
      </c>
      <c r="I4" s="12" t="s">
        <v>826</v>
      </c>
      <c r="J4" s="12" t="s">
        <v>827</v>
      </c>
      <c r="K4" s="12" t="s">
        <v>828</v>
      </c>
      <c r="L4" s="12" t="s">
        <v>829</v>
      </c>
    </row>
    <row r="5" customFormat="false" ht="15" hidden="false" customHeight="false" outlineLevel="0" collapsed="false">
      <c r="A5" s="42" t="n">
        <f aca="false">Settings!$B$4</f>
        <v>46266</v>
      </c>
      <c r="B5" s="14" t="n">
        <f aca="false">COUNTIFS(Withdrawals!$F$5:$F$1000,"&gt;="&amp;$A5,Withdrawals!$F$5:$F$1000,"&lt;"&amp;($A5+1))</f>
        <v>0</v>
      </c>
      <c r="C5" s="14" t="n">
        <f aca="false">SUMIFS(Withdrawals!$C$5:$C$1000,Withdrawals!$F$5:$F$1000,"&gt;="&amp;$A5,Withdrawals!$F$5:$F$1000,"&lt;"&amp;($A5+1),Withdrawals!$D$5:$D$1000,Settings!$B$6)</f>
        <v>0</v>
      </c>
      <c r="D5" s="14" t="n">
        <f aca="false">COUNTIFS(Withdrawals!$H$5:$H$1000,"&gt;="&amp;$A5,Withdrawals!$H$5:$H$1000,"&lt;"&amp;($A5+1),Withdrawals!$I$5:$I$1000,"Completed")</f>
        <v>0</v>
      </c>
      <c r="E5" s="14" t="n">
        <f aca="false">SUMIFS(Withdrawals!$C$5:$C$1000,Withdrawals!$H$5:$H$1000,"&gt;="&amp;$A5,Withdrawals!$H$5:$H$1000,"&lt;"&amp;($A5+1),Withdrawals!$I$5:$I$1000,"Completed",Withdrawals!$D$5:$D$1000,Settings!$B$6)</f>
        <v>0</v>
      </c>
      <c r="F5" s="14" t="n">
        <f aca="false">COUNTIFS(Withdrawals!$H$5:$H$1000,"&gt;="&amp;$A5,Withdrawals!$H$5:$H$1000,"&lt;"&amp;($A5+1),Withdrawals!$I$5:$I$1000,"Rejected")</f>
        <v>0</v>
      </c>
      <c r="G5" s="14" t="n">
        <f aca="false">COUNTIFS(Withdrawals!$H$5:$H$1000,"&gt;="&amp;$A5,Withdrawals!$H$5:$H$1000,"&lt;"&amp;($A5+1),Withdrawals!$I$5:$I$1000,"Reversed")</f>
        <v>0</v>
      </c>
      <c r="H5" s="14" t="n">
        <f aca="false">COUNTIFS(Withdrawals!$F$5:$F$1000,"&lt;"&amp;($A5+1))-COUNTIFS(Withdrawals!$H$5:$H$1000,"&lt;"&amp;($A5+1))</f>
        <v>0</v>
      </c>
      <c r="I5" s="14" t="n">
        <f aca="false">SUM($B$5:B5)</f>
        <v>0</v>
      </c>
      <c r="J5" s="14" t="n">
        <f aca="false">SUMIFS(Wallet_Transactions!$N$5:$N$3000,Wallet_Transactions!$R$5:$R$3000,$A5,Wallet_Transactions!$D$5:$D$3000,"Reward Credit")</f>
        <v>1650</v>
      </c>
      <c r="K5" s="14" t="n">
        <f aca="false">-SUMIFS(Wallet_Transactions!$N$5:$N$3000,Wallet_Transactions!$R$5:$R$3000,$A5,Wallet_Transactions!$D$5:$D$3000,"Redemption")</f>
        <v>-0</v>
      </c>
      <c r="L5" s="30" t="n">
        <f aca="false">SUMIFS(Wallet_Transactions!$N$5:$N$3000,Wallet_Transactions!$R$5:$R$3000,$A5)</f>
        <v>1650</v>
      </c>
    </row>
    <row r="6" customFormat="false" ht="15" hidden="false" customHeight="false" outlineLevel="0" collapsed="false">
      <c r="A6" s="42" t="n">
        <f aca="false">A5+1</f>
        <v>46267</v>
      </c>
      <c r="B6" s="14" t="n">
        <f aca="false">COUNTIFS(Withdrawals!$F$5:$F$1000,"&gt;="&amp;$A6,Withdrawals!$F$5:$F$1000,"&lt;"&amp;($A6+1))</f>
        <v>0</v>
      </c>
      <c r="C6" s="14" t="n">
        <f aca="false">SUMIFS(Withdrawals!$C$5:$C$1000,Withdrawals!$F$5:$F$1000,"&gt;="&amp;$A6,Withdrawals!$F$5:$F$1000,"&lt;"&amp;($A6+1),Withdrawals!$D$5:$D$1000,Settings!$B$6)</f>
        <v>0</v>
      </c>
      <c r="D6" s="14" t="n">
        <f aca="false">COUNTIFS(Withdrawals!$H$5:$H$1000,"&gt;="&amp;$A6,Withdrawals!$H$5:$H$1000,"&lt;"&amp;($A6+1),Withdrawals!$I$5:$I$1000,"Completed")</f>
        <v>0</v>
      </c>
      <c r="E6" s="14" t="n">
        <f aca="false">SUMIFS(Withdrawals!$C$5:$C$1000,Withdrawals!$H$5:$H$1000,"&gt;="&amp;$A6,Withdrawals!$H$5:$H$1000,"&lt;"&amp;($A6+1),Withdrawals!$I$5:$I$1000,"Completed",Withdrawals!$D$5:$D$1000,Settings!$B$6)</f>
        <v>0</v>
      </c>
      <c r="F6" s="14" t="n">
        <f aca="false">COUNTIFS(Withdrawals!$H$5:$H$1000,"&gt;="&amp;$A6,Withdrawals!$H$5:$H$1000,"&lt;"&amp;($A6+1),Withdrawals!$I$5:$I$1000,"Rejected")</f>
        <v>0</v>
      </c>
      <c r="G6" s="14" t="n">
        <f aca="false">COUNTIFS(Withdrawals!$H$5:$H$1000,"&gt;="&amp;$A6,Withdrawals!$H$5:$H$1000,"&lt;"&amp;($A6+1),Withdrawals!$I$5:$I$1000,"Reversed")</f>
        <v>0</v>
      </c>
      <c r="H6" s="14" t="n">
        <f aca="false">COUNTIFS(Withdrawals!$F$5:$F$1000,"&lt;"&amp;($A6+1))-COUNTIFS(Withdrawals!$H$5:$H$1000,"&lt;"&amp;($A6+1))</f>
        <v>0</v>
      </c>
      <c r="I6" s="14" t="n">
        <f aca="false">SUM($B$5:B6)</f>
        <v>0</v>
      </c>
      <c r="J6" s="14" t="n">
        <f aca="false">SUMIFS(Wallet_Transactions!$N$5:$N$3000,Wallet_Transactions!$R$5:$R$3000,$A6,Wallet_Transactions!$D$5:$D$3000,"Reward Credit")</f>
        <v>1300</v>
      </c>
      <c r="K6" s="14" t="n">
        <f aca="false">-SUMIFS(Wallet_Transactions!$N$5:$N$3000,Wallet_Transactions!$R$5:$R$3000,$A6,Wallet_Transactions!$D$5:$D$3000,"Redemption")</f>
        <v>-0</v>
      </c>
      <c r="L6" s="30" t="n">
        <f aca="false">SUMIFS(Wallet_Transactions!$N$5:$N$3000,Wallet_Transactions!$R$5:$R$3000,$A6)</f>
        <v>1300</v>
      </c>
    </row>
    <row r="7" customFormat="false" ht="15" hidden="false" customHeight="false" outlineLevel="0" collapsed="false">
      <c r="A7" s="42" t="n">
        <f aca="false">A6+1</f>
        <v>46268</v>
      </c>
      <c r="B7" s="14" t="n">
        <f aca="false">COUNTIFS(Withdrawals!$F$5:$F$1000,"&gt;="&amp;$A7,Withdrawals!$F$5:$F$1000,"&lt;"&amp;($A7+1))</f>
        <v>0</v>
      </c>
      <c r="C7" s="14" t="n">
        <f aca="false">SUMIFS(Withdrawals!$C$5:$C$1000,Withdrawals!$F$5:$F$1000,"&gt;="&amp;$A7,Withdrawals!$F$5:$F$1000,"&lt;"&amp;($A7+1),Withdrawals!$D$5:$D$1000,Settings!$B$6)</f>
        <v>0</v>
      </c>
      <c r="D7" s="14" t="n">
        <f aca="false">COUNTIFS(Withdrawals!$H$5:$H$1000,"&gt;="&amp;$A7,Withdrawals!$H$5:$H$1000,"&lt;"&amp;($A7+1),Withdrawals!$I$5:$I$1000,"Completed")</f>
        <v>0</v>
      </c>
      <c r="E7" s="14" t="n">
        <f aca="false">SUMIFS(Withdrawals!$C$5:$C$1000,Withdrawals!$H$5:$H$1000,"&gt;="&amp;$A7,Withdrawals!$H$5:$H$1000,"&lt;"&amp;($A7+1),Withdrawals!$I$5:$I$1000,"Completed",Withdrawals!$D$5:$D$1000,Settings!$B$6)</f>
        <v>0</v>
      </c>
      <c r="F7" s="14" t="n">
        <f aca="false">COUNTIFS(Withdrawals!$H$5:$H$1000,"&gt;="&amp;$A7,Withdrawals!$H$5:$H$1000,"&lt;"&amp;($A7+1),Withdrawals!$I$5:$I$1000,"Rejected")</f>
        <v>0</v>
      </c>
      <c r="G7" s="14" t="n">
        <f aca="false">COUNTIFS(Withdrawals!$H$5:$H$1000,"&gt;="&amp;$A7,Withdrawals!$H$5:$H$1000,"&lt;"&amp;($A7+1),Withdrawals!$I$5:$I$1000,"Reversed")</f>
        <v>0</v>
      </c>
      <c r="H7" s="14" t="n">
        <f aca="false">COUNTIFS(Withdrawals!$F$5:$F$1000,"&lt;"&amp;($A7+1))-COUNTIFS(Withdrawals!$H$5:$H$1000,"&lt;"&amp;($A7+1))</f>
        <v>0</v>
      </c>
      <c r="I7" s="14" t="n">
        <f aca="false">SUM($B$5:B7)</f>
        <v>0</v>
      </c>
      <c r="J7" s="14" t="n">
        <f aca="false">SUMIFS(Wallet_Transactions!$N$5:$N$3000,Wallet_Transactions!$R$5:$R$3000,$A7,Wallet_Transactions!$D$5:$D$3000,"Reward Credit")</f>
        <v>1900</v>
      </c>
      <c r="K7" s="14" t="n">
        <f aca="false">-SUMIFS(Wallet_Transactions!$N$5:$N$3000,Wallet_Transactions!$R$5:$R$3000,$A7,Wallet_Transactions!$D$5:$D$3000,"Redemption")</f>
        <v>-0</v>
      </c>
      <c r="L7" s="30" t="n">
        <f aca="false">SUMIFS(Wallet_Transactions!$N$5:$N$3000,Wallet_Transactions!$R$5:$R$3000,$A7)</f>
        <v>1900</v>
      </c>
    </row>
    <row r="8" customFormat="false" ht="15" hidden="false" customHeight="false" outlineLevel="0" collapsed="false">
      <c r="A8" s="42" t="n">
        <f aca="false">A7+1</f>
        <v>46269</v>
      </c>
      <c r="B8" s="14" t="n">
        <f aca="false">COUNTIFS(Withdrawals!$F$5:$F$1000,"&gt;="&amp;$A8,Withdrawals!$F$5:$F$1000,"&lt;"&amp;($A8+1))</f>
        <v>0</v>
      </c>
      <c r="C8" s="14" t="n">
        <f aca="false">SUMIFS(Withdrawals!$C$5:$C$1000,Withdrawals!$F$5:$F$1000,"&gt;="&amp;$A8,Withdrawals!$F$5:$F$1000,"&lt;"&amp;($A8+1),Withdrawals!$D$5:$D$1000,Settings!$B$6)</f>
        <v>0</v>
      </c>
      <c r="D8" s="14" t="n">
        <f aca="false">COUNTIFS(Withdrawals!$H$5:$H$1000,"&gt;="&amp;$A8,Withdrawals!$H$5:$H$1000,"&lt;"&amp;($A8+1),Withdrawals!$I$5:$I$1000,"Completed")</f>
        <v>0</v>
      </c>
      <c r="E8" s="14" t="n">
        <f aca="false">SUMIFS(Withdrawals!$C$5:$C$1000,Withdrawals!$H$5:$H$1000,"&gt;="&amp;$A8,Withdrawals!$H$5:$H$1000,"&lt;"&amp;($A8+1),Withdrawals!$I$5:$I$1000,"Completed",Withdrawals!$D$5:$D$1000,Settings!$B$6)</f>
        <v>0</v>
      </c>
      <c r="F8" s="14" t="n">
        <f aca="false">COUNTIFS(Withdrawals!$H$5:$H$1000,"&gt;="&amp;$A8,Withdrawals!$H$5:$H$1000,"&lt;"&amp;($A8+1),Withdrawals!$I$5:$I$1000,"Rejected")</f>
        <v>0</v>
      </c>
      <c r="G8" s="14" t="n">
        <f aca="false">COUNTIFS(Withdrawals!$H$5:$H$1000,"&gt;="&amp;$A8,Withdrawals!$H$5:$H$1000,"&lt;"&amp;($A8+1),Withdrawals!$I$5:$I$1000,"Reversed")</f>
        <v>0</v>
      </c>
      <c r="H8" s="14" t="n">
        <f aca="false">COUNTIFS(Withdrawals!$F$5:$F$1000,"&lt;"&amp;($A8+1))-COUNTIFS(Withdrawals!$H$5:$H$1000,"&lt;"&amp;($A8+1))</f>
        <v>0</v>
      </c>
      <c r="I8" s="14" t="n">
        <f aca="false">SUM($B$5:B8)</f>
        <v>0</v>
      </c>
      <c r="J8" s="14" t="n">
        <f aca="false">SUMIFS(Wallet_Transactions!$N$5:$N$3000,Wallet_Transactions!$R$5:$R$3000,$A8,Wallet_Transactions!$D$5:$D$3000,"Reward Credit")</f>
        <v>1500</v>
      </c>
      <c r="K8" s="14" t="n">
        <f aca="false">-SUMIFS(Wallet_Transactions!$N$5:$N$3000,Wallet_Transactions!$R$5:$R$3000,$A8,Wallet_Transactions!$D$5:$D$3000,"Redemption")</f>
        <v>-0</v>
      </c>
      <c r="L8" s="30" t="n">
        <f aca="false">SUMIFS(Wallet_Transactions!$N$5:$N$3000,Wallet_Transactions!$R$5:$R$3000,$A8)</f>
        <v>1500</v>
      </c>
    </row>
    <row r="9" customFormat="false" ht="15" hidden="false" customHeight="false" outlineLevel="0" collapsed="false">
      <c r="A9" s="42" t="n">
        <f aca="false">A8+1</f>
        <v>46270</v>
      </c>
      <c r="B9" s="14" t="n">
        <f aca="false">COUNTIFS(Withdrawals!$F$5:$F$1000,"&gt;="&amp;$A9,Withdrawals!$F$5:$F$1000,"&lt;"&amp;($A9+1))</f>
        <v>1</v>
      </c>
      <c r="C9" s="14" t="n">
        <f aca="false">SUMIFS(Withdrawals!$C$5:$C$1000,Withdrawals!$F$5:$F$1000,"&gt;="&amp;$A9,Withdrawals!$F$5:$F$1000,"&lt;"&amp;($A9+1),Withdrawals!$D$5:$D$1000,Settings!$B$6)</f>
        <v>800</v>
      </c>
      <c r="D9" s="14" t="n">
        <f aca="false">COUNTIFS(Withdrawals!$H$5:$H$1000,"&gt;="&amp;$A9,Withdrawals!$H$5:$H$1000,"&lt;"&amp;($A9+1),Withdrawals!$I$5:$I$1000,"Completed")</f>
        <v>0</v>
      </c>
      <c r="E9" s="14" t="n">
        <f aca="false">SUMIFS(Withdrawals!$C$5:$C$1000,Withdrawals!$H$5:$H$1000,"&gt;="&amp;$A9,Withdrawals!$H$5:$H$1000,"&lt;"&amp;($A9+1),Withdrawals!$I$5:$I$1000,"Completed",Withdrawals!$D$5:$D$1000,Settings!$B$6)</f>
        <v>0</v>
      </c>
      <c r="F9" s="14" t="n">
        <f aca="false">COUNTIFS(Withdrawals!$H$5:$H$1000,"&gt;="&amp;$A9,Withdrawals!$H$5:$H$1000,"&lt;"&amp;($A9+1),Withdrawals!$I$5:$I$1000,"Rejected")</f>
        <v>0</v>
      </c>
      <c r="G9" s="14" t="n">
        <f aca="false">COUNTIFS(Withdrawals!$H$5:$H$1000,"&gt;="&amp;$A9,Withdrawals!$H$5:$H$1000,"&lt;"&amp;($A9+1),Withdrawals!$I$5:$I$1000,"Reversed")</f>
        <v>0</v>
      </c>
      <c r="H9" s="14" t="n">
        <f aca="false">COUNTIFS(Withdrawals!$F$5:$F$1000,"&lt;"&amp;($A9+1))-COUNTIFS(Withdrawals!$H$5:$H$1000,"&lt;"&amp;($A9+1))</f>
        <v>1</v>
      </c>
      <c r="I9" s="14" t="n">
        <f aca="false">SUM($B$5:B9)</f>
        <v>1</v>
      </c>
      <c r="J9" s="14" t="n">
        <f aca="false">SUMIFS(Wallet_Transactions!$N$5:$N$3000,Wallet_Transactions!$R$5:$R$3000,$A9,Wallet_Transactions!$D$5:$D$3000,"Reward Credit")</f>
        <v>1900</v>
      </c>
      <c r="K9" s="14" t="n">
        <f aca="false">-SUMIFS(Wallet_Transactions!$N$5:$N$3000,Wallet_Transactions!$R$5:$R$3000,$A9,Wallet_Transactions!$D$5:$D$3000,"Redemption")</f>
        <v>-0</v>
      </c>
      <c r="L9" s="30" t="n">
        <f aca="false">SUMIFS(Wallet_Transactions!$N$5:$N$3000,Wallet_Transactions!$R$5:$R$3000,$A9)</f>
        <v>1900</v>
      </c>
    </row>
    <row r="10" customFormat="false" ht="15" hidden="false" customHeight="false" outlineLevel="0" collapsed="false">
      <c r="A10" s="42" t="n">
        <f aca="false">A9+1</f>
        <v>46271</v>
      </c>
      <c r="B10" s="14" t="n">
        <f aca="false">COUNTIFS(Withdrawals!$F$5:$F$1000,"&gt;="&amp;$A10,Withdrawals!$F$5:$F$1000,"&lt;"&amp;($A10+1))</f>
        <v>1</v>
      </c>
      <c r="C10" s="14" t="n">
        <f aca="false">SUMIFS(Withdrawals!$C$5:$C$1000,Withdrawals!$F$5:$F$1000,"&gt;="&amp;$A10,Withdrawals!$F$5:$F$1000,"&lt;"&amp;($A10+1),Withdrawals!$D$5:$D$1000,Settings!$B$6)</f>
        <v>1100</v>
      </c>
      <c r="D10" s="14" t="n">
        <f aca="false">COUNTIFS(Withdrawals!$H$5:$H$1000,"&gt;="&amp;$A10,Withdrawals!$H$5:$H$1000,"&lt;"&amp;($A10+1),Withdrawals!$I$5:$I$1000,"Completed")</f>
        <v>0</v>
      </c>
      <c r="E10" s="14" t="n">
        <f aca="false">SUMIFS(Withdrawals!$C$5:$C$1000,Withdrawals!$H$5:$H$1000,"&gt;="&amp;$A10,Withdrawals!$H$5:$H$1000,"&lt;"&amp;($A10+1),Withdrawals!$I$5:$I$1000,"Completed",Withdrawals!$D$5:$D$1000,Settings!$B$6)</f>
        <v>0</v>
      </c>
      <c r="F10" s="14" t="n">
        <f aca="false">COUNTIFS(Withdrawals!$H$5:$H$1000,"&gt;="&amp;$A10,Withdrawals!$H$5:$H$1000,"&lt;"&amp;($A10+1),Withdrawals!$I$5:$I$1000,"Rejected")</f>
        <v>0</v>
      </c>
      <c r="G10" s="14" t="n">
        <f aca="false">COUNTIFS(Withdrawals!$H$5:$H$1000,"&gt;="&amp;$A10,Withdrawals!$H$5:$H$1000,"&lt;"&amp;($A10+1),Withdrawals!$I$5:$I$1000,"Reversed")</f>
        <v>0</v>
      </c>
      <c r="H10" s="14" t="n">
        <f aca="false">COUNTIFS(Withdrawals!$F$5:$F$1000,"&lt;"&amp;($A10+1))-COUNTIFS(Withdrawals!$H$5:$H$1000,"&lt;"&amp;($A10+1))</f>
        <v>2</v>
      </c>
      <c r="I10" s="14" t="n">
        <f aca="false">SUM($B$5:B10)</f>
        <v>2</v>
      </c>
      <c r="J10" s="14" t="n">
        <f aca="false">SUMIFS(Wallet_Transactions!$N$5:$N$3000,Wallet_Transactions!$R$5:$R$3000,$A10,Wallet_Transactions!$D$5:$D$3000,"Reward Credit")</f>
        <v>550</v>
      </c>
      <c r="K10" s="14" t="n">
        <f aca="false">-SUMIFS(Wallet_Transactions!$N$5:$N$3000,Wallet_Transactions!$R$5:$R$3000,$A10,Wallet_Transactions!$D$5:$D$3000,"Redemption")</f>
        <v>-0</v>
      </c>
      <c r="L10" s="30" t="n">
        <f aca="false">SUMIFS(Wallet_Transactions!$N$5:$N$3000,Wallet_Transactions!$R$5:$R$3000,$A10)</f>
        <v>550</v>
      </c>
    </row>
    <row r="11" customFormat="false" ht="15" hidden="false" customHeight="false" outlineLevel="0" collapsed="false">
      <c r="A11" s="42" t="n">
        <f aca="false">A10+1</f>
        <v>46272</v>
      </c>
      <c r="B11" s="14" t="n">
        <f aca="false">COUNTIFS(Withdrawals!$F$5:$F$1000,"&gt;="&amp;$A11,Withdrawals!$F$5:$F$1000,"&lt;"&amp;($A11+1))</f>
        <v>0</v>
      </c>
      <c r="C11" s="14" t="n">
        <f aca="false">SUMIFS(Withdrawals!$C$5:$C$1000,Withdrawals!$F$5:$F$1000,"&gt;="&amp;$A11,Withdrawals!$F$5:$F$1000,"&lt;"&amp;($A11+1),Withdrawals!$D$5:$D$1000,Settings!$B$6)</f>
        <v>0</v>
      </c>
      <c r="D11" s="14" t="n">
        <f aca="false">COUNTIFS(Withdrawals!$H$5:$H$1000,"&gt;="&amp;$A11,Withdrawals!$H$5:$H$1000,"&lt;"&amp;($A11+1),Withdrawals!$I$5:$I$1000,"Completed")</f>
        <v>1</v>
      </c>
      <c r="E11" s="14" t="n">
        <f aca="false">SUMIFS(Withdrawals!$C$5:$C$1000,Withdrawals!$H$5:$H$1000,"&gt;="&amp;$A11,Withdrawals!$H$5:$H$1000,"&lt;"&amp;($A11+1),Withdrawals!$I$5:$I$1000,"Completed",Withdrawals!$D$5:$D$1000,Settings!$B$6)</f>
        <v>800</v>
      </c>
      <c r="F11" s="14" t="n">
        <f aca="false">COUNTIFS(Withdrawals!$H$5:$H$1000,"&gt;="&amp;$A11,Withdrawals!$H$5:$H$1000,"&lt;"&amp;($A11+1),Withdrawals!$I$5:$I$1000,"Rejected")</f>
        <v>0</v>
      </c>
      <c r="G11" s="14" t="n">
        <f aca="false">COUNTIFS(Withdrawals!$H$5:$H$1000,"&gt;="&amp;$A11,Withdrawals!$H$5:$H$1000,"&lt;"&amp;($A11+1),Withdrawals!$I$5:$I$1000,"Reversed")</f>
        <v>0</v>
      </c>
      <c r="H11" s="14" t="n">
        <f aca="false">COUNTIFS(Withdrawals!$F$5:$F$1000,"&lt;"&amp;($A11+1))-COUNTIFS(Withdrawals!$H$5:$H$1000,"&lt;"&amp;($A11+1))</f>
        <v>1</v>
      </c>
      <c r="I11" s="14" t="n">
        <f aca="false">SUM($B$5:B11)</f>
        <v>2</v>
      </c>
      <c r="J11" s="14" t="n">
        <f aca="false">SUMIFS(Wallet_Transactions!$N$5:$N$3000,Wallet_Transactions!$R$5:$R$3000,$A11,Wallet_Transactions!$D$5:$D$3000,"Reward Credit")</f>
        <v>2100</v>
      </c>
      <c r="K11" s="14" t="n">
        <f aca="false">-SUMIFS(Wallet_Transactions!$N$5:$N$3000,Wallet_Transactions!$R$5:$R$3000,$A11,Wallet_Transactions!$D$5:$D$3000,"Redemption")</f>
        <v>800</v>
      </c>
      <c r="L11" s="30" t="n">
        <f aca="false">SUMIFS(Wallet_Transactions!$N$5:$N$3000,Wallet_Transactions!$R$5:$R$3000,$A11)</f>
        <v>1300</v>
      </c>
    </row>
    <row r="12" customFormat="false" ht="15" hidden="false" customHeight="false" outlineLevel="0" collapsed="false">
      <c r="A12" s="42" t="n">
        <f aca="false">A11+1</f>
        <v>46273</v>
      </c>
      <c r="B12" s="14" t="n">
        <f aca="false">COUNTIFS(Withdrawals!$F$5:$F$1000,"&gt;="&amp;$A12,Withdrawals!$F$5:$F$1000,"&lt;"&amp;($A12+1))</f>
        <v>1</v>
      </c>
      <c r="C12" s="14" t="n">
        <f aca="false">SUMIFS(Withdrawals!$C$5:$C$1000,Withdrawals!$F$5:$F$1000,"&gt;="&amp;$A12,Withdrawals!$F$5:$F$1000,"&lt;"&amp;($A12+1),Withdrawals!$D$5:$D$1000,Settings!$B$6)</f>
        <v>1950</v>
      </c>
      <c r="D12" s="14" t="n">
        <f aca="false">COUNTIFS(Withdrawals!$H$5:$H$1000,"&gt;="&amp;$A12,Withdrawals!$H$5:$H$1000,"&lt;"&amp;($A12+1),Withdrawals!$I$5:$I$1000,"Completed")</f>
        <v>1</v>
      </c>
      <c r="E12" s="14" t="n">
        <f aca="false">SUMIFS(Withdrawals!$C$5:$C$1000,Withdrawals!$H$5:$H$1000,"&gt;="&amp;$A12,Withdrawals!$H$5:$H$1000,"&lt;"&amp;($A12+1),Withdrawals!$I$5:$I$1000,"Completed",Withdrawals!$D$5:$D$1000,Settings!$B$6)</f>
        <v>1100</v>
      </c>
      <c r="F12" s="14" t="n">
        <f aca="false">COUNTIFS(Withdrawals!$H$5:$H$1000,"&gt;="&amp;$A12,Withdrawals!$H$5:$H$1000,"&lt;"&amp;($A12+1),Withdrawals!$I$5:$I$1000,"Rejected")</f>
        <v>0</v>
      </c>
      <c r="G12" s="14" t="n">
        <f aca="false">COUNTIFS(Withdrawals!$H$5:$H$1000,"&gt;="&amp;$A12,Withdrawals!$H$5:$H$1000,"&lt;"&amp;($A12+1),Withdrawals!$I$5:$I$1000,"Reversed")</f>
        <v>0</v>
      </c>
      <c r="H12" s="14" t="n">
        <f aca="false">COUNTIFS(Withdrawals!$F$5:$F$1000,"&lt;"&amp;($A12+1))-COUNTIFS(Withdrawals!$H$5:$H$1000,"&lt;"&amp;($A12+1))</f>
        <v>1</v>
      </c>
      <c r="I12" s="14" t="n">
        <f aca="false">SUM($B$5:B12)</f>
        <v>3</v>
      </c>
      <c r="J12" s="14" t="n">
        <f aca="false">SUMIFS(Wallet_Transactions!$N$5:$N$3000,Wallet_Transactions!$R$5:$R$3000,$A12,Wallet_Transactions!$D$5:$D$3000,"Reward Credit")</f>
        <v>450</v>
      </c>
      <c r="K12" s="14" t="n">
        <f aca="false">-SUMIFS(Wallet_Transactions!$N$5:$N$3000,Wallet_Transactions!$R$5:$R$3000,$A12,Wallet_Transactions!$D$5:$D$3000,"Redemption")</f>
        <v>1100</v>
      </c>
      <c r="L12" s="30" t="n">
        <f aca="false">SUMIFS(Wallet_Transactions!$N$5:$N$3000,Wallet_Transactions!$R$5:$R$3000,$A12)</f>
        <v>-650</v>
      </c>
    </row>
    <row r="13" customFormat="false" ht="15" hidden="false" customHeight="false" outlineLevel="0" collapsed="false">
      <c r="A13" s="42" t="n">
        <f aca="false">A12+1</f>
        <v>46274</v>
      </c>
      <c r="B13" s="14" t="n">
        <f aca="false">COUNTIFS(Withdrawals!$F$5:$F$1000,"&gt;="&amp;$A13,Withdrawals!$F$5:$F$1000,"&lt;"&amp;($A13+1))</f>
        <v>1</v>
      </c>
      <c r="C13" s="14" t="n">
        <f aca="false">SUMIFS(Withdrawals!$C$5:$C$1000,Withdrawals!$F$5:$F$1000,"&gt;="&amp;$A13,Withdrawals!$F$5:$F$1000,"&lt;"&amp;($A13+1),Withdrawals!$D$5:$D$1000,Settings!$B$6)</f>
        <v>550</v>
      </c>
      <c r="D13" s="14" t="n">
        <f aca="false">COUNTIFS(Withdrawals!$H$5:$H$1000,"&gt;="&amp;$A13,Withdrawals!$H$5:$H$1000,"&lt;"&amp;($A13+1),Withdrawals!$I$5:$I$1000,"Completed")</f>
        <v>1</v>
      </c>
      <c r="E13" s="14" t="n">
        <f aca="false">SUMIFS(Withdrawals!$C$5:$C$1000,Withdrawals!$H$5:$H$1000,"&gt;="&amp;$A13,Withdrawals!$H$5:$H$1000,"&lt;"&amp;($A13+1),Withdrawals!$I$5:$I$1000,"Completed",Withdrawals!$D$5:$D$1000,Settings!$B$6)</f>
        <v>1950</v>
      </c>
      <c r="F13" s="14" t="n">
        <f aca="false">COUNTIFS(Withdrawals!$H$5:$H$1000,"&gt;="&amp;$A13,Withdrawals!$H$5:$H$1000,"&lt;"&amp;($A13+1),Withdrawals!$I$5:$I$1000,"Rejected")</f>
        <v>0</v>
      </c>
      <c r="G13" s="14" t="n">
        <f aca="false">COUNTIFS(Withdrawals!$H$5:$H$1000,"&gt;="&amp;$A13,Withdrawals!$H$5:$H$1000,"&lt;"&amp;($A13+1),Withdrawals!$I$5:$I$1000,"Reversed")</f>
        <v>0</v>
      </c>
      <c r="H13" s="14" t="n">
        <f aca="false">COUNTIFS(Withdrawals!$F$5:$F$1000,"&lt;"&amp;($A13+1))-COUNTIFS(Withdrawals!$H$5:$H$1000,"&lt;"&amp;($A13+1))</f>
        <v>1</v>
      </c>
      <c r="I13" s="14" t="n">
        <f aca="false">SUM($B$5:B13)</f>
        <v>4</v>
      </c>
      <c r="J13" s="14" t="n">
        <f aca="false">SUMIFS(Wallet_Transactions!$N$5:$N$3000,Wallet_Transactions!$R$5:$R$3000,$A13,Wallet_Transactions!$D$5:$D$3000,"Reward Credit")</f>
        <v>1400</v>
      </c>
      <c r="K13" s="14" t="n">
        <f aca="false">-SUMIFS(Wallet_Transactions!$N$5:$N$3000,Wallet_Transactions!$R$5:$R$3000,$A13,Wallet_Transactions!$D$5:$D$3000,"Redemption")</f>
        <v>1950</v>
      </c>
      <c r="L13" s="30" t="n">
        <f aca="false">SUMIFS(Wallet_Transactions!$N$5:$N$3000,Wallet_Transactions!$R$5:$R$3000,$A13)</f>
        <v>-550</v>
      </c>
    </row>
    <row r="14" customFormat="false" ht="15" hidden="false" customHeight="false" outlineLevel="0" collapsed="false">
      <c r="A14" s="42" t="n">
        <f aca="false">A13+1</f>
        <v>46275</v>
      </c>
      <c r="B14" s="14" t="n">
        <f aca="false">COUNTIFS(Withdrawals!$F$5:$F$1000,"&gt;="&amp;$A14,Withdrawals!$F$5:$F$1000,"&lt;"&amp;($A14+1))</f>
        <v>0</v>
      </c>
      <c r="C14" s="14" t="n">
        <f aca="false">SUMIFS(Withdrawals!$C$5:$C$1000,Withdrawals!$F$5:$F$1000,"&gt;="&amp;$A14,Withdrawals!$F$5:$F$1000,"&lt;"&amp;($A14+1),Withdrawals!$D$5:$D$1000,Settings!$B$6)</f>
        <v>0</v>
      </c>
      <c r="D14" s="14" t="n">
        <f aca="false">COUNTIFS(Withdrawals!$H$5:$H$1000,"&gt;="&amp;$A14,Withdrawals!$H$5:$H$1000,"&lt;"&amp;($A14+1),Withdrawals!$I$5:$I$1000,"Completed")</f>
        <v>0</v>
      </c>
      <c r="E14" s="14" t="n">
        <f aca="false">SUMIFS(Withdrawals!$C$5:$C$1000,Withdrawals!$H$5:$H$1000,"&gt;="&amp;$A14,Withdrawals!$H$5:$H$1000,"&lt;"&amp;($A14+1),Withdrawals!$I$5:$I$1000,"Completed",Withdrawals!$D$5:$D$1000,Settings!$B$6)</f>
        <v>0</v>
      </c>
      <c r="F14" s="14" t="n">
        <f aca="false">COUNTIFS(Withdrawals!$H$5:$H$1000,"&gt;="&amp;$A14,Withdrawals!$H$5:$H$1000,"&lt;"&amp;($A14+1),Withdrawals!$I$5:$I$1000,"Rejected")</f>
        <v>0</v>
      </c>
      <c r="G14" s="14" t="n">
        <f aca="false">COUNTIFS(Withdrawals!$H$5:$H$1000,"&gt;="&amp;$A14,Withdrawals!$H$5:$H$1000,"&lt;"&amp;($A14+1),Withdrawals!$I$5:$I$1000,"Reversed")</f>
        <v>0</v>
      </c>
      <c r="H14" s="14" t="n">
        <f aca="false">COUNTIFS(Withdrawals!$F$5:$F$1000,"&lt;"&amp;($A14+1))-COUNTIFS(Withdrawals!$H$5:$H$1000,"&lt;"&amp;($A14+1))</f>
        <v>1</v>
      </c>
      <c r="I14" s="14" t="n">
        <f aca="false">SUM($B$5:B14)</f>
        <v>4</v>
      </c>
      <c r="J14" s="14" t="n">
        <f aca="false">SUMIFS(Wallet_Transactions!$N$5:$N$3000,Wallet_Transactions!$R$5:$R$3000,$A14,Wallet_Transactions!$D$5:$D$3000,"Reward Credit")</f>
        <v>1000</v>
      </c>
      <c r="K14" s="14" t="n">
        <f aca="false">-SUMIFS(Wallet_Transactions!$N$5:$N$3000,Wallet_Transactions!$R$5:$R$3000,$A14,Wallet_Transactions!$D$5:$D$3000,"Redemption")</f>
        <v>-0</v>
      </c>
      <c r="L14" s="30" t="n">
        <f aca="false">SUMIFS(Wallet_Transactions!$N$5:$N$3000,Wallet_Transactions!$R$5:$R$3000,$A14)</f>
        <v>1000</v>
      </c>
    </row>
    <row r="15" customFormat="false" ht="15" hidden="false" customHeight="false" outlineLevel="0" collapsed="false">
      <c r="A15" s="42" t="n">
        <f aca="false">A14+1</f>
        <v>46276</v>
      </c>
      <c r="B15" s="14" t="n">
        <f aca="false">COUNTIFS(Withdrawals!$F$5:$F$1000,"&gt;="&amp;$A15,Withdrawals!$F$5:$F$1000,"&lt;"&amp;($A15+1))</f>
        <v>0</v>
      </c>
      <c r="C15" s="14" t="n">
        <f aca="false">SUMIFS(Withdrawals!$C$5:$C$1000,Withdrawals!$F$5:$F$1000,"&gt;="&amp;$A15,Withdrawals!$F$5:$F$1000,"&lt;"&amp;($A15+1),Withdrawals!$D$5:$D$1000,Settings!$B$6)</f>
        <v>0</v>
      </c>
      <c r="D15" s="14" t="n">
        <f aca="false">COUNTIFS(Withdrawals!$H$5:$H$1000,"&gt;="&amp;$A15,Withdrawals!$H$5:$H$1000,"&lt;"&amp;($A15+1),Withdrawals!$I$5:$I$1000,"Completed")</f>
        <v>0</v>
      </c>
      <c r="E15" s="14" t="n">
        <f aca="false">SUMIFS(Withdrawals!$C$5:$C$1000,Withdrawals!$H$5:$H$1000,"&gt;="&amp;$A15,Withdrawals!$H$5:$H$1000,"&lt;"&amp;($A15+1),Withdrawals!$I$5:$I$1000,"Completed",Withdrawals!$D$5:$D$1000,Settings!$B$6)</f>
        <v>0</v>
      </c>
      <c r="F15" s="14" t="n">
        <f aca="false">COUNTIFS(Withdrawals!$H$5:$H$1000,"&gt;="&amp;$A15,Withdrawals!$H$5:$H$1000,"&lt;"&amp;($A15+1),Withdrawals!$I$5:$I$1000,"Rejected")</f>
        <v>0</v>
      </c>
      <c r="G15" s="14" t="n">
        <f aca="false">COUNTIFS(Withdrawals!$H$5:$H$1000,"&gt;="&amp;$A15,Withdrawals!$H$5:$H$1000,"&lt;"&amp;($A15+1),Withdrawals!$I$5:$I$1000,"Reversed")</f>
        <v>0</v>
      </c>
      <c r="H15" s="14" t="n">
        <f aca="false">COUNTIFS(Withdrawals!$F$5:$F$1000,"&lt;"&amp;($A15+1))-COUNTIFS(Withdrawals!$H$5:$H$1000,"&lt;"&amp;($A15+1))</f>
        <v>1</v>
      </c>
      <c r="I15" s="14" t="n">
        <f aca="false">SUM($B$5:B15)</f>
        <v>4</v>
      </c>
      <c r="J15" s="14" t="n">
        <f aca="false">SUMIFS(Wallet_Transactions!$N$5:$N$3000,Wallet_Transactions!$R$5:$R$3000,$A15,Wallet_Transactions!$D$5:$D$3000,"Reward Credit")</f>
        <v>2200</v>
      </c>
      <c r="K15" s="14" t="n">
        <f aca="false">-SUMIFS(Wallet_Transactions!$N$5:$N$3000,Wallet_Transactions!$R$5:$R$3000,$A15,Wallet_Transactions!$D$5:$D$3000,"Redemption")</f>
        <v>-0</v>
      </c>
      <c r="L15" s="30" t="n">
        <f aca="false">SUMIFS(Wallet_Transactions!$N$5:$N$3000,Wallet_Transactions!$R$5:$R$3000,$A15)</f>
        <v>2200</v>
      </c>
    </row>
    <row r="16" customFormat="false" ht="15" hidden="false" customHeight="false" outlineLevel="0" collapsed="false">
      <c r="A16" s="42" t="n">
        <f aca="false">A15+1</f>
        <v>46277</v>
      </c>
      <c r="B16" s="14" t="n">
        <f aca="false">COUNTIFS(Withdrawals!$F$5:$F$1000,"&gt;="&amp;$A16,Withdrawals!$F$5:$F$1000,"&lt;"&amp;($A16+1))</f>
        <v>0</v>
      </c>
      <c r="C16" s="14" t="n">
        <f aca="false">SUMIFS(Withdrawals!$C$5:$C$1000,Withdrawals!$F$5:$F$1000,"&gt;="&amp;$A16,Withdrawals!$F$5:$F$1000,"&lt;"&amp;($A16+1),Withdrawals!$D$5:$D$1000,Settings!$B$6)</f>
        <v>0</v>
      </c>
      <c r="D16" s="14" t="n">
        <f aca="false">COUNTIFS(Withdrawals!$H$5:$H$1000,"&gt;="&amp;$A16,Withdrawals!$H$5:$H$1000,"&lt;"&amp;($A16+1),Withdrawals!$I$5:$I$1000,"Completed")</f>
        <v>1</v>
      </c>
      <c r="E16" s="14" t="n">
        <f aca="false">SUMIFS(Withdrawals!$C$5:$C$1000,Withdrawals!$H$5:$H$1000,"&gt;="&amp;$A16,Withdrawals!$H$5:$H$1000,"&lt;"&amp;($A16+1),Withdrawals!$I$5:$I$1000,"Completed",Withdrawals!$D$5:$D$1000,Settings!$B$6)</f>
        <v>550</v>
      </c>
      <c r="F16" s="14" t="n">
        <f aca="false">COUNTIFS(Withdrawals!$H$5:$H$1000,"&gt;="&amp;$A16,Withdrawals!$H$5:$H$1000,"&lt;"&amp;($A16+1),Withdrawals!$I$5:$I$1000,"Rejected")</f>
        <v>0</v>
      </c>
      <c r="G16" s="14" t="n">
        <f aca="false">COUNTIFS(Withdrawals!$H$5:$H$1000,"&gt;="&amp;$A16,Withdrawals!$H$5:$H$1000,"&lt;"&amp;($A16+1),Withdrawals!$I$5:$I$1000,"Reversed")</f>
        <v>0</v>
      </c>
      <c r="H16" s="14" t="n">
        <f aca="false">COUNTIFS(Withdrawals!$F$5:$F$1000,"&lt;"&amp;($A16+1))-COUNTIFS(Withdrawals!$H$5:$H$1000,"&lt;"&amp;($A16+1))</f>
        <v>0</v>
      </c>
      <c r="I16" s="14" t="n">
        <f aca="false">SUM($B$5:B16)</f>
        <v>4</v>
      </c>
      <c r="J16" s="14" t="n">
        <f aca="false">SUMIFS(Wallet_Transactions!$N$5:$N$3000,Wallet_Transactions!$R$5:$R$3000,$A16,Wallet_Transactions!$D$5:$D$3000,"Reward Credit")</f>
        <v>950</v>
      </c>
      <c r="K16" s="14" t="n">
        <f aca="false">-SUMIFS(Wallet_Transactions!$N$5:$N$3000,Wallet_Transactions!$R$5:$R$3000,$A16,Wallet_Transactions!$D$5:$D$3000,"Redemption")</f>
        <v>550</v>
      </c>
      <c r="L16" s="30" t="n">
        <f aca="false">SUMIFS(Wallet_Transactions!$N$5:$N$3000,Wallet_Transactions!$R$5:$R$3000,$A16)</f>
        <v>400</v>
      </c>
    </row>
    <row r="17" customFormat="false" ht="15" hidden="false" customHeight="false" outlineLevel="0" collapsed="false">
      <c r="A17" s="42" t="n">
        <f aca="false">A16+1</f>
        <v>46278</v>
      </c>
      <c r="B17" s="14" t="n">
        <f aca="false">COUNTIFS(Withdrawals!$F$5:$F$1000,"&gt;="&amp;$A17,Withdrawals!$F$5:$F$1000,"&lt;"&amp;($A17+1))</f>
        <v>2</v>
      </c>
      <c r="C17" s="14" t="n">
        <f aca="false">SUMIFS(Withdrawals!$C$5:$C$1000,Withdrawals!$F$5:$F$1000,"&gt;="&amp;$A17,Withdrawals!$F$5:$F$1000,"&lt;"&amp;($A17+1),Withdrawals!$D$5:$D$1000,Settings!$B$6)</f>
        <v>2100</v>
      </c>
      <c r="D17" s="14" t="n">
        <f aca="false">COUNTIFS(Withdrawals!$H$5:$H$1000,"&gt;="&amp;$A17,Withdrawals!$H$5:$H$1000,"&lt;"&amp;($A17+1),Withdrawals!$I$5:$I$1000,"Completed")</f>
        <v>1</v>
      </c>
      <c r="E17" s="14" t="n">
        <f aca="false">SUMIFS(Withdrawals!$C$5:$C$1000,Withdrawals!$H$5:$H$1000,"&gt;="&amp;$A17,Withdrawals!$H$5:$H$1000,"&lt;"&amp;($A17+1),Withdrawals!$I$5:$I$1000,"Completed",Withdrawals!$D$5:$D$1000,Settings!$B$6)</f>
        <v>750</v>
      </c>
      <c r="F17" s="14" t="n">
        <f aca="false">COUNTIFS(Withdrawals!$H$5:$H$1000,"&gt;="&amp;$A17,Withdrawals!$H$5:$H$1000,"&lt;"&amp;($A17+1),Withdrawals!$I$5:$I$1000,"Rejected")</f>
        <v>0</v>
      </c>
      <c r="G17" s="14" t="n">
        <f aca="false">COUNTIFS(Withdrawals!$H$5:$H$1000,"&gt;="&amp;$A17,Withdrawals!$H$5:$H$1000,"&lt;"&amp;($A17+1),Withdrawals!$I$5:$I$1000,"Reversed")</f>
        <v>0</v>
      </c>
      <c r="H17" s="14" t="n">
        <f aca="false">COUNTIFS(Withdrawals!$F$5:$F$1000,"&lt;"&amp;($A17+1))-COUNTIFS(Withdrawals!$H$5:$H$1000,"&lt;"&amp;($A17+1))</f>
        <v>1</v>
      </c>
      <c r="I17" s="14" t="n">
        <f aca="false">SUM($B$5:B17)</f>
        <v>6</v>
      </c>
      <c r="J17" s="14" t="n">
        <f aca="false">SUMIFS(Wallet_Transactions!$N$5:$N$3000,Wallet_Transactions!$R$5:$R$3000,$A17,Wallet_Transactions!$D$5:$D$3000,"Reward Credit")</f>
        <v>3300</v>
      </c>
      <c r="K17" s="14" t="n">
        <f aca="false">-SUMIFS(Wallet_Transactions!$N$5:$N$3000,Wallet_Transactions!$R$5:$R$3000,$A17,Wallet_Transactions!$D$5:$D$3000,"Redemption")</f>
        <v>750</v>
      </c>
      <c r="L17" s="30" t="n">
        <f aca="false">SUMIFS(Wallet_Transactions!$N$5:$N$3000,Wallet_Transactions!$R$5:$R$3000,$A17)</f>
        <v>2550</v>
      </c>
    </row>
    <row r="18" customFormat="false" ht="15" hidden="false" customHeight="false" outlineLevel="0" collapsed="false">
      <c r="A18" s="42" t="n">
        <f aca="false">A17+1</f>
        <v>46279</v>
      </c>
      <c r="B18" s="14" t="n">
        <f aca="false">COUNTIFS(Withdrawals!$F$5:$F$1000,"&gt;="&amp;$A18,Withdrawals!$F$5:$F$1000,"&lt;"&amp;($A18+1))</f>
        <v>3</v>
      </c>
      <c r="C18" s="14" t="n">
        <f aca="false">SUMIFS(Withdrawals!$C$5:$C$1000,Withdrawals!$F$5:$F$1000,"&gt;="&amp;$A18,Withdrawals!$F$5:$F$1000,"&lt;"&amp;($A18+1),Withdrawals!$D$5:$D$1000,Settings!$B$6)</f>
        <v>4350</v>
      </c>
      <c r="D18" s="14" t="n">
        <f aca="false">COUNTIFS(Withdrawals!$H$5:$H$1000,"&gt;="&amp;$A18,Withdrawals!$H$5:$H$1000,"&lt;"&amp;($A18+1),Withdrawals!$I$5:$I$1000,"Completed")</f>
        <v>0</v>
      </c>
      <c r="E18" s="14" t="n">
        <f aca="false">SUMIFS(Withdrawals!$C$5:$C$1000,Withdrawals!$H$5:$H$1000,"&gt;="&amp;$A18,Withdrawals!$H$5:$H$1000,"&lt;"&amp;($A18+1),Withdrawals!$I$5:$I$1000,"Completed",Withdrawals!$D$5:$D$1000,Settings!$B$6)</f>
        <v>0</v>
      </c>
      <c r="F18" s="14" t="n">
        <f aca="false">COUNTIFS(Withdrawals!$H$5:$H$1000,"&gt;="&amp;$A18,Withdrawals!$H$5:$H$1000,"&lt;"&amp;($A18+1),Withdrawals!$I$5:$I$1000,"Rejected")</f>
        <v>0</v>
      </c>
      <c r="G18" s="14" t="n">
        <f aca="false">COUNTIFS(Withdrawals!$H$5:$H$1000,"&gt;="&amp;$A18,Withdrawals!$H$5:$H$1000,"&lt;"&amp;($A18+1),Withdrawals!$I$5:$I$1000,"Reversed")</f>
        <v>0</v>
      </c>
      <c r="H18" s="14" t="n">
        <f aca="false">COUNTIFS(Withdrawals!$F$5:$F$1000,"&lt;"&amp;($A18+1))-COUNTIFS(Withdrawals!$H$5:$H$1000,"&lt;"&amp;($A18+1))</f>
        <v>3</v>
      </c>
      <c r="I18" s="14" t="n">
        <f aca="false">SUM($B$5:B18)</f>
        <v>9</v>
      </c>
      <c r="J18" s="14" t="n">
        <f aca="false">SUMIFS(Wallet_Transactions!$N$5:$N$3000,Wallet_Transactions!$R$5:$R$3000,$A18,Wallet_Transactions!$D$5:$D$3000,"Reward Credit")</f>
        <v>1400</v>
      </c>
      <c r="K18" s="14" t="n">
        <f aca="false">-SUMIFS(Wallet_Transactions!$N$5:$N$3000,Wallet_Transactions!$R$5:$R$3000,$A18,Wallet_Transactions!$D$5:$D$3000,"Redemption")</f>
        <v>-0</v>
      </c>
      <c r="L18" s="30" t="n">
        <f aca="false">SUMIFS(Wallet_Transactions!$N$5:$N$3000,Wallet_Transactions!$R$5:$R$3000,$A18)</f>
        <v>1350</v>
      </c>
    </row>
    <row r="19" customFormat="false" ht="15" hidden="false" customHeight="false" outlineLevel="0" collapsed="false">
      <c r="A19" s="42" t="n">
        <f aca="false">A18+1</f>
        <v>46280</v>
      </c>
      <c r="B19" s="14" t="n">
        <f aca="false">COUNTIFS(Withdrawals!$F$5:$F$1000,"&gt;="&amp;$A19,Withdrawals!$F$5:$F$1000,"&lt;"&amp;($A19+1))</f>
        <v>4</v>
      </c>
      <c r="C19" s="14" t="n">
        <f aca="false">SUMIFS(Withdrawals!$C$5:$C$1000,Withdrawals!$F$5:$F$1000,"&gt;="&amp;$A19,Withdrawals!$F$5:$F$1000,"&lt;"&amp;($A19+1),Withdrawals!$D$5:$D$1000,Settings!$B$6)</f>
        <v>5350</v>
      </c>
      <c r="D19" s="14" t="n">
        <f aca="false">COUNTIFS(Withdrawals!$H$5:$H$1000,"&gt;="&amp;$A19,Withdrawals!$H$5:$H$1000,"&lt;"&amp;($A19+1),Withdrawals!$I$5:$I$1000,"Completed")</f>
        <v>1</v>
      </c>
      <c r="E19" s="14" t="n">
        <f aca="false">SUMIFS(Withdrawals!$C$5:$C$1000,Withdrawals!$H$5:$H$1000,"&gt;="&amp;$A19,Withdrawals!$H$5:$H$1000,"&lt;"&amp;($A19+1),Withdrawals!$I$5:$I$1000,"Completed",Withdrawals!$D$5:$D$1000,Settings!$B$6)</f>
        <v>1750</v>
      </c>
      <c r="F19" s="14" t="n">
        <f aca="false">COUNTIFS(Withdrawals!$H$5:$H$1000,"&gt;="&amp;$A19,Withdrawals!$H$5:$H$1000,"&lt;"&amp;($A19+1),Withdrawals!$I$5:$I$1000,"Rejected")</f>
        <v>1</v>
      </c>
      <c r="G19" s="14" t="n">
        <f aca="false">COUNTIFS(Withdrawals!$H$5:$H$1000,"&gt;="&amp;$A19,Withdrawals!$H$5:$H$1000,"&lt;"&amp;($A19+1),Withdrawals!$I$5:$I$1000,"Reversed")</f>
        <v>0</v>
      </c>
      <c r="H19" s="14" t="n">
        <f aca="false">COUNTIFS(Withdrawals!$F$5:$F$1000,"&lt;"&amp;($A19+1))-COUNTIFS(Withdrawals!$H$5:$H$1000,"&lt;"&amp;($A19+1))</f>
        <v>4</v>
      </c>
      <c r="I19" s="14" t="n">
        <f aca="false">SUM($B$5:B19)</f>
        <v>13</v>
      </c>
      <c r="J19" s="14" t="n">
        <f aca="false">SUMIFS(Wallet_Transactions!$N$5:$N$3000,Wallet_Transactions!$R$5:$R$3000,$A19,Wallet_Transactions!$D$5:$D$3000,"Reward Credit")</f>
        <v>1350</v>
      </c>
      <c r="K19" s="14" t="n">
        <f aca="false">-SUMIFS(Wallet_Transactions!$N$5:$N$3000,Wallet_Transactions!$R$5:$R$3000,$A19,Wallet_Transactions!$D$5:$D$3000,"Redemption")</f>
        <v>1750</v>
      </c>
      <c r="L19" s="30" t="n">
        <f aca="false">SUMIFS(Wallet_Transactions!$N$5:$N$3000,Wallet_Transactions!$R$5:$R$3000,$A19)</f>
        <v>-400</v>
      </c>
    </row>
    <row r="20" customFormat="false" ht="15" hidden="false" customHeight="false" outlineLevel="0" collapsed="false">
      <c r="A20" s="42" t="n">
        <f aca="false">A19+1</f>
        <v>46281</v>
      </c>
      <c r="B20" s="14" t="n">
        <f aca="false">COUNTIFS(Withdrawals!$F$5:$F$1000,"&gt;="&amp;$A20,Withdrawals!$F$5:$F$1000,"&lt;"&amp;($A20+1))</f>
        <v>1</v>
      </c>
      <c r="C20" s="14" t="n">
        <f aca="false">SUMIFS(Withdrawals!$C$5:$C$1000,Withdrawals!$F$5:$F$1000,"&gt;="&amp;$A20,Withdrawals!$F$5:$F$1000,"&lt;"&amp;($A20+1),Withdrawals!$D$5:$D$1000,Settings!$B$6)</f>
        <v>1950</v>
      </c>
      <c r="D20" s="14" t="n">
        <f aca="false">COUNTIFS(Withdrawals!$H$5:$H$1000,"&gt;="&amp;$A20,Withdrawals!$H$5:$H$1000,"&lt;"&amp;($A20+1),Withdrawals!$I$5:$I$1000,"Completed")</f>
        <v>2</v>
      </c>
      <c r="E20" s="14" t="n">
        <f aca="false">SUMIFS(Withdrawals!$C$5:$C$1000,Withdrawals!$H$5:$H$1000,"&gt;="&amp;$A20,Withdrawals!$H$5:$H$1000,"&lt;"&amp;($A20+1),Withdrawals!$I$5:$I$1000,"Completed",Withdrawals!$D$5:$D$1000,Settings!$B$6)</f>
        <v>1700</v>
      </c>
      <c r="F20" s="14" t="n">
        <f aca="false">COUNTIFS(Withdrawals!$H$5:$H$1000,"&gt;="&amp;$A20,Withdrawals!$H$5:$H$1000,"&lt;"&amp;($A20+1),Withdrawals!$I$5:$I$1000,"Rejected")</f>
        <v>1</v>
      </c>
      <c r="G20" s="14" t="n">
        <f aca="false">COUNTIFS(Withdrawals!$H$5:$H$1000,"&gt;="&amp;$A20,Withdrawals!$H$5:$H$1000,"&lt;"&amp;($A20+1),Withdrawals!$I$5:$I$1000,"Reversed")</f>
        <v>0</v>
      </c>
      <c r="H20" s="14" t="n">
        <f aca="false">COUNTIFS(Withdrawals!$F$5:$F$1000,"&lt;"&amp;($A20+1))-COUNTIFS(Withdrawals!$H$5:$H$1000,"&lt;"&amp;($A20+1))</f>
        <v>2</v>
      </c>
      <c r="I20" s="14" t="n">
        <f aca="false">SUM($B$5:B20)</f>
        <v>14</v>
      </c>
      <c r="J20" s="14" t="n">
        <f aca="false">SUMIFS(Wallet_Transactions!$N$5:$N$3000,Wallet_Transactions!$R$5:$R$3000,$A20,Wallet_Transactions!$D$5:$D$3000,"Reward Credit")</f>
        <v>1900</v>
      </c>
      <c r="K20" s="14" t="n">
        <f aca="false">-SUMIFS(Wallet_Transactions!$N$5:$N$3000,Wallet_Transactions!$R$5:$R$3000,$A20,Wallet_Transactions!$D$5:$D$3000,"Redemption")</f>
        <v>1700</v>
      </c>
      <c r="L20" s="30" t="n">
        <f aca="false">SUMIFS(Wallet_Transactions!$N$5:$N$3000,Wallet_Transactions!$R$5:$R$3000,$A20)</f>
        <v>200</v>
      </c>
    </row>
    <row r="21" customFormat="false" ht="15" hidden="false" customHeight="false" outlineLevel="0" collapsed="false">
      <c r="A21" s="42" t="n">
        <f aca="false">A20+1</f>
        <v>46282</v>
      </c>
      <c r="B21" s="14" t="n">
        <f aca="false">COUNTIFS(Withdrawals!$F$5:$F$1000,"&gt;="&amp;$A21,Withdrawals!$F$5:$F$1000,"&lt;"&amp;($A21+1))</f>
        <v>1</v>
      </c>
      <c r="C21" s="14" t="n">
        <f aca="false">SUMIFS(Withdrawals!$C$5:$C$1000,Withdrawals!$F$5:$F$1000,"&gt;="&amp;$A21,Withdrawals!$F$5:$F$1000,"&lt;"&amp;($A21+1),Withdrawals!$D$5:$D$1000,Settings!$B$6)</f>
        <v>1800</v>
      </c>
      <c r="D21" s="14" t="n">
        <f aca="false">COUNTIFS(Withdrawals!$H$5:$H$1000,"&gt;="&amp;$A21,Withdrawals!$H$5:$H$1000,"&lt;"&amp;($A21+1),Withdrawals!$I$5:$I$1000,"Completed")</f>
        <v>1</v>
      </c>
      <c r="E21" s="14" t="n">
        <f aca="false">SUMIFS(Withdrawals!$C$5:$C$1000,Withdrawals!$H$5:$H$1000,"&gt;="&amp;$A21,Withdrawals!$H$5:$H$1000,"&lt;"&amp;($A21+1),Withdrawals!$I$5:$I$1000,"Completed",Withdrawals!$D$5:$D$1000,Settings!$B$6)</f>
        <v>1950</v>
      </c>
      <c r="F21" s="14" t="n">
        <f aca="false">COUNTIFS(Withdrawals!$H$5:$H$1000,"&gt;="&amp;$A21,Withdrawals!$H$5:$H$1000,"&lt;"&amp;($A21+1),Withdrawals!$I$5:$I$1000,"Rejected")</f>
        <v>1</v>
      </c>
      <c r="G21" s="14" t="n">
        <f aca="false">COUNTIFS(Withdrawals!$H$5:$H$1000,"&gt;="&amp;$A21,Withdrawals!$H$5:$H$1000,"&lt;"&amp;($A21+1),Withdrawals!$I$5:$I$1000,"Reversed")</f>
        <v>0</v>
      </c>
      <c r="H21" s="14" t="n">
        <f aca="false">COUNTIFS(Withdrawals!$F$5:$F$1000,"&lt;"&amp;($A21+1))-COUNTIFS(Withdrawals!$H$5:$H$1000,"&lt;"&amp;($A21+1))</f>
        <v>1</v>
      </c>
      <c r="I21" s="14" t="n">
        <f aca="false">SUM($B$5:B21)</f>
        <v>15</v>
      </c>
      <c r="J21" s="14" t="n">
        <f aca="false">SUMIFS(Wallet_Transactions!$N$5:$N$3000,Wallet_Transactions!$R$5:$R$3000,$A21,Wallet_Transactions!$D$5:$D$3000,"Reward Credit")</f>
        <v>1000</v>
      </c>
      <c r="K21" s="14" t="n">
        <f aca="false">-SUMIFS(Wallet_Transactions!$N$5:$N$3000,Wallet_Transactions!$R$5:$R$3000,$A21,Wallet_Transactions!$D$5:$D$3000,"Redemption")</f>
        <v>1950</v>
      </c>
      <c r="L21" s="30" t="n">
        <f aca="false">SUMIFS(Wallet_Transactions!$N$5:$N$3000,Wallet_Transactions!$R$5:$R$3000,$A21)</f>
        <v>-950</v>
      </c>
    </row>
    <row r="22" customFormat="false" ht="15" hidden="false" customHeight="false" outlineLevel="0" collapsed="false">
      <c r="A22" s="42" t="n">
        <f aca="false">A21+1</f>
        <v>46283</v>
      </c>
      <c r="B22" s="14" t="n">
        <f aca="false">COUNTIFS(Withdrawals!$F$5:$F$1000,"&gt;="&amp;$A22,Withdrawals!$F$5:$F$1000,"&lt;"&amp;($A22+1))</f>
        <v>2</v>
      </c>
      <c r="C22" s="14" t="n">
        <f aca="false">SUMIFS(Withdrawals!$C$5:$C$1000,Withdrawals!$F$5:$F$1000,"&gt;="&amp;$A22,Withdrawals!$F$5:$F$1000,"&lt;"&amp;($A22+1),Withdrawals!$D$5:$D$1000,Settings!$B$6)</f>
        <v>1850</v>
      </c>
      <c r="D22" s="14" t="n">
        <f aca="false">COUNTIFS(Withdrawals!$H$5:$H$1000,"&gt;="&amp;$A22,Withdrawals!$H$5:$H$1000,"&lt;"&amp;($A22+1),Withdrawals!$I$5:$I$1000,"Completed")</f>
        <v>0</v>
      </c>
      <c r="E22" s="14" t="n">
        <f aca="false">SUMIFS(Withdrawals!$C$5:$C$1000,Withdrawals!$H$5:$H$1000,"&gt;="&amp;$A22,Withdrawals!$H$5:$H$1000,"&lt;"&amp;($A22+1),Withdrawals!$I$5:$I$1000,"Completed",Withdrawals!$D$5:$D$1000,Settings!$B$6)</f>
        <v>0</v>
      </c>
      <c r="F22" s="14" t="n">
        <f aca="false">COUNTIFS(Withdrawals!$H$5:$H$1000,"&gt;="&amp;$A22,Withdrawals!$H$5:$H$1000,"&lt;"&amp;($A22+1),Withdrawals!$I$5:$I$1000,"Rejected")</f>
        <v>0</v>
      </c>
      <c r="G22" s="14" t="n">
        <f aca="false">COUNTIFS(Withdrawals!$H$5:$H$1000,"&gt;="&amp;$A22,Withdrawals!$H$5:$H$1000,"&lt;"&amp;($A22+1),Withdrawals!$I$5:$I$1000,"Reversed")</f>
        <v>0</v>
      </c>
      <c r="H22" s="14" t="n">
        <f aca="false">COUNTIFS(Withdrawals!$F$5:$F$1000,"&lt;"&amp;($A22+1))-COUNTIFS(Withdrawals!$H$5:$H$1000,"&lt;"&amp;($A22+1))</f>
        <v>3</v>
      </c>
      <c r="I22" s="14" t="n">
        <f aca="false">SUM($B$5:B22)</f>
        <v>17</v>
      </c>
      <c r="J22" s="14" t="n">
        <f aca="false">SUMIFS(Wallet_Transactions!$N$5:$N$3000,Wallet_Transactions!$R$5:$R$3000,$A22,Wallet_Transactions!$D$5:$D$3000,"Reward Credit")</f>
        <v>1300</v>
      </c>
      <c r="K22" s="14" t="n">
        <f aca="false">-SUMIFS(Wallet_Transactions!$N$5:$N$3000,Wallet_Transactions!$R$5:$R$3000,$A22,Wallet_Transactions!$D$5:$D$3000,"Redemption")</f>
        <v>-0</v>
      </c>
      <c r="L22" s="30" t="n">
        <f aca="false">SUMIFS(Wallet_Transactions!$N$5:$N$3000,Wallet_Transactions!$R$5:$R$3000,$A22)</f>
        <v>1300</v>
      </c>
    </row>
    <row r="23" customFormat="false" ht="15" hidden="false" customHeight="false" outlineLevel="0" collapsed="false">
      <c r="A23" s="42" t="n">
        <f aca="false">A22+1</f>
        <v>46284</v>
      </c>
      <c r="B23" s="14" t="n">
        <f aca="false">COUNTIFS(Withdrawals!$F$5:$F$1000,"&gt;="&amp;$A23,Withdrawals!$F$5:$F$1000,"&lt;"&amp;($A23+1))</f>
        <v>1</v>
      </c>
      <c r="C23" s="14" t="n">
        <f aca="false">SUMIFS(Withdrawals!$C$5:$C$1000,Withdrawals!$F$5:$F$1000,"&gt;="&amp;$A23,Withdrawals!$F$5:$F$1000,"&lt;"&amp;($A23+1),Withdrawals!$D$5:$D$1000,Settings!$B$6)</f>
        <v>900</v>
      </c>
      <c r="D23" s="14" t="n">
        <f aca="false">COUNTIFS(Withdrawals!$H$5:$H$1000,"&gt;="&amp;$A23,Withdrawals!$H$5:$H$1000,"&lt;"&amp;($A23+1),Withdrawals!$I$5:$I$1000,"Completed")</f>
        <v>2</v>
      </c>
      <c r="E23" s="14" t="n">
        <f aca="false">SUMIFS(Withdrawals!$C$5:$C$1000,Withdrawals!$H$5:$H$1000,"&gt;="&amp;$A23,Withdrawals!$H$5:$H$1000,"&lt;"&amp;($A23+1),Withdrawals!$I$5:$I$1000,"Completed",Withdrawals!$D$5:$D$1000,Settings!$B$6)</f>
        <v>2550</v>
      </c>
      <c r="F23" s="14" t="n">
        <f aca="false">COUNTIFS(Withdrawals!$H$5:$H$1000,"&gt;="&amp;$A23,Withdrawals!$H$5:$H$1000,"&lt;"&amp;($A23+1),Withdrawals!$I$5:$I$1000,"Rejected")</f>
        <v>0</v>
      </c>
      <c r="G23" s="14" t="n">
        <f aca="false">COUNTIFS(Withdrawals!$H$5:$H$1000,"&gt;="&amp;$A23,Withdrawals!$H$5:$H$1000,"&lt;"&amp;($A23+1),Withdrawals!$I$5:$I$1000,"Reversed")</f>
        <v>0</v>
      </c>
      <c r="H23" s="14" t="n">
        <f aca="false">COUNTIFS(Withdrawals!$F$5:$F$1000,"&lt;"&amp;($A23+1))-COUNTIFS(Withdrawals!$H$5:$H$1000,"&lt;"&amp;($A23+1))</f>
        <v>2</v>
      </c>
      <c r="I23" s="14" t="n">
        <f aca="false">SUM($B$5:B23)</f>
        <v>18</v>
      </c>
      <c r="J23" s="14" t="n">
        <f aca="false">SUMIFS(Wallet_Transactions!$N$5:$N$3000,Wallet_Transactions!$R$5:$R$3000,$A23,Wallet_Transactions!$D$5:$D$3000,"Reward Credit")</f>
        <v>2400</v>
      </c>
      <c r="K23" s="14" t="n">
        <f aca="false">-SUMIFS(Wallet_Transactions!$N$5:$N$3000,Wallet_Transactions!$R$5:$R$3000,$A23,Wallet_Transactions!$D$5:$D$3000,"Redemption")</f>
        <v>2550</v>
      </c>
      <c r="L23" s="30" t="n">
        <f aca="false">SUMIFS(Wallet_Transactions!$N$5:$N$3000,Wallet_Transactions!$R$5:$R$3000,$A23)</f>
        <v>-150</v>
      </c>
    </row>
    <row r="24" customFormat="false" ht="15" hidden="false" customHeight="false" outlineLevel="0" collapsed="false">
      <c r="A24" s="42" t="n">
        <f aca="false">A23+1</f>
        <v>46285</v>
      </c>
      <c r="B24" s="14" t="n">
        <f aca="false">COUNTIFS(Withdrawals!$F$5:$F$1000,"&gt;="&amp;$A24,Withdrawals!$F$5:$F$1000,"&lt;"&amp;($A24+1))</f>
        <v>1</v>
      </c>
      <c r="C24" s="14" t="n">
        <f aca="false">SUMIFS(Withdrawals!$C$5:$C$1000,Withdrawals!$F$5:$F$1000,"&gt;="&amp;$A24,Withdrawals!$F$5:$F$1000,"&lt;"&amp;($A24+1),Withdrawals!$D$5:$D$1000,Settings!$B$6)</f>
        <v>750</v>
      </c>
      <c r="D24" s="14" t="n">
        <f aca="false">COUNTIFS(Withdrawals!$H$5:$H$1000,"&gt;="&amp;$A24,Withdrawals!$H$5:$H$1000,"&lt;"&amp;($A24+1),Withdrawals!$I$5:$I$1000,"Completed")</f>
        <v>1</v>
      </c>
      <c r="E24" s="14" t="n">
        <f aca="false">SUMIFS(Withdrawals!$C$5:$C$1000,Withdrawals!$H$5:$H$1000,"&gt;="&amp;$A24,Withdrawals!$H$5:$H$1000,"&lt;"&amp;($A24+1),Withdrawals!$I$5:$I$1000,"Completed",Withdrawals!$D$5:$D$1000,Settings!$B$6)</f>
        <v>900</v>
      </c>
      <c r="F24" s="14" t="n">
        <f aca="false">COUNTIFS(Withdrawals!$H$5:$H$1000,"&gt;="&amp;$A24,Withdrawals!$H$5:$H$1000,"&lt;"&amp;($A24+1),Withdrawals!$I$5:$I$1000,"Rejected")</f>
        <v>0</v>
      </c>
      <c r="G24" s="14" t="n">
        <f aca="false">COUNTIFS(Withdrawals!$H$5:$H$1000,"&gt;="&amp;$A24,Withdrawals!$H$5:$H$1000,"&lt;"&amp;($A24+1),Withdrawals!$I$5:$I$1000,"Reversed")</f>
        <v>0</v>
      </c>
      <c r="H24" s="14" t="n">
        <f aca="false">COUNTIFS(Withdrawals!$F$5:$F$1000,"&lt;"&amp;($A24+1))-COUNTIFS(Withdrawals!$H$5:$H$1000,"&lt;"&amp;($A24+1))</f>
        <v>2</v>
      </c>
      <c r="I24" s="14" t="n">
        <f aca="false">SUM($B$5:B24)</f>
        <v>19</v>
      </c>
      <c r="J24" s="14" t="n">
        <f aca="false">SUMIFS(Wallet_Transactions!$N$5:$N$3000,Wallet_Transactions!$R$5:$R$3000,$A24,Wallet_Transactions!$D$5:$D$3000,"Reward Credit")</f>
        <v>250</v>
      </c>
      <c r="K24" s="14" t="n">
        <f aca="false">-SUMIFS(Wallet_Transactions!$N$5:$N$3000,Wallet_Transactions!$R$5:$R$3000,$A24,Wallet_Transactions!$D$5:$D$3000,"Redemption")</f>
        <v>900</v>
      </c>
      <c r="L24" s="30" t="n">
        <f aca="false">SUMIFS(Wallet_Transactions!$N$5:$N$3000,Wallet_Transactions!$R$5:$R$3000,$A24)</f>
        <v>-650</v>
      </c>
    </row>
    <row r="25" customFormat="false" ht="15" hidden="false" customHeight="false" outlineLevel="0" collapsed="false">
      <c r="A25" s="42" t="n">
        <f aca="false">A24+1</f>
        <v>46286</v>
      </c>
      <c r="B25" s="14" t="n">
        <f aca="false">COUNTIFS(Withdrawals!$F$5:$F$1000,"&gt;="&amp;$A25,Withdrawals!$F$5:$F$1000,"&lt;"&amp;($A25+1))</f>
        <v>2</v>
      </c>
      <c r="C25" s="14" t="n">
        <f aca="false">SUMIFS(Withdrawals!$C$5:$C$1000,Withdrawals!$F$5:$F$1000,"&gt;="&amp;$A25,Withdrawals!$F$5:$F$1000,"&lt;"&amp;($A25+1),Withdrawals!$D$5:$D$1000,Settings!$B$6)</f>
        <v>2600</v>
      </c>
      <c r="D25" s="14" t="n">
        <f aca="false">COUNTIFS(Withdrawals!$H$5:$H$1000,"&gt;="&amp;$A25,Withdrawals!$H$5:$H$1000,"&lt;"&amp;($A25+1),Withdrawals!$I$5:$I$1000,"Completed")</f>
        <v>1</v>
      </c>
      <c r="E25" s="14" t="n">
        <f aca="false">SUMIFS(Withdrawals!$C$5:$C$1000,Withdrawals!$H$5:$H$1000,"&gt;="&amp;$A25,Withdrawals!$H$5:$H$1000,"&lt;"&amp;($A25+1),Withdrawals!$I$5:$I$1000,"Completed",Withdrawals!$D$5:$D$1000,Settings!$B$6)</f>
        <v>1250</v>
      </c>
      <c r="F25" s="14" t="n">
        <f aca="false">COUNTIFS(Withdrawals!$H$5:$H$1000,"&gt;="&amp;$A25,Withdrawals!$H$5:$H$1000,"&lt;"&amp;($A25+1),Withdrawals!$I$5:$I$1000,"Rejected")</f>
        <v>0</v>
      </c>
      <c r="G25" s="14" t="n">
        <f aca="false">COUNTIFS(Withdrawals!$H$5:$H$1000,"&gt;="&amp;$A25,Withdrawals!$H$5:$H$1000,"&lt;"&amp;($A25+1),Withdrawals!$I$5:$I$1000,"Reversed")</f>
        <v>0</v>
      </c>
      <c r="H25" s="14" t="n">
        <f aca="false">COUNTIFS(Withdrawals!$F$5:$F$1000,"&lt;"&amp;($A25+1))-COUNTIFS(Withdrawals!$H$5:$H$1000,"&lt;"&amp;($A25+1))</f>
        <v>3</v>
      </c>
      <c r="I25" s="14" t="n">
        <f aca="false">SUM($B$5:B25)</f>
        <v>21</v>
      </c>
      <c r="J25" s="14" t="n">
        <f aca="false">SUMIFS(Wallet_Transactions!$N$5:$N$3000,Wallet_Transactions!$R$5:$R$3000,$A25,Wallet_Transactions!$D$5:$D$3000,"Reward Credit")</f>
        <v>2100</v>
      </c>
      <c r="K25" s="14" t="n">
        <f aca="false">-SUMIFS(Wallet_Transactions!$N$5:$N$3000,Wallet_Transactions!$R$5:$R$3000,$A25,Wallet_Transactions!$D$5:$D$3000,"Redemption")</f>
        <v>1250</v>
      </c>
      <c r="L25" s="30" t="n">
        <f aca="false">SUMIFS(Wallet_Transactions!$N$5:$N$3000,Wallet_Transactions!$R$5:$R$3000,$A25)</f>
        <v>850</v>
      </c>
    </row>
    <row r="26" customFormat="false" ht="15" hidden="false" customHeight="false" outlineLevel="0" collapsed="false">
      <c r="A26" s="42" t="n">
        <f aca="false">A25+1</f>
        <v>46287</v>
      </c>
      <c r="B26" s="14" t="n">
        <f aca="false">COUNTIFS(Withdrawals!$F$5:$F$1000,"&gt;="&amp;$A26,Withdrawals!$F$5:$F$1000,"&lt;"&amp;($A26+1))</f>
        <v>0</v>
      </c>
      <c r="C26" s="14" t="n">
        <f aca="false">SUMIFS(Withdrawals!$C$5:$C$1000,Withdrawals!$F$5:$F$1000,"&gt;="&amp;$A26,Withdrawals!$F$5:$F$1000,"&lt;"&amp;($A26+1),Withdrawals!$D$5:$D$1000,Settings!$B$6)</f>
        <v>0</v>
      </c>
      <c r="D26" s="14" t="n">
        <f aca="false">COUNTIFS(Withdrawals!$H$5:$H$1000,"&gt;="&amp;$A26,Withdrawals!$H$5:$H$1000,"&lt;"&amp;($A26+1),Withdrawals!$I$5:$I$1000,"Completed")</f>
        <v>1</v>
      </c>
      <c r="E26" s="14" t="n">
        <f aca="false">SUMIFS(Withdrawals!$C$5:$C$1000,Withdrawals!$H$5:$H$1000,"&gt;="&amp;$A26,Withdrawals!$H$5:$H$1000,"&lt;"&amp;($A26+1),Withdrawals!$I$5:$I$1000,"Completed",Withdrawals!$D$5:$D$1000,Settings!$B$6)</f>
        <v>750</v>
      </c>
      <c r="F26" s="14" t="n">
        <f aca="false">COUNTIFS(Withdrawals!$H$5:$H$1000,"&gt;="&amp;$A26,Withdrawals!$H$5:$H$1000,"&lt;"&amp;($A26+1),Withdrawals!$I$5:$I$1000,"Rejected")</f>
        <v>0</v>
      </c>
      <c r="G26" s="14" t="n">
        <f aca="false">COUNTIFS(Withdrawals!$H$5:$H$1000,"&gt;="&amp;$A26,Withdrawals!$H$5:$H$1000,"&lt;"&amp;($A26+1),Withdrawals!$I$5:$I$1000,"Reversed")</f>
        <v>0</v>
      </c>
      <c r="H26" s="14" t="n">
        <f aca="false">COUNTIFS(Withdrawals!$F$5:$F$1000,"&lt;"&amp;($A26+1))-COUNTIFS(Withdrawals!$H$5:$H$1000,"&lt;"&amp;($A26+1))</f>
        <v>2</v>
      </c>
      <c r="I26" s="14" t="n">
        <f aca="false">SUM($B$5:B26)</f>
        <v>21</v>
      </c>
      <c r="J26" s="14" t="n">
        <f aca="false">SUMIFS(Wallet_Transactions!$N$5:$N$3000,Wallet_Transactions!$R$5:$R$3000,$A26,Wallet_Transactions!$D$5:$D$3000,"Reward Credit")</f>
        <v>1650</v>
      </c>
      <c r="K26" s="14" t="n">
        <f aca="false">-SUMIFS(Wallet_Transactions!$N$5:$N$3000,Wallet_Transactions!$R$5:$R$3000,$A26,Wallet_Transactions!$D$5:$D$3000,"Redemption")</f>
        <v>750</v>
      </c>
      <c r="L26" s="30" t="n">
        <f aca="false">SUMIFS(Wallet_Transactions!$N$5:$N$3000,Wallet_Transactions!$R$5:$R$3000,$A26)</f>
        <v>900</v>
      </c>
    </row>
    <row r="27" customFormat="false" ht="15" hidden="false" customHeight="false" outlineLevel="0" collapsed="false">
      <c r="A27" s="42" t="n">
        <f aca="false">A26+1</f>
        <v>46288</v>
      </c>
      <c r="B27" s="14" t="n">
        <f aca="false">COUNTIFS(Withdrawals!$F$5:$F$1000,"&gt;="&amp;$A27,Withdrawals!$F$5:$F$1000,"&lt;"&amp;($A27+1))</f>
        <v>1</v>
      </c>
      <c r="C27" s="14" t="n">
        <f aca="false">SUMIFS(Withdrawals!$C$5:$C$1000,Withdrawals!$F$5:$F$1000,"&gt;="&amp;$A27,Withdrawals!$F$5:$F$1000,"&lt;"&amp;($A27+1),Withdrawals!$D$5:$D$1000,Settings!$B$6)</f>
        <v>700</v>
      </c>
      <c r="D27" s="14" t="n">
        <f aca="false">COUNTIFS(Withdrawals!$H$5:$H$1000,"&gt;="&amp;$A27,Withdrawals!$H$5:$H$1000,"&lt;"&amp;($A27+1),Withdrawals!$I$5:$I$1000,"Completed")</f>
        <v>1</v>
      </c>
      <c r="E27" s="14" t="n">
        <f aca="false">SUMIFS(Withdrawals!$C$5:$C$1000,Withdrawals!$H$5:$H$1000,"&gt;="&amp;$A27,Withdrawals!$H$5:$H$1000,"&lt;"&amp;($A27+1),Withdrawals!$I$5:$I$1000,"Completed",Withdrawals!$D$5:$D$1000,Settings!$B$6)</f>
        <v>750</v>
      </c>
      <c r="F27" s="14" t="n">
        <f aca="false">COUNTIFS(Withdrawals!$H$5:$H$1000,"&gt;="&amp;$A27,Withdrawals!$H$5:$H$1000,"&lt;"&amp;($A27+1),Withdrawals!$I$5:$I$1000,"Rejected")</f>
        <v>1</v>
      </c>
      <c r="G27" s="14" t="n">
        <f aca="false">COUNTIFS(Withdrawals!$H$5:$H$1000,"&gt;="&amp;$A27,Withdrawals!$H$5:$H$1000,"&lt;"&amp;($A27+1),Withdrawals!$I$5:$I$1000,"Reversed")</f>
        <v>0</v>
      </c>
      <c r="H27" s="14" t="n">
        <f aca="false">COUNTIFS(Withdrawals!$F$5:$F$1000,"&lt;"&amp;($A27+1))-COUNTIFS(Withdrawals!$H$5:$H$1000,"&lt;"&amp;($A27+1))</f>
        <v>1</v>
      </c>
      <c r="I27" s="14" t="n">
        <f aca="false">SUM($B$5:B27)</f>
        <v>22</v>
      </c>
      <c r="J27" s="14" t="n">
        <f aca="false">SUMIFS(Wallet_Transactions!$N$5:$N$3000,Wallet_Transactions!$R$5:$R$3000,$A27,Wallet_Transactions!$D$5:$D$3000,"Reward Credit")</f>
        <v>1800</v>
      </c>
      <c r="K27" s="14" t="n">
        <f aca="false">-SUMIFS(Wallet_Transactions!$N$5:$N$3000,Wallet_Transactions!$R$5:$R$3000,$A27,Wallet_Transactions!$D$5:$D$3000,"Redemption")</f>
        <v>750</v>
      </c>
      <c r="L27" s="30" t="n">
        <f aca="false">SUMIFS(Wallet_Transactions!$N$5:$N$3000,Wallet_Transactions!$R$5:$R$3000,$A27)</f>
        <v>1050</v>
      </c>
    </row>
    <row r="28" customFormat="false" ht="15" hidden="false" customHeight="false" outlineLevel="0" collapsed="false">
      <c r="A28" s="42" t="n">
        <f aca="false">A27+1</f>
        <v>46289</v>
      </c>
      <c r="B28" s="14" t="n">
        <f aca="false">COUNTIFS(Withdrawals!$F$5:$F$1000,"&gt;="&amp;$A28,Withdrawals!$F$5:$F$1000,"&lt;"&amp;($A28+1))</f>
        <v>2</v>
      </c>
      <c r="C28" s="14" t="n">
        <f aca="false">SUMIFS(Withdrawals!$C$5:$C$1000,Withdrawals!$F$5:$F$1000,"&gt;="&amp;$A28,Withdrawals!$F$5:$F$1000,"&lt;"&amp;($A28+1),Withdrawals!$D$5:$D$1000,Settings!$B$6)</f>
        <v>1400</v>
      </c>
      <c r="D28" s="14" t="n">
        <f aca="false">COUNTIFS(Withdrawals!$H$5:$H$1000,"&gt;="&amp;$A28,Withdrawals!$H$5:$H$1000,"&lt;"&amp;($A28+1),Withdrawals!$I$5:$I$1000,"Completed")</f>
        <v>1</v>
      </c>
      <c r="E28" s="14" t="n">
        <f aca="false">SUMIFS(Withdrawals!$C$5:$C$1000,Withdrawals!$H$5:$H$1000,"&gt;="&amp;$A28,Withdrawals!$H$5:$H$1000,"&lt;"&amp;($A28+1),Withdrawals!$I$5:$I$1000,"Completed",Withdrawals!$D$5:$D$1000,Settings!$B$6)</f>
        <v>700</v>
      </c>
      <c r="F28" s="14" t="n">
        <f aca="false">COUNTIFS(Withdrawals!$H$5:$H$1000,"&gt;="&amp;$A28,Withdrawals!$H$5:$H$1000,"&lt;"&amp;($A28+1),Withdrawals!$I$5:$I$1000,"Rejected")</f>
        <v>0</v>
      </c>
      <c r="G28" s="14" t="n">
        <f aca="false">COUNTIFS(Withdrawals!$H$5:$H$1000,"&gt;="&amp;$A28,Withdrawals!$H$5:$H$1000,"&lt;"&amp;($A28+1),Withdrawals!$I$5:$I$1000,"Reversed")</f>
        <v>0</v>
      </c>
      <c r="H28" s="14" t="n">
        <f aca="false">COUNTIFS(Withdrawals!$F$5:$F$1000,"&lt;"&amp;($A28+1))-COUNTIFS(Withdrawals!$H$5:$H$1000,"&lt;"&amp;($A28+1))</f>
        <v>2</v>
      </c>
      <c r="I28" s="14" t="n">
        <f aca="false">SUM($B$5:B28)</f>
        <v>24</v>
      </c>
      <c r="J28" s="14" t="n">
        <f aca="false">SUMIFS(Wallet_Transactions!$N$5:$N$3000,Wallet_Transactions!$R$5:$R$3000,$A28,Wallet_Transactions!$D$5:$D$3000,"Reward Credit")</f>
        <v>1000</v>
      </c>
      <c r="K28" s="14" t="n">
        <f aca="false">-SUMIFS(Wallet_Transactions!$N$5:$N$3000,Wallet_Transactions!$R$5:$R$3000,$A28,Wallet_Transactions!$D$5:$D$3000,"Redemption")</f>
        <v>700</v>
      </c>
      <c r="L28" s="30" t="n">
        <f aca="false">SUMIFS(Wallet_Transactions!$N$5:$N$3000,Wallet_Transactions!$R$5:$R$3000,$A28)</f>
        <v>300</v>
      </c>
    </row>
    <row r="29" customFormat="false" ht="15" hidden="false" customHeight="false" outlineLevel="0" collapsed="false">
      <c r="A29" s="42" t="n">
        <f aca="false">A28+1</f>
        <v>46290</v>
      </c>
      <c r="B29" s="14" t="n">
        <f aca="false">COUNTIFS(Withdrawals!$F$5:$F$1000,"&gt;="&amp;$A29,Withdrawals!$F$5:$F$1000,"&lt;"&amp;($A29+1))</f>
        <v>0</v>
      </c>
      <c r="C29" s="14" t="n">
        <f aca="false">SUMIFS(Withdrawals!$C$5:$C$1000,Withdrawals!$F$5:$F$1000,"&gt;="&amp;$A29,Withdrawals!$F$5:$F$1000,"&lt;"&amp;($A29+1),Withdrawals!$D$5:$D$1000,Settings!$B$6)</f>
        <v>0</v>
      </c>
      <c r="D29" s="14" t="n">
        <f aca="false">COUNTIFS(Withdrawals!$H$5:$H$1000,"&gt;="&amp;$A29,Withdrawals!$H$5:$H$1000,"&lt;"&amp;($A29+1),Withdrawals!$I$5:$I$1000,"Completed")</f>
        <v>0</v>
      </c>
      <c r="E29" s="14" t="n">
        <f aca="false">SUMIFS(Withdrawals!$C$5:$C$1000,Withdrawals!$H$5:$H$1000,"&gt;="&amp;$A29,Withdrawals!$H$5:$H$1000,"&lt;"&amp;($A29+1),Withdrawals!$I$5:$I$1000,"Completed",Withdrawals!$D$5:$D$1000,Settings!$B$6)</f>
        <v>0</v>
      </c>
      <c r="F29" s="14" t="n">
        <f aca="false">COUNTIFS(Withdrawals!$H$5:$H$1000,"&gt;="&amp;$A29,Withdrawals!$H$5:$H$1000,"&lt;"&amp;($A29+1),Withdrawals!$I$5:$I$1000,"Rejected")</f>
        <v>0</v>
      </c>
      <c r="G29" s="14" t="n">
        <f aca="false">COUNTIFS(Withdrawals!$H$5:$H$1000,"&gt;="&amp;$A29,Withdrawals!$H$5:$H$1000,"&lt;"&amp;($A29+1),Withdrawals!$I$5:$I$1000,"Reversed")</f>
        <v>0</v>
      </c>
      <c r="H29" s="14" t="n">
        <f aca="false">COUNTIFS(Withdrawals!$F$5:$F$1000,"&lt;"&amp;($A29+1))-COUNTIFS(Withdrawals!$H$5:$H$1000,"&lt;"&amp;($A29+1))</f>
        <v>2</v>
      </c>
      <c r="I29" s="14" t="n">
        <f aca="false">SUM($B$5:B29)</f>
        <v>24</v>
      </c>
      <c r="J29" s="14" t="n">
        <f aca="false">SUMIFS(Wallet_Transactions!$N$5:$N$3000,Wallet_Transactions!$R$5:$R$3000,$A29,Wallet_Transactions!$D$5:$D$3000,"Reward Credit")</f>
        <v>2200</v>
      </c>
      <c r="K29" s="14" t="n">
        <f aca="false">-SUMIFS(Wallet_Transactions!$N$5:$N$3000,Wallet_Transactions!$R$5:$R$3000,$A29,Wallet_Transactions!$D$5:$D$3000,"Redemption")</f>
        <v>-0</v>
      </c>
      <c r="L29" s="30" t="n">
        <f aca="false">SUMIFS(Wallet_Transactions!$N$5:$N$3000,Wallet_Transactions!$R$5:$R$3000,$A29)</f>
        <v>2200</v>
      </c>
    </row>
    <row r="30" customFormat="false" ht="15" hidden="false" customHeight="false" outlineLevel="0" collapsed="false">
      <c r="A30" s="42" t="n">
        <f aca="false">A29+1</f>
        <v>46291</v>
      </c>
      <c r="B30" s="14" t="n">
        <f aca="false">COUNTIFS(Withdrawals!$F$5:$F$1000,"&gt;="&amp;$A30,Withdrawals!$F$5:$F$1000,"&lt;"&amp;($A30+1))</f>
        <v>1</v>
      </c>
      <c r="C30" s="14" t="n">
        <f aca="false">SUMIFS(Withdrawals!$C$5:$C$1000,Withdrawals!$F$5:$F$1000,"&gt;="&amp;$A30,Withdrawals!$F$5:$F$1000,"&lt;"&amp;($A30+1),Withdrawals!$D$5:$D$1000,Settings!$B$6)</f>
        <v>550</v>
      </c>
      <c r="D30" s="14" t="n">
        <f aca="false">COUNTIFS(Withdrawals!$H$5:$H$1000,"&gt;="&amp;$A30,Withdrawals!$H$5:$H$1000,"&lt;"&amp;($A30+1),Withdrawals!$I$5:$I$1000,"Completed")</f>
        <v>2</v>
      </c>
      <c r="E30" s="14" t="n">
        <f aca="false">SUMIFS(Withdrawals!$C$5:$C$1000,Withdrawals!$H$5:$H$1000,"&gt;="&amp;$A30,Withdrawals!$H$5:$H$1000,"&lt;"&amp;($A30+1),Withdrawals!$I$5:$I$1000,"Completed",Withdrawals!$D$5:$D$1000,Settings!$B$6)</f>
        <v>1400</v>
      </c>
      <c r="F30" s="14" t="n">
        <f aca="false">COUNTIFS(Withdrawals!$H$5:$H$1000,"&gt;="&amp;$A30,Withdrawals!$H$5:$H$1000,"&lt;"&amp;($A30+1),Withdrawals!$I$5:$I$1000,"Rejected")</f>
        <v>0</v>
      </c>
      <c r="G30" s="14" t="n">
        <f aca="false">COUNTIFS(Withdrawals!$H$5:$H$1000,"&gt;="&amp;$A30,Withdrawals!$H$5:$H$1000,"&lt;"&amp;($A30+1),Withdrawals!$I$5:$I$1000,"Reversed")</f>
        <v>0</v>
      </c>
      <c r="H30" s="14" t="n">
        <f aca="false">COUNTIFS(Withdrawals!$F$5:$F$1000,"&lt;"&amp;($A30+1))-COUNTIFS(Withdrawals!$H$5:$H$1000,"&lt;"&amp;($A30+1))</f>
        <v>1</v>
      </c>
      <c r="I30" s="14" t="n">
        <f aca="false">SUM($B$5:B30)</f>
        <v>25</v>
      </c>
      <c r="J30" s="14" t="n">
        <f aca="false">SUMIFS(Wallet_Transactions!$N$5:$N$3000,Wallet_Transactions!$R$5:$R$3000,$A30,Wallet_Transactions!$D$5:$D$3000,"Reward Credit")</f>
        <v>2000</v>
      </c>
      <c r="K30" s="14" t="n">
        <f aca="false">-SUMIFS(Wallet_Transactions!$N$5:$N$3000,Wallet_Transactions!$R$5:$R$3000,$A30,Wallet_Transactions!$D$5:$D$3000,"Redemption")</f>
        <v>1950</v>
      </c>
      <c r="L30" s="30" t="n">
        <f aca="false">SUMIFS(Wallet_Transactions!$N$5:$N$3000,Wallet_Transactions!$R$5:$R$3000,$A30)</f>
        <v>50</v>
      </c>
    </row>
    <row r="31" customFormat="false" ht="15" hidden="false" customHeight="false" outlineLevel="0" collapsed="false">
      <c r="A31" s="42" t="n">
        <f aca="false">A30+1</f>
        <v>46292</v>
      </c>
      <c r="B31" s="14" t="n">
        <f aca="false">COUNTIFS(Withdrawals!$F$5:$F$1000,"&gt;="&amp;$A31,Withdrawals!$F$5:$F$1000,"&lt;"&amp;($A31+1))</f>
        <v>4</v>
      </c>
      <c r="C31" s="14" t="n">
        <f aca="false">SUMIFS(Withdrawals!$C$5:$C$1000,Withdrawals!$F$5:$F$1000,"&gt;="&amp;$A31,Withdrawals!$F$5:$F$1000,"&lt;"&amp;($A31+1),Withdrawals!$D$5:$D$1000,Settings!$B$6)</f>
        <v>2900</v>
      </c>
      <c r="D31" s="14" t="n">
        <f aca="false">COUNTIFS(Withdrawals!$H$5:$H$1000,"&gt;="&amp;$A31,Withdrawals!$H$5:$H$1000,"&lt;"&amp;($A31+1),Withdrawals!$I$5:$I$1000,"Completed")</f>
        <v>0</v>
      </c>
      <c r="E31" s="14" t="n">
        <f aca="false">SUMIFS(Withdrawals!$C$5:$C$1000,Withdrawals!$H$5:$H$1000,"&gt;="&amp;$A31,Withdrawals!$H$5:$H$1000,"&lt;"&amp;($A31+1),Withdrawals!$I$5:$I$1000,"Completed",Withdrawals!$D$5:$D$1000,Settings!$B$6)</f>
        <v>0</v>
      </c>
      <c r="F31" s="14" t="n">
        <f aca="false">COUNTIFS(Withdrawals!$H$5:$H$1000,"&gt;="&amp;$A31,Withdrawals!$H$5:$H$1000,"&lt;"&amp;($A31+1),Withdrawals!$I$5:$I$1000,"Rejected")</f>
        <v>0</v>
      </c>
      <c r="G31" s="14" t="n">
        <f aca="false">COUNTIFS(Withdrawals!$H$5:$H$1000,"&gt;="&amp;$A31,Withdrawals!$H$5:$H$1000,"&lt;"&amp;($A31+1),Withdrawals!$I$5:$I$1000,"Reversed")</f>
        <v>0</v>
      </c>
      <c r="H31" s="14" t="n">
        <f aca="false">COUNTIFS(Withdrawals!$F$5:$F$1000,"&lt;"&amp;($A31+1))-COUNTIFS(Withdrawals!$H$5:$H$1000,"&lt;"&amp;($A31+1))</f>
        <v>5</v>
      </c>
      <c r="I31" s="14" t="n">
        <f aca="false">SUM($B$5:B31)</f>
        <v>29</v>
      </c>
      <c r="J31" s="14" t="n">
        <f aca="false">SUMIFS(Wallet_Transactions!$N$5:$N$3000,Wallet_Transactions!$R$5:$R$3000,$A31,Wallet_Transactions!$D$5:$D$3000,"Reward Credit")</f>
        <v>2300</v>
      </c>
      <c r="K31" s="14" t="n">
        <f aca="false">-SUMIFS(Wallet_Transactions!$N$5:$N$3000,Wallet_Transactions!$R$5:$R$3000,$A31,Wallet_Transactions!$D$5:$D$3000,"Redemption")</f>
        <v>-0</v>
      </c>
      <c r="L31" s="30" t="n">
        <f aca="false">SUMIFS(Wallet_Transactions!$N$5:$N$3000,Wallet_Transactions!$R$5:$R$3000,$A31)</f>
        <v>2300</v>
      </c>
    </row>
    <row r="32" customFormat="false" ht="15" hidden="false" customHeight="false" outlineLevel="0" collapsed="false">
      <c r="A32" s="42" t="n">
        <f aca="false">A31+1</f>
        <v>46293</v>
      </c>
      <c r="B32" s="14" t="n">
        <f aca="false">COUNTIFS(Withdrawals!$F$5:$F$1000,"&gt;="&amp;$A32,Withdrawals!$F$5:$F$1000,"&lt;"&amp;($A32+1))</f>
        <v>0</v>
      </c>
      <c r="C32" s="14" t="n">
        <f aca="false">SUMIFS(Withdrawals!$C$5:$C$1000,Withdrawals!$F$5:$F$1000,"&gt;="&amp;$A32,Withdrawals!$F$5:$F$1000,"&lt;"&amp;($A32+1),Withdrawals!$D$5:$D$1000,Settings!$B$6)</f>
        <v>0</v>
      </c>
      <c r="D32" s="14" t="n">
        <f aca="false">COUNTIFS(Withdrawals!$H$5:$H$1000,"&gt;="&amp;$A32,Withdrawals!$H$5:$H$1000,"&lt;"&amp;($A32+1),Withdrawals!$I$5:$I$1000,"Completed")</f>
        <v>1</v>
      </c>
      <c r="E32" s="14" t="n">
        <f aca="false">SUMIFS(Withdrawals!$C$5:$C$1000,Withdrawals!$H$5:$H$1000,"&gt;="&amp;$A32,Withdrawals!$H$5:$H$1000,"&lt;"&amp;($A32+1),Withdrawals!$I$5:$I$1000,"Completed",Withdrawals!$D$5:$D$1000,Settings!$B$6)</f>
        <v>700</v>
      </c>
      <c r="F32" s="14" t="n">
        <f aca="false">COUNTIFS(Withdrawals!$H$5:$H$1000,"&gt;="&amp;$A32,Withdrawals!$H$5:$H$1000,"&lt;"&amp;($A32+1),Withdrawals!$I$5:$I$1000,"Rejected")</f>
        <v>0</v>
      </c>
      <c r="G32" s="14" t="n">
        <f aca="false">COUNTIFS(Withdrawals!$H$5:$H$1000,"&gt;="&amp;$A32,Withdrawals!$H$5:$H$1000,"&lt;"&amp;($A32+1),Withdrawals!$I$5:$I$1000,"Reversed")</f>
        <v>0</v>
      </c>
      <c r="H32" s="14" t="n">
        <f aca="false">COUNTIFS(Withdrawals!$F$5:$F$1000,"&lt;"&amp;($A32+1))-COUNTIFS(Withdrawals!$H$5:$H$1000,"&lt;"&amp;($A32+1))</f>
        <v>4</v>
      </c>
      <c r="I32" s="14" t="n">
        <f aca="false">SUM($B$5:B32)</f>
        <v>29</v>
      </c>
      <c r="J32" s="14" t="n">
        <f aca="false">SUMIFS(Wallet_Transactions!$N$5:$N$3000,Wallet_Transactions!$R$5:$R$3000,$A32,Wallet_Transactions!$D$5:$D$3000,"Reward Credit")</f>
        <v>850</v>
      </c>
      <c r="K32" s="14" t="n">
        <f aca="false">-SUMIFS(Wallet_Transactions!$N$5:$N$3000,Wallet_Transactions!$R$5:$R$3000,$A32,Wallet_Transactions!$D$5:$D$3000,"Redemption")</f>
        <v>700</v>
      </c>
      <c r="L32" s="30" t="n">
        <f aca="false">SUMIFS(Wallet_Transactions!$N$5:$N$3000,Wallet_Transactions!$R$5:$R$3000,$A32)</f>
        <v>150</v>
      </c>
    </row>
    <row r="33" customFormat="false" ht="15" hidden="false" customHeight="false" outlineLevel="0" collapsed="false">
      <c r="A33" s="42" t="n">
        <f aca="false">A32+1</f>
        <v>46294</v>
      </c>
      <c r="B33" s="14" t="n">
        <f aca="false">COUNTIFS(Withdrawals!$F$5:$F$1000,"&gt;="&amp;$A33,Withdrawals!$F$5:$F$1000,"&lt;"&amp;($A33+1))</f>
        <v>0</v>
      </c>
      <c r="C33" s="14" t="n">
        <f aca="false">SUMIFS(Withdrawals!$C$5:$C$1000,Withdrawals!$F$5:$F$1000,"&gt;="&amp;$A33,Withdrawals!$F$5:$F$1000,"&lt;"&amp;($A33+1),Withdrawals!$D$5:$D$1000,Settings!$B$6)</f>
        <v>0</v>
      </c>
      <c r="D33" s="14" t="n">
        <f aca="false">COUNTIFS(Withdrawals!$H$5:$H$1000,"&gt;="&amp;$A33,Withdrawals!$H$5:$H$1000,"&lt;"&amp;($A33+1),Withdrawals!$I$5:$I$1000,"Completed")</f>
        <v>2</v>
      </c>
      <c r="E33" s="14" t="n">
        <f aca="false">SUMIFS(Withdrawals!$C$5:$C$1000,Withdrawals!$H$5:$H$1000,"&gt;="&amp;$A33,Withdrawals!$H$5:$H$1000,"&lt;"&amp;($A33+1),Withdrawals!$I$5:$I$1000,"Completed",Withdrawals!$D$5:$D$1000,Settings!$B$6)</f>
        <v>1700</v>
      </c>
      <c r="F33" s="14" t="n">
        <f aca="false">COUNTIFS(Withdrawals!$H$5:$H$1000,"&gt;="&amp;$A33,Withdrawals!$H$5:$H$1000,"&lt;"&amp;($A33+1),Withdrawals!$I$5:$I$1000,"Rejected")</f>
        <v>1</v>
      </c>
      <c r="G33" s="14" t="n">
        <f aca="false">COUNTIFS(Withdrawals!$H$5:$H$1000,"&gt;="&amp;$A33,Withdrawals!$H$5:$H$1000,"&lt;"&amp;($A33+1),Withdrawals!$I$5:$I$1000,"Reversed")</f>
        <v>0</v>
      </c>
      <c r="H33" s="14" t="n">
        <f aca="false">COUNTIFS(Withdrawals!$F$5:$F$1000,"&lt;"&amp;($A33+1))-COUNTIFS(Withdrawals!$H$5:$H$1000,"&lt;"&amp;($A33+1))</f>
        <v>1</v>
      </c>
      <c r="I33" s="14" t="n">
        <f aca="false">SUM($B$5:B33)</f>
        <v>29</v>
      </c>
      <c r="J33" s="14" t="n">
        <f aca="false">SUMIFS(Wallet_Transactions!$N$5:$N$3000,Wallet_Transactions!$R$5:$R$3000,$A33,Wallet_Transactions!$D$5:$D$3000,"Reward Credit")</f>
        <v>1300</v>
      </c>
      <c r="K33" s="14" t="n">
        <f aca="false">-SUMIFS(Wallet_Transactions!$N$5:$N$3000,Wallet_Transactions!$R$5:$R$3000,$A33,Wallet_Transactions!$D$5:$D$3000,"Redemption")</f>
        <v>1700</v>
      </c>
      <c r="L33" s="30" t="n">
        <f aca="false">SUMIFS(Wallet_Transactions!$N$5:$N$3000,Wallet_Transactions!$R$5:$R$3000,$A33)</f>
        <v>-450</v>
      </c>
    </row>
    <row r="34" customFormat="false" ht="15" hidden="false" customHeight="false" outlineLevel="0" collapsed="false">
      <c r="A34" s="42" t="n">
        <f aca="false">A33+1</f>
        <v>46295</v>
      </c>
      <c r="B34" s="14" t="n">
        <f aca="false">COUNTIFS(Withdrawals!$F$5:$F$1000,"&gt;="&amp;$A34,Withdrawals!$F$5:$F$1000,"&lt;"&amp;($A34+1))</f>
        <v>0</v>
      </c>
      <c r="C34" s="14" t="n">
        <f aca="false">SUMIFS(Withdrawals!$C$5:$C$1000,Withdrawals!$F$5:$F$1000,"&gt;="&amp;$A34,Withdrawals!$F$5:$F$1000,"&lt;"&amp;($A34+1),Withdrawals!$D$5:$D$1000,Settings!$B$6)</f>
        <v>0</v>
      </c>
      <c r="D34" s="14" t="n">
        <f aca="false">COUNTIFS(Withdrawals!$H$5:$H$1000,"&gt;="&amp;$A34,Withdrawals!$H$5:$H$1000,"&lt;"&amp;($A34+1),Withdrawals!$I$5:$I$1000,"Completed")</f>
        <v>0</v>
      </c>
      <c r="E34" s="14" t="n">
        <f aca="false">SUMIFS(Withdrawals!$C$5:$C$1000,Withdrawals!$H$5:$H$1000,"&gt;="&amp;$A34,Withdrawals!$H$5:$H$1000,"&lt;"&amp;($A34+1),Withdrawals!$I$5:$I$1000,"Completed",Withdrawals!$D$5:$D$1000,Settings!$B$6)</f>
        <v>0</v>
      </c>
      <c r="F34" s="14" t="n">
        <f aca="false">COUNTIFS(Withdrawals!$H$5:$H$1000,"&gt;="&amp;$A34,Withdrawals!$H$5:$H$1000,"&lt;"&amp;($A34+1),Withdrawals!$I$5:$I$1000,"Rejected")</f>
        <v>0</v>
      </c>
      <c r="G34" s="14" t="n">
        <f aca="false">COUNTIFS(Withdrawals!$H$5:$H$1000,"&gt;="&amp;$A34,Withdrawals!$H$5:$H$1000,"&lt;"&amp;($A34+1),Withdrawals!$I$5:$I$1000,"Reversed")</f>
        <v>1</v>
      </c>
      <c r="H34" s="14" t="n">
        <f aca="false">COUNTIFS(Withdrawals!$F$5:$F$1000,"&lt;"&amp;($A34+1))-COUNTIFS(Withdrawals!$H$5:$H$1000,"&lt;"&amp;($A34+1))</f>
        <v>0</v>
      </c>
      <c r="I34" s="14" t="n">
        <f aca="false">SUM($B$5:B34)</f>
        <v>29</v>
      </c>
      <c r="J34" s="14" t="n">
        <f aca="false">SUMIFS(Wallet_Transactions!$N$5:$N$3000,Wallet_Transactions!$R$5:$R$3000,$A34,Wallet_Transactions!$D$5:$D$3000,"Reward Credit")</f>
        <v>2100</v>
      </c>
      <c r="K34" s="14" t="n">
        <f aca="false">-SUMIFS(Wallet_Transactions!$N$5:$N$3000,Wallet_Transactions!$R$5:$R$3000,$A34,Wallet_Transactions!$D$5:$D$3000,"Redemption")</f>
        <v>-0</v>
      </c>
      <c r="L34" s="30" t="n">
        <f aca="false">SUMIFS(Wallet_Transactions!$N$5:$N$3000,Wallet_Transactions!$R$5:$R$3000,$A34)</f>
        <v>2650</v>
      </c>
    </row>
    <row r="35" customFormat="false" ht="15" hidden="false" customHeight="false" outlineLevel="0" collapsed="false">
      <c r="A35" s="42" t="n">
        <f aca="false">A34+1</f>
        <v>46296</v>
      </c>
      <c r="B35" s="14" t="n">
        <f aca="false">COUNTIFS(Withdrawals!$F$5:$F$1000,"&gt;="&amp;$A35,Withdrawals!$F$5:$F$1000,"&lt;"&amp;($A35+1))</f>
        <v>0</v>
      </c>
      <c r="C35" s="14" t="n">
        <f aca="false">SUMIFS(Withdrawals!$C$5:$C$1000,Withdrawals!$F$5:$F$1000,"&gt;="&amp;$A35,Withdrawals!$F$5:$F$1000,"&lt;"&amp;($A35+1),Withdrawals!$D$5:$D$1000,Settings!$B$6)</f>
        <v>0</v>
      </c>
      <c r="D35" s="14" t="n">
        <f aca="false">COUNTIFS(Withdrawals!$H$5:$H$1000,"&gt;="&amp;$A35,Withdrawals!$H$5:$H$1000,"&lt;"&amp;($A35+1),Withdrawals!$I$5:$I$1000,"Completed")</f>
        <v>0</v>
      </c>
      <c r="E35" s="14" t="n">
        <f aca="false">SUMIFS(Withdrawals!$C$5:$C$1000,Withdrawals!$H$5:$H$1000,"&gt;="&amp;$A35,Withdrawals!$H$5:$H$1000,"&lt;"&amp;($A35+1),Withdrawals!$I$5:$I$1000,"Completed",Withdrawals!$D$5:$D$1000,Settings!$B$6)</f>
        <v>0</v>
      </c>
      <c r="F35" s="14" t="n">
        <f aca="false">COUNTIFS(Withdrawals!$H$5:$H$1000,"&gt;="&amp;$A35,Withdrawals!$H$5:$H$1000,"&lt;"&amp;($A35+1),Withdrawals!$I$5:$I$1000,"Rejected")</f>
        <v>0</v>
      </c>
      <c r="G35" s="14" t="n">
        <f aca="false">COUNTIFS(Withdrawals!$H$5:$H$1000,"&gt;="&amp;$A35,Withdrawals!$H$5:$H$1000,"&lt;"&amp;($A35+1),Withdrawals!$I$5:$I$1000,"Reversed")</f>
        <v>0</v>
      </c>
      <c r="H35" s="14" t="n">
        <f aca="false">COUNTIFS(Withdrawals!$F$5:$F$1000,"&lt;"&amp;($A35+1))-COUNTIFS(Withdrawals!$H$5:$H$1000,"&lt;"&amp;($A35+1))</f>
        <v>0</v>
      </c>
      <c r="I35" s="14" t="n">
        <f aca="false">SUM($B$5:B35)</f>
        <v>29</v>
      </c>
      <c r="J35" s="14" t="n">
        <f aca="false">SUMIFS(Wallet_Transactions!$N$5:$N$3000,Wallet_Transactions!$R$5:$R$3000,$A35,Wallet_Transactions!$D$5:$D$3000,"Reward Credit")</f>
        <v>1250</v>
      </c>
      <c r="K35" s="14" t="n">
        <f aca="false">-SUMIFS(Wallet_Transactions!$N$5:$N$3000,Wallet_Transactions!$R$5:$R$3000,$A35,Wallet_Transactions!$D$5:$D$3000,"Redemption")</f>
        <v>-0</v>
      </c>
      <c r="L35" s="30" t="n">
        <f aca="false">SUMIFS(Wallet_Transactions!$N$5:$N$3000,Wallet_Transactions!$R$5:$R$3000,$A35)</f>
        <v>1350</v>
      </c>
    </row>
    <row r="36" customFormat="false" ht="15" hidden="false" customHeight="false" outlineLevel="0" collapsed="false">
      <c r="A36" s="42" t="n">
        <f aca="false">A35+1</f>
        <v>46297</v>
      </c>
      <c r="B36" s="14" t="n">
        <f aca="false">COUNTIFS(Withdrawals!$F$5:$F$1000,"&gt;="&amp;$A36,Withdrawals!$F$5:$F$1000,"&lt;"&amp;($A36+1))</f>
        <v>1</v>
      </c>
      <c r="C36" s="14" t="n">
        <f aca="false">SUMIFS(Withdrawals!$C$5:$C$1000,Withdrawals!$F$5:$F$1000,"&gt;="&amp;$A36,Withdrawals!$F$5:$F$1000,"&lt;"&amp;($A36+1),Withdrawals!$D$5:$D$1000,Settings!$B$6)</f>
        <v>850</v>
      </c>
      <c r="D36" s="14" t="n">
        <f aca="false">COUNTIFS(Withdrawals!$H$5:$H$1000,"&gt;="&amp;$A36,Withdrawals!$H$5:$H$1000,"&lt;"&amp;($A36+1),Withdrawals!$I$5:$I$1000,"Completed")</f>
        <v>0</v>
      </c>
      <c r="E36" s="14" t="n">
        <f aca="false">SUMIFS(Withdrawals!$C$5:$C$1000,Withdrawals!$H$5:$H$1000,"&gt;="&amp;$A36,Withdrawals!$H$5:$H$1000,"&lt;"&amp;($A36+1),Withdrawals!$I$5:$I$1000,"Completed",Withdrawals!$D$5:$D$1000,Settings!$B$6)</f>
        <v>0</v>
      </c>
      <c r="F36" s="14" t="n">
        <f aca="false">COUNTIFS(Withdrawals!$H$5:$H$1000,"&gt;="&amp;$A36,Withdrawals!$H$5:$H$1000,"&lt;"&amp;($A36+1),Withdrawals!$I$5:$I$1000,"Rejected")</f>
        <v>0</v>
      </c>
      <c r="G36" s="14" t="n">
        <f aca="false">COUNTIFS(Withdrawals!$H$5:$H$1000,"&gt;="&amp;$A36,Withdrawals!$H$5:$H$1000,"&lt;"&amp;($A36+1),Withdrawals!$I$5:$I$1000,"Reversed")</f>
        <v>0</v>
      </c>
      <c r="H36" s="14" t="n">
        <f aca="false">COUNTIFS(Withdrawals!$F$5:$F$1000,"&lt;"&amp;($A36+1))-COUNTIFS(Withdrawals!$H$5:$H$1000,"&lt;"&amp;($A36+1))</f>
        <v>1</v>
      </c>
      <c r="I36" s="14" t="n">
        <f aca="false">SUM($B$5:B36)</f>
        <v>30</v>
      </c>
      <c r="J36" s="14" t="n">
        <f aca="false">SUMIFS(Wallet_Transactions!$N$5:$N$3000,Wallet_Transactions!$R$5:$R$3000,$A36,Wallet_Transactions!$D$5:$D$3000,"Reward Credit")</f>
        <v>700</v>
      </c>
      <c r="K36" s="14" t="n">
        <f aca="false">-SUMIFS(Wallet_Transactions!$N$5:$N$3000,Wallet_Transactions!$R$5:$R$3000,$A36,Wallet_Transactions!$D$5:$D$3000,"Redemption")</f>
        <v>-0</v>
      </c>
      <c r="L36" s="30" t="n">
        <f aca="false">SUMIFS(Wallet_Transactions!$N$5:$N$3000,Wallet_Transactions!$R$5:$R$3000,$A36)</f>
        <v>700</v>
      </c>
    </row>
    <row r="37" customFormat="false" ht="15" hidden="false" customHeight="false" outlineLevel="0" collapsed="false">
      <c r="A37" s="42" t="n">
        <f aca="false">A36+1</f>
        <v>46298</v>
      </c>
      <c r="B37" s="14" t="n">
        <f aca="false">COUNTIFS(Withdrawals!$F$5:$F$1000,"&gt;="&amp;$A37,Withdrawals!$F$5:$F$1000,"&lt;"&amp;($A37+1))</f>
        <v>1</v>
      </c>
      <c r="C37" s="14" t="n">
        <f aca="false">SUMIFS(Withdrawals!$C$5:$C$1000,Withdrawals!$F$5:$F$1000,"&gt;="&amp;$A37,Withdrawals!$F$5:$F$1000,"&lt;"&amp;($A37+1),Withdrawals!$D$5:$D$1000,Settings!$B$6)</f>
        <v>1500</v>
      </c>
      <c r="D37" s="14" t="n">
        <f aca="false">COUNTIFS(Withdrawals!$H$5:$H$1000,"&gt;="&amp;$A37,Withdrawals!$H$5:$H$1000,"&lt;"&amp;($A37+1),Withdrawals!$I$5:$I$1000,"Completed")</f>
        <v>1</v>
      </c>
      <c r="E37" s="14" t="n">
        <f aca="false">SUMIFS(Withdrawals!$C$5:$C$1000,Withdrawals!$H$5:$H$1000,"&gt;="&amp;$A37,Withdrawals!$H$5:$H$1000,"&lt;"&amp;($A37+1),Withdrawals!$I$5:$I$1000,"Completed",Withdrawals!$D$5:$D$1000,Settings!$B$6)</f>
        <v>850</v>
      </c>
      <c r="F37" s="14" t="n">
        <f aca="false">COUNTIFS(Withdrawals!$H$5:$H$1000,"&gt;="&amp;$A37,Withdrawals!$H$5:$H$1000,"&lt;"&amp;($A37+1),Withdrawals!$I$5:$I$1000,"Rejected")</f>
        <v>0</v>
      </c>
      <c r="G37" s="14" t="n">
        <f aca="false">COUNTIFS(Withdrawals!$H$5:$H$1000,"&gt;="&amp;$A37,Withdrawals!$H$5:$H$1000,"&lt;"&amp;($A37+1),Withdrawals!$I$5:$I$1000,"Reversed")</f>
        <v>0</v>
      </c>
      <c r="H37" s="14" t="n">
        <f aca="false">COUNTIFS(Withdrawals!$F$5:$F$1000,"&lt;"&amp;($A37+1))-COUNTIFS(Withdrawals!$H$5:$H$1000,"&lt;"&amp;($A37+1))</f>
        <v>1</v>
      </c>
      <c r="I37" s="14" t="n">
        <f aca="false">SUM($B$5:B37)</f>
        <v>31</v>
      </c>
      <c r="J37" s="14" t="n">
        <f aca="false">SUMIFS(Wallet_Transactions!$N$5:$N$3000,Wallet_Transactions!$R$5:$R$3000,$A37,Wallet_Transactions!$D$5:$D$3000,"Reward Credit")</f>
        <v>700</v>
      </c>
      <c r="K37" s="14" t="n">
        <f aca="false">-SUMIFS(Wallet_Transactions!$N$5:$N$3000,Wallet_Transactions!$R$5:$R$3000,$A37,Wallet_Transactions!$D$5:$D$3000,"Redemption")</f>
        <v>850</v>
      </c>
      <c r="L37" s="30" t="n">
        <f aca="false">SUMIFS(Wallet_Transactions!$N$5:$N$3000,Wallet_Transactions!$R$5:$R$3000,$A37)</f>
        <v>-300</v>
      </c>
    </row>
    <row r="38" customFormat="false" ht="15" hidden="false" customHeight="false" outlineLevel="0" collapsed="false">
      <c r="A38" s="42" t="n">
        <f aca="false">A37+1</f>
        <v>46299</v>
      </c>
      <c r="B38" s="14" t="n">
        <f aca="false">COUNTIFS(Withdrawals!$F$5:$F$1000,"&gt;="&amp;$A38,Withdrawals!$F$5:$F$1000,"&lt;"&amp;($A38+1))</f>
        <v>0</v>
      </c>
      <c r="C38" s="14" t="n">
        <f aca="false">SUMIFS(Withdrawals!$C$5:$C$1000,Withdrawals!$F$5:$F$1000,"&gt;="&amp;$A38,Withdrawals!$F$5:$F$1000,"&lt;"&amp;($A38+1),Withdrawals!$D$5:$D$1000,Settings!$B$6)</f>
        <v>0</v>
      </c>
      <c r="D38" s="14" t="n">
        <f aca="false">COUNTIFS(Withdrawals!$H$5:$H$1000,"&gt;="&amp;$A38,Withdrawals!$H$5:$H$1000,"&lt;"&amp;($A38+1),Withdrawals!$I$5:$I$1000,"Completed")</f>
        <v>0</v>
      </c>
      <c r="E38" s="14" t="n">
        <f aca="false">SUMIFS(Withdrawals!$C$5:$C$1000,Withdrawals!$H$5:$H$1000,"&gt;="&amp;$A38,Withdrawals!$H$5:$H$1000,"&lt;"&amp;($A38+1),Withdrawals!$I$5:$I$1000,"Completed",Withdrawals!$D$5:$D$1000,Settings!$B$6)</f>
        <v>0</v>
      </c>
      <c r="F38" s="14" t="n">
        <f aca="false">COUNTIFS(Withdrawals!$H$5:$H$1000,"&gt;="&amp;$A38,Withdrawals!$H$5:$H$1000,"&lt;"&amp;($A38+1),Withdrawals!$I$5:$I$1000,"Rejected")</f>
        <v>0</v>
      </c>
      <c r="G38" s="14" t="n">
        <f aca="false">COUNTIFS(Withdrawals!$H$5:$H$1000,"&gt;="&amp;$A38,Withdrawals!$H$5:$H$1000,"&lt;"&amp;($A38+1),Withdrawals!$I$5:$I$1000,"Reversed")</f>
        <v>0</v>
      </c>
      <c r="H38" s="14" t="n">
        <f aca="false">COUNTIFS(Withdrawals!$F$5:$F$1000,"&lt;"&amp;($A38+1))-COUNTIFS(Withdrawals!$H$5:$H$1000,"&lt;"&amp;($A38+1))</f>
        <v>1</v>
      </c>
      <c r="I38" s="14" t="n">
        <f aca="false">SUM($B$5:B38)</f>
        <v>31</v>
      </c>
      <c r="J38" s="14" t="n">
        <f aca="false">SUMIFS(Wallet_Transactions!$N$5:$N$3000,Wallet_Transactions!$R$5:$R$3000,$A38,Wallet_Transactions!$D$5:$D$3000,"Reward Credit")</f>
        <v>1200</v>
      </c>
      <c r="K38" s="14" t="n">
        <f aca="false">-SUMIFS(Wallet_Transactions!$N$5:$N$3000,Wallet_Transactions!$R$5:$R$3000,$A38,Wallet_Transactions!$D$5:$D$3000,"Redemption")</f>
        <v>-0</v>
      </c>
      <c r="L38" s="30" t="n">
        <f aca="false">SUMIFS(Wallet_Transactions!$N$5:$N$3000,Wallet_Transactions!$R$5:$R$3000,$A38)</f>
        <v>1000</v>
      </c>
    </row>
    <row r="39" customFormat="false" ht="15" hidden="false" customHeight="false" outlineLevel="0" collapsed="false">
      <c r="A39" s="42" t="n">
        <f aca="false">A38+1</f>
        <v>46300</v>
      </c>
      <c r="B39" s="14" t="n">
        <f aca="false">COUNTIFS(Withdrawals!$F$5:$F$1000,"&gt;="&amp;$A39,Withdrawals!$F$5:$F$1000,"&lt;"&amp;($A39+1))</f>
        <v>1</v>
      </c>
      <c r="C39" s="14" t="n">
        <f aca="false">SUMIFS(Withdrawals!$C$5:$C$1000,Withdrawals!$F$5:$F$1000,"&gt;="&amp;$A39,Withdrawals!$F$5:$F$1000,"&lt;"&amp;($A39+1),Withdrawals!$D$5:$D$1000,Settings!$B$6)</f>
        <v>1550</v>
      </c>
      <c r="D39" s="14" t="n">
        <f aca="false">COUNTIFS(Withdrawals!$H$5:$H$1000,"&gt;="&amp;$A39,Withdrawals!$H$5:$H$1000,"&lt;"&amp;($A39+1),Withdrawals!$I$5:$I$1000,"Completed")</f>
        <v>1</v>
      </c>
      <c r="E39" s="14" t="n">
        <f aca="false">SUMIFS(Withdrawals!$C$5:$C$1000,Withdrawals!$H$5:$H$1000,"&gt;="&amp;$A39,Withdrawals!$H$5:$H$1000,"&lt;"&amp;($A39+1),Withdrawals!$I$5:$I$1000,"Completed",Withdrawals!$D$5:$D$1000,Settings!$B$6)</f>
        <v>1500</v>
      </c>
      <c r="F39" s="14" t="n">
        <f aca="false">COUNTIFS(Withdrawals!$H$5:$H$1000,"&gt;="&amp;$A39,Withdrawals!$H$5:$H$1000,"&lt;"&amp;($A39+1),Withdrawals!$I$5:$I$1000,"Rejected")</f>
        <v>0</v>
      </c>
      <c r="G39" s="14" t="n">
        <f aca="false">COUNTIFS(Withdrawals!$H$5:$H$1000,"&gt;="&amp;$A39,Withdrawals!$H$5:$H$1000,"&lt;"&amp;($A39+1),Withdrawals!$I$5:$I$1000,"Reversed")</f>
        <v>0</v>
      </c>
      <c r="H39" s="14" t="n">
        <f aca="false">COUNTIFS(Withdrawals!$F$5:$F$1000,"&lt;"&amp;($A39+1))-COUNTIFS(Withdrawals!$H$5:$H$1000,"&lt;"&amp;($A39+1))</f>
        <v>1</v>
      </c>
      <c r="I39" s="14" t="n">
        <f aca="false">SUM($B$5:B39)</f>
        <v>32</v>
      </c>
      <c r="J39" s="14" t="n">
        <f aca="false">SUMIFS(Wallet_Transactions!$N$5:$N$3000,Wallet_Transactions!$R$5:$R$3000,$A39,Wallet_Transactions!$D$5:$D$3000,"Reward Credit")</f>
        <v>1600</v>
      </c>
      <c r="K39" s="14" t="n">
        <f aca="false">-SUMIFS(Wallet_Transactions!$N$5:$N$3000,Wallet_Transactions!$R$5:$R$3000,$A39,Wallet_Transactions!$D$5:$D$3000,"Redemption")</f>
        <v>1500</v>
      </c>
      <c r="L39" s="30" t="n">
        <f aca="false">SUMIFS(Wallet_Transactions!$N$5:$N$3000,Wallet_Transactions!$R$5:$R$3000,$A39)</f>
        <v>100</v>
      </c>
    </row>
    <row r="40" customFormat="false" ht="15" hidden="false" customHeight="false" outlineLevel="0" collapsed="false">
      <c r="A40" s="42" t="n">
        <f aca="false">A39+1</f>
        <v>46301</v>
      </c>
      <c r="B40" s="14" t="n">
        <f aca="false">COUNTIFS(Withdrawals!$F$5:$F$1000,"&gt;="&amp;$A40,Withdrawals!$F$5:$F$1000,"&lt;"&amp;($A40+1))</f>
        <v>2</v>
      </c>
      <c r="C40" s="14" t="n">
        <f aca="false">SUMIFS(Withdrawals!$C$5:$C$1000,Withdrawals!$F$5:$F$1000,"&gt;="&amp;$A40,Withdrawals!$F$5:$F$1000,"&lt;"&amp;($A40+1),Withdrawals!$D$5:$D$1000,Settings!$B$6)</f>
        <v>1900</v>
      </c>
      <c r="D40" s="14" t="n">
        <f aca="false">COUNTIFS(Withdrawals!$H$5:$H$1000,"&gt;="&amp;$A40,Withdrawals!$H$5:$H$1000,"&lt;"&amp;($A40+1),Withdrawals!$I$5:$I$1000,"Completed")</f>
        <v>0</v>
      </c>
      <c r="E40" s="14" t="n">
        <f aca="false">SUMIFS(Withdrawals!$C$5:$C$1000,Withdrawals!$H$5:$H$1000,"&gt;="&amp;$A40,Withdrawals!$H$5:$H$1000,"&lt;"&amp;($A40+1),Withdrawals!$I$5:$I$1000,"Completed",Withdrawals!$D$5:$D$1000,Settings!$B$6)</f>
        <v>0</v>
      </c>
      <c r="F40" s="14" t="n">
        <f aca="false">COUNTIFS(Withdrawals!$H$5:$H$1000,"&gt;="&amp;$A40,Withdrawals!$H$5:$H$1000,"&lt;"&amp;($A40+1),Withdrawals!$I$5:$I$1000,"Rejected")</f>
        <v>0</v>
      </c>
      <c r="G40" s="14" t="n">
        <f aca="false">COUNTIFS(Withdrawals!$H$5:$H$1000,"&gt;="&amp;$A40,Withdrawals!$H$5:$H$1000,"&lt;"&amp;($A40+1),Withdrawals!$I$5:$I$1000,"Reversed")</f>
        <v>0</v>
      </c>
      <c r="H40" s="14" t="n">
        <f aca="false">COUNTIFS(Withdrawals!$F$5:$F$1000,"&lt;"&amp;($A40+1))-COUNTIFS(Withdrawals!$H$5:$H$1000,"&lt;"&amp;($A40+1))</f>
        <v>3</v>
      </c>
      <c r="I40" s="14" t="n">
        <f aca="false">SUM($B$5:B40)</f>
        <v>34</v>
      </c>
      <c r="J40" s="14" t="n">
        <f aca="false">SUMIFS(Wallet_Transactions!$N$5:$N$3000,Wallet_Transactions!$R$5:$R$3000,$A40,Wallet_Transactions!$D$5:$D$3000,"Reward Credit")</f>
        <v>1100</v>
      </c>
      <c r="K40" s="14" t="n">
        <f aca="false">-SUMIFS(Wallet_Transactions!$N$5:$N$3000,Wallet_Transactions!$R$5:$R$3000,$A40,Wallet_Transactions!$D$5:$D$3000,"Redemption")</f>
        <v>-0</v>
      </c>
      <c r="L40" s="30" t="n">
        <f aca="false">SUMIFS(Wallet_Transactions!$N$5:$N$3000,Wallet_Transactions!$R$5:$R$3000,$A40)</f>
        <v>1100</v>
      </c>
    </row>
    <row r="41" customFormat="false" ht="15" hidden="false" customHeight="false" outlineLevel="0" collapsed="false">
      <c r="A41" s="42" t="n">
        <f aca="false">A40+1</f>
        <v>46302</v>
      </c>
      <c r="B41" s="14" t="n">
        <f aca="false">COUNTIFS(Withdrawals!$F$5:$F$1000,"&gt;="&amp;$A41,Withdrawals!$F$5:$F$1000,"&lt;"&amp;($A41+1))</f>
        <v>1</v>
      </c>
      <c r="C41" s="14" t="n">
        <f aca="false">SUMIFS(Withdrawals!$C$5:$C$1000,Withdrawals!$F$5:$F$1000,"&gt;="&amp;$A41,Withdrawals!$F$5:$F$1000,"&lt;"&amp;($A41+1),Withdrawals!$D$5:$D$1000,Settings!$B$6)</f>
        <v>1150</v>
      </c>
      <c r="D41" s="14" t="n">
        <f aca="false">COUNTIFS(Withdrawals!$H$5:$H$1000,"&gt;="&amp;$A41,Withdrawals!$H$5:$H$1000,"&lt;"&amp;($A41+1),Withdrawals!$I$5:$I$1000,"Completed")</f>
        <v>1</v>
      </c>
      <c r="E41" s="14" t="n">
        <f aca="false">SUMIFS(Withdrawals!$C$5:$C$1000,Withdrawals!$H$5:$H$1000,"&gt;="&amp;$A41,Withdrawals!$H$5:$H$1000,"&lt;"&amp;($A41+1),Withdrawals!$I$5:$I$1000,"Completed",Withdrawals!$D$5:$D$1000,Settings!$B$6)</f>
        <v>1550</v>
      </c>
      <c r="F41" s="14" t="n">
        <f aca="false">COUNTIFS(Withdrawals!$H$5:$H$1000,"&gt;="&amp;$A41,Withdrawals!$H$5:$H$1000,"&lt;"&amp;($A41+1),Withdrawals!$I$5:$I$1000,"Rejected")</f>
        <v>0</v>
      </c>
      <c r="G41" s="14" t="n">
        <f aca="false">COUNTIFS(Withdrawals!$H$5:$H$1000,"&gt;="&amp;$A41,Withdrawals!$H$5:$H$1000,"&lt;"&amp;($A41+1),Withdrawals!$I$5:$I$1000,"Reversed")</f>
        <v>0</v>
      </c>
      <c r="H41" s="14" t="n">
        <f aca="false">COUNTIFS(Withdrawals!$F$5:$F$1000,"&lt;"&amp;($A41+1))-COUNTIFS(Withdrawals!$H$5:$H$1000,"&lt;"&amp;($A41+1))</f>
        <v>3</v>
      </c>
      <c r="I41" s="14" t="n">
        <f aca="false">SUM($B$5:B41)</f>
        <v>35</v>
      </c>
      <c r="J41" s="14" t="n">
        <f aca="false">SUMIFS(Wallet_Transactions!$N$5:$N$3000,Wallet_Transactions!$R$5:$R$3000,$A41,Wallet_Transactions!$D$5:$D$3000,"Reward Credit")</f>
        <v>1150</v>
      </c>
      <c r="K41" s="14" t="n">
        <f aca="false">-SUMIFS(Wallet_Transactions!$N$5:$N$3000,Wallet_Transactions!$R$5:$R$3000,$A41,Wallet_Transactions!$D$5:$D$3000,"Redemption")</f>
        <v>1550</v>
      </c>
      <c r="L41" s="30" t="n">
        <f aca="false">SUMIFS(Wallet_Transactions!$N$5:$N$3000,Wallet_Transactions!$R$5:$R$3000,$A41)</f>
        <v>-500</v>
      </c>
    </row>
    <row r="42" customFormat="false" ht="15" hidden="false" customHeight="false" outlineLevel="0" collapsed="false">
      <c r="A42" s="42" t="n">
        <f aca="false">A41+1</f>
        <v>46303</v>
      </c>
      <c r="B42" s="14" t="n">
        <f aca="false">COUNTIFS(Withdrawals!$F$5:$F$1000,"&gt;="&amp;$A42,Withdrawals!$F$5:$F$1000,"&lt;"&amp;($A42+1))</f>
        <v>1</v>
      </c>
      <c r="C42" s="14" t="n">
        <f aca="false">SUMIFS(Withdrawals!$C$5:$C$1000,Withdrawals!$F$5:$F$1000,"&gt;="&amp;$A42,Withdrawals!$F$5:$F$1000,"&lt;"&amp;($A42+1),Withdrawals!$D$5:$D$1000,Settings!$B$6)</f>
        <v>600</v>
      </c>
      <c r="D42" s="14" t="n">
        <f aca="false">COUNTIFS(Withdrawals!$H$5:$H$1000,"&gt;="&amp;$A42,Withdrawals!$H$5:$H$1000,"&lt;"&amp;($A42+1),Withdrawals!$I$5:$I$1000,"Completed")</f>
        <v>0</v>
      </c>
      <c r="E42" s="14" t="n">
        <f aca="false">SUMIFS(Withdrawals!$C$5:$C$1000,Withdrawals!$H$5:$H$1000,"&gt;="&amp;$A42,Withdrawals!$H$5:$H$1000,"&lt;"&amp;($A42+1),Withdrawals!$I$5:$I$1000,"Completed",Withdrawals!$D$5:$D$1000,Settings!$B$6)</f>
        <v>0</v>
      </c>
      <c r="F42" s="14" t="n">
        <f aca="false">COUNTIFS(Withdrawals!$H$5:$H$1000,"&gt;="&amp;$A42,Withdrawals!$H$5:$H$1000,"&lt;"&amp;($A42+1),Withdrawals!$I$5:$I$1000,"Rejected")</f>
        <v>0</v>
      </c>
      <c r="G42" s="14" t="n">
        <f aca="false">COUNTIFS(Withdrawals!$H$5:$H$1000,"&gt;="&amp;$A42,Withdrawals!$H$5:$H$1000,"&lt;"&amp;($A42+1),Withdrawals!$I$5:$I$1000,"Reversed")</f>
        <v>0</v>
      </c>
      <c r="H42" s="14" t="n">
        <f aca="false">COUNTIFS(Withdrawals!$F$5:$F$1000,"&lt;"&amp;($A42+1))-COUNTIFS(Withdrawals!$H$5:$H$1000,"&lt;"&amp;($A42+1))</f>
        <v>4</v>
      </c>
      <c r="I42" s="14" t="n">
        <f aca="false">SUM($B$5:B42)</f>
        <v>36</v>
      </c>
      <c r="J42" s="14" t="n">
        <f aca="false">SUMIFS(Wallet_Transactions!$N$5:$N$3000,Wallet_Transactions!$R$5:$R$3000,$A42,Wallet_Transactions!$D$5:$D$3000,"Reward Credit")</f>
        <v>1300</v>
      </c>
      <c r="K42" s="14" t="n">
        <f aca="false">-SUMIFS(Wallet_Transactions!$N$5:$N$3000,Wallet_Transactions!$R$5:$R$3000,$A42,Wallet_Transactions!$D$5:$D$3000,"Redemption")</f>
        <v>-0</v>
      </c>
      <c r="L42" s="30" t="n">
        <f aca="false">SUMIFS(Wallet_Transactions!$N$5:$N$3000,Wallet_Transactions!$R$5:$R$3000,$A42)</f>
        <v>1300</v>
      </c>
    </row>
    <row r="43" customFormat="false" ht="15" hidden="false" customHeight="false" outlineLevel="0" collapsed="false">
      <c r="A43" s="42" t="n">
        <f aca="false">A42+1</f>
        <v>46304</v>
      </c>
      <c r="B43" s="14" t="n">
        <f aca="false">COUNTIFS(Withdrawals!$F$5:$F$1000,"&gt;="&amp;$A43,Withdrawals!$F$5:$F$1000,"&lt;"&amp;($A43+1))</f>
        <v>2</v>
      </c>
      <c r="C43" s="14" t="n">
        <f aca="false">SUMIFS(Withdrawals!$C$5:$C$1000,Withdrawals!$F$5:$F$1000,"&gt;="&amp;$A43,Withdrawals!$F$5:$F$1000,"&lt;"&amp;($A43+1),Withdrawals!$D$5:$D$1000,Settings!$B$6)</f>
        <v>2200</v>
      </c>
      <c r="D43" s="14" t="n">
        <f aca="false">COUNTIFS(Withdrawals!$H$5:$H$1000,"&gt;="&amp;$A43,Withdrawals!$H$5:$H$1000,"&lt;"&amp;($A43+1),Withdrawals!$I$5:$I$1000,"Completed")</f>
        <v>1</v>
      </c>
      <c r="E43" s="14" t="n">
        <f aca="false">SUMIFS(Withdrawals!$C$5:$C$1000,Withdrawals!$H$5:$H$1000,"&gt;="&amp;$A43,Withdrawals!$H$5:$H$1000,"&lt;"&amp;($A43+1),Withdrawals!$I$5:$I$1000,"Completed",Withdrawals!$D$5:$D$1000,Settings!$B$6)</f>
        <v>800</v>
      </c>
      <c r="F43" s="14" t="n">
        <f aca="false">COUNTIFS(Withdrawals!$H$5:$H$1000,"&gt;="&amp;$A43,Withdrawals!$H$5:$H$1000,"&lt;"&amp;($A43+1),Withdrawals!$I$5:$I$1000,"Rejected")</f>
        <v>0</v>
      </c>
      <c r="G43" s="14" t="n">
        <f aca="false">COUNTIFS(Withdrawals!$H$5:$H$1000,"&gt;="&amp;$A43,Withdrawals!$H$5:$H$1000,"&lt;"&amp;($A43+1),Withdrawals!$I$5:$I$1000,"Reversed")</f>
        <v>0</v>
      </c>
      <c r="H43" s="14" t="n">
        <f aca="false">COUNTIFS(Withdrawals!$F$5:$F$1000,"&lt;"&amp;($A43+1))-COUNTIFS(Withdrawals!$H$5:$H$1000,"&lt;"&amp;($A43+1))</f>
        <v>5</v>
      </c>
      <c r="I43" s="14" t="n">
        <f aca="false">SUM($B$5:B43)</f>
        <v>38</v>
      </c>
      <c r="J43" s="14" t="n">
        <f aca="false">SUMIFS(Wallet_Transactions!$N$5:$N$3000,Wallet_Transactions!$R$5:$R$3000,$A43,Wallet_Transactions!$D$5:$D$3000,"Reward Credit")</f>
        <v>1750</v>
      </c>
      <c r="K43" s="14" t="n">
        <f aca="false">-SUMIFS(Wallet_Transactions!$N$5:$N$3000,Wallet_Transactions!$R$5:$R$3000,$A43,Wallet_Transactions!$D$5:$D$3000,"Redemption")</f>
        <v>800</v>
      </c>
      <c r="L43" s="30" t="n">
        <f aca="false">SUMIFS(Wallet_Transactions!$N$5:$N$3000,Wallet_Transactions!$R$5:$R$3000,$A43)</f>
        <v>950</v>
      </c>
    </row>
    <row r="44" customFormat="false" ht="15" hidden="false" customHeight="false" outlineLevel="0" collapsed="false">
      <c r="A44" s="42" t="n">
        <f aca="false">A43+1</f>
        <v>46305</v>
      </c>
      <c r="B44" s="14" t="n">
        <f aca="false">COUNTIFS(Withdrawals!$F$5:$F$1000,"&gt;="&amp;$A44,Withdrawals!$F$5:$F$1000,"&lt;"&amp;($A44+1))</f>
        <v>0</v>
      </c>
      <c r="C44" s="14" t="n">
        <f aca="false">SUMIFS(Withdrawals!$C$5:$C$1000,Withdrawals!$F$5:$F$1000,"&gt;="&amp;$A44,Withdrawals!$F$5:$F$1000,"&lt;"&amp;($A44+1),Withdrawals!$D$5:$D$1000,Settings!$B$6)</f>
        <v>0</v>
      </c>
      <c r="D44" s="14" t="n">
        <f aca="false">COUNTIFS(Withdrawals!$H$5:$H$1000,"&gt;="&amp;$A44,Withdrawals!$H$5:$H$1000,"&lt;"&amp;($A44+1),Withdrawals!$I$5:$I$1000,"Completed")</f>
        <v>0</v>
      </c>
      <c r="E44" s="14" t="n">
        <f aca="false">SUMIFS(Withdrawals!$C$5:$C$1000,Withdrawals!$H$5:$H$1000,"&gt;="&amp;$A44,Withdrawals!$H$5:$H$1000,"&lt;"&amp;($A44+1),Withdrawals!$I$5:$I$1000,"Completed",Withdrawals!$D$5:$D$1000,Settings!$B$6)</f>
        <v>0</v>
      </c>
      <c r="F44" s="14" t="n">
        <f aca="false">COUNTIFS(Withdrawals!$H$5:$H$1000,"&gt;="&amp;$A44,Withdrawals!$H$5:$H$1000,"&lt;"&amp;($A44+1),Withdrawals!$I$5:$I$1000,"Rejected")</f>
        <v>0</v>
      </c>
      <c r="G44" s="14" t="n">
        <f aca="false">COUNTIFS(Withdrawals!$H$5:$H$1000,"&gt;="&amp;$A44,Withdrawals!$H$5:$H$1000,"&lt;"&amp;($A44+1),Withdrawals!$I$5:$I$1000,"Reversed")</f>
        <v>0</v>
      </c>
      <c r="H44" s="14" t="n">
        <f aca="false">COUNTIFS(Withdrawals!$F$5:$F$1000,"&lt;"&amp;($A44+1))-COUNTIFS(Withdrawals!$H$5:$H$1000,"&lt;"&amp;($A44+1))</f>
        <v>5</v>
      </c>
      <c r="I44" s="14" t="n">
        <f aca="false">SUM($B$5:B44)</f>
        <v>38</v>
      </c>
      <c r="J44" s="14" t="n">
        <f aca="false">SUMIFS(Wallet_Transactions!$N$5:$N$3000,Wallet_Transactions!$R$5:$R$3000,$A44,Wallet_Transactions!$D$5:$D$3000,"Reward Credit")</f>
        <v>1100</v>
      </c>
      <c r="K44" s="14" t="n">
        <f aca="false">-SUMIFS(Wallet_Transactions!$N$5:$N$3000,Wallet_Transactions!$R$5:$R$3000,$A44,Wallet_Transactions!$D$5:$D$3000,"Redemption")</f>
        <v>-0</v>
      </c>
      <c r="L44" s="30" t="n">
        <f aca="false">SUMIFS(Wallet_Transactions!$N$5:$N$3000,Wallet_Transactions!$R$5:$R$3000,$A44)</f>
        <v>1100</v>
      </c>
    </row>
    <row r="45" customFormat="false" ht="15" hidden="false" customHeight="false" outlineLevel="0" collapsed="false">
      <c r="A45" s="42" t="n">
        <f aca="false">A44+1</f>
        <v>46306</v>
      </c>
      <c r="B45" s="14" t="n">
        <f aca="false">COUNTIFS(Withdrawals!$F$5:$F$1000,"&gt;="&amp;$A45,Withdrawals!$F$5:$F$1000,"&lt;"&amp;($A45+1))</f>
        <v>1</v>
      </c>
      <c r="C45" s="14" t="n">
        <f aca="false">SUMIFS(Withdrawals!$C$5:$C$1000,Withdrawals!$F$5:$F$1000,"&gt;="&amp;$A45,Withdrawals!$F$5:$F$1000,"&lt;"&amp;($A45+1),Withdrawals!$D$5:$D$1000,Settings!$B$6)</f>
        <v>550</v>
      </c>
      <c r="D45" s="14" t="n">
        <f aca="false">COUNTIFS(Withdrawals!$H$5:$H$1000,"&gt;="&amp;$A45,Withdrawals!$H$5:$H$1000,"&lt;"&amp;($A45+1),Withdrawals!$I$5:$I$1000,"Completed")</f>
        <v>2</v>
      </c>
      <c r="E45" s="14" t="n">
        <f aca="false">SUMIFS(Withdrawals!$C$5:$C$1000,Withdrawals!$H$5:$H$1000,"&gt;="&amp;$A45,Withdrawals!$H$5:$H$1000,"&lt;"&amp;($A45+1),Withdrawals!$I$5:$I$1000,"Completed",Withdrawals!$D$5:$D$1000,Settings!$B$6)</f>
        <v>2250</v>
      </c>
      <c r="F45" s="14" t="n">
        <f aca="false">COUNTIFS(Withdrawals!$H$5:$H$1000,"&gt;="&amp;$A45,Withdrawals!$H$5:$H$1000,"&lt;"&amp;($A45+1),Withdrawals!$I$5:$I$1000,"Rejected")</f>
        <v>0</v>
      </c>
      <c r="G45" s="14" t="n">
        <f aca="false">COUNTIFS(Withdrawals!$H$5:$H$1000,"&gt;="&amp;$A45,Withdrawals!$H$5:$H$1000,"&lt;"&amp;($A45+1),Withdrawals!$I$5:$I$1000,"Reversed")</f>
        <v>0</v>
      </c>
      <c r="H45" s="14" t="n">
        <f aca="false">COUNTIFS(Withdrawals!$F$5:$F$1000,"&lt;"&amp;($A45+1))-COUNTIFS(Withdrawals!$H$5:$H$1000,"&lt;"&amp;($A45+1))</f>
        <v>4</v>
      </c>
      <c r="I45" s="14" t="n">
        <f aca="false">SUM($B$5:B45)</f>
        <v>39</v>
      </c>
      <c r="J45" s="14" t="n">
        <f aca="false">SUMIFS(Wallet_Transactions!$N$5:$N$3000,Wallet_Transactions!$R$5:$R$3000,$A45,Wallet_Transactions!$D$5:$D$3000,"Reward Credit")</f>
        <v>1800</v>
      </c>
      <c r="K45" s="14" t="n">
        <f aca="false">-SUMIFS(Wallet_Transactions!$N$5:$N$3000,Wallet_Transactions!$R$5:$R$3000,$A45,Wallet_Transactions!$D$5:$D$3000,"Redemption")</f>
        <v>2250</v>
      </c>
      <c r="L45" s="30" t="n">
        <f aca="false">SUMIFS(Wallet_Transactions!$N$5:$N$3000,Wallet_Transactions!$R$5:$R$3000,$A45)</f>
        <v>-450</v>
      </c>
    </row>
    <row r="46" customFormat="false" ht="15" hidden="false" customHeight="false" outlineLevel="0" collapsed="false">
      <c r="A46" s="42" t="n">
        <f aca="false">A45+1</f>
        <v>46307</v>
      </c>
      <c r="B46" s="14" t="n">
        <f aca="false">COUNTIFS(Withdrawals!$F$5:$F$1000,"&gt;="&amp;$A46,Withdrawals!$F$5:$F$1000,"&lt;"&amp;($A46+1))</f>
        <v>1</v>
      </c>
      <c r="C46" s="14" t="n">
        <f aca="false">SUMIFS(Withdrawals!$C$5:$C$1000,Withdrawals!$F$5:$F$1000,"&gt;="&amp;$A46,Withdrawals!$F$5:$F$1000,"&lt;"&amp;($A46+1),Withdrawals!$D$5:$D$1000,Settings!$B$6)</f>
        <v>950</v>
      </c>
      <c r="D46" s="14" t="n">
        <f aca="false">COUNTIFS(Withdrawals!$H$5:$H$1000,"&gt;="&amp;$A46,Withdrawals!$H$5:$H$1000,"&lt;"&amp;($A46+1),Withdrawals!$I$5:$I$1000,"Completed")</f>
        <v>1</v>
      </c>
      <c r="E46" s="14" t="n">
        <f aca="false">SUMIFS(Withdrawals!$C$5:$C$1000,Withdrawals!$H$5:$H$1000,"&gt;="&amp;$A46,Withdrawals!$H$5:$H$1000,"&lt;"&amp;($A46+1),Withdrawals!$I$5:$I$1000,"Completed",Withdrawals!$D$5:$D$1000,Settings!$B$6)</f>
        <v>500</v>
      </c>
      <c r="F46" s="14" t="n">
        <f aca="false">COUNTIFS(Withdrawals!$H$5:$H$1000,"&gt;="&amp;$A46,Withdrawals!$H$5:$H$1000,"&lt;"&amp;($A46+1),Withdrawals!$I$5:$I$1000,"Rejected")</f>
        <v>0</v>
      </c>
      <c r="G46" s="14" t="n">
        <f aca="false">COUNTIFS(Withdrawals!$H$5:$H$1000,"&gt;="&amp;$A46,Withdrawals!$H$5:$H$1000,"&lt;"&amp;($A46+1),Withdrawals!$I$5:$I$1000,"Reversed")</f>
        <v>0</v>
      </c>
      <c r="H46" s="14" t="n">
        <f aca="false">COUNTIFS(Withdrawals!$F$5:$F$1000,"&lt;"&amp;($A46+1))-COUNTIFS(Withdrawals!$H$5:$H$1000,"&lt;"&amp;($A46+1))</f>
        <v>4</v>
      </c>
      <c r="I46" s="14" t="n">
        <f aca="false">SUM($B$5:B46)</f>
        <v>40</v>
      </c>
      <c r="J46" s="14" t="n">
        <f aca="false">SUMIFS(Wallet_Transactions!$N$5:$N$3000,Wallet_Transactions!$R$5:$R$3000,$A46,Wallet_Transactions!$D$5:$D$3000,"Reward Credit")</f>
        <v>950</v>
      </c>
      <c r="K46" s="14" t="n">
        <f aca="false">-SUMIFS(Wallet_Transactions!$N$5:$N$3000,Wallet_Transactions!$R$5:$R$3000,$A46,Wallet_Transactions!$D$5:$D$3000,"Redemption")</f>
        <v>500</v>
      </c>
      <c r="L46" s="30" t="n">
        <f aca="false">SUMIFS(Wallet_Transactions!$N$5:$N$3000,Wallet_Transactions!$R$5:$R$3000,$A46)</f>
        <v>450</v>
      </c>
    </row>
    <row r="47" customFormat="false" ht="15" hidden="false" customHeight="false" outlineLevel="0" collapsed="false">
      <c r="A47" s="42" t="n">
        <f aca="false">A46+1</f>
        <v>46308</v>
      </c>
      <c r="B47" s="14" t="n">
        <f aca="false">COUNTIFS(Withdrawals!$F$5:$F$1000,"&gt;="&amp;$A47,Withdrawals!$F$5:$F$1000,"&lt;"&amp;($A47+1))</f>
        <v>2</v>
      </c>
      <c r="C47" s="14" t="n">
        <f aca="false">SUMIFS(Withdrawals!$C$5:$C$1000,Withdrawals!$F$5:$F$1000,"&gt;="&amp;$A47,Withdrawals!$F$5:$F$1000,"&lt;"&amp;($A47+1),Withdrawals!$D$5:$D$1000,Settings!$B$6)</f>
        <v>1500</v>
      </c>
      <c r="D47" s="14" t="n">
        <f aca="false">COUNTIFS(Withdrawals!$H$5:$H$1000,"&gt;="&amp;$A47,Withdrawals!$H$5:$H$1000,"&lt;"&amp;($A47+1),Withdrawals!$I$5:$I$1000,"Completed")</f>
        <v>0</v>
      </c>
      <c r="E47" s="14" t="n">
        <f aca="false">SUMIFS(Withdrawals!$C$5:$C$1000,Withdrawals!$H$5:$H$1000,"&gt;="&amp;$A47,Withdrawals!$H$5:$H$1000,"&lt;"&amp;($A47+1),Withdrawals!$I$5:$I$1000,"Completed",Withdrawals!$D$5:$D$1000,Settings!$B$6)</f>
        <v>0</v>
      </c>
      <c r="F47" s="14" t="n">
        <f aca="false">COUNTIFS(Withdrawals!$H$5:$H$1000,"&gt;="&amp;$A47,Withdrawals!$H$5:$H$1000,"&lt;"&amp;($A47+1),Withdrawals!$I$5:$I$1000,"Rejected")</f>
        <v>0</v>
      </c>
      <c r="G47" s="14" t="n">
        <f aca="false">COUNTIFS(Withdrawals!$H$5:$H$1000,"&gt;="&amp;$A47,Withdrawals!$H$5:$H$1000,"&lt;"&amp;($A47+1),Withdrawals!$I$5:$I$1000,"Reversed")</f>
        <v>0</v>
      </c>
      <c r="H47" s="14" t="n">
        <f aca="false">COUNTIFS(Withdrawals!$F$5:$F$1000,"&lt;"&amp;($A47+1))-COUNTIFS(Withdrawals!$H$5:$H$1000,"&lt;"&amp;($A47+1))</f>
        <v>6</v>
      </c>
      <c r="I47" s="14" t="n">
        <f aca="false">SUM($B$5:B47)</f>
        <v>42</v>
      </c>
      <c r="J47" s="14" t="n">
        <f aca="false">SUMIFS(Wallet_Transactions!$N$5:$N$3000,Wallet_Transactions!$R$5:$R$3000,$A47,Wallet_Transactions!$D$5:$D$3000,"Reward Credit")</f>
        <v>1800</v>
      </c>
      <c r="K47" s="14" t="n">
        <f aca="false">-SUMIFS(Wallet_Transactions!$N$5:$N$3000,Wallet_Transactions!$R$5:$R$3000,$A47,Wallet_Transactions!$D$5:$D$3000,"Redemption")</f>
        <v>-0</v>
      </c>
      <c r="L47" s="30" t="n">
        <f aca="false">SUMIFS(Wallet_Transactions!$N$5:$N$3000,Wallet_Transactions!$R$5:$R$3000,$A47)</f>
        <v>1800</v>
      </c>
    </row>
    <row r="48" customFormat="false" ht="15" hidden="false" customHeight="false" outlineLevel="0" collapsed="false">
      <c r="A48" s="42" t="n">
        <f aca="false">A47+1</f>
        <v>46309</v>
      </c>
      <c r="B48" s="14" t="n">
        <f aca="false">COUNTIFS(Withdrawals!$F$5:$F$1000,"&gt;="&amp;$A48,Withdrawals!$F$5:$F$1000,"&lt;"&amp;($A48+1))</f>
        <v>4</v>
      </c>
      <c r="C48" s="14" t="n">
        <f aca="false">SUMIFS(Withdrawals!$C$5:$C$1000,Withdrawals!$F$5:$F$1000,"&gt;="&amp;$A48,Withdrawals!$F$5:$F$1000,"&lt;"&amp;($A48+1),Withdrawals!$D$5:$D$1000,Settings!$B$6)</f>
        <v>3050</v>
      </c>
      <c r="D48" s="14" t="n">
        <f aca="false">COUNTIFS(Withdrawals!$H$5:$H$1000,"&gt;="&amp;$A48,Withdrawals!$H$5:$H$1000,"&lt;"&amp;($A48+1),Withdrawals!$I$5:$I$1000,"Completed")</f>
        <v>0</v>
      </c>
      <c r="E48" s="14" t="n">
        <f aca="false">SUMIFS(Withdrawals!$C$5:$C$1000,Withdrawals!$H$5:$H$1000,"&gt;="&amp;$A48,Withdrawals!$H$5:$H$1000,"&lt;"&amp;($A48+1),Withdrawals!$I$5:$I$1000,"Completed",Withdrawals!$D$5:$D$1000,Settings!$B$6)</f>
        <v>0</v>
      </c>
      <c r="F48" s="14" t="n">
        <f aca="false">COUNTIFS(Withdrawals!$H$5:$H$1000,"&gt;="&amp;$A48,Withdrawals!$H$5:$H$1000,"&lt;"&amp;($A48+1),Withdrawals!$I$5:$I$1000,"Rejected")</f>
        <v>0</v>
      </c>
      <c r="G48" s="14" t="n">
        <f aca="false">COUNTIFS(Withdrawals!$H$5:$H$1000,"&gt;="&amp;$A48,Withdrawals!$H$5:$H$1000,"&lt;"&amp;($A48+1),Withdrawals!$I$5:$I$1000,"Reversed")</f>
        <v>0</v>
      </c>
      <c r="H48" s="14" t="n">
        <f aca="false">COUNTIFS(Withdrawals!$F$5:$F$1000,"&lt;"&amp;($A48+1))-COUNTIFS(Withdrawals!$H$5:$H$1000,"&lt;"&amp;($A48+1))</f>
        <v>10</v>
      </c>
      <c r="I48" s="14" t="n">
        <f aca="false">SUM($B$5:B48)</f>
        <v>46</v>
      </c>
      <c r="J48" s="14" t="n">
        <f aca="false">SUMIFS(Wallet_Transactions!$N$5:$N$3000,Wallet_Transactions!$R$5:$R$3000,$A48,Wallet_Transactions!$D$5:$D$3000,"Reward Credit")</f>
        <v>0</v>
      </c>
      <c r="K48" s="14" t="n">
        <f aca="false">-SUMIFS(Wallet_Transactions!$N$5:$N$3000,Wallet_Transactions!$R$5:$R$3000,$A48,Wallet_Transactions!$D$5:$D$3000,"Redemption")</f>
        <v>-0</v>
      </c>
      <c r="L48" s="30" t="n">
        <f aca="false">SUMIFS(Wallet_Transactions!$N$5:$N$3000,Wallet_Transactions!$R$5:$R$3000,$A48)</f>
        <v>0</v>
      </c>
    </row>
    <row r="49" customFormat="false" ht="15" hidden="false" customHeight="false" outlineLevel="0" collapsed="false">
      <c r="A49" s="42" t="n">
        <f aca="false">A48+1</f>
        <v>46310</v>
      </c>
      <c r="B49" s="14" t="n">
        <f aca="false">COUNTIFS(Withdrawals!$F$5:$F$1000,"&gt;="&amp;$A49,Withdrawals!$F$5:$F$1000,"&lt;"&amp;($A49+1))</f>
        <v>2</v>
      </c>
      <c r="C49" s="14" t="n">
        <f aca="false">SUMIFS(Withdrawals!$C$5:$C$1000,Withdrawals!$F$5:$F$1000,"&gt;="&amp;$A49,Withdrawals!$F$5:$F$1000,"&lt;"&amp;($A49+1),Withdrawals!$D$5:$D$1000,Settings!$B$6)</f>
        <v>2700</v>
      </c>
      <c r="D49" s="14" t="n">
        <f aca="false">COUNTIFS(Withdrawals!$H$5:$H$1000,"&gt;="&amp;$A49,Withdrawals!$H$5:$H$1000,"&lt;"&amp;($A49+1),Withdrawals!$I$5:$I$1000,"Completed")</f>
        <v>1</v>
      </c>
      <c r="E49" s="14" t="n">
        <f aca="false">SUMIFS(Withdrawals!$C$5:$C$1000,Withdrawals!$H$5:$H$1000,"&gt;="&amp;$A49,Withdrawals!$H$5:$H$1000,"&lt;"&amp;($A49+1),Withdrawals!$I$5:$I$1000,"Completed",Withdrawals!$D$5:$D$1000,Settings!$B$6)</f>
        <v>950</v>
      </c>
      <c r="F49" s="14" t="n">
        <f aca="false">COUNTIFS(Withdrawals!$H$5:$H$1000,"&gt;="&amp;$A49,Withdrawals!$H$5:$H$1000,"&lt;"&amp;($A49+1),Withdrawals!$I$5:$I$1000,"Rejected")</f>
        <v>0</v>
      </c>
      <c r="G49" s="14" t="n">
        <f aca="false">COUNTIFS(Withdrawals!$H$5:$H$1000,"&gt;="&amp;$A49,Withdrawals!$H$5:$H$1000,"&lt;"&amp;($A49+1),Withdrawals!$I$5:$I$1000,"Reversed")</f>
        <v>0</v>
      </c>
      <c r="H49" s="14" t="n">
        <f aca="false">COUNTIFS(Withdrawals!$F$5:$F$1000,"&lt;"&amp;($A49+1))-COUNTIFS(Withdrawals!$H$5:$H$1000,"&lt;"&amp;($A49+1))</f>
        <v>11</v>
      </c>
      <c r="I49" s="14" t="n">
        <f aca="false">SUM($B$5:B49)</f>
        <v>48</v>
      </c>
      <c r="J49" s="14" t="n">
        <f aca="false">SUMIFS(Wallet_Transactions!$N$5:$N$3000,Wallet_Transactions!$R$5:$R$3000,$A49,Wallet_Transactions!$D$5:$D$3000,"Reward Credit")</f>
        <v>0</v>
      </c>
      <c r="K49" s="14" t="n">
        <f aca="false">-SUMIFS(Wallet_Transactions!$N$5:$N$3000,Wallet_Transactions!$R$5:$R$3000,$A49,Wallet_Transactions!$D$5:$D$3000,"Redemption")</f>
        <v>950</v>
      </c>
      <c r="L49" s="30" t="n">
        <f aca="false">SUMIFS(Wallet_Transactions!$N$5:$N$3000,Wallet_Transactions!$R$5:$R$3000,$A49)</f>
        <v>-950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62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830</v>
      </c>
    </row>
    <row r="2" customFormat="false" ht="15" hidden="false" customHeight="false" outlineLevel="0" collapsed="false">
      <c r="A2" s="33" t="s">
        <v>831</v>
      </c>
    </row>
    <row r="4" customFormat="false" ht="31.5" hidden="false" customHeight="true" outlineLevel="0" collapsed="false">
      <c r="A4" s="12" t="s">
        <v>295</v>
      </c>
      <c r="B4" s="12" t="s">
        <v>201</v>
      </c>
      <c r="C4" s="12" t="s">
        <v>302</v>
      </c>
      <c r="D4" s="12" t="s">
        <v>87</v>
      </c>
      <c r="E4" s="12" t="s">
        <v>832</v>
      </c>
      <c r="F4" s="12" t="s">
        <v>833</v>
      </c>
      <c r="G4" s="12" t="s">
        <v>65</v>
      </c>
    </row>
    <row r="5" customFormat="false" ht="23.85" hidden="false" customHeight="false" outlineLevel="0" collapsed="false">
      <c r="A5" s="43" t="s">
        <v>308</v>
      </c>
      <c r="B5" s="44" t="s">
        <v>834</v>
      </c>
      <c r="C5" s="43" t="s">
        <v>835</v>
      </c>
      <c r="D5" s="43" t="s">
        <v>836</v>
      </c>
      <c r="E5" s="43" t="s">
        <v>837</v>
      </c>
      <c r="F5" s="45"/>
      <c r="G5" s="43" t="s">
        <v>838</v>
      </c>
    </row>
    <row r="6" customFormat="false" ht="23.85" hidden="false" customHeight="false" outlineLevel="0" collapsed="false">
      <c r="A6" s="43" t="s">
        <v>383</v>
      </c>
      <c r="B6" s="44" t="s">
        <v>834</v>
      </c>
      <c r="C6" s="43" t="s">
        <v>839</v>
      </c>
      <c r="D6" s="43" t="s">
        <v>840</v>
      </c>
      <c r="E6" s="43" t="s">
        <v>384</v>
      </c>
      <c r="F6" s="45"/>
      <c r="G6" s="43" t="s">
        <v>841</v>
      </c>
    </row>
    <row r="7" customFormat="false" ht="23.85" hidden="false" customHeight="false" outlineLevel="0" collapsed="false">
      <c r="A7" s="43" t="s">
        <v>665</v>
      </c>
      <c r="B7" s="44" t="s">
        <v>834</v>
      </c>
      <c r="C7" s="43" t="s">
        <v>842</v>
      </c>
      <c r="D7" s="43" t="s">
        <v>843</v>
      </c>
      <c r="E7" s="43" t="s">
        <v>844</v>
      </c>
      <c r="F7" s="45"/>
      <c r="G7" s="43" t="s">
        <v>845</v>
      </c>
    </row>
    <row r="8" customFormat="false" ht="23.85" hidden="false" customHeight="false" outlineLevel="0" collapsed="false">
      <c r="A8" s="43" t="s">
        <v>470</v>
      </c>
      <c r="B8" s="44" t="s">
        <v>834</v>
      </c>
      <c r="C8" s="43" t="s">
        <v>842</v>
      </c>
      <c r="D8" s="43" t="s">
        <v>846</v>
      </c>
      <c r="E8" s="43" t="s">
        <v>471</v>
      </c>
      <c r="F8" s="45"/>
      <c r="G8" s="43" t="s">
        <v>847</v>
      </c>
    </row>
    <row r="9" customFormat="false" ht="15" hidden="false" customHeight="false" outlineLevel="0" collapsed="false">
      <c r="A9" s="43" t="s">
        <v>848</v>
      </c>
      <c r="B9" s="46" t="s">
        <v>849</v>
      </c>
      <c r="C9" s="43" t="s">
        <v>839</v>
      </c>
      <c r="D9" s="43" t="s">
        <v>850</v>
      </c>
      <c r="E9" s="43" t="s">
        <v>666</v>
      </c>
      <c r="F9" s="45"/>
      <c r="G9" s="43" t="s">
        <v>851</v>
      </c>
    </row>
    <row r="10" customFormat="false" ht="15" hidden="false" customHeight="false" outlineLevel="0" collapsed="false">
      <c r="A10" s="43" t="s">
        <v>852</v>
      </c>
      <c r="B10" s="46" t="s">
        <v>849</v>
      </c>
      <c r="C10" s="43" t="s">
        <v>835</v>
      </c>
      <c r="D10" s="43" t="s">
        <v>853</v>
      </c>
      <c r="E10" s="43" t="s">
        <v>666</v>
      </c>
      <c r="F10" s="45"/>
      <c r="G10" s="43" t="s">
        <v>854</v>
      </c>
    </row>
    <row r="11" customFormat="false" ht="15" hidden="false" customHeight="false" outlineLevel="0" collapsed="false">
      <c r="A11" s="43" t="s">
        <v>855</v>
      </c>
      <c r="B11" s="46" t="s">
        <v>849</v>
      </c>
      <c r="C11" s="43" t="s">
        <v>839</v>
      </c>
      <c r="D11" s="43" t="s">
        <v>856</v>
      </c>
      <c r="E11" s="43" t="s">
        <v>666</v>
      </c>
      <c r="F11" s="45"/>
      <c r="G11" s="43" t="s">
        <v>857</v>
      </c>
    </row>
    <row r="12" customFormat="false" ht="15" hidden="false" customHeight="false" outlineLevel="0" collapsed="false">
      <c r="A12" s="43" t="s">
        <v>858</v>
      </c>
      <c r="B12" s="46" t="s">
        <v>849</v>
      </c>
      <c r="C12" s="43" t="s">
        <v>839</v>
      </c>
      <c r="D12" s="43" t="s">
        <v>859</v>
      </c>
      <c r="E12" s="43" t="s">
        <v>666</v>
      </c>
      <c r="F12" s="45"/>
      <c r="G12" s="43" t="s">
        <v>860</v>
      </c>
    </row>
  </sheetData>
  <dataValidations count="1">
    <dataValidation allowBlank="true" errorStyle="stop" operator="between" showDropDown="false" showErrorMessage="false" showInputMessage="false" sqref="B5:B20" type="list">
      <formula1>"Supported,Proposed"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40"/>
    <col collapsed="false" customWidth="true" hidden="false" outlineLevel="0" max="6" min="6" style="0" width="36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861</v>
      </c>
    </row>
    <row r="2" customFormat="false" ht="15" hidden="false" customHeight="false" outlineLevel="0" collapsed="false">
      <c r="A2" s="33" t="s">
        <v>862</v>
      </c>
    </row>
    <row r="4" customFormat="false" ht="31.5" hidden="false" customHeight="true" outlineLevel="0" collapsed="false">
      <c r="A4" s="12" t="s">
        <v>863</v>
      </c>
      <c r="B4" s="12" t="s">
        <v>864</v>
      </c>
      <c r="C4" s="12" t="s">
        <v>201</v>
      </c>
      <c r="D4" s="12" t="s">
        <v>87</v>
      </c>
      <c r="E4" s="12" t="s">
        <v>865</v>
      </c>
      <c r="F4" s="12" t="s">
        <v>866</v>
      </c>
      <c r="G4" s="12" t="s">
        <v>867</v>
      </c>
    </row>
    <row r="5" customFormat="false" ht="23.85" hidden="false" customHeight="false" outlineLevel="0" collapsed="false">
      <c r="A5" s="43" t="s">
        <v>66</v>
      </c>
      <c r="B5" s="43" t="s">
        <v>868</v>
      </c>
      <c r="C5" s="45" t="s">
        <v>834</v>
      </c>
      <c r="D5" s="43" t="s">
        <v>869</v>
      </c>
      <c r="E5" s="43" t="s">
        <v>870</v>
      </c>
      <c r="F5" s="43" t="s">
        <v>871</v>
      </c>
      <c r="G5" s="43" t="s">
        <v>872</v>
      </c>
    </row>
    <row r="6" customFormat="false" ht="15" hidden="false" customHeight="false" outlineLevel="0" collapsed="false">
      <c r="A6" s="43" t="s">
        <v>68</v>
      </c>
      <c r="B6" s="43" t="s">
        <v>868</v>
      </c>
      <c r="C6" s="45" t="s">
        <v>834</v>
      </c>
      <c r="D6" s="43" t="s">
        <v>873</v>
      </c>
      <c r="E6" s="43" t="s">
        <v>874</v>
      </c>
      <c r="F6" s="43" t="s">
        <v>875</v>
      </c>
      <c r="G6" s="43" t="s">
        <v>872</v>
      </c>
    </row>
    <row r="7" customFormat="false" ht="15" hidden="false" customHeight="false" outlineLevel="0" collapsed="false">
      <c r="A7" s="43" t="s">
        <v>70</v>
      </c>
      <c r="B7" s="43" t="s">
        <v>868</v>
      </c>
      <c r="C7" s="45" t="s">
        <v>834</v>
      </c>
      <c r="D7" s="43" t="s">
        <v>876</v>
      </c>
      <c r="E7" s="43" t="s">
        <v>877</v>
      </c>
      <c r="F7" s="43" t="s">
        <v>878</v>
      </c>
      <c r="G7" s="43" t="s">
        <v>872</v>
      </c>
    </row>
    <row r="8" customFormat="false" ht="23.85" hidden="false" customHeight="false" outlineLevel="0" collapsed="false">
      <c r="A8" s="43" t="s">
        <v>72</v>
      </c>
      <c r="B8" s="43" t="s">
        <v>879</v>
      </c>
      <c r="C8" s="45" t="s">
        <v>834</v>
      </c>
      <c r="D8" s="43" t="s">
        <v>880</v>
      </c>
      <c r="E8" s="43" t="s">
        <v>881</v>
      </c>
      <c r="F8" s="43" t="s">
        <v>76</v>
      </c>
      <c r="G8" s="43" t="s">
        <v>882</v>
      </c>
    </row>
    <row r="9" customFormat="false" ht="15" hidden="false" customHeight="false" outlineLevel="0" collapsed="false">
      <c r="A9" s="43" t="s">
        <v>74</v>
      </c>
      <c r="B9" s="43" t="s">
        <v>883</v>
      </c>
      <c r="C9" s="45" t="s">
        <v>834</v>
      </c>
      <c r="D9" s="43" t="s">
        <v>884</v>
      </c>
      <c r="E9" s="43" t="s">
        <v>885</v>
      </c>
      <c r="F9" s="43" t="s">
        <v>886</v>
      </c>
      <c r="G9" s="43" t="s">
        <v>887</v>
      </c>
    </row>
    <row r="10" customFormat="false" ht="23.85" hidden="false" customHeight="false" outlineLevel="0" collapsed="false">
      <c r="A10" s="43" t="s">
        <v>76</v>
      </c>
      <c r="B10" s="43" t="s">
        <v>888</v>
      </c>
      <c r="C10" s="45" t="s">
        <v>834</v>
      </c>
      <c r="D10" s="43" t="s">
        <v>889</v>
      </c>
      <c r="E10" s="43" t="s">
        <v>890</v>
      </c>
      <c r="F10" s="43" t="s">
        <v>886</v>
      </c>
      <c r="G10" s="43" t="s">
        <v>891</v>
      </c>
    </row>
    <row r="11" customFormat="false" ht="15" hidden="false" customHeight="false" outlineLevel="0" collapsed="false">
      <c r="A11" s="43" t="s">
        <v>78</v>
      </c>
      <c r="B11" s="43" t="s">
        <v>892</v>
      </c>
      <c r="C11" s="47" t="s">
        <v>849</v>
      </c>
      <c r="D11" s="43" t="s">
        <v>893</v>
      </c>
      <c r="E11" s="43" t="s">
        <v>894</v>
      </c>
      <c r="F11" s="43" t="s">
        <v>886</v>
      </c>
      <c r="G11" s="43" t="s">
        <v>895</v>
      </c>
    </row>
    <row r="14" customFormat="false" ht="31.5" hidden="false" customHeight="true" outlineLevel="0" collapsed="false">
      <c r="A14" s="12" t="s">
        <v>212</v>
      </c>
      <c r="B14" s="12" t="s">
        <v>896</v>
      </c>
      <c r="C14" s="12" t="s">
        <v>201</v>
      </c>
      <c r="D14" s="12" t="s">
        <v>87</v>
      </c>
    </row>
    <row r="15" customFormat="false" ht="15" hidden="false" customHeight="false" outlineLevel="0" collapsed="false">
      <c r="A15" s="43" t="s">
        <v>159</v>
      </c>
      <c r="B15" s="43" t="s">
        <v>74</v>
      </c>
      <c r="C15" s="47" t="s">
        <v>849</v>
      </c>
      <c r="D15" s="43" t="s">
        <v>897</v>
      </c>
    </row>
    <row r="16" customFormat="false" ht="15" hidden="false" customHeight="false" outlineLevel="0" collapsed="false">
      <c r="A16" s="43" t="s">
        <v>160</v>
      </c>
      <c r="B16" s="43" t="s">
        <v>74</v>
      </c>
      <c r="C16" s="47" t="s">
        <v>849</v>
      </c>
      <c r="D16" s="43" t="s">
        <v>898</v>
      </c>
    </row>
    <row r="17" customFormat="false" ht="15" hidden="false" customHeight="false" outlineLevel="0" collapsed="false">
      <c r="A17" s="43" t="s">
        <v>161</v>
      </c>
      <c r="B17" s="43" t="s">
        <v>899</v>
      </c>
      <c r="C17" s="47" t="s">
        <v>849</v>
      </c>
      <c r="D17" s="43" t="s">
        <v>900</v>
      </c>
    </row>
    <row r="18" customFormat="false" ht="15" hidden="false" customHeight="false" outlineLevel="0" collapsed="false">
      <c r="A18" s="43" t="s">
        <v>162</v>
      </c>
      <c r="B18" s="43" t="s">
        <v>74</v>
      </c>
      <c r="C18" s="47" t="s">
        <v>849</v>
      </c>
      <c r="D18" s="43" t="s">
        <v>901</v>
      </c>
    </row>
    <row r="19" customFormat="false" ht="15" hidden="false" customHeight="false" outlineLevel="0" collapsed="false">
      <c r="A19" s="43" t="s">
        <v>163</v>
      </c>
      <c r="B19" s="43" t="s">
        <v>899</v>
      </c>
      <c r="C19" s="47" t="s">
        <v>849</v>
      </c>
      <c r="D19" s="43" t="s">
        <v>902</v>
      </c>
    </row>
    <row r="20" customFormat="false" ht="15" hidden="false" customHeight="false" outlineLevel="0" collapsed="false">
      <c r="A20" s="43" t="s">
        <v>164</v>
      </c>
      <c r="B20" s="43" t="s">
        <v>76</v>
      </c>
      <c r="C20" s="47" t="s">
        <v>849</v>
      </c>
      <c r="D20" s="43" t="s">
        <v>903</v>
      </c>
    </row>
    <row r="21" customFormat="false" ht="15" hidden="false" customHeight="false" outlineLevel="0" collapsed="false">
      <c r="A21" s="43" t="s">
        <v>165</v>
      </c>
      <c r="B21" s="43" t="s">
        <v>904</v>
      </c>
      <c r="C21" s="47" t="s">
        <v>849</v>
      </c>
      <c r="D21" s="43" t="s">
        <v>905</v>
      </c>
    </row>
    <row r="22" customFormat="false" ht="15" hidden="false" customHeight="false" outlineLevel="0" collapsed="false">
      <c r="A22" s="43" t="s">
        <v>155</v>
      </c>
      <c r="B22" s="43" t="s">
        <v>906</v>
      </c>
      <c r="C22" s="47" t="s">
        <v>849</v>
      </c>
      <c r="D22" s="43" t="s">
        <v>907</v>
      </c>
    </row>
    <row r="25" customFormat="false" ht="31.5" hidden="false" customHeight="true" outlineLevel="0" collapsed="false">
      <c r="A25" s="12" t="s">
        <v>908</v>
      </c>
      <c r="B25" s="12"/>
      <c r="C25" s="12" t="s">
        <v>201</v>
      </c>
      <c r="D25" s="12" t="s">
        <v>87</v>
      </c>
    </row>
    <row r="26" customFormat="false" ht="15" hidden="false" customHeight="false" outlineLevel="0" collapsed="false">
      <c r="A26" s="43" t="s">
        <v>152</v>
      </c>
      <c r="B26" s="43"/>
      <c r="C26" s="47" t="s">
        <v>849</v>
      </c>
      <c r="D26" s="43" t="s">
        <v>909</v>
      </c>
    </row>
    <row r="27" customFormat="false" ht="15" hidden="false" customHeight="false" outlineLevel="0" collapsed="false">
      <c r="A27" s="43" t="s">
        <v>153</v>
      </c>
      <c r="B27" s="43"/>
      <c r="C27" s="47" t="s">
        <v>849</v>
      </c>
      <c r="D27" s="43" t="s">
        <v>910</v>
      </c>
    </row>
    <row r="28" customFormat="false" ht="15" hidden="false" customHeight="false" outlineLevel="0" collapsed="false">
      <c r="A28" s="43" t="s">
        <v>154</v>
      </c>
      <c r="B28" s="43"/>
      <c r="C28" s="47" t="s">
        <v>849</v>
      </c>
      <c r="D28" s="43" t="s">
        <v>911</v>
      </c>
    </row>
    <row r="29" customFormat="false" ht="15" hidden="false" customHeight="false" outlineLevel="0" collapsed="false">
      <c r="A29" s="43" t="s">
        <v>155</v>
      </c>
      <c r="B29" s="43"/>
      <c r="C29" s="47" t="s">
        <v>849</v>
      </c>
      <c r="D29" s="43" t="s">
        <v>912</v>
      </c>
    </row>
    <row r="31" customFormat="false" ht="15" hidden="false" customHeight="false" outlineLevel="0" collapsed="false">
      <c r="A31" s="33" t="s">
        <v>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914</v>
      </c>
    </row>
    <row r="2" customFormat="false" ht="15" hidden="false" customHeight="false" outlineLevel="0" collapsed="false">
      <c r="A2" s="33" t="s">
        <v>915</v>
      </c>
    </row>
    <row r="3" customFormat="false" ht="31.5" hidden="false" customHeight="true" outlineLevel="0" collapsed="false">
      <c r="A3" s="12" t="s">
        <v>916</v>
      </c>
      <c r="B3" s="12" t="s">
        <v>84</v>
      </c>
      <c r="C3" s="12" t="s">
        <v>65</v>
      </c>
    </row>
    <row r="4" customFormat="false" ht="15" hidden="false" customHeight="false" outlineLevel="0" collapsed="false">
      <c r="A4" s="21" t="s">
        <v>917</v>
      </c>
      <c r="B4" s="48" t="n">
        <v>46266</v>
      </c>
      <c r="C4" s="16" t="s">
        <v>918</v>
      </c>
    </row>
    <row r="5" customFormat="false" ht="15" hidden="false" customHeight="false" outlineLevel="0" collapsed="false">
      <c r="A5" s="21" t="s">
        <v>919</v>
      </c>
      <c r="B5" s="49" t="n">
        <v>46310.75</v>
      </c>
      <c r="C5" s="16" t="s">
        <v>920</v>
      </c>
    </row>
    <row r="6" customFormat="false" ht="15" hidden="false" customHeight="false" outlineLevel="0" collapsed="false">
      <c r="A6" s="21" t="s">
        <v>132</v>
      </c>
      <c r="B6" s="50" t="s">
        <v>225</v>
      </c>
      <c r="C6" s="16" t="s">
        <v>921</v>
      </c>
    </row>
    <row r="7" customFormat="false" ht="15" hidden="false" customHeight="false" outlineLevel="0" collapsed="false">
      <c r="A7" s="21" t="s">
        <v>922</v>
      </c>
      <c r="B7" s="51" t="n">
        <v>0.01</v>
      </c>
      <c r="C7" s="16" t="s">
        <v>923</v>
      </c>
    </row>
    <row r="8" customFormat="false" ht="15" hidden="false" customHeight="false" outlineLevel="0" collapsed="false">
      <c r="A8" s="21" t="s">
        <v>924</v>
      </c>
      <c r="B8" s="31" t="n">
        <v>48</v>
      </c>
      <c r="C8" s="16" t="s">
        <v>925</v>
      </c>
    </row>
    <row r="9" customFormat="false" ht="15" hidden="false" customHeight="false" outlineLevel="0" collapsed="false">
      <c r="A9" s="21" t="s">
        <v>926</v>
      </c>
      <c r="B9" s="31" t="n">
        <v>72</v>
      </c>
      <c r="C9" s="16" t="s">
        <v>927</v>
      </c>
    </row>
    <row r="10" customFormat="false" ht="30" hidden="false" customHeight="true" outlineLevel="0" collapsed="false">
      <c r="A10" s="21" t="s">
        <v>928</v>
      </c>
      <c r="B10" s="44" t="s">
        <v>929</v>
      </c>
      <c r="C10" s="16" t="s">
        <v>930</v>
      </c>
    </row>
    <row r="12" customFormat="false" ht="31.5" hidden="false" customHeight="true" outlineLevel="0" collapsed="false">
      <c r="A12" s="12" t="s">
        <v>931</v>
      </c>
      <c r="B12" s="12" t="s">
        <v>84</v>
      </c>
      <c r="C12" s="12" t="s">
        <v>932</v>
      </c>
    </row>
    <row r="13" customFormat="false" ht="15" hidden="false" customHeight="false" outlineLevel="0" collapsed="false">
      <c r="A13" s="21" t="s">
        <v>933</v>
      </c>
      <c r="B13" s="52" t="n">
        <v>0.8</v>
      </c>
      <c r="C13" s="19" t="s">
        <v>934</v>
      </c>
    </row>
    <row r="14" customFormat="false" ht="15" hidden="false" customHeight="false" outlineLevel="0" collapsed="false">
      <c r="A14" s="21" t="s">
        <v>935</v>
      </c>
      <c r="B14" s="52" t="n">
        <v>0.15</v>
      </c>
      <c r="C14" s="19" t="s">
        <v>936</v>
      </c>
    </row>
    <row r="15" customFormat="false" ht="15" hidden="false" customHeight="false" outlineLevel="0" collapsed="false">
      <c r="A15" s="21" t="s">
        <v>937</v>
      </c>
      <c r="B15" s="52" t="n">
        <v>0.03</v>
      </c>
      <c r="C15" s="19" t="s">
        <v>936</v>
      </c>
    </row>
    <row r="16" customFormat="false" ht="15" hidden="false" customHeight="false" outlineLevel="0" collapsed="false">
      <c r="A16" s="21" t="s">
        <v>938</v>
      </c>
      <c r="B16" s="52" t="n">
        <v>0.9</v>
      </c>
      <c r="C16" s="19" t="s">
        <v>934</v>
      </c>
    </row>
    <row r="17" customFormat="false" ht="15" hidden="false" customHeight="false" outlineLevel="0" collapsed="false">
      <c r="A17" s="21" t="s">
        <v>939</v>
      </c>
      <c r="B17" s="31" t="n">
        <v>36</v>
      </c>
      <c r="C17" s="19" t="s">
        <v>936</v>
      </c>
    </row>
    <row r="18" customFormat="false" ht="15" hidden="false" customHeight="false" outlineLevel="0" collapsed="false">
      <c r="A18" s="21" t="s">
        <v>940</v>
      </c>
      <c r="B18" s="31" t="n">
        <v>0</v>
      </c>
      <c r="C18" s="19" t="s">
        <v>936</v>
      </c>
    </row>
    <row r="19" customFormat="false" ht="15" hidden="false" customHeight="false" outlineLevel="0" collapsed="false">
      <c r="A19" s="21" t="s">
        <v>941</v>
      </c>
      <c r="B19" s="52" t="n">
        <v>0.02</v>
      </c>
      <c r="C19" s="19" t="s">
        <v>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66"/>
    <col collapsed="false" customWidth="true" hidden="false" outlineLevel="0" max="6" min="6" style="0" width="54"/>
  </cols>
  <sheetData>
    <row r="1" customFormat="false" ht="17.35" hidden="false" customHeight="false" outlineLevel="0" collapsed="false">
      <c r="A1" s="1" t="s">
        <v>942</v>
      </c>
    </row>
    <row r="3" customFormat="false" ht="31.5" hidden="false" customHeight="true" outlineLevel="0" collapsed="false">
      <c r="A3" s="12" t="s">
        <v>943</v>
      </c>
      <c r="B3" s="12" t="s">
        <v>944</v>
      </c>
      <c r="C3" s="12" t="s">
        <v>945</v>
      </c>
      <c r="D3" s="12" t="s">
        <v>946</v>
      </c>
      <c r="E3" s="12" t="s">
        <v>87</v>
      </c>
      <c r="F3" s="12" t="s">
        <v>947</v>
      </c>
    </row>
    <row r="4" customFormat="false" ht="15" hidden="false" customHeight="false" outlineLevel="0" collapsed="false">
      <c r="A4" s="43" t="s">
        <v>293</v>
      </c>
      <c r="B4" s="43" t="s">
        <v>40</v>
      </c>
      <c r="C4" s="43" t="s">
        <v>948</v>
      </c>
      <c r="D4" s="43" t="s">
        <v>949</v>
      </c>
      <c r="E4" s="43" t="s">
        <v>950</v>
      </c>
      <c r="F4" s="43" t="s">
        <v>951</v>
      </c>
    </row>
    <row r="5" customFormat="false" ht="15" hidden="false" customHeight="false" outlineLevel="0" collapsed="false">
      <c r="A5" s="43" t="s">
        <v>205</v>
      </c>
      <c r="B5" s="43" t="s">
        <v>42</v>
      </c>
      <c r="C5" s="43" t="s">
        <v>952</v>
      </c>
      <c r="D5" s="43" t="s">
        <v>949</v>
      </c>
      <c r="E5" s="43" t="s">
        <v>953</v>
      </c>
      <c r="F5" s="43" t="s">
        <v>954</v>
      </c>
    </row>
    <row r="6" customFormat="false" ht="15" hidden="false" customHeight="false" outlineLevel="0" collapsed="false">
      <c r="A6" s="43" t="s">
        <v>294</v>
      </c>
      <c r="B6" s="43" t="s">
        <v>44</v>
      </c>
      <c r="C6" s="43" t="s">
        <v>955</v>
      </c>
      <c r="D6" s="43" t="s">
        <v>949</v>
      </c>
      <c r="E6" s="43" t="s">
        <v>956</v>
      </c>
      <c r="F6" s="43" t="s">
        <v>957</v>
      </c>
    </row>
    <row r="7" customFormat="false" ht="23.85" hidden="false" customHeight="false" outlineLevel="0" collapsed="false">
      <c r="A7" s="43" t="s">
        <v>295</v>
      </c>
      <c r="B7" s="43" t="s">
        <v>46</v>
      </c>
      <c r="C7" s="43" t="s">
        <v>958</v>
      </c>
      <c r="D7" s="43" t="s">
        <v>949</v>
      </c>
      <c r="E7" s="43" t="s">
        <v>959</v>
      </c>
      <c r="F7" s="43" t="s">
        <v>960</v>
      </c>
    </row>
    <row r="8" customFormat="false" ht="23.85" hidden="false" customHeight="false" outlineLevel="0" collapsed="false">
      <c r="A8" s="43" t="s">
        <v>961</v>
      </c>
      <c r="B8" s="43" t="s">
        <v>962</v>
      </c>
      <c r="C8" s="43" t="s">
        <v>963</v>
      </c>
      <c r="D8" s="43" t="s">
        <v>949</v>
      </c>
      <c r="E8" s="43" t="s">
        <v>964</v>
      </c>
      <c r="F8" s="43" t="s">
        <v>965</v>
      </c>
    </row>
    <row r="9" customFormat="false" ht="15" hidden="false" customHeight="false" outlineLevel="0" collapsed="false">
      <c r="A9" s="43" t="s">
        <v>207</v>
      </c>
      <c r="B9" s="43" t="s">
        <v>966</v>
      </c>
      <c r="C9" s="43" t="s">
        <v>967</v>
      </c>
      <c r="D9" s="43" t="s">
        <v>949</v>
      </c>
      <c r="E9" s="43" t="s">
        <v>968</v>
      </c>
      <c r="F9" s="43" t="s">
        <v>969</v>
      </c>
    </row>
    <row r="10" customFormat="false" ht="15" hidden="false" customHeight="false" outlineLevel="0" collapsed="false">
      <c r="A10" s="43" t="s">
        <v>86</v>
      </c>
      <c r="B10" s="43" t="s">
        <v>970</v>
      </c>
      <c r="C10" s="43" t="s">
        <v>971</v>
      </c>
      <c r="D10" s="43" t="s">
        <v>949</v>
      </c>
      <c r="E10" s="43" t="s">
        <v>972</v>
      </c>
      <c r="F10" s="43" t="s">
        <v>973</v>
      </c>
    </row>
    <row r="11" customFormat="false" ht="23.85" hidden="false" customHeight="false" outlineLevel="0" collapsed="false">
      <c r="A11" s="43" t="s">
        <v>297</v>
      </c>
      <c r="B11" s="43" t="s">
        <v>974</v>
      </c>
      <c r="C11" s="43" t="s">
        <v>971</v>
      </c>
      <c r="D11" s="43" t="s">
        <v>949</v>
      </c>
      <c r="E11" s="43" t="s">
        <v>975</v>
      </c>
      <c r="F11" s="43" t="s">
        <v>976</v>
      </c>
    </row>
    <row r="12" customFormat="false" ht="23.85" hidden="false" customHeight="false" outlineLevel="0" collapsed="false">
      <c r="A12" s="43" t="s">
        <v>298</v>
      </c>
      <c r="B12" s="43" t="s">
        <v>977</v>
      </c>
      <c r="C12" s="43" t="s">
        <v>967</v>
      </c>
      <c r="D12" s="43" t="s">
        <v>949</v>
      </c>
      <c r="E12" s="43" t="s">
        <v>978</v>
      </c>
      <c r="F12" s="43" t="s">
        <v>979</v>
      </c>
    </row>
    <row r="13" customFormat="false" ht="23.85" hidden="false" customHeight="false" outlineLevel="0" collapsed="false">
      <c r="A13" s="43" t="s">
        <v>980</v>
      </c>
      <c r="B13" s="43" t="s">
        <v>981</v>
      </c>
      <c r="C13" s="43" t="s">
        <v>982</v>
      </c>
      <c r="D13" s="43" t="s">
        <v>983</v>
      </c>
      <c r="E13" s="43" t="s">
        <v>984</v>
      </c>
      <c r="F13" s="43" t="s">
        <v>985</v>
      </c>
    </row>
    <row r="14" customFormat="false" ht="15" hidden="false" customHeight="false" outlineLevel="0" collapsed="false">
      <c r="A14" s="43" t="s">
        <v>300</v>
      </c>
      <c r="B14" s="43" t="s">
        <v>986</v>
      </c>
      <c r="C14" s="43" t="s">
        <v>971</v>
      </c>
      <c r="D14" s="43" t="s">
        <v>987</v>
      </c>
      <c r="E14" s="43" t="s">
        <v>988</v>
      </c>
      <c r="F14" s="43" t="s">
        <v>989</v>
      </c>
    </row>
    <row r="17" customFormat="false" ht="15" hidden="false" customHeight="false" outlineLevel="0" collapsed="false">
      <c r="A17" s="10" t="s">
        <v>990</v>
      </c>
    </row>
    <row r="18" customFormat="false" ht="15" hidden="false" customHeight="false" outlineLevel="0" collapsed="false">
      <c r="A18" s="43" t="s">
        <v>991</v>
      </c>
      <c r="B18" s="43"/>
      <c r="C18" s="43"/>
      <c r="D18" s="43"/>
      <c r="E18" s="43" t="s">
        <v>992</v>
      </c>
    </row>
    <row r="19" customFormat="false" ht="15" hidden="false" customHeight="false" outlineLevel="0" collapsed="false">
      <c r="A19" s="43" t="s">
        <v>993</v>
      </c>
      <c r="B19" s="43"/>
      <c r="C19" s="43"/>
      <c r="D19" s="43"/>
      <c r="E19" s="43" t="s">
        <v>994</v>
      </c>
    </row>
    <row r="20" customFormat="false" ht="15" hidden="false" customHeight="false" outlineLevel="0" collapsed="false">
      <c r="A20" s="43" t="s">
        <v>995</v>
      </c>
      <c r="B20" s="43"/>
      <c r="C20" s="43"/>
      <c r="D20" s="43"/>
      <c r="E20" s="43" t="s">
        <v>996</v>
      </c>
    </row>
    <row r="21" customFormat="false" ht="15" hidden="false" customHeight="false" outlineLevel="0" collapsed="false">
      <c r="A21" s="43" t="s">
        <v>997</v>
      </c>
      <c r="B21" s="43"/>
      <c r="C21" s="43"/>
      <c r="D21" s="43"/>
      <c r="E21" s="43" t="s">
        <v>998</v>
      </c>
    </row>
    <row r="22" customFormat="false" ht="15" hidden="false" customHeight="false" outlineLevel="0" collapsed="false">
      <c r="A22" s="43" t="s">
        <v>999</v>
      </c>
      <c r="B22" s="43"/>
      <c r="C22" s="43"/>
      <c r="D22" s="43"/>
      <c r="E22" s="43" t="s">
        <v>1000</v>
      </c>
    </row>
    <row r="23" customFormat="false" ht="15" hidden="false" customHeight="false" outlineLevel="0" collapsed="false">
      <c r="A23" s="43" t="s">
        <v>1001</v>
      </c>
      <c r="B23" s="43"/>
      <c r="C23" s="43"/>
      <c r="D23" s="43"/>
      <c r="E23" s="43" t="s">
        <v>1002</v>
      </c>
    </row>
    <row r="24" customFormat="false" ht="15" hidden="false" customHeight="false" outlineLevel="0" collapsed="false">
      <c r="A24" s="43" t="s">
        <v>1003</v>
      </c>
      <c r="B24" s="43"/>
      <c r="C24" s="43"/>
      <c r="D24" s="43"/>
      <c r="E24" s="43" t="s">
        <v>1004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66"/>
    <col collapsed="false" customWidth="true" hidden="false" outlineLevel="0" max="6" min="6" style="0" width="54"/>
  </cols>
  <sheetData>
    <row r="1" customFormat="false" ht="17.35" hidden="false" customHeight="false" outlineLevel="0" collapsed="false">
      <c r="A1" s="1" t="s">
        <v>1005</v>
      </c>
    </row>
    <row r="3" customFormat="false" ht="31.5" hidden="false" customHeight="true" outlineLevel="0" collapsed="false">
      <c r="A3" s="12" t="s">
        <v>943</v>
      </c>
      <c r="B3" s="12" t="s">
        <v>1006</v>
      </c>
      <c r="C3" s="12" t="s">
        <v>945</v>
      </c>
      <c r="D3" s="12" t="s">
        <v>946</v>
      </c>
      <c r="E3" s="12" t="s">
        <v>87</v>
      </c>
      <c r="F3" s="12" t="s">
        <v>947</v>
      </c>
    </row>
    <row r="4" customFormat="false" ht="15" hidden="false" customHeight="false" outlineLevel="0" collapsed="false">
      <c r="A4" s="43" t="s">
        <v>204</v>
      </c>
      <c r="B4" s="43" t="s">
        <v>40</v>
      </c>
      <c r="C4" s="43" t="s">
        <v>948</v>
      </c>
      <c r="D4" s="43" t="s">
        <v>949</v>
      </c>
      <c r="E4" s="43" t="s">
        <v>1007</v>
      </c>
      <c r="F4" s="43" t="s">
        <v>1008</v>
      </c>
    </row>
    <row r="5" customFormat="false" ht="15" hidden="false" customHeight="false" outlineLevel="0" collapsed="false">
      <c r="A5" s="43" t="s">
        <v>205</v>
      </c>
      <c r="B5" s="43" t="s">
        <v>42</v>
      </c>
      <c r="C5" s="43" t="s">
        <v>952</v>
      </c>
      <c r="D5" s="43" t="s">
        <v>949</v>
      </c>
      <c r="E5" s="43" t="s">
        <v>1009</v>
      </c>
      <c r="F5" s="43" t="s">
        <v>954</v>
      </c>
    </row>
    <row r="6" customFormat="false" ht="15" hidden="false" customHeight="false" outlineLevel="0" collapsed="false">
      <c r="A6" s="43" t="s">
        <v>206</v>
      </c>
      <c r="B6" s="43" t="s">
        <v>44</v>
      </c>
      <c r="C6" s="43" t="s">
        <v>1010</v>
      </c>
      <c r="D6" s="43" t="s">
        <v>949</v>
      </c>
      <c r="E6" s="43" t="s">
        <v>1011</v>
      </c>
      <c r="F6" s="43" t="s">
        <v>1012</v>
      </c>
    </row>
    <row r="7" customFormat="false" ht="15" hidden="false" customHeight="false" outlineLevel="0" collapsed="false">
      <c r="A7" s="43" t="s">
        <v>207</v>
      </c>
      <c r="B7" s="43" t="s">
        <v>46</v>
      </c>
      <c r="C7" s="43" t="s">
        <v>967</v>
      </c>
      <c r="D7" s="43" t="s">
        <v>949</v>
      </c>
      <c r="E7" s="43" t="s">
        <v>1013</v>
      </c>
      <c r="F7" s="43" t="s">
        <v>969</v>
      </c>
    </row>
    <row r="8" customFormat="false" ht="15" hidden="false" customHeight="false" outlineLevel="0" collapsed="false">
      <c r="A8" s="43" t="s">
        <v>208</v>
      </c>
      <c r="B8" s="43" t="s">
        <v>962</v>
      </c>
      <c r="C8" s="43" t="s">
        <v>971</v>
      </c>
      <c r="D8" s="43" t="s">
        <v>949</v>
      </c>
      <c r="E8" s="43" t="s">
        <v>1014</v>
      </c>
      <c r="F8" s="43" t="s">
        <v>1015</v>
      </c>
    </row>
    <row r="9" customFormat="false" ht="15" hidden="false" customHeight="false" outlineLevel="0" collapsed="false">
      <c r="A9" s="43" t="s">
        <v>209</v>
      </c>
      <c r="B9" s="43" t="s">
        <v>966</v>
      </c>
      <c r="C9" s="43" t="s">
        <v>955</v>
      </c>
      <c r="D9" s="43" t="s">
        <v>949</v>
      </c>
      <c r="E9" s="43" t="s">
        <v>1016</v>
      </c>
      <c r="F9" s="43" t="s">
        <v>1017</v>
      </c>
    </row>
    <row r="10" customFormat="false" ht="23.85" hidden="false" customHeight="false" outlineLevel="0" collapsed="false">
      <c r="A10" s="43" t="s">
        <v>210</v>
      </c>
      <c r="B10" s="43" t="s">
        <v>970</v>
      </c>
      <c r="C10" s="43" t="s">
        <v>955</v>
      </c>
      <c r="D10" s="43" t="s">
        <v>1018</v>
      </c>
      <c r="E10" s="43" t="s">
        <v>1019</v>
      </c>
      <c r="F10" s="43" t="s">
        <v>1020</v>
      </c>
    </row>
    <row r="11" customFormat="false" ht="15" hidden="false" customHeight="false" outlineLevel="0" collapsed="false">
      <c r="A11" s="43" t="s">
        <v>211</v>
      </c>
      <c r="B11" s="43" t="s">
        <v>974</v>
      </c>
      <c r="C11" s="43" t="s">
        <v>955</v>
      </c>
      <c r="D11" s="43" t="s">
        <v>1021</v>
      </c>
      <c r="E11" s="43" t="s">
        <v>1022</v>
      </c>
      <c r="F11" s="43" t="s">
        <v>1023</v>
      </c>
    </row>
    <row r="12" customFormat="false" ht="23.85" hidden="false" customHeight="false" outlineLevel="0" collapsed="false">
      <c r="A12" s="43" t="s">
        <v>86</v>
      </c>
      <c r="B12" s="43" t="s">
        <v>977</v>
      </c>
      <c r="C12" s="43" t="s">
        <v>971</v>
      </c>
      <c r="D12" s="43" t="s">
        <v>949</v>
      </c>
      <c r="E12" s="43" t="s">
        <v>1024</v>
      </c>
      <c r="F12" s="43" t="s">
        <v>1025</v>
      </c>
    </row>
    <row r="13" customFormat="false" ht="23.85" hidden="false" customHeight="false" outlineLevel="0" collapsed="false">
      <c r="A13" s="43" t="s">
        <v>212</v>
      </c>
      <c r="B13" s="43" t="s">
        <v>981</v>
      </c>
      <c r="C13" s="43" t="s">
        <v>971</v>
      </c>
      <c r="D13" s="43" t="s">
        <v>1026</v>
      </c>
      <c r="E13" s="43" t="s">
        <v>1027</v>
      </c>
      <c r="F13" s="43" t="s">
        <v>1028</v>
      </c>
    </row>
    <row r="16" customFormat="false" ht="15" hidden="false" customHeight="false" outlineLevel="0" collapsed="false">
      <c r="A16" s="10" t="s">
        <v>990</v>
      </c>
    </row>
    <row r="17" customFormat="false" ht="15" hidden="false" customHeight="false" outlineLevel="0" collapsed="false">
      <c r="A17" s="43" t="s">
        <v>1029</v>
      </c>
      <c r="B17" s="43"/>
      <c r="C17" s="43"/>
      <c r="D17" s="43"/>
      <c r="E17" s="43" t="s">
        <v>1030</v>
      </c>
    </row>
    <row r="18" customFormat="false" ht="15" hidden="false" customHeight="false" outlineLevel="0" collapsed="false">
      <c r="A18" s="43" t="s">
        <v>1031</v>
      </c>
      <c r="B18" s="43"/>
      <c r="C18" s="43"/>
      <c r="D18" s="43"/>
      <c r="E18" s="43" t="s">
        <v>1032</v>
      </c>
    </row>
    <row r="19" customFormat="false" ht="15" hidden="false" customHeight="false" outlineLevel="0" collapsed="false">
      <c r="A19" s="43" t="s">
        <v>1033</v>
      </c>
      <c r="B19" s="43"/>
      <c r="C19" s="43"/>
      <c r="D19" s="43"/>
      <c r="E19" s="43" t="s">
        <v>1034</v>
      </c>
    </row>
    <row r="20" customFormat="false" ht="15" hidden="false" customHeight="false" outlineLevel="0" collapsed="false">
      <c r="A20" s="43" t="s">
        <v>1035</v>
      </c>
      <c r="B20" s="43"/>
      <c r="C20" s="43"/>
      <c r="D20" s="43"/>
      <c r="E20" s="43" t="s">
        <v>1036</v>
      </c>
    </row>
    <row r="21" customFormat="false" ht="15" hidden="false" customHeight="false" outlineLevel="0" collapsed="false">
      <c r="A21" s="43" t="s">
        <v>1037</v>
      </c>
      <c r="B21" s="43"/>
      <c r="C21" s="43"/>
      <c r="D21" s="43"/>
      <c r="E21" s="43" t="s">
        <v>1038</v>
      </c>
    </row>
    <row r="22" customFormat="false" ht="15" hidden="false" customHeight="false" outlineLevel="0" collapsed="false">
      <c r="A22" s="43" t="s">
        <v>1039</v>
      </c>
      <c r="B22" s="43"/>
      <c r="C22" s="43"/>
      <c r="D22" s="43"/>
      <c r="E22" s="43" t="s">
        <v>1040</v>
      </c>
    </row>
    <row r="23" customFormat="false" ht="15" hidden="false" customHeight="false" outlineLevel="0" collapsed="false">
      <c r="A23" s="43" t="s">
        <v>1041</v>
      </c>
      <c r="B23" s="43"/>
      <c r="C23" s="43"/>
      <c r="D23" s="43"/>
      <c r="E23" s="43" t="s">
        <v>1042</v>
      </c>
    </row>
    <row r="24" customFormat="false" ht="15" hidden="false" customHeight="false" outlineLevel="0" collapsed="false">
      <c r="A24" s="43" t="s">
        <v>1043</v>
      </c>
      <c r="B24" s="43"/>
      <c r="C24" s="43"/>
      <c r="D24" s="43"/>
      <c r="E24" s="43" t="s">
        <v>1044</v>
      </c>
    </row>
    <row r="25" customFormat="false" ht="15" hidden="false" customHeight="false" outlineLevel="0" collapsed="false">
      <c r="A25" s="43" t="s">
        <v>1045</v>
      </c>
      <c r="B25" s="43"/>
      <c r="C25" s="43"/>
      <c r="D25" s="43"/>
      <c r="E25" s="43" t="s">
        <v>1046</v>
      </c>
    </row>
    <row r="26" customFormat="false" ht="23.85" hidden="false" customHeight="false" outlineLevel="0" collapsed="false">
      <c r="A26" s="43" t="s">
        <v>1047</v>
      </c>
      <c r="B26" s="43"/>
      <c r="C26" s="43"/>
      <c r="D26" s="43"/>
      <c r="E26" s="43" t="s">
        <v>1048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15"/>
    <col collapsed="false" customWidth="true" hidden="false" outlineLevel="0" max="8" min="8" style="0" width="34"/>
    <col collapsed="false" customWidth="true" hidden="false" outlineLevel="0" max="9" min="9" style="0" width="42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1049</v>
      </c>
    </row>
    <row r="2" customFormat="false" ht="15" hidden="false" customHeight="false" outlineLevel="0" collapsed="false">
      <c r="A2" s="33" t="s">
        <v>1050</v>
      </c>
    </row>
    <row r="4" customFormat="false" ht="36" hidden="false" customHeight="true" outlineLevel="0" collapsed="false">
      <c r="A4" s="12" t="s">
        <v>1051</v>
      </c>
      <c r="B4" s="12" t="s">
        <v>1052</v>
      </c>
      <c r="C4" s="12" t="s">
        <v>87</v>
      </c>
      <c r="D4" s="12" t="s">
        <v>1053</v>
      </c>
      <c r="E4" s="12" t="s">
        <v>1054</v>
      </c>
      <c r="F4" s="12" t="s">
        <v>297</v>
      </c>
      <c r="G4" s="12" t="s">
        <v>1055</v>
      </c>
      <c r="H4" s="12" t="s">
        <v>1056</v>
      </c>
      <c r="I4" s="12" t="s">
        <v>1057</v>
      </c>
      <c r="J4" s="12" t="s">
        <v>1058</v>
      </c>
    </row>
    <row r="5" customFormat="false" ht="35.05" hidden="false" customHeight="false" outlineLevel="0" collapsed="false">
      <c r="A5" s="43" t="s">
        <v>1059</v>
      </c>
      <c r="B5" s="43" t="s">
        <v>88</v>
      </c>
      <c r="C5" s="43" t="s">
        <v>1060</v>
      </c>
      <c r="D5" s="43" t="s">
        <v>1061</v>
      </c>
      <c r="E5" s="43" t="s">
        <v>1062</v>
      </c>
      <c r="F5" s="43" t="s">
        <v>1063</v>
      </c>
      <c r="G5" s="43" t="s">
        <v>1064</v>
      </c>
      <c r="H5" s="43" t="s">
        <v>1065</v>
      </c>
      <c r="I5" s="43" t="s">
        <v>1066</v>
      </c>
      <c r="J5" s="53" t="n">
        <f aca="false">KPI_Dashboard!B16</f>
        <v>48</v>
      </c>
    </row>
    <row r="6" customFormat="false" ht="35.05" hidden="false" customHeight="false" outlineLevel="0" collapsed="false">
      <c r="A6" s="43" t="s">
        <v>1067</v>
      </c>
      <c r="B6" s="43" t="s">
        <v>90</v>
      </c>
      <c r="C6" s="43" t="s">
        <v>1068</v>
      </c>
      <c r="D6" s="43" t="s">
        <v>1069</v>
      </c>
      <c r="E6" s="43" t="s">
        <v>1070</v>
      </c>
      <c r="F6" s="43" t="s">
        <v>1063</v>
      </c>
      <c r="G6" s="43" t="s">
        <v>1064</v>
      </c>
      <c r="H6" s="43" t="s">
        <v>1071</v>
      </c>
      <c r="I6" s="43" t="s">
        <v>1072</v>
      </c>
      <c r="J6" s="53" t="n">
        <f aca="false">KPI_Dashboard!B17</f>
        <v>29</v>
      </c>
    </row>
    <row r="7" customFormat="false" ht="35.05" hidden="false" customHeight="false" outlineLevel="0" collapsed="false">
      <c r="A7" s="43" t="s">
        <v>1073</v>
      </c>
      <c r="B7" s="43" t="s">
        <v>1074</v>
      </c>
      <c r="C7" s="43" t="s">
        <v>1075</v>
      </c>
      <c r="D7" s="43" t="s">
        <v>1076</v>
      </c>
      <c r="E7" s="43" t="s">
        <v>86</v>
      </c>
      <c r="F7" s="43" t="s">
        <v>1063</v>
      </c>
      <c r="G7" s="43" t="s">
        <v>1077</v>
      </c>
      <c r="H7" s="43" t="s">
        <v>1078</v>
      </c>
      <c r="I7" s="43" t="s">
        <v>1079</v>
      </c>
      <c r="J7" s="53" t="n">
        <f aca="false">KPI_Dashboard!B18</f>
        <v>11</v>
      </c>
    </row>
    <row r="8" customFormat="false" ht="35.05" hidden="false" customHeight="false" outlineLevel="0" collapsed="false">
      <c r="A8" s="43" t="s">
        <v>1080</v>
      </c>
      <c r="B8" s="43" t="s">
        <v>94</v>
      </c>
      <c r="C8" s="43" t="s">
        <v>1081</v>
      </c>
      <c r="D8" s="43" t="s">
        <v>1082</v>
      </c>
      <c r="E8" s="43" t="s">
        <v>1083</v>
      </c>
      <c r="F8" s="43" t="s">
        <v>1063</v>
      </c>
      <c r="G8" s="43" t="s">
        <v>1084</v>
      </c>
      <c r="H8" s="43" t="s">
        <v>1085</v>
      </c>
      <c r="I8" s="43" t="s">
        <v>1086</v>
      </c>
      <c r="J8" s="53" t="n">
        <f aca="false">KPI_Dashboard!B19</f>
        <v>5</v>
      </c>
    </row>
    <row r="9" customFormat="false" ht="35.05" hidden="false" customHeight="false" outlineLevel="0" collapsed="false">
      <c r="A9" s="43" t="s">
        <v>1087</v>
      </c>
      <c r="B9" s="43" t="s">
        <v>96</v>
      </c>
      <c r="C9" s="43" t="s">
        <v>1088</v>
      </c>
      <c r="D9" s="43" t="s">
        <v>1089</v>
      </c>
      <c r="E9" s="43" t="s">
        <v>1090</v>
      </c>
      <c r="F9" s="43" t="s">
        <v>1063</v>
      </c>
      <c r="G9" s="43" t="s">
        <v>1084</v>
      </c>
      <c r="H9" s="43" t="s">
        <v>1091</v>
      </c>
      <c r="I9" s="43" t="s">
        <v>1092</v>
      </c>
      <c r="J9" s="53" t="n">
        <f aca="false">KPI_Dashboard!B20</f>
        <v>1</v>
      </c>
    </row>
    <row r="10" customFormat="false" ht="35.05" hidden="false" customHeight="false" outlineLevel="0" collapsed="false">
      <c r="A10" s="43" t="s">
        <v>1093</v>
      </c>
      <c r="B10" s="43" t="s">
        <v>98</v>
      </c>
      <c r="C10" s="43" t="s">
        <v>1094</v>
      </c>
      <c r="D10" s="43" t="s">
        <v>1095</v>
      </c>
      <c r="E10" s="43" t="s">
        <v>86</v>
      </c>
      <c r="F10" s="43" t="s">
        <v>1063</v>
      </c>
      <c r="G10" s="43" t="s">
        <v>1084</v>
      </c>
      <c r="H10" s="43" t="s">
        <v>1096</v>
      </c>
      <c r="I10" s="43" t="s">
        <v>1097</v>
      </c>
      <c r="J10" s="54" t="n">
        <f aca="false">KPI_Dashboard!B21</f>
        <v>0.604166666666667</v>
      </c>
    </row>
    <row r="11" customFormat="false" ht="35.05" hidden="false" customHeight="false" outlineLevel="0" collapsed="false">
      <c r="A11" s="43" t="s">
        <v>1098</v>
      </c>
      <c r="B11" s="43" t="s">
        <v>100</v>
      </c>
      <c r="C11" s="43" t="s">
        <v>1099</v>
      </c>
      <c r="D11" s="43" t="s">
        <v>1100</v>
      </c>
      <c r="E11" s="43" t="s">
        <v>86</v>
      </c>
      <c r="F11" s="43" t="s">
        <v>1063</v>
      </c>
      <c r="G11" s="43" t="s">
        <v>1084</v>
      </c>
      <c r="H11" s="43" t="s">
        <v>1101</v>
      </c>
      <c r="I11" s="43" t="s">
        <v>1102</v>
      </c>
      <c r="J11" s="54" t="n">
        <f aca="false">KPI_Dashboard!B22</f>
        <v>0.828571428571429</v>
      </c>
    </row>
    <row r="12" customFormat="false" ht="35.05" hidden="false" customHeight="false" outlineLevel="0" collapsed="false">
      <c r="A12" s="43" t="s">
        <v>1103</v>
      </c>
      <c r="B12" s="43" t="s">
        <v>102</v>
      </c>
      <c r="C12" s="43" t="s">
        <v>1104</v>
      </c>
      <c r="D12" s="43" t="s">
        <v>1105</v>
      </c>
      <c r="E12" s="43" t="s">
        <v>86</v>
      </c>
      <c r="F12" s="43" t="s">
        <v>1063</v>
      </c>
      <c r="G12" s="43" t="s">
        <v>1084</v>
      </c>
      <c r="H12" s="43" t="s">
        <v>1106</v>
      </c>
      <c r="I12" s="43" t="s">
        <v>1107</v>
      </c>
      <c r="J12" s="54" t="n">
        <f aca="false">KPI_Dashboard!B23</f>
        <v>0.104166666666667</v>
      </c>
    </row>
    <row r="13" customFormat="false" ht="35.05" hidden="false" customHeight="false" outlineLevel="0" collapsed="false">
      <c r="A13" s="43" t="s">
        <v>1108</v>
      </c>
      <c r="B13" s="43" t="s">
        <v>104</v>
      </c>
      <c r="C13" s="43" t="s">
        <v>1109</v>
      </c>
      <c r="D13" s="43" t="s">
        <v>1110</v>
      </c>
      <c r="E13" s="43" t="s">
        <v>86</v>
      </c>
      <c r="F13" s="43" t="s">
        <v>1063</v>
      </c>
      <c r="G13" s="43" t="s">
        <v>1111</v>
      </c>
      <c r="H13" s="43" t="s">
        <v>1112</v>
      </c>
      <c r="I13" s="43" t="s">
        <v>1113</v>
      </c>
      <c r="J13" s="54" t="n">
        <f aca="false">KPI_Dashboard!B24</f>
        <v>0.0333333333333333</v>
      </c>
    </row>
    <row r="14" customFormat="false" ht="35.05" hidden="false" customHeight="false" outlineLevel="0" collapsed="false">
      <c r="A14" s="43" t="s">
        <v>1114</v>
      </c>
      <c r="B14" s="43" t="s">
        <v>106</v>
      </c>
      <c r="C14" s="43" t="s">
        <v>1115</v>
      </c>
      <c r="D14" s="43" t="s">
        <v>1116</v>
      </c>
      <c r="E14" s="43" t="s">
        <v>1117</v>
      </c>
      <c r="F14" s="43" t="s">
        <v>1063</v>
      </c>
      <c r="G14" s="43" t="s">
        <v>1084</v>
      </c>
      <c r="H14" s="43" t="s">
        <v>1118</v>
      </c>
      <c r="I14" s="43" t="s">
        <v>1119</v>
      </c>
      <c r="J14" s="54" t="n">
        <f aca="false">KPI_Dashboard!B25</f>
        <v>0.655172413793103</v>
      </c>
    </row>
    <row r="15" customFormat="false" ht="35.05" hidden="false" customHeight="false" outlineLevel="0" collapsed="false">
      <c r="A15" s="43" t="s">
        <v>1120</v>
      </c>
      <c r="B15" s="43" t="s">
        <v>1121</v>
      </c>
      <c r="C15" s="43" t="s">
        <v>1122</v>
      </c>
      <c r="D15" s="43" t="s">
        <v>1123</v>
      </c>
      <c r="E15" s="43" t="s">
        <v>1124</v>
      </c>
      <c r="F15" s="43" t="s">
        <v>1063</v>
      </c>
      <c r="G15" s="43" t="s">
        <v>1084</v>
      </c>
      <c r="H15" s="43" t="s">
        <v>1125</v>
      </c>
      <c r="I15" s="43" t="s">
        <v>1126</v>
      </c>
      <c r="J15" s="55" t="n">
        <f aca="false">KPI_Dashboard!B26</f>
        <v>44.3644222391563</v>
      </c>
    </row>
    <row r="16" customFormat="false" ht="35.05" hidden="false" customHeight="false" outlineLevel="0" collapsed="false">
      <c r="A16" s="43" t="s">
        <v>1127</v>
      </c>
      <c r="B16" s="43" t="s">
        <v>1128</v>
      </c>
      <c r="C16" s="43" t="s">
        <v>1129</v>
      </c>
      <c r="D16" s="43" t="s">
        <v>1130</v>
      </c>
      <c r="E16" s="43" t="s">
        <v>1131</v>
      </c>
      <c r="F16" s="43" t="s">
        <v>1063</v>
      </c>
      <c r="G16" s="43" t="s">
        <v>1084</v>
      </c>
      <c r="H16" s="43" t="s">
        <v>1132</v>
      </c>
      <c r="I16" s="43" t="s">
        <v>1133</v>
      </c>
      <c r="J16" s="55" t="n">
        <f aca="false">KPI_Dashboard!B27</f>
        <v>43.7189083015544</v>
      </c>
    </row>
    <row r="17" customFormat="false" ht="35.05" hidden="false" customHeight="false" outlineLevel="0" collapsed="false">
      <c r="A17" s="43" t="s">
        <v>1134</v>
      </c>
      <c r="B17" s="43" t="s">
        <v>1135</v>
      </c>
      <c r="C17" s="43" t="s">
        <v>1136</v>
      </c>
      <c r="D17" s="43" t="s">
        <v>1137</v>
      </c>
      <c r="E17" s="43" t="s">
        <v>1131</v>
      </c>
      <c r="F17" s="43" t="s">
        <v>1063</v>
      </c>
      <c r="G17" s="43" t="s">
        <v>1084</v>
      </c>
      <c r="H17" s="43" t="s">
        <v>1138</v>
      </c>
      <c r="I17" s="43" t="s">
        <v>1139</v>
      </c>
      <c r="J17" s="55" t="n">
        <f aca="false">KPI_Dashboard!B28</f>
        <v>71.2233951571513</v>
      </c>
    </row>
    <row r="18" customFormat="false" ht="35.05" hidden="false" customHeight="false" outlineLevel="0" collapsed="false">
      <c r="A18" s="43" t="s">
        <v>1140</v>
      </c>
      <c r="B18" s="43" t="s">
        <v>1141</v>
      </c>
      <c r="C18" s="43" t="s">
        <v>1142</v>
      </c>
      <c r="D18" s="43" t="s">
        <v>1143</v>
      </c>
      <c r="E18" s="43" t="s">
        <v>1144</v>
      </c>
      <c r="F18" s="43" t="s">
        <v>1063</v>
      </c>
      <c r="G18" s="43" t="s">
        <v>1064</v>
      </c>
      <c r="H18" s="43" t="s">
        <v>1145</v>
      </c>
      <c r="I18" s="43" t="s">
        <v>1146</v>
      </c>
      <c r="J18" s="55" t="n">
        <f aca="false">KPI_Dashboard!B29</f>
        <v>12.8186410484257</v>
      </c>
    </row>
    <row r="19" customFormat="false" ht="35.05" hidden="false" customHeight="false" outlineLevel="0" collapsed="false">
      <c r="A19" s="43" t="s">
        <v>1147</v>
      </c>
      <c r="B19" s="43" t="s">
        <v>1148</v>
      </c>
      <c r="C19" s="43" t="s">
        <v>1149</v>
      </c>
      <c r="D19" s="43" t="s">
        <v>1150</v>
      </c>
      <c r="E19" s="43" t="s">
        <v>1151</v>
      </c>
      <c r="F19" s="43" t="s">
        <v>1063</v>
      </c>
      <c r="G19" s="43" t="s">
        <v>1152</v>
      </c>
      <c r="H19" s="43" t="s">
        <v>1153</v>
      </c>
      <c r="I19" s="43" t="s">
        <v>1154</v>
      </c>
      <c r="J19" s="53" t="n">
        <f aca="false">KPI_Dashboard!B35</f>
        <v>10100</v>
      </c>
    </row>
    <row r="20" customFormat="false" ht="35.05" hidden="false" customHeight="false" outlineLevel="0" collapsed="false">
      <c r="A20" s="43" t="s">
        <v>1155</v>
      </c>
      <c r="B20" s="43" t="s">
        <v>1156</v>
      </c>
      <c r="C20" s="43" t="s">
        <v>1157</v>
      </c>
      <c r="D20" s="43" t="s">
        <v>1158</v>
      </c>
      <c r="E20" s="43" t="s">
        <v>1159</v>
      </c>
      <c r="F20" s="43" t="s">
        <v>1063</v>
      </c>
      <c r="G20" s="43" t="s">
        <v>1152</v>
      </c>
      <c r="H20" s="43" t="s">
        <v>1160</v>
      </c>
      <c r="I20" s="43" t="s">
        <v>1161</v>
      </c>
      <c r="J20" s="55" t="n">
        <f aca="false">KPI_Dashboard!B36</f>
        <v>217.983333333333</v>
      </c>
    </row>
    <row r="21" customFormat="false" ht="35.05" hidden="false" customHeight="false" outlineLevel="0" collapsed="false">
      <c r="A21" s="43" t="s">
        <v>1162</v>
      </c>
      <c r="B21" s="43" t="s">
        <v>1163</v>
      </c>
      <c r="C21" s="43" t="s">
        <v>1164</v>
      </c>
      <c r="D21" s="43" t="s">
        <v>1165</v>
      </c>
      <c r="E21" s="43" t="s">
        <v>1166</v>
      </c>
      <c r="F21" s="43" t="s">
        <v>1063</v>
      </c>
      <c r="G21" s="43" t="s">
        <v>1152</v>
      </c>
      <c r="H21" s="43" t="s">
        <v>1167</v>
      </c>
      <c r="I21" s="43" t="s">
        <v>1168</v>
      </c>
      <c r="J21" s="53" t="n">
        <f aca="false">KPI_Dashboard!B38</f>
        <v>4</v>
      </c>
    </row>
    <row r="22" customFormat="false" ht="35.05" hidden="false" customHeight="false" outlineLevel="0" collapsed="false">
      <c r="A22" s="43" t="s">
        <v>1169</v>
      </c>
      <c r="B22" s="43" t="s">
        <v>1170</v>
      </c>
      <c r="C22" s="43" t="s">
        <v>1171</v>
      </c>
      <c r="D22" s="43" t="s">
        <v>1172</v>
      </c>
      <c r="E22" s="43" t="s">
        <v>1173</v>
      </c>
      <c r="F22" s="43" t="s">
        <v>1063</v>
      </c>
      <c r="G22" s="43" t="s">
        <v>1064</v>
      </c>
      <c r="H22" s="43" t="s">
        <v>1174</v>
      </c>
      <c r="I22" s="43" t="s">
        <v>1175</v>
      </c>
      <c r="J22" s="53" t="n">
        <f aca="false">KPI_Dashboard!B41</f>
        <v>50100</v>
      </c>
    </row>
    <row r="23" customFormat="false" ht="35.05" hidden="false" customHeight="false" outlineLevel="0" collapsed="false">
      <c r="A23" s="43" t="s">
        <v>1176</v>
      </c>
      <c r="B23" s="43" t="s">
        <v>1177</v>
      </c>
      <c r="C23" s="43" t="s">
        <v>1178</v>
      </c>
      <c r="D23" s="43" t="s">
        <v>1179</v>
      </c>
      <c r="E23" s="43" t="s">
        <v>1151</v>
      </c>
      <c r="F23" s="43" t="s">
        <v>1063</v>
      </c>
      <c r="G23" s="43" t="s">
        <v>1064</v>
      </c>
      <c r="H23" s="43" t="s">
        <v>1180</v>
      </c>
      <c r="I23" s="43" t="s">
        <v>1181</v>
      </c>
      <c r="J23" s="53" t="n">
        <f aca="false">KPI_Dashboard!D8</f>
        <v>29650</v>
      </c>
    </row>
    <row r="24" customFormat="false" ht="35.05" hidden="false" customHeight="false" outlineLevel="0" collapsed="false">
      <c r="A24" s="43" t="s">
        <v>1182</v>
      </c>
      <c r="B24" s="43" t="s">
        <v>147</v>
      </c>
      <c r="C24" s="43" t="s">
        <v>1183</v>
      </c>
      <c r="D24" s="43" t="s">
        <v>1184</v>
      </c>
      <c r="E24" s="43" t="s">
        <v>205</v>
      </c>
      <c r="F24" s="43" t="s">
        <v>1063</v>
      </c>
      <c r="G24" s="43" t="s">
        <v>1084</v>
      </c>
      <c r="H24" s="43" t="s">
        <v>1185</v>
      </c>
      <c r="I24" s="43" t="s">
        <v>1186</v>
      </c>
      <c r="J24" s="53" t="n">
        <f aca="false">KPI_Dashboard!B47</f>
        <v>19</v>
      </c>
    </row>
    <row r="25" customFormat="false" ht="35.05" hidden="false" customHeight="false" outlineLevel="0" collapsed="false">
      <c r="A25" s="43" t="s">
        <v>1187</v>
      </c>
      <c r="B25" s="43" t="s">
        <v>1188</v>
      </c>
      <c r="C25" s="43" t="s">
        <v>1189</v>
      </c>
      <c r="D25" s="43" t="s">
        <v>1190</v>
      </c>
      <c r="E25" s="43" t="s">
        <v>1191</v>
      </c>
      <c r="F25" s="43" t="s">
        <v>1063</v>
      </c>
      <c r="G25" s="43" t="s">
        <v>1111</v>
      </c>
      <c r="H25" s="43" t="s">
        <v>1192</v>
      </c>
      <c r="I25" s="43" t="s">
        <v>1193</v>
      </c>
      <c r="J25" s="56" t="str">
        <f aca="false">"Top: "&amp;INDEX(KPI_Dashboard!A50:A53,MATCH(MAX(KPI_Dashboard!B50:B53),KPI_Dashboard!B50:B53,0))</f>
        <v>Top: Bank Transfer</v>
      </c>
    </row>
    <row r="26" customFormat="false" ht="35.05" hidden="false" customHeight="false" outlineLevel="0" collapsed="false">
      <c r="A26" s="43" t="s">
        <v>1194</v>
      </c>
      <c r="B26" s="43" t="s">
        <v>1195</v>
      </c>
      <c r="C26" s="43" t="s">
        <v>1196</v>
      </c>
      <c r="D26" s="43" t="s">
        <v>1197</v>
      </c>
      <c r="E26" s="43" t="s">
        <v>1198</v>
      </c>
      <c r="F26" s="43" t="s">
        <v>1063</v>
      </c>
      <c r="G26" s="43" t="s">
        <v>1199</v>
      </c>
      <c r="H26" s="43" t="s">
        <v>1200</v>
      </c>
      <c r="I26" s="43" t="s">
        <v>1201</v>
      </c>
      <c r="J26" s="56" t="str">
        <f aca="false">"Top: "&amp;INDEX(KPI_Dashboard!A57:A64,MATCH(MAX(KPI_Dashboard!D57:D64),KPI_Dashboard!D57:D64,0))</f>
        <v>Top: Verification Failed</v>
      </c>
    </row>
    <row r="27" customFormat="false" ht="23.85" hidden="false" customHeight="false" outlineLevel="0" collapsed="false">
      <c r="A27" s="43" t="s">
        <v>1202</v>
      </c>
      <c r="B27" s="43" t="s">
        <v>1203</v>
      </c>
      <c r="C27" s="43" t="s">
        <v>170</v>
      </c>
      <c r="D27" s="43" t="s">
        <v>1204</v>
      </c>
      <c r="E27" s="43" t="s">
        <v>1205</v>
      </c>
      <c r="F27" s="43" t="s">
        <v>1206</v>
      </c>
      <c r="G27" s="43" t="s">
        <v>1064</v>
      </c>
      <c r="H27" s="43" t="s">
        <v>1207</v>
      </c>
      <c r="I27" s="43" t="s">
        <v>1208</v>
      </c>
      <c r="J27" s="53" t="n">
        <f aca="false">KPI_Dashboard!B69</f>
        <v>63500</v>
      </c>
    </row>
    <row r="28" customFormat="false" ht="23.85" hidden="false" customHeight="false" outlineLevel="0" collapsed="false">
      <c r="A28" s="43" t="s">
        <v>1209</v>
      </c>
      <c r="B28" s="43" t="s">
        <v>1210</v>
      </c>
      <c r="C28" s="43" t="s">
        <v>1211</v>
      </c>
      <c r="D28" s="43" t="s">
        <v>1212</v>
      </c>
      <c r="E28" s="43" t="s">
        <v>1205</v>
      </c>
      <c r="F28" s="43" t="s">
        <v>1206</v>
      </c>
      <c r="G28" s="43" t="s">
        <v>1064</v>
      </c>
      <c r="H28" s="43" t="s">
        <v>1213</v>
      </c>
      <c r="I28" s="43" t="s">
        <v>1214</v>
      </c>
      <c r="J28" s="53" t="n">
        <f aca="false">KPI_Dashboard!B70</f>
        <v>30200</v>
      </c>
    </row>
    <row r="29" customFormat="false" ht="23.85" hidden="false" customHeight="false" outlineLevel="0" collapsed="false">
      <c r="A29" s="43" t="s">
        <v>1215</v>
      </c>
      <c r="B29" s="43" t="s">
        <v>1216</v>
      </c>
      <c r="C29" s="43" t="s">
        <v>1217</v>
      </c>
      <c r="D29" s="43" t="s">
        <v>1218</v>
      </c>
      <c r="E29" s="43" t="s">
        <v>1219</v>
      </c>
      <c r="F29" s="43" t="s">
        <v>1206</v>
      </c>
      <c r="G29" s="43" t="s">
        <v>1077</v>
      </c>
      <c r="H29" s="43" t="s">
        <v>1220</v>
      </c>
      <c r="I29" s="43" t="s">
        <v>1221</v>
      </c>
      <c r="J29" s="53" t="n">
        <f aca="false">KPI_Dashboard!B74</f>
        <v>33400</v>
      </c>
    </row>
    <row r="30" customFormat="false" ht="23.85" hidden="false" customHeight="false" outlineLevel="0" collapsed="false">
      <c r="A30" s="43" t="s">
        <v>1222</v>
      </c>
      <c r="B30" s="43" t="s">
        <v>183</v>
      </c>
      <c r="C30" s="43" t="s">
        <v>1223</v>
      </c>
      <c r="D30" s="43" t="s">
        <v>1224</v>
      </c>
      <c r="E30" s="43" t="s">
        <v>1225</v>
      </c>
      <c r="F30" s="43" t="s">
        <v>1206</v>
      </c>
      <c r="G30" s="43" t="s">
        <v>1084</v>
      </c>
      <c r="H30" s="43" t="s">
        <v>1226</v>
      </c>
      <c r="I30" s="43" t="s">
        <v>1227</v>
      </c>
      <c r="J30" s="54" t="n">
        <f aca="false">KPI_Dashboard!B76</f>
        <v>0.0143884892086331</v>
      </c>
    </row>
    <row r="31" customFormat="false" ht="23.85" hidden="false" customHeight="false" outlineLevel="0" collapsed="false">
      <c r="A31" s="43" t="s">
        <v>1228</v>
      </c>
      <c r="B31" s="43" t="s">
        <v>181</v>
      </c>
      <c r="C31" s="43" t="s">
        <v>1229</v>
      </c>
      <c r="D31" s="43" t="s">
        <v>1230</v>
      </c>
      <c r="E31" s="43" t="s">
        <v>86</v>
      </c>
      <c r="F31" s="43" t="s">
        <v>1206</v>
      </c>
      <c r="G31" s="43" t="s">
        <v>1084</v>
      </c>
      <c r="H31" s="43" t="s">
        <v>1231</v>
      </c>
      <c r="I31" s="43" t="s">
        <v>1232</v>
      </c>
      <c r="J31" s="54" t="n">
        <f aca="false">KPI_Dashboard!B75</f>
        <v>0.0069204152249135</v>
      </c>
    </row>
    <row r="32" customFormat="false" ht="23.85" hidden="false" customHeight="false" outlineLevel="0" collapsed="false">
      <c r="A32" s="43" t="s">
        <v>1233</v>
      </c>
      <c r="B32" s="43" t="s">
        <v>1234</v>
      </c>
      <c r="C32" s="43" t="s">
        <v>1235</v>
      </c>
      <c r="D32" s="43" t="s">
        <v>1236</v>
      </c>
      <c r="E32" s="43" t="s">
        <v>1237</v>
      </c>
      <c r="F32" s="43" t="s">
        <v>1238</v>
      </c>
      <c r="G32" s="43" t="s">
        <v>1152</v>
      </c>
      <c r="H32" s="43" t="s">
        <v>1239</v>
      </c>
      <c r="I32" s="43" t="s">
        <v>1240</v>
      </c>
      <c r="J32" s="53" t="n">
        <f aca="false">KPI_Dashboard!B83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2026-10-17T13:15:48Z</dcterms:created>
  <dc:creator>openpyxl</dc:creator>
  <dc:description/>
  <dc:language>en-US</dc:language>
  <cp:lastModifiedBy/>
  <dcterms:modified xsi:type="dcterms:W3CDTF">2026-10-17T13:15:50Z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