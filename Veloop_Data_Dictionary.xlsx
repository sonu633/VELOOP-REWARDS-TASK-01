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 Dictionary" sheetId="2" state="visible" r:id="rId4"/>
    <sheet name="Entity Summary" sheetId="3" state="visible" r:id="rId5"/>
    <sheet name="Checks" sheetId="4" state="visible" r:id="rId6"/>
    <sheet name="Rationale &amp; Gaps" sheetId="5" state="visible" r:id="rId7"/>
  </sheets>
  <definedNames>
    <definedName function="false" hidden="true" localSheetId="1" name="_xlnm._FilterDatabase" vbProcedure="false">'Data Dictionary'!$A$1:$M$110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<sst xmlns="http://schemas.openxmlformats.org/spreadsheetml/2006/main" count="1438" uniqueCount="710">
  <si>
    <t xml:space="preserve">Veloop Data Dictionary — Work Package G</t>
  </si>
  <si>
    <t xml:space="preserve">ASSUMPTION: No Veloop source material was supplied, so Veloop is modelled as a shared bike / e-bike / e-scooter mobility platform (app, vehicles, stations, trips, payments, support). Entities, fields and sources are PROPOSED. Replace or delete any that do not match the real business.</t>
  </si>
  <si>
    <t xml:space="preserve">How to use</t>
  </si>
  <si>
    <t xml:space="preserve">1. 'Data Dictionary' sheet: one row per field, with all 11 required attributes plus Field ID and Status.</t>
  </si>
  <si>
    <t xml:space="preserve">2. 'Entity Summary': grain and field counts per entity (formula-driven, updates when you edit the dictionary).</t>
  </si>
  <si>
    <t xml:space="preserve">3. 'Checks': automatic quality checks (75+ field target, duplicates, missing attributes, sensitivity mix).</t>
  </si>
  <si>
    <t xml:space="preserve">4. 'Rationale &amp; Gaps': why the field set is sufficient, and what to add next.</t>
  </si>
  <si>
    <t xml:space="preserve">Status rule: every field is 'Proposed'. Change to 'Confirmed' only after the data owner has verified the field exists in the named source with the stated type and rules.</t>
  </si>
  <si>
    <t xml:space="preserve">Sensitivity: Public = safe to publish; Internal = staff only; Restricted = personal, precise location, or identity-linked data (access-controlled, aggregate when reporting).</t>
  </si>
  <si>
    <t xml:space="preserve">Edit cells in 'Data Dictionary' directly; dropdowns exist for Required, Sensitivity and Status.</t>
  </si>
  <si>
    <t xml:space="preserve">Field ID</t>
  </si>
  <si>
    <t xml:space="preserve">Entity</t>
  </si>
  <si>
    <t xml:space="preserve">Field Name</t>
  </si>
  <si>
    <t xml:space="preserve">Data Type</t>
  </si>
  <si>
    <t xml:space="preserve">Definition</t>
  </si>
  <si>
    <t xml:space="preserve">Example</t>
  </si>
  <si>
    <t xml:space="preserve">Required</t>
  </si>
  <si>
    <t xml:space="preserve">Allowed Values</t>
  </si>
  <si>
    <t xml:space="preserve">Validation</t>
  </si>
  <si>
    <t xml:space="preserve">Source</t>
  </si>
  <si>
    <t xml:space="preserve">Sensitivity</t>
  </si>
  <si>
    <t xml:space="preserve">Analytical Use</t>
  </si>
  <si>
    <t xml:space="preserve">Status</t>
  </si>
  <si>
    <t xml:space="preserve">F001</t>
  </si>
  <si>
    <t xml:space="preserve">dim_user</t>
  </si>
  <si>
    <t xml:space="preserve">user_id</t>
  </si>
  <si>
    <t xml:space="preserve">STRING</t>
  </si>
  <si>
    <t xml:space="preserve">Unique surrogate identifier of a registered rider account.</t>
  </si>
  <si>
    <t xml:space="preserve">U-00048213</t>
  </si>
  <si>
    <t xml:space="preserve">Yes</t>
  </si>
  <si>
    <t xml:space="preserve">Unique, not null, format U-#######</t>
  </si>
  <si>
    <t xml:space="preserve">Mobile app backend</t>
  </si>
  <si>
    <t xml:space="preserve">Internal</t>
  </si>
  <si>
    <t xml:space="preserve">Primary join key for all rider-level analysis (retention, LTV, cohorts).</t>
  </si>
  <si>
    <t xml:space="preserve">Proposed</t>
  </si>
  <si>
    <t xml:space="preserve">F002</t>
  </si>
  <si>
    <t xml:space="preserve">signup_date</t>
  </si>
  <si>
    <t xml:space="preserve">DATE</t>
  </si>
  <si>
    <t xml:space="preserve">Calendar date the account was created.</t>
  </si>
  <si>
    <t xml:space="preserve">2026-03-14</t>
  </si>
  <si>
    <t xml:space="preserve">Valid date, &lt;= today, &gt;= launch date</t>
  </si>
  <si>
    <t xml:space="preserve">Cohort assignment and acquisition trend analysis.</t>
  </si>
  <si>
    <t xml:space="preserve">F003</t>
  </si>
  <si>
    <t xml:space="preserve">signup_channel</t>
  </si>
  <si>
    <t xml:space="preserve">Marketing/acquisition channel credited for the signup.</t>
  </si>
  <si>
    <t xml:space="preserve">referral</t>
  </si>
  <si>
    <t xml:space="preserve">organic, paid_social, paid_search, referral, partner, unknown</t>
  </si>
  <si>
    <t xml:space="preserve">Must be in allowed list</t>
  </si>
  <si>
    <t xml:space="preserve">App backend + attribution SDK</t>
  </si>
  <si>
    <t xml:space="preserve">Compares CAC and retention by channel.</t>
  </si>
  <si>
    <t xml:space="preserve">F004</t>
  </si>
  <si>
    <t xml:space="preserve">country_code</t>
  </si>
  <si>
    <t xml:space="preserve">ISO 3166-1 alpha-2 country of the account's home market.</t>
  </si>
  <si>
    <t xml:space="preserve">DE</t>
  </si>
  <si>
    <t xml:space="preserve">ISO 3166-1 alpha-2</t>
  </si>
  <si>
    <t xml:space="preserve">2 uppercase letters, in ISO list</t>
  </si>
  <si>
    <t xml:space="preserve">Market-level segmentation and reporting.</t>
  </si>
  <si>
    <t xml:space="preserve">F005</t>
  </si>
  <si>
    <t xml:space="preserve">home_city</t>
  </si>
  <si>
    <t xml:space="preserve">City where the user takes most trips or registered.</t>
  </si>
  <si>
    <t xml:space="preserve">Berlin</t>
  </si>
  <si>
    <t xml:space="preserve">No</t>
  </si>
  <si>
    <t xml:space="preserve">Not blank if provided; matches city reference list</t>
  </si>
  <si>
    <t xml:space="preserve">Derived (ETL) from trips</t>
  </si>
  <si>
    <t xml:space="preserve">City-level demand and penetration analysis.</t>
  </si>
  <si>
    <t xml:space="preserve">F006</t>
  </si>
  <si>
    <t xml:space="preserve">birth_year</t>
  </si>
  <si>
    <t xml:space="preserve">INTEGER</t>
  </si>
  <si>
    <t xml:space="preserve">Year of birth supplied at signup (year only, to limit PII).</t>
  </si>
  <si>
    <t xml:space="preserve">1994</t>
  </si>
  <si>
    <t xml:space="preserve">1920 &lt;= value &lt;= current year - minimum age</t>
  </si>
  <si>
    <t xml:space="preserve">Restricted</t>
  </si>
  <si>
    <t xml:space="preserve">Age-band segmentation and age-eligibility compliance.</t>
  </si>
  <si>
    <t xml:space="preserve">F007</t>
  </si>
  <si>
    <t xml:space="preserve">user_status</t>
  </si>
  <si>
    <t xml:space="preserve">Current lifecycle state of the account.</t>
  </si>
  <si>
    <t xml:space="preserve">active</t>
  </si>
  <si>
    <t xml:space="preserve">active, dormant, suspended, deleted</t>
  </si>
  <si>
    <t xml:space="preserve">Derived (ETL)</t>
  </si>
  <si>
    <t xml:space="preserve">Active-user counts, churn and reactivation tracking.</t>
  </si>
  <si>
    <t xml:space="preserve">F008</t>
  </si>
  <si>
    <t xml:space="preserve">account_tier</t>
  </si>
  <si>
    <t xml:space="preserve">Subscription tier the user is currently on.</t>
  </si>
  <si>
    <t xml:space="preserve">monthly_pass</t>
  </si>
  <si>
    <t xml:space="preserve">pay_as_you_go, monthly_pass, annual_pass, corporate</t>
  </si>
  <si>
    <t xml:space="preserve">Billing system</t>
  </si>
  <si>
    <t xml:space="preserve">Revenue mix and tier-upgrade analysis.</t>
  </si>
  <si>
    <t xml:space="preserve">F009</t>
  </si>
  <si>
    <t xml:space="preserve">marketing_consent_flag</t>
  </si>
  <si>
    <t xml:space="preserve">BOOLEAN</t>
  </si>
  <si>
    <t xml:space="preserve">Whether the user consented to marketing communications.</t>
  </si>
  <si>
    <t xml:space="preserve">TRUE</t>
  </si>
  <si>
    <t xml:space="preserve">TRUE, FALSE</t>
  </si>
  <si>
    <t xml:space="preserve">Not null</t>
  </si>
  <si>
    <t xml:space="preserve">Ensures campaign analysis respects consent (GDPR).</t>
  </si>
  <si>
    <t xml:space="preserve">F010</t>
  </si>
  <si>
    <t xml:space="preserve">email_hash</t>
  </si>
  <si>
    <t xml:space="preserve">SHA-256 hash of normalised email, used for matching without exposing the address.</t>
  </si>
  <si>
    <t xml:space="preserve">9f86d0...a08</t>
  </si>
  <si>
    <t xml:space="preserve">64 hex chars, lowercase</t>
  </si>
  <si>
    <t xml:space="preserve">Deduplicating accounts and joining to CRM without raw PII.</t>
  </si>
  <si>
    <t xml:space="preserve">F011</t>
  </si>
  <si>
    <t xml:space="preserve">first_trip_date</t>
  </si>
  <si>
    <t xml:space="preserve">Date of the user's first completed trip.</t>
  </si>
  <si>
    <t xml:space="preserve">2026-03-15</t>
  </si>
  <si>
    <t xml:space="preserve">Null until first trip; &gt;= signup_date</t>
  </si>
  <si>
    <t xml:space="preserve">Activation rate and time-to-first-trip.</t>
  </si>
  <si>
    <t xml:space="preserve">F012</t>
  </si>
  <si>
    <t xml:space="preserve">dim_vehicle</t>
  </si>
  <si>
    <t xml:space="preserve">vehicle_id</t>
  </si>
  <si>
    <t xml:space="preserve">Unique identifier of a physical bike/e-bike/scooter.</t>
  </si>
  <si>
    <t xml:space="preserve">V-100245</t>
  </si>
  <si>
    <t xml:space="preserve">Unique, not null</t>
  </si>
  <si>
    <t xml:space="preserve">Fleet ops system</t>
  </si>
  <si>
    <t xml:space="preserve">Join key for utilisation, maintenance and telemetry.</t>
  </si>
  <si>
    <t xml:space="preserve">F013</t>
  </si>
  <si>
    <t xml:space="preserve">vehicle_type</t>
  </si>
  <si>
    <t xml:space="preserve">Category of vehicle.</t>
  </si>
  <si>
    <t xml:space="preserve">ebike</t>
  </si>
  <si>
    <t xml:space="preserve">bike, ebike, escooter, cargo_bike</t>
  </si>
  <si>
    <t xml:space="preserve">Utilisation and revenue comparison by vehicle type.</t>
  </si>
  <si>
    <t xml:space="preserve">F014</t>
  </si>
  <si>
    <t xml:space="preserve">model_name</t>
  </si>
  <si>
    <t xml:space="preserve">Manufacturer model designation.</t>
  </si>
  <si>
    <t xml:space="preserve">VL-E2 Gen3</t>
  </si>
  <si>
    <t xml:space="preserve">Must match vehicle model reference list</t>
  </si>
  <si>
    <t xml:space="preserve">Reliability and cost analysis by model.</t>
  </si>
  <si>
    <t xml:space="preserve">F015</t>
  </si>
  <si>
    <t xml:space="preserve">battery_capacity_wh</t>
  </si>
  <si>
    <t xml:space="preserve">Rated battery capacity in watt-hours (null for non-electric).</t>
  </si>
  <si>
    <t xml:space="preserve">504</t>
  </si>
  <si>
    <t xml:space="preserve">&gt; 0 when vehicle_type is electric, else null</t>
  </si>
  <si>
    <t xml:space="preserve">Range modelling and battery-swap planning.</t>
  </si>
  <si>
    <t xml:space="preserve">F016</t>
  </si>
  <si>
    <t xml:space="preserve">commission_date</t>
  </si>
  <si>
    <t xml:space="preserve">Date the vehicle entered service.</t>
  </si>
  <si>
    <t xml:space="preserve">2025-09-01</t>
  </si>
  <si>
    <t xml:space="preserve">Valid date, &lt;= today</t>
  </si>
  <si>
    <t xml:space="preserve">Vehicle age and lifecycle analysis.</t>
  </si>
  <si>
    <t xml:space="preserve">F017</t>
  </si>
  <si>
    <t xml:space="preserve">vehicle_status</t>
  </si>
  <si>
    <t xml:space="preserve">Current operational state.</t>
  </si>
  <si>
    <t xml:space="preserve">available</t>
  </si>
  <si>
    <t xml:space="preserve">available, in_use, maintenance, missing, retired</t>
  </si>
  <si>
    <t xml:space="preserve">Fleet availability and downtime reporting.</t>
  </si>
  <si>
    <t xml:space="preserve">F018</t>
  </si>
  <si>
    <t xml:space="preserve">firmware_version</t>
  </si>
  <si>
    <t xml:space="preserve">Version of firmware on the vehicle's lock/IoT unit.</t>
  </si>
  <si>
    <t xml:space="preserve">3.4.1</t>
  </si>
  <si>
    <t xml:space="preserve">Semantic version pattern X.Y.Z</t>
  </si>
  <si>
    <t xml:space="preserve">IoT telematics</t>
  </si>
  <si>
    <t xml:space="preserve">Links faults and trip anomalies to firmware releases.</t>
  </si>
  <si>
    <t xml:space="preserve">F019</t>
  </si>
  <si>
    <t xml:space="preserve">fleet_owner_type</t>
  </si>
  <si>
    <t xml:space="preserve">Whether the vehicle is owned, leased or partner-supplied.</t>
  </si>
  <si>
    <t xml:space="preserve">owned</t>
  </si>
  <si>
    <t xml:space="preserve">owned, leased, partner</t>
  </si>
  <si>
    <t xml:space="preserve">Finance / fleet ops</t>
  </si>
  <si>
    <t xml:space="preserve">Unit economics by ownership model.</t>
  </si>
  <si>
    <t xml:space="preserve">F020</t>
  </si>
  <si>
    <t xml:space="preserve">retirement_date</t>
  </si>
  <si>
    <t xml:space="preserve">Date the vehicle left the fleet permanently.</t>
  </si>
  <si>
    <t xml:space="preserve">2027-01-20</t>
  </si>
  <si>
    <t xml:space="preserve">Null unless vehicle_status = retired; &gt;= commission_date</t>
  </si>
  <si>
    <t xml:space="preserve">Asset life and replacement planning.</t>
  </si>
  <si>
    <t xml:space="preserve">F021</t>
  </si>
  <si>
    <t xml:space="preserve">dim_station</t>
  </si>
  <si>
    <t xml:space="preserve">station_id</t>
  </si>
  <si>
    <t xml:space="preserve">Unique identifier of a docking station or designated parking zone.</t>
  </si>
  <si>
    <t xml:space="preserve">S-0231</t>
  </si>
  <si>
    <t xml:space="preserve">Station registry</t>
  </si>
  <si>
    <t xml:space="preserve">Join key for supply/demand and flow analysis.</t>
  </si>
  <si>
    <t xml:space="preserve">F022</t>
  </si>
  <si>
    <t xml:space="preserve">station_name</t>
  </si>
  <si>
    <t xml:space="preserve">Public name of the station.</t>
  </si>
  <si>
    <t xml:space="preserve">Alexanderplatz North</t>
  </si>
  <si>
    <t xml:space="preserve">Not blank, &lt;= 100 chars</t>
  </si>
  <si>
    <t xml:space="preserve">Public</t>
  </si>
  <si>
    <t xml:space="preserve">Readable labels for dashboards and maps.</t>
  </si>
  <si>
    <t xml:space="preserve">F023</t>
  </si>
  <si>
    <t xml:space="preserve">city</t>
  </si>
  <si>
    <t xml:space="preserve">City in which the station is located.</t>
  </si>
  <si>
    <t xml:space="preserve">Matches city reference list</t>
  </si>
  <si>
    <t xml:space="preserve">Geographic roll-ups.</t>
  </si>
  <si>
    <t xml:space="preserve">F024</t>
  </si>
  <si>
    <t xml:space="preserve">latitude</t>
  </si>
  <si>
    <t xml:space="preserve">DECIMAL(9,6)</t>
  </si>
  <si>
    <t xml:space="preserve">WGS84 latitude of the station.</t>
  </si>
  <si>
    <t xml:space="preserve">52.521918</t>
  </si>
  <si>
    <t xml:space="preserve">-90 to 90</t>
  </si>
  <si>
    <t xml:space="preserve">Spatial analysis and heatmaps.</t>
  </si>
  <si>
    <t xml:space="preserve">F025</t>
  </si>
  <si>
    <t xml:space="preserve">longitude</t>
  </si>
  <si>
    <t xml:space="preserve">WGS84 longitude of the station.</t>
  </si>
  <si>
    <t xml:space="preserve">13.413215</t>
  </si>
  <si>
    <t xml:space="preserve">-180 to 180</t>
  </si>
  <si>
    <t xml:space="preserve">F026</t>
  </si>
  <si>
    <t xml:space="preserve">dock_capacity</t>
  </si>
  <si>
    <t xml:space="preserve">Number of vehicles the station can hold.</t>
  </si>
  <si>
    <t xml:space="preserve">24</t>
  </si>
  <si>
    <t xml:space="preserve">Integer &gt;= 0 (0 allowed for virtual zones)</t>
  </si>
  <si>
    <t xml:space="preserve">Occupancy and rebalancing calculations.</t>
  </si>
  <si>
    <t xml:space="preserve">F027</t>
  </si>
  <si>
    <t xml:space="preserve">station_type</t>
  </si>
  <si>
    <t xml:space="preserve">Physical or virtual type of the location.</t>
  </si>
  <si>
    <t xml:space="preserve">docked</t>
  </si>
  <si>
    <t xml:space="preserve">docked, virtual_zone, hub</t>
  </si>
  <si>
    <t xml:space="preserve">Compares performance by station design.</t>
  </si>
  <si>
    <t xml:space="preserve">F028</t>
  </si>
  <si>
    <t xml:space="preserve">pricing_zone_id</t>
  </si>
  <si>
    <t xml:space="preserve">Pricing zone the station belongs to.</t>
  </si>
  <si>
    <t xml:space="preserve">Z-CENTRAL</t>
  </si>
  <si>
    <t xml:space="preserve">Must exist in zone reference list</t>
  </si>
  <si>
    <t xml:space="preserve">Reference data (manual)</t>
  </si>
  <si>
    <t xml:space="preserve">Analyses price sensitivity by zone.</t>
  </si>
  <si>
    <t xml:space="preserve">F029</t>
  </si>
  <si>
    <t xml:space="preserve">station_opened_date</t>
  </si>
  <si>
    <t xml:space="preserve">Date the station became operational.</t>
  </si>
  <si>
    <t xml:space="preserve">2025-06-12</t>
  </si>
  <si>
    <t xml:space="preserve">Maturity curves for new stations.</t>
  </si>
  <si>
    <t xml:space="preserve">F030</t>
  </si>
  <si>
    <t xml:space="preserve">station_status</t>
  </si>
  <si>
    <t xml:space="preserve">Current operating state of the station.</t>
  </si>
  <si>
    <t xml:space="preserve">active, temporarily_closed, decommissioned</t>
  </si>
  <si>
    <t xml:space="preserve">Excludes closed stations from availability metrics.</t>
  </si>
  <si>
    <t xml:space="preserve">F031</t>
  </si>
  <si>
    <t xml:space="preserve">dim_date</t>
  </si>
  <si>
    <t xml:space="preserve">date_key</t>
  </si>
  <si>
    <t xml:space="preserve">Surrogate key in YYYYMMDD form.</t>
  </si>
  <si>
    <t xml:space="preserve">20261017</t>
  </si>
  <si>
    <t xml:space="preserve">8 digits, valid date</t>
  </si>
  <si>
    <t xml:space="preserve">Calendar table (generated)</t>
  </si>
  <si>
    <t xml:space="preserve">Standard time join for all facts.</t>
  </si>
  <si>
    <t xml:space="preserve">F032</t>
  </si>
  <si>
    <t xml:space="preserve">calendar_date</t>
  </si>
  <si>
    <t xml:space="preserve">The calendar date.</t>
  </si>
  <si>
    <t xml:space="preserve">2026-10-17</t>
  </si>
  <si>
    <t xml:space="preserve">Unique, continuous series</t>
  </si>
  <si>
    <t xml:space="preserve">Daily trend analysis.</t>
  </si>
  <si>
    <t xml:space="preserve">F033</t>
  </si>
  <si>
    <t xml:space="preserve">day_of_week</t>
  </si>
  <si>
    <t xml:space="preserve">Day name.</t>
  </si>
  <si>
    <t xml:space="preserve">Saturday</t>
  </si>
  <si>
    <t xml:space="preserve">Monday ... Sunday</t>
  </si>
  <si>
    <t xml:space="preserve">Weekday vs weekend demand patterns.</t>
  </si>
  <si>
    <t xml:space="preserve">F034</t>
  </si>
  <si>
    <t xml:space="preserve">is_weekend</t>
  </si>
  <si>
    <t xml:space="preserve">TRUE for Saturday or Sunday.</t>
  </si>
  <si>
    <t xml:space="preserve">Consistent with day_of_week</t>
  </si>
  <si>
    <t xml:space="preserve">Leisure vs commuter segmentation.</t>
  </si>
  <si>
    <t xml:space="preserve">F035</t>
  </si>
  <si>
    <t xml:space="preserve">is_public_holiday</t>
  </si>
  <si>
    <t xml:space="preserve">TRUE if the date is a public holiday in the market.</t>
  </si>
  <si>
    <t xml:space="preserve">FALSE</t>
  </si>
  <si>
    <t xml:space="preserve">Matches holiday reference per country</t>
  </si>
  <si>
    <t xml:space="preserve">Explains demand spikes and dips.</t>
  </si>
  <si>
    <t xml:space="preserve">F036</t>
  </si>
  <si>
    <t xml:space="preserve">iso_week</t>
  </si>
  <si>
    <t xml:space="preserve">ISO 8601 week number of the year.</t>
  </si>
  <si>
    <t xml:space="preserve">42</t>
  </si>
  <si>
    <t xml:space="preserve">1 to 53</t>
  </si>
  <si>
    <t xml:space="preserve">Weekly reporting cadence.</t>
  </si>
  <si>
    <t xml:space="preserve">F037</t>
  </si>
  <si>
    <t xml:space="preserve">fact_trip</t>
  </si>
  <si>
    <t xml:space="preserve">trip_id</t>
  </si>
  <si>
    <t xml:space="preserve">Unique identifier of one rental/trip.</t>
  </si>
  <si>
    <t xml:space="preserve">T-9004412</t>
  </si>
  <si>
    <t xml:space="preserve">Grain of the trip fact; counts and rates.</t>
  </si>
  <si>
    <t xml:space="preserve">F038</t>
  </si>
  <si>
    <t xml:space="preserve">Rider who took the trip (FK to dim_user).</t>
  </si>
  <si>
    <t xml:space="preserve">Must exist in dim_user</t>
  </si>
  <si>
    <t xml:space="preserve">Rider behaviour, frequency and retention.</t>
  </si>
  <si>
    <t xml:space="preserve">F039</t>
  </si>
  <si>
    <t xml:space="preserve">Vehicle used (FK to dim_vehicle).</t>
  </si>
  <si>
    <t xml:space="preserve">Must exist in dim_vehicle</t>
  </si>
  <si>
    <t xml:space="preserve">Vehicle utilisation and revenue per vehicle.</t>
  </si>
  <si>
    <t xml:space="preserve">F040</t>
  </si>
  <si>
    <t xml:space="preserve">start_station_id</t>
  </si>
  <si>
    <t xml:space="preserve">Station where the trip began (FK to dim_station); null for free-floating start.</t>
  </si>
  <si>
    <t xml:space="preserve">Must exist in dim_station if present</t>
  </si>
  <si>
    <t xml:space="preserve">Origin-destination flows.</t>
  </si>
  <si>
    <t xml:space="preserve">F041</t>
  </si>
  <si>
    <t xml:space="preserve">end_station_id</t>
  </si>
  <si>
    <t xml:space="preserve">Station where the trip ended (FK to dim_station); null if ended outside a station.</t>
  </si>
  <si>
    <t xml:space="preserve">S-0307</t>
  </si>
  <si>
    <t xml:space="preserve">Origin-destination flows and rebalancing need.</t>
  </si>
  <si>
    <t xml:space="preserve">F042</t>
  </si>
  <si>
    <t xml:space="preserve">trip_start_ts</t>
  </si>
  <si>
    <t xml:space="preserve">TIMESTAMP</t>
  </si>
  <si>
    <t xml:space="preserve">UTC time the vehicle was unlocked.</t>
  </si>
  <si>
    <t xml:space="preserve">2026-10-17T07:42:10Z</t>
  </si>
  <si>
    <t xml:space="preserve">Valid UTC timestamp, &lt;= trip_end_ts</t>
  </si>
  <si>
    <t xml:space="preserve">Hourly demand profile and peak analysis.</t>
  </si>
  <si>
    <t xml:space="preserve">F043</t>
  </si>
  <si>
    <t xml:space="preserve">trip_end_ts</t>
  </si>
  <si>
    <t xml:space="preserve">UTC time the trip was locked/ended.</t>
  </si>
  <si>
    <t xml:space="preserve">2026-10-17T08:03:55Z</t>
  </si>
  <si>
    <t xml:space="preserve">Null only while trip_status = in_progress</t>
  </si>
  <si>
    <t xml:space="preserve">Duration and billing calculations.</t>
  </si>
  <si>
    <t xml:space="preserve">F044</t>
  </si>
  <si>
    <t xml:space="preserve">duration_sec</t>
  </si>
  <si>
    <t xml:space="preserve">Trip length in seconds (trip_end_ts - trip_start_ts).</t>
  </si>
  <si>
    <t xml:space="preserve">1305</t>
  </si>
  <si>
    <t xml:space="preserve">Equals end minus start; 0 &lt; value &lt;= 86400 else flag</t>
  </si>
  <si>
    <t xml:space="preserve">Core usage metric; outlier detection.</t>
  </si>
  <si>
    <t xml:space="preserve">F045</t>
  </si>
  <si>
    <t xml:space="preserve">distance_m</t>
  </si>
  <si>
    <t xml:space="preserve">GPS-derived trip distance in metres.</t>
  </si>
  <si>
    <t xml:space="preserve">4820</t>
  </si>
  <si>
    <t xml:space="preserve">0 &lt;= value &lt;= 100000</t>
  </si>
  <si>
    <t xml:space="preserve">Distance-based demand and carbon savings.</t>
  </si>
  <si>
    <t xml:space="preserve">F046</t>
  </si>
  <si>
    <t xml:space="preserve">start_latitude</t>
  </si>
  <si>
    <t xml:space="preserve">Latitude at unlock.</t>
  </si>
  <si>
    <t xml:space="preserve">Free-floating demand mapping (precise location is sensitive).</t>
  </si>
  <si>
    <t xml:space="preserve">F047</t>
  </si>
  <si>
    <t xml:space="preserve">start_longitude</t>
  </si>
  <si>
    <t xml:space="preserve">Longitude at unlock.</t>
  </si>
  <si>
    <t xml:space="preserve">Free-floating demand mapping.</t>
  </si>
  <si>
    <t xml:space="preserve">F048</t>
  </si>
  <si>
    <t xml:space="preserve">end_latitude</t>
  </si>
  <si>
    <t xml:space="preserve">Latitude at lock.</t>
  </si>
  <si>
    <t xml:space="preserve">52.510201</t>
  </si>
  <si>
    <t xml:space="preserve">Destination analysis, parking compliance.</t>
  </si>
  <si>
    <t xml:space="preserve">F049</t>
  </si>
  <si>
    <t xml:space="preserve">end_longitude</t>
  </si>
  <si>
    <t xml:space="preserve">Longitude at lock.</t>
  </si>
  <si>
    <t xml:space="preserve">13.389900</t>
  </si>
  <si>
    <t xml:space="preserve">F050</t>
  </si>
  <si>
    <t xml:space="preserve">battery_start_pct</t>
  </si>
  <si>
    <t xml:space="preserve">Battery level at unlock (electric only).</t>
  </si>
  <si>
    <t xml:space="preserve">86</t>
  </si>
  <si>
    <t xml:space="preserve">0 to 100</t>
  </si>
  <si>
    <t xml:space="preserve">Battery consumption per km.</t>
  </si>
  <si>
    <t xml:space="preserve">F051</t>
  </si>
  <si>
    <t xml:space="preserve">battery_end_pct</t>
  </si>
  <si>
    <t xml:space="preserve">Battery level at lock (electric only).</t>
  </si>
  <si>
    <t xml:space="preserve">79</t>
  </si>
  <si>
    <t xml:space="preserve">0 to 100, &lt;= battery_start_pct unless swapped</t>
  </si>
  <si>
    <t xml:space="preserve">Battery consumption per km; charging triggers.</t>
  </si>
  <si>
    <t xml:space="preserve">F052</t>
  </si>
  <si>
    <t xml:space="preserve">trip_status</t>
  </si>
  <si>
    <t xml:space="preserve">Outcome of the trip.</t>
  </si>
  <si>
    <t xml:space="preserve">completed</t>
  </si>
  <si>
    <t xml:space="preserve">in_progress, completed, cancelled, system_terminated</t>
  </si>
  <si>
    <t xml:space="preserve">Separates valid trips from failed unlocks.</t>
  </si>
  <si>
    <t xml:space="preserve">F053</t>
  </si>
  <si>
    <t xml:space="preserve">unlock_method</t>
  </si>
  <si>
    <t xml:space="preserve">How the rider unlocked the vehicle.</t>
  </si>
  <si>
    <t xml:space="preserve">qr_scan</t>
  </si>
  <si>
    <t xml:space="preserve">qr_scan, nfc, bluetooth, manual_code</t>
  </si>
  <si>
    <t xml:space="preserve">UX friction and failure analysis.</t>
  </si>
  <si>
    <t xml:space="preserve">F054</t>
  </si>
  <si>
    <t xml:space="preserve">pricing_plan_id</t>
  </si>
  <si>
    <t xml:space="preserve">Pricing plan applied (FK to dim_pricing_plan).</t>
  </si>
  <si>
    <t xml:space="preserve">PP-STD-2026</t>
  </si>
  <si>
    <t xml:space="preserve">Must exist in dim_pricing_plan</t>
  </si>
  <si>
    <t xml:space="preserve">Revenue analysis by plan.</t>
  </si>
  <si>
    <t xml:space="preserve">F055</t>
  </si>
  <si>
    <t xml:space="preserve">is_ended_in_station</t>
  </si>
  <si>
    <t xml:space="preserve">Whether the trip ended inside a valid station or zone.</t>
  </si>
  <si>
    <t xml:space="preserve">Consistent with end_station_id</t>
  </si>
  <si>
    <t xml:space="preserve">Parking compliance and station-return rate.</t>
  </si>
  <si>
    <t xml:space="preserve">F056</t>
  </si>
  <si>
    <t xml:space="preserve">trip_rating</t>
  </si>
  <si>
    <t xml:space="preserve">Rider's post-trip rating.</t>
  </si>
  <si>
    <t xml:space="preserve">5</t>
  </si>
  <si>
    <t xml:space="preserve">1-5</t>
  </si>
  <si>
    <t xml:space="preserve">Integer 1 to 5 or null</t>
  </si>
  <si>
    <t xml:space="preserve">Satisfaction tracking by vehicle and station.</t>
  </si>
  <si>
    <t xml:space="preserve">F057</t>
  </si>
  <si>
    <t xml:space="preserve">dim_pricing_plan</t>
  </si>
  <si>
    <t xml:space="preserve">Unique ID of a price configuration.</t>
  </si>
  <si>
    <t xml:space="preserve">Join key to trips and payments.</t>
  </si>
  <si>
    <t xml:space="preserve">F058</t>
  </si>
  <si>
    <t xml:space="preserve">plan_name</t>
  </si>
  <si>
    <t xml:space="preserve">Display name of the plan.</t>
  </si>
  <si>
    <t xml:space="preserve">Standard 2026</t>
  </si>
  <si>
    <t xml:space="preserve">Not blank</t>
  </si>
  <si>
    <t xml:space="preserve">Readable reporting labels.</t>
  </si>
  <si>
    <t xml:space="preserve">F059</t>
  </si>
  <si>
    <t xml:space="preserve">unlock_fee</t>
  </si>
  <si>
    <t xml:space="preserve">DECIMAL(8,2)</t>
  </si>
  <si>
    <t xml:space="preserve">Fixed fee charged on unlock.</t>
  </si>
  <si>
    <t xml:space="preserve">1.00</t>
  </si>
  <si>
    <t xml:space="preserve">&gt; = 0</t>
  </si>
  <si>
    <t xml:space="preserve">Revenue decomposition and price tests.</t>
  </si>
  <si>
    <t xml:space="preserve">F060</t>
  </si>
  <si>
    <t xml:space="preserve">per_minute_rate</t>
  </si>
  <si>
    <t xml:space="preserve">DECIMAL(8,4)</t>
  </si>
  <si>
    <t xml:space="preserve">Charge per minute of riding.</t>
  </si>
  <si>
    <t xml:space="preserve">0.2500</t>
  </si>
  <si>
    <t xml:space="preserve">Price elasticity analysis.</t>
  </si>
  <si>
    <t xml:space="preserve">F061</t>
  </si>
  <si>
    <t xml:space="preserve">free_minutes</t>
  </si>
  <si>
    <t xml:space="preserve">Free minutes included per trip (e.g. pass benefit).</t>
  </si>
  <si>
    <t xml:space="preserve">30</t>
  </si>
  <si>
    <t xml:space="preserve">Pass profitability analysis.</t>
  </si>
  <si>
    <t xml:space="preserve">F062</t>
  </si>
  <si>
    <t xml:space="preserve">plan_valid_from</t>
  </si>
  <si>
    <t xml:space="preserve">First date the plan is effective.</t>
  </si>
  <si>
    <t xml:space="preserve">2026-01-01</t>
  </si>
  <si>
    <t xml:space="preserve">Valid date; &lt; plan_valid_to</t>
  </si>
  <si>
    <t xml:space="preserve">Correct plan history for time-series revenue.</t>
  </si>
  <si>
    <t xml:space="preserve">F063</t>
  </si>
  <si>
    <t xml:space="preserve">fact_payment</t>
  </si>
  <si>
    <t xml:space="preserve">payment_id</t>
  </si>
  <si>
    <t xml:space="preserve">Unique identifier of a payment transaction.</t>
  </si>
  <si>
    <t xml:space="preserve">PAY-5521098</t>
  </si>
  <si>
    <t xml:space="preserve">Payment service provider</t>
  </si>
  <si>
    <t xml:space="preserve">Grain of the payment fact.</t>
  </si>
  <si>
    <t xml:space="preserve">F064</t>
  </si>
  <si>
    <t xml:space="preserve">Trip the payment relates to; null for pass purchases.</t>
  </si>
  <si>
    <t xml:space="preserve">Must exist in fact_trip if present</t>
  </si>
  <si>
    <t xml:space="preserve">Trip-level revenue attribution.</t>
  </si>
  <si>
    <t xml:space="preserve">F065</t>
  </si>
  <si>
    <t xml:space="preserve">Payer (FK to dim_user).</t>
  </si>
  <si>
    <t xml:space="preserve">Customer lifetime value.</t>
  </si>
  <si>
    <t xml:space="preserve">F066</t>
  </si>
  <si>
    <t xml:space="preserve">payment_ts</t>
  </si>
  <si>
    <t xml:space="preserve">UTC time the transaction was processed.</t>
  </si>
  <si>
    <t xml:space="preserve">2026-10-17T08:04:30Z</t>
  </si>
  <si>
    <t xml:space="preserve">Valid UTC timestamp</t>
  </si>
  <si>
    <t xml:space="preserve">Daily revenue and reconciliation.</t>
  </si>
  <si>
    <t xml:space="preserve">F067</t>
  </si>
  <si>
    <t xml:space="preserve">gross_amount</t>
  </si>
  <si>
    <t xml:space="preserve">DECIMAL(10,2)</t>
  </si>
  <si>
    <t xml:space="preserve">Amount charged including tax, before refunds.</t>
  </si>
  <si>
    <t xml:space="preserve">3.75</t>
  </si>
  <si>
    <t xml:space="preserve">Core revenue metric.</t>
  </si>
  <si>
    <t xml:space="preserve">F068</t>
  </si>
  <si>
    <t xml:space="preserve">tax_amount</t>
  </si>
  <si>
    <t xml:space="preserve">VAT/sales tax included in gross_amount.</t>
  </si>
  <si>
    <t xml:space="preserve">0.60</t>
  </si>
  <si>
    <t xml:space="preserve">0 &lt;= value &lt;= gross_amount</t>
  </si>
  <si>
    <t xml:space="preserve">Net revenue and tax reporting.</t>
  </si>
  <si>
    <t xml:space="preserve">F069</t>
  </si>
  <si>
    <t xml:space="preserve">currency_code</t>
  </si>
  <si>
    <t xml:space="preserve">ISO 4217 currency of the transaction.</t>
  </si>
  <si>
    <t xml:space="preserve">EUR</t>
  </si>
  <si>
    <t xml:space="preserve">ISO 4217</t>
  </si>
  <si>
    <t xml:space="preserve">3 uppercase letters, in ISO list</t>
  </si>
  <si>
    <t xml:space="preserve">Multi-market revenue conversion.</t>
  </si>
  <si>
    <t xml:space="preserve">F070</t>
  </si>
  <si>
    <t xml:space="preserve">payment_method_type</t>
  </si>
  <si>
    <t xml:space="preserve">Instrument used to pay.</t>
  </si>
  <si>
    <t xml:space="preserve">card</t>
  </si>
  <si>
    <t xml:space="preserve">card, apple_pay, google_pay, wallet, invoice</t>
  </si>
  <si>
    <t xml:space="preserve">Payment cost and failure analysis.</t>
  </si>
  <si>
    <t xml:space="preserve">F071</t>
  </si>
  <si>
    <t xml:space="preserve">payment_status</t>
  </si>
  <si>
    <t xml:space="preserve">Result of the transaction.</t>
  </si>
  <si>
    <t xml:space="preserve">succeeded</t>
  </si>
  <si>
    <t xml:space="preserve">succeeded, failed, pending, refunded</t>
  </si>
  <si>
    <t xml:space="preserve">Failed-payment recovery and revenue leakage.</t>
  </si>
  <si>
    <t xml:space="preserve">F072</t>
  </si>
  <si>
    <t xml:space="preserve">refund_amount</t>
  </si>
  <si>
    <t xml:space="preserve">Amount refunded to the rider.</t>
  </si>
  <si>
    <t xml:space="preserve">0.00</t>
  </si>
  <si>
    <t xml:space="preserve">Net revenue and refund-rate monitoring.</t>
  </si>
  <si>
    <t xml:space="preserve">F073</t>
  </si>
  <si>
    <t xml:space="preserve">promo_code_id</t>
  </si>
  <si>
    <t xml:space="preserve">Promo code applied, if any (FK to dim_promo).</t>
  </si>
  <si>
    <t xml:space="preserve">PC-WELCOME10</t>
  </si>
  <si>
    <t xml:space="preserve">Must exist in dim_promo if present</t>
  </si>
  <si>
    <t xml:space="preserve">Promotion ROI.</t>
  </si>
  <si>
    <t xml:space="preserve">F074</t>
  </si>
  <si>
    <t xml:space="preserve">dim_promo</t>
  </si>
  <si>
    <t xml:space="preserve">Unique ID of a promotion code.</t>
  </si>
  <si>
    <t xml:space="preserve">Marketing platform</t>
  </si>
  <si>
    <t xml:space="preserve">Join key to payments.</t>
  </si>
  <si>
    <t xml:space="preserve">F075</t>
  </si>
  <si>
    <t xml:space="preserve">campaign_id</t>
  </si>
  <si>
    <t xml:space="preserve">Marketing campaign the code belongs to.</t>
  </si>
  <si>
    <t xml:space="preserve">CMP-AUT26</t>
  </si>
  <si>
    <t xml:space="preserve">Campaign performance roll-ups.</t>
  </si>
  <si>
    <t xml:space="preserve">F076</t>
  </si>
  <si>
    <t xml:space="preserve">discount_type</t>
  </si>
  <si>
    <t xml:space="preserve">Type of discount.</t>
  </si>
  <si>
    <t xml:space="preserve">percentage</t>
  </si>
  <si>
    <t xml:space="preserve">percentage, fixed_amount, free_minutes</t>
  </si>
  <si>
    <t xml:space="preserve">Compares promotion mechanics.</t>
  </si>
  <si>
    <t xml:space="preserve">F077</t>
  </si>
  <si>
    <t xml:space="preserve">discount_value</t>
  </si>
  <si>
    <t xml:space="preserve">Size of the discount in the unit of discount_type.</t>
  </si>
  <si>
    <t xml:space="preserve">10.00</t>
  </si>
  <si>
    <t xml:space="preserve">&gt; 0; &lt;= 100 if percentage</t>
  </si>
  <si>
    <t xml:space="preserve">Cost of promotion.</t>
  </si>
  <si>
    <t xml:space="preserve">F078</t>
  </si>
  <si>
    <t xml:space="preserve">promo_valid_to</t>
  </si>
  <si>
    <t xml:space="preserve">Last date the code can be redeemed.</t>
  </si>
  <si>
    <t xml:space="preserve">2026-12-31</t>
  </si>
  <si>
    <t xml:space="preserve">Valid date; &gt;= start date</t>
  </si>
  <si>
    <t xml:space="preserve">Excludes expired promos; measures campaign windows.</t>
  </si>
  <si>
    <t xml:space="preserve">F079</t>
  </si>
  <si>
    <t xml:space="preserve">fact_maintenance</t>
  </si>
  <si>
    <t xml:space="preserve">maintenance_id</t>
  </si>
  <si>
    <t xml:space="preserve">Unique ID of a maintenance work order.</t>
  </si>
  <si>
    <t xml:space="preserve">M-33018</t>
  </si>
  <si>
    <t xml:space="preserve">Grain of the maintenance fact.</t>
  </si>
  <si>
    <t xml:space="preserve">F080</t>
  </si>
  <si>
    <t xml:space="preserve">Vehicle serviced (FK to dim_vehicle).</t>
  </si>
  <si>
    <t xml:space="preserve">Reliability per vehicle.</t>
  </si>
  <si>
    <t xml:space="preserve">F081</t>
  </si>
  <si>
    <t xml:space="preserve">opened_ts</t>
  </si>
  <si>
    <t xml:space="preserve">UTC time the issue was logged.</t>
  </si>
  <si>
    <t xml:space="preserve">2026-10-16T18:20:00Z</t>
  </si>
  <si>
    <t xml:space="preserve">Start of downtime.</t>
  </si>
  <si>
    <t xml:space="preserve">F082</t>
  </si>
  <si>
    <t xml:space="preserve">closed_ts</t>
  </si>
  <si>
    <t xml:space="preserve">UTC time the vehicle returned to service.</t>
  </si>
  <si>
    <t xml:space="preserve">2026-10-17T09:10:00Z</t>
  </si>
  <si>
    <t xml:space="preserve">Null if open; &gt;= opened_ts</t>
  </si>
  <si>
    <t xml:space="preserve">Downtime and repair turnaround.</t>
  </si>
  <si>
    <t xml:space="preserve">F083</t>
  </si>
  <si>
    <t xml:space="preserve">issue_category</t>
  </si>
  <si>
    <t xml:space="preserve">Primary fault type.</t>
  </si>
  <si>
    <t xml:space="preserve">brakes</t>
  </si>
  <si>
    <t xml:space="preserve">brakes, battery, tyre, lock, motor, frame, vandalism, other</t>
  </si>
  <si>
    <t xml:space="preserve">Root-cause and parts planning.</t>
  </si>
  <si>
    <t xml:space="preserve">F084</t>
  </si>
  <si>
    <t xml:space="preserve">severity</t>
  </si>
  <si>
    <t xml:space="preserve">Severity of the issue.</t>
  </si>
  <si>
    <t xml:space="preserve">high</t>
  </si>
  <si>
    <t xml:space="preserve">low, medium, high, safety_critical</t>
  </si>
  <si>
    <t xml:space="preserve">Prioritisation and safety monitoring.</t>
  </si>
  <si>
    <t xml:space="preserve">F085</t>
  </si>
  <si>
    <t xml:space="preserve">reported_source</t>
  </si>
  <si>
    <t xml:space="preserve">How the issue was detected.</t>
  </si>
  <si>
    <t xml:space="preserve">rider_report</t>
  </si>
  <si>
    <t xml:space="preserve">rider_report, telemetry_alert, inspection, technician</t>
  </si>
  <si>
    <t xml:space="preserve">Evaluates early-detection effectiveness.</t>
  </si>
  <si>
    <t xml:space="preserve">F086</t>
  </si>
  <si>
    <t xml:space="preserve">repair_cost_amount</t>
  </si>
  <si>
    <t xml:space="preserve">Total parts and labour cost.</t>
  </si>
  <si>
    <t xml:space="preserve">18.40</t>
  </si>
  <si>
    <t xml:space="preserve">Cost per vehicle and cost per trip.</t>
  </si>
  <si>
    <t xml:space="preserve">F087</t>
  </si>
  <si>
    <t xml:space="preserve">technician_id</t>
  </si>
  <si>
    <t xml:space="preserve">Technician who closed the order.</t>
  </si>
  <si>
    <t xml:space="preserve">TECH-021</t>
  </si>
  <si>
    <t xml:space="preserve">Must exist in staff reference</t>
  </si>
  <si>
    <t xml:space="preserve">Productivity analysis (aggregate use only).</t>
  </si>
  <si>
    <t xml:space="preserve">F088</t>
  </si>
  <si>
    <t xml:space="preserve">fact_support_ticket</t>
  </si>
  <si>
    <t xml:space="preserve">ticket_id</t>
  </si>
  <si>
    <t xml:space="preserve">Unique ID of a support ticket.</t>
  </si>
  <si>
    <t xml:space="preserve">TK-77120</t>
  </si>
  <si>
    <t xml:space="preserve">Helpdesk system</t>
  </si>
  <si>
    <t xml:space="preserve">Grain of support fact.</t>
  </si>
  <si>
    <t xml:space="preserve">F089</t>
  </si>
  <si>
    <t xml:space="preserve">Rider who raised the ticket.</t>
  </si>
  <si>
    <t xml:space="preserve">Links support load to rider segments.</t>
  </si>
  <si>
    <t xml:space="preserve">F090</t>
  </si>
  <si>
    <t xml:space="preserve">Related trip, if any.</t>
  </si>
  <si>
    <t xml:space="preserve">Ties issues to specific trips.</t>
  </si>
  <si>
    <t xml:space="preserve">F091</t>
  </si>
  <si>
    <t xml:space="preserve">created_ts</t>
  </si>
  <si>
    <t xml:space="preserve">UTC time ticket was created.</t>
  </si>
  <si>
    <t xml:space="preserve">2026-10-17T08:30:00Z</t>
  </si>
  <si>
    <t xml:space="preserve">Volume and response-time analysis.</t>
  </si>
  <si>
    <t xml:space="preserve">F092</t>
  </si>
  <si>
    <t xml:space="preserve">ticket_category</t>
  </si>
  <si>
    <t xml:space="preserve">Reason for contact.</t>
  </si>
  <si>
    <t xml:space="preserve">billing_dispute</t>
  </si>
  <si>
    <t xml:space="preserve">billing_dispute, unlock_failure, damaged_vehicle, safety, account, other</t>
  </si>
  <si>
    <t xml:space="preserve">Identifies top product and ops pain points.</t>
  </si>
  <si>
    <t xml:space="preserve">F093</t>
  </si>
  <si>
    <t xml:space="preserve">priority</t>
  </si>
  <si>
    <t xml:space="preserve">Ticket priority.</t>
  </si>
  <si>
    <t xml:space="preserve">normal</t>
  </si>
  <si>
    <t xml:space="preserve">low, normal, high, urgent</t>
  </si>
  <si>
    <t xml:space="preserve">SLA analysis.</t>
  </si>
  <si>
    <t xml:space="preserve">F094</t>
  </si>
  <si>
    <t xml:space="preserve">resolved_ts</t>
  </si>
  <si>
    <t xml:space="preserve">UTC time the ticket was resolved.</t>
  </si>
  <si>
    <t xml:space="preserve">2026-10-17T10:00:00Z</t>
  </si>
  <si>
    <t xml:space="preserve">Null if open; &gt;= created_ts</t>
  </si>
  <si>
    <t xml:space="preserve">Resolution time metric.</t>
  </si>
  <si>
    <t xml:space="preserve">F095</t>
  </si>
  <si>
    <t xml:space="preserve">csat_score</t>
  </si>
  <si>
    <t xml:space="preserve">Customer satisfaction score after resolution.</t>
  </si>
  <si>
    <t xml:space="preserve">4</t>
  </si>
  <si>
    <t xml:space="preserve">Service quality and churn-risk signals.</t>
  </si>
  <si>
    <t xml:space="preserve">F096</t>
  </si>
  <si>
    <t xml:space="preserve">fact_app_event</t>
  </si>
  <si>
    <t xml:space="preserve">event_id</t>
  </si>
  <si>
    <t xml:space="preserve">Unique ID of an app event.</t>
  </si>
  <si>
    <t xml:space="preserve">EV-8821004411</t>
  </si>
  <si>
    <t xml:space="preserve">Product analytics SDK</t>
  </si>
  <si>
    <t xml:space="preserve">Grain of the event fact.</t>
  </si>
  <si>
    <t xml:space="preserve">F097</t>
  </si>
  <si>
    <t xml:space="preserve">User who triggered the event; null if anonymous.</t>
  </si>
  <si>
    <t xml:space="preserve">Must exist in dim_user if present</t>
  </si>
  <si>
    <t xml:space="preserve">Funnel analysis by user.</t>
  </si>
  <si>
    <t xml:space="preserve">F098</t>
  </si>
  <si>
    <t xml:space="preserve">session_id</t>
  </si>
  <si>
    <t xml:space="preserve">App session identifier.</t>
  </si>
  <si>
    <t xml:space="preserve">SES-aa91f</t>
  </si>
  <si>
    <t xml:space="preserve">Session-level behaviour.</t>
  </si>
  <si>
    <t xml:space="preserve">F099</t>
  </si>
  <si>
    <t xml:space="preserve">event_ts</t>
  </si>
  <si>
    <t xml:space="preserve">UTC time the event occurred.</t>
  </si>
  <si>
    <t xml:space="preserve">2026-10-17T07:40:02Z</t>
  </si>
  <si>
    <t xml:space="preserve">Sequencing of funnel steps.</t>
  </si>
  <si>
    <t xml:space="preserve">F100</t>
  </si>
  <si>
    <t xml:space="preserve">event_name</t>
  </si>
  <si>
    <t xml:space="preserve">Name of tracked action.</t>
  </si>
  <si>
    <t xml:space="preserve">unlock_tapped</t>
  </si>
  <si>
    <t xml:space="preserve">app_open, map_viewed, vehicle_selected, unlock_tapped, unlock_failed, trip_ended, payment_added</t>
  </si>
  <si>
    <t xml:space="preserve">Must be in event taxonomy</t>
  </si>
  <si>
    <t xml:space="preserve">Conversion funnel from open to trip.</t>
  </si>
  <si>
    <t xml:space="preserve">F101</t>
  </si>
  <si>
    <t xml:space="preserve">platform</t>
  </si>
  <si>
    <t xml:space="preserve">Client platform.</t>
  </si>
  <si>
    <t xml:space="preserve">ios</t>
  </si>
  <si>
    <t xml:space="preserve">ios, android, web</t>
  </si>
  <si>
    <t xml:space="preserve">Platform-specific UX issues.</t>
  </si>
  <si>
    <t xml:space="preserve">F102</t>
  </si>
  <si>
    <t xml:space="preserve">app_version</t>
  </si>
  <si>
    <t xml:space="preserve">Version of the app.</t>
  </si>
  <si>
    <t xml:space="preserve">5.12.0</t>
  </si>
  <si>
    <t xml:space="preserve">Semantic version pattern</t>
  </si>
  <si>
    <t xml:space="preserve">Links regressions to releases.</t>
  </si>
  <si>
    <t xml:space="preserve">F103</t>
  </si>
  <si>
    <t xml:space="preserve">device_id_hash</t>
  </si>
  <si>
    <t xml:space="preserve">Hashed device identifier.</t>
  </si>
  <si>
    <t xml:space="preserve">c3ab8f...</t>
  </si>
  <si>
    <t xml:space="preserve">64 hex chars</t>
  </si>
  <si>
    <t xml:space="preserve">Device-level deduplication without exposing IDs.</t>
  </si>
  <si>
    <t xml:space="preserve">F104</t>
  </si>
  <si>
    <t xml:space="preserve">fact_vehicle_snapshot</t>
  </si>
  <si>
    <t xml:space="preserve">snapshot_id</t>
  </si>
  <si>
    <t xml:space="preserve">Unique ID of a periodic fleet-state record.</t>
  </si>
  <si>
    <t xml:space="preserve">SN-20261017-0800-V100245</t>
  </si>
  <si>
    <t xml:space="preserve">Grain of the snapshot fact.</t>
  </si>
  <si>
    <t xml:space="preserve">F105</t>
  </si>
  <si>
    <t xml:space="preserve">snapshot_ts</t>
  </si>
  <si>
    <t xml:space="preserve">UTC time the state was captured (e.g. every 15 min).</t>
  </si>
  <si>
    <t xml:space="preserve">2026-10-17T08:00:00Z</t>
  </si>
  <si>
    <t xml:space="preserve">Valid UTC timestamp, regular interval</t>
  </si>
  <si>
    <t xml:space="preserve">Availability over time.</t>
  </si>
  <si>
    <t xml:space="preserve">F106</t>
  </si>
  <si>
    <t xml:space="preserve">Vehicle (FK to dim_vehicle).</t>
  </si>
  <si>
    <t xml:space="preserve">Per-vehicle availability.</t>
  </si>
  <si>
    <t xml:space="preserve">F107</t>
  </si>
  <si>
    <t xml:space="preserve">Station the vehicle is at, if any.</t>
  </si>
  <si>
    <t xml:space="preserve">Station occupancy and stock-outs.</t>
  </si>
  <si>
    <t xml:space="preserve">F108</t>
  </si>
  <si>
    <t xml:space="preserve">battery_pct</t>
  </si>
  <si>
    <t xml:space="preserve">Battery level at snapshot time.</t>
  </si>
  <si>
    <t xml:space="preserve">64</t>
  </si>
  <si>
    <t xml:space="preserve">Identifies low-battery supply loss.</t>
  </si>
  <si>
    <t xml:space="preserve">F109</t>
  </si>
  <si>
    <t xml:space="preserve">availability_status</t>
  </si>
  <si>
    <t xml:space="preserve">Whether a rider could rent the vehicle at this moment.</t>
  </si>
  <si>
    <t xml:space="preserve">available, reserved, in_use, low_battery, faulty, offline</t>
  </si>
  <si>
    <t xml:space="preserve">Availability rate and lost-demand estimation.</t>
  </si>
  <si>
    <t xml:space="preserve">Type</t>
  </si>
  <si>
    <t xml:space="preserve">Grain</t>
  </si>
  <si>
    <t xml:space="preserve">Total Fields</t>
  </si>
  <si>
    <t xml:space="preserve">Required Fields</t>
  </si>
  <si>
    <t xml:space="preserve">Restricted Fields</t>
  </si>
  <si>
    <t xml:space="preserve">Proposed Fields</t>
  </si>
  <si>
    <t xml:space="preserve">Dimension</t>
  </si>
  <si>
    <t xml:space="preserve">One row per rider account</t>
  </si>
  <si>
    <t xml:space="preserve">One row per physical vehicle</t>
  </si>
  <si>
    <t xml:space="preserve">One row per station / parking zone</t>
  </si>
  <si>
    <t xml:space="preserve">One row per calendar date</t>
  </si>
  <si>
    <t xml:space="preserve">One row per pricing plan version</t>
  </si>
  <si>
    <t xml:space="preserve">One row per promo code</t>
  </si>
  <si>
    <t xml:space="preserve">Fact</t>
  </si>
  <si>
    <t xml:space="preserve">One row per trip</t>
  </si>
  <si>
    <t xml:space="preserve">One row per payment transaction</t>
  </si>
  <si>
    <t xml:space="preserve">One row per maintenance work order</t>
  </si>
  <si>
    <t xml:space="preserve">One row per support ticket</t>
  </si>
  <si>
    <t xml:space="preserve">One row per app event</t>
  </si>
  <si>
    <t xml:space="preserve">One row per vehicle per snapshot interval</t>
  </si>
  <si>
    <t xml:space="preserve">TOTAL</t>
  </si>
  <si>
    <t xml:space="preserve">Check</t>
  </si>
  <si>
    <t xml:space="preserve">Result</t>
  </si>
  <si>
    <t xml:space="preserve">Expected</t>
  </si>
  <si>
    <t xml:space="preserve">Pass?</t>
  </si>
  <si>
    <t xml:space="preserve">Total fields documented</t>
  </si>
  <si>
    <t xml:space="preserve">75 or more</t>
  </si>
  <si>
    <t xml:space="preserve">Entities covered</t>
  </si>
  <si>
    <t xml:space="preserve">1 or more</t>
  </si>
  <si>
    <t xml:space="preserve">Duplicate Entity+Field rows</t>
  </si>
  <si>
    <t xml:space="preserve">0</t>
  </si>
  <si>
    <t xml:space="preserve">Rows with a blank required attribute</t>
  </si>
  <si>
    <t xml:space="preserve">Fields still Proposed (count)</t>
  </si>
  <si>
    <t xml:space="preserve">Falls to 0 as owners sign off</t>
  </si>
  <si>
    <t xml:space="preserve">Confirmed fields (%)</t>
  </si>
  <si>
    <t xml:space="preserve">Rises toward 100%</t>
  </si>
  <si>
    <t xml:space="preserve">Restricted fields (%)</t>
  </si>
  <si>
    <t xml:space="preserve">Keep small; review each</t>
  </si>
  <si>
    <t xml:space="preserve">Entity Summary total = dictionary total</t>
  </si>
  <si>
    <t xml:space="preserve">Why this field set</t>
  </si>
  <si>
    <t xml:space="preserve">Each field supports at least one named question: demand and utilisation (trips, snapshots), revenue and pricing (payments, plans, promos), retention and acquisition (users, channel, app events), fleet reliability and cost (vehicles, maintenance), and service quality (support tickets).</t>
  </si>
  <si>
    <t xml:space="preserve">Fields deliberately excluded: free-text notes, raw GPS breadcrumbs per second, full names, addresses, phone numbers and card data. They add privacy risk without a defined analytical question.</t>
  </si>
  <si>
    <t xml:space="preserve">The 75-field target is met only through fields tied to an analytical use; no filler columns were added.</t>
  </si>
  <si>
    <t xml:space="preserve">What to add next (not yet in the model)</t>
  </si>
  <si>
    <t xml:space="preserve">fact_incident: accidents, theft, vandalism, injuries (safety KPIs, insurance).</t>
  </si>
  <si>
    <t xml:space="preserve">fact_rebalancing_task: vehicle moves and battery swaps by operations crew (cost per rebalance, stock-out reduction).</t>
  </si>
  <si>
    <t xml:space="preserve">dim_city / dim_zone: population, regulation, fleet caps (market penetration).</t>
  </si>
  <si>
    <t xml:space="preserve">fact_marketing_spend: spend by channel and day (CAC, ROAS).</t>
  </si>
  <si>
    <t xml:space="preserve">fact_subscription: pass start, renewal, cancel dates and reasons (churn and LTV).</t>
  </si>
  <si>
    <t xml:space="preserve">fact_trip_route_point: sampled GPS path (route and safety analysis; Restricted).</t>
  </si>
  <si>
    <t xml:space="preserve">Open questions for the data owner</t>
  </si>
  <si>
    <t xml:space="preserve">Which source systems actually exist (names, owners)? Which fields are already captured? What is the legal retention period for precise location? Are there markets with different currency or tax rules?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</si>
</sst>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23.85" hidden="false" customHeight="false" outlineLevel="0" collapsed="false">
      <c r="A11" s="2" t="s">
        <v>7</v>
      </c>
    </row>
    <row r="12" customFormat="false" ht="23.8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48"/>
    <col collapsed="false" customWidth="true" hidden="false" outlineLevel="0" max="6" min="6" style="0" width="24"/>
    <col collapsed="false" customWidth="true" hidden="false" outlineLevel="0" max="7" min="7" style="0" width="10"/>
    <col collapsed="false" customWidth="true" hidden="false" outlineLevel="0" max="9" min="8" style="0" width="36"/>
    <col collapsed="false" customWidth="true" hidden="false" outlineLevel="0" max="10" min="10" style="0" width="26"/>
    <col collapsed="false" customWidth="true" hidden="false" outlineLevel="0" max="11" min="11" style="0" width="12"/>
    <col collapsed="false" customWidth="true" hidden="false" outlineLevel="0" max="12" min="12" style="0" width="48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</row>
    <row r="2" customFormat="false" ht="23.85" hidden="false" customHeight="false" outlineLevel="0" collapsed="false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/>
      <c r="I2" s="5" t="s">
        <v>30</v>
      </c>
      <c r="J2" s="5" t="s">
        <v>31</v>
      </c>
      <c r="K2" s="5" t="s">
        <v>32</v>
      </c>
      <c r="L2" s="5" t="s">
        <v>33</v>
      </c>
      <c r="M2" s="5" t="s">
        <v>34</v>
      </c>
    </row>
    <row r="3" customFormat="false" ht="15" hidden="false" customHeight="false" outlineLevel="0" collapsed="false">
      <c r="A3" s="5" t="s">
        <v>35</v>
      </c>
      <c r="B3" s="5" t="s">
        <v>24</v>
      </c>
      <c r="C3" s="5" t="s">
        <v>36</v>
      </c>
      <c r="D3" s="5" t="s">
        <v>37</v>
      </c>
      <c r="E3" s="5" t="s">
        <v>38</v>
      </c>
      <c r="F3" s="5" t="s">
        <v>39</v>
      </c>
      <c r="G3" s="5" t="s">
        <v>29</v>
      </c>
      <c r="H3" s="5"/>
      <c r="I3" s="5" t="s">
        <v>40</v>
      </c>
      <c r="J3" s="5" t="s">
        <v>31</v>
      </c>
      <c r="K3" s="5" t="s">
        <v>32</v>
      </c>
      <c r="L3" s="5" t="s">
        <v>41</v>
      </c>
      <c r="M3" s="5" t="s">
        <v>34</v>
      </c>
    </row>
    <row r="4" customFormat="false" ht="23.85" hidden="false" customHeight="false" outlineLevel="0" collapsed="false">
      <c r="A4" s="5" t="s">
        <v>42</v>
      </c>
      <c r="B4" s="5" t="s">
        <v>24</v>
      </c>
      <c r="C4" s="5" t="s">
        <v>43</v>
      </c>
      <c r="D4" s="5" t="s">
        <v>26</v>
      </c>
      <c r="E4" s="5" t="s">
        <v>44</v>
      </c>
      <c r="F4" s="5" t="s">
        <v>45</v>
      </c>
      <c r="G4" s="5" t="s">
        <v>29</v>
      </c>
      <c r="H4" s="5" t="s">
        <v>46</v>
      </c>
      <c r="I4" s="5" t="s">
        <v>47</v>
      </c>
      <c r="J4" s="5" t="s">
        <v>48</v>
      </c>
      <c r="K4" s="5" t="s">
        <v>32</v>
      </c>
      <c r="L4" s="5" t="s">
        <v>49</v>
      </c>
      <c r="M4" s="5" t="s">
        <v>34</v>
      </c>
    </row>
    <row r="5" customFormat="false" ht="15" hidden="false" customHeight="false" outlineLevel="0" collapsed="false">
      <c r="A5" s="5" t="s">
        <v>50</v>
      </c>
      <c r="B5" s="5" t="s">
        <v>24</v>
      </c>
      <c r="C5" s="5" t="s">
        <v>51</v>
      </c>
      <c r="D5" s="5" t="s">
        <v>26</v>
      </c>
      <c r="E5" s="5" t="s">
        <v>52</v>
      </c>
      <c r="F5" s="5" t="s">
        <v>53</v>
      </c>
      <c r="G5" s="5" t="s">
        <v>29</v>
      </c>
      <c r="H5" s="5" t="s">
        <v>54</v>
      </c>
      <c r="I5" s="5" t="s">
        <v>55</v>
      </c>
      <c r="J5" s="5" t="s">
        <v>31</v>
      </c>
      <c r="K5" s="5" t="s">
        <v>32</v>
      </c>
      <c r="L5" s="5" t="s">
        <v>56</v>
      </c>
      <c r="M5" s="5" t="s">
        <v>34</v>
      </c>
    </row>
    <row r="6" customFormat="false" ht="23.85" hidden="false" customHeight="false" outlineLevel="0" collapsed="false">
      <c r="A6" s="5" t="s">
        <v>57</v>
      </c>
      <c r="B6" s="5" t="s">
        <v>24</v>
      </c>
      <c r="C6" s="5" t="s">
        <v>58</v>
      </c>
      <c r="D6" s="5" t="s">
        <v>26</v>
      </c>
      <c r="E6" s="5" t="s">
        <v>59</v>
      </c>
      <c r="F6" s="5" t="s">
        <v>60</v>
      </c>
      <c r="G6" s="5" t="s">
        <v>61</v>
      </c>
      <c r="H6" s="5"/>
      <c r="I6" s="5" t="s">
        <v>62</v>
      </c>
      <c r="J6" s="5" t="s">
        <v>63</v>
      </c>
      <c r="K6" s="5" t="s">
        <v>32</v>
      </c>
      <c r="L6" s="5" t="s">
        <v>64</v>
      </c>
      <c r="M6" s="5" t="s">
        <v>34</v>
      </c>
    </row>
    <row r="7" customFormat="false" ht="23.85" hidden="false" customHeight="false" outlineLevel="0" collapsed="false">
      <c r="A7" s="5" t="s">
        <v>65</v>
      </c>
      <c r="B7" s="5" t="s">
        <v>24</v>
      </c>
      <c r="C7" s="5" t="s">
        <v>66</v>
      </c>
      <c r="D7" s="5" t="s">
        <v>67</v>
      </c>
      <c r="E7" s="5" t="s">
        <v>68</v>
      </c>
      <c r="F7" s="5" t="s">
        <v>69</v>
      </c>
      <c r="G7" s="5" t="s">
        <v>61</v>
      </c>
      <c r="H7" s="5"/>
      <c r="I7" s="5" t="s">
        <v>70</v>
      </c>
      <c r="J7" s="5" t="s">
        <v>31</v>
      </c>
      <c r="K7" s="5" t="s">
        <v>71</v>
      </c>
      <c r="L7" s="5" t="s">
        <v>72</v>
      </c>
      <c r="M7" s="5" t="s">
        <v>34</v>
      </c>
    </row>
    <row r="8" customFormat="false" ht="15" hidden="false" customHeight="false" outlineLevel="0" collapsed="false">
      <c r="A8" s="5" t="s">
        <v>73</v>
      </c>
      <c r="B8" s="5" t="s">
        <v>24</v>
      </c>
      <c r="C8" s="5" t="s">
        <v>74</v>
      </c>
      <c r="D8" s="5" t="s">
        <v>26</v>
      </c>
      <c r="E8" s="5" t="s">
        <v>75</v>
      </c>
      <c r="F8" s="5" t="s">
        <v>76</v>
      </c>
      <c r="G8" s="5" t="s">
        <v>29</v>
      </c>
      <c r="H8" s="5" t="s">
        <v>77</v>
      </c>
      <c r="I8" s="5" t="s">
        <v>47</v>
      </c>
      <c r="J8" s="5" t="s">
        <v>78</v>
      </c>
      <c r="K8" s="5" t="s">
        <v>32</v>
      </c>
      <c r="L8" s="5" t="s">
        <v>79</v>
      </c>
      <c r="M8" s="5" t="s">
        <v>34</v>
      </c>
    </row>
    <row r="9" customFormat="false" ht="23.85" hidden="false" customHeight="false" outlineLevel="0" collapsed="false">
      <c r="A9" s="5" t="s">
        <v>80</v>
      </c>
      <c r="B9" s="5" t="s">
        <v>24</v>
      </c>
      <c r="C9" s="5" t="s">
        <v>81</v>
      </c>
      <c r="D9" s="5" t="s">
        <v>26</v>
      </c>
      <c r="E9" s="5" t="s">
        <v>82</v>
      </c>
      <c r="F9" s="5" t="s">
        <v>83</v>
      </c>
      <c r="G9" s="5" t="s">
        <v>29</v>
      </c>
      <c r="H9" s="5" t="s">
        <v>84</v>
      </c>
      <c r="I9" s="5" t="s">
        <v>47</v>
      </c>
      <c r="J9" s="5" t="s">
        <v>85</v>
      </c>
      <c r="K9" s="5" t="s">
        <v>32</v>
      </c>
      <c r="L9" s="5" t="s">
        <v>86</v>
      </c>
      <c r="M9" s="5" t="s">
        <v>34</v>
      </c>
    </row>
    <row r="10" customFormat="false" ht="15" hidden="false" customHeight="false" outlineLevel="0" collapsed="false">
      <c r="A10" s="5" t="s">
        <v>87</v>
      </c>
      <c r="B10" s="5" t="s">
        <v>24</v>
      </c>
      <c r="C10" s="5" t="s">
        <v>88</v>
      </c>
      <c r="D10" s="5" t="s">
        <v>89</v>
      </c>
      <c r="E10" s="5" t="s">
        <v>90</v>
      </c>
      <c r="F10" s="5" t="s">
        <v>91</v>
      </c>
      <c r="G10" s="5" t="s">
        <v>29</v>
      </c>
      <c r="H10" s="5" t="s">
        <v>92</v>
      </c>
      <c r="I10" s="5" t="s">
        <v>93</v>
      </c>
      <c r="J10" s="5" t="s">
        <v>31</v>
      </c>
      <c r="K10" s="5" t="s">
        <v>71</v>
      </c>
      <c r="L10" s="5" t="s">
        <v>94</v>
      </c>
      <c r="M10" s="5" t="s">
        <v>34</v>
      </c>
    </row>
    <row r="11" customFormat="false" ht="23.85" hidden="false" customHeight="false" outlineLevel="0" collapsed="false">
      <c r="A11" s="5" t="s">
        <v>95</v>
      </c>
      <c r="B11" s="5" t="s">
        <v>24</v>
      </c>
      <c r="C11" s="5" t="s">
        <v>96</v>
      </c>
      <c r="D11" s="5" t="s">
        <v>26</v>
      </c>
      <c r="E11" s="5" t="s">
        <v>97</v>
      </c>
      <c r="F11" s="5" t="s">
        <v>98</v>
      </c>
      <c r="G11" s="5" t="s">
        <v>61</v>
      </c>
      <c r="H11" s="5"/>
      <c r="I11" s="5" t="s">
        <v>99</v>
      </c>
      <c r="J11" s="5" t="s">
        <v>78</v>
      </c>
      <c r="K11" s="5" t="s">
        <v>71</v>
      </c>
      <c r="L11" s="5" t="s">
        <v>100</v>
      </c>
      <c r="M11" s="5" t="s">
        <v>34</v>
      </c>
    </row>
    <row r="12" customFormat="false" ht="15" hidden="false" customHeight="false" outlineLevel="0" collapsed="false">
      <c r="A12" s="5" t="s">
        <v>101</v>
      </c>
      <c r="B12" s="5" t="s">
        <v>24</v>
      </c>
      <c r="C12" s="5" t="s">
        <v>102</v>
      </c>
      <c r="D12" s="5" t="s">
        <v>37</v>
      </c>
      <c r="E12" s="5" t="s">
        <v>103</v>
      </c>
      <c r="F12" s="5" t="s">
        <v>104</v>
      </c>
      <c r="G12" s="5" t="s">
        <v>61</v>
      </c>
      <c r="H12" s="5"/>
      <c r="I12" s="5" t="s">
        <v>105</v>
      </c>
      <c r="J12" s="5" t="s">
        <v>78</v>
      </c>
      <c r="K12" s="5" t="s">
        <v>32</v>
      </c>
      <c r="L12" s="5" t="s">
        <v>106</v>
      </c>
      <c r="M12" s="5" t="s">
        <v>34</v>
      </c>
    </row>
    <row r="13" customFormat="false" ht="15" hidden="false" customHeight="false" outlineLevel="0" collapsed="false">
      <c r="A13" s="5" t="s">
        <v>107</v>
      </c>
      <c r="B13" s="5" t="s">
        <v>108</v>
      </c>
      <c r="C13" s="5" t="s">
        <v>109</v>
      </c>
      <c r="D13" s="5" t="s">
        <v>26</v>
      </c>
      <c r="E13" s="5" t="s">
        <v>110</v>
      </c>
      <c r="F13" s="5" t="s">
        <v>111</v>
      </c>
      <c r="G13" s="5" t="s">
        <v>29</v>
      </c>
      <c r="H13" s="5"/>
      <c r="I13" s="5" t="s">
        <v>112</v>
      </c>
      <c r="J13" s="5" t="s">
        <v>113</v>
      </c>
      <c r="K13" s="5" t="s">
        <v>32</v>
      </c>
      <c r="L13" s="5" t="s">
        <v>114</v>
      </c>
      <c r="M13" s="5" t="s">
        <v>34</v>
      </c>
    </row>
    <row r="14" customFormat="false" ht="15" hidden="false" customHeight="false" outlineLevel="0" collapsed="false">
      <c r="A14" s="5" t="s">
        <v>115</v>
      </c>
      <c r="B14" s="5" t="s">
        <v>108</v>
      </c>
      <c r="C14" s="5" t="s">
        <v>116</v>
      </c>
      <c r="D14" s="5" t="s">
        <v>26</v>
      </c>
      <c r="E14" s="5" t="s">
        <v>117</v>
      </c>
      <c r="F14" s="5" t="s">
        <v>118</v>
      </c>
      <c r="G14" s="5" t="s">
        <v>29</v>
      </c>
      <c r="H14" s="5" t="s">
        <v>119</v>
      </c>
      <c r="I14" s="5" t="s">
        <v>47</v>
      </c>
      <c r="J14" s="5" t="s">
        <v>113</v>
      </c>
      <c r="K14" s="5" t="s">
        <v>32</v>
      </c>
      <c r="L14" s="5" t="s">
        <v>120</v>
      </c>
      <c r="M14" s="5" t="s">
        <v>34</v>
      </c>
    </row>
    <row r="15" customFormat="false" ht="15" hidden="false" customHeight="false" outlineLevel="0" collapsed="false">
      <c r="A15" s="5" t="s">
        <v>121</v>
      </c>
      <c r="B15" s="5" t="s">
        <v>108</v>
      </c>
      <c r="C15" s="5" t="s">
        <v>122</v>
      </c>
      <c r="D15" s="5" t="s">
        <v>26</v>
      </c>
      <c r="E15" s="5" t="s">
        <v>123</v>
      </c>
      <c r="F15" s="5" t="s">
        <v>124</v>
      </c>
      <c r="G15" s="5" t="s">
        <v>29</v>
      </c>
      <c r="H15" s="5"/>
      <c r="I15" s="5" t="s">
        <v>125</v>
      </c>
      <c r="J15" s="5" t="s">
        <v>113</v>
      </c>
      <c r="K15" s="5" t="s">
        <v>32</v>
      </c>
      <c r="L15" s="5" t="s">
        <v>126</v>
      </c>
      <c r="M15" s="5" t="s">
        <v>34</v>
      </c>
    </row>
    <row r="16" customFormat="false" ht="15" hidden="false" customHeight="false" outlineLevel="0" collapsed="false">
      <c r="A16" s="5" t="s">
        <v>127</v>
      </c>
      <c r="B16" s="5" t="s">
        <v>108</v>
      </c>
      <c r="C16" s="5" t="s">
        <v>128</v>
      </c>
      <c r="D16" s="5" t="s">
        <v>67</v>
      </c>
      <c r="E16" s="5" t="s">
        <v>129</v>
      </c>
      <c r="F16" s="5" t="s">
        <v>130</v>
      </c>
      <c r="G16" s="5" t="s">
        <v>61</v>
      </c>
      <c r="H16" s="5"/>
      <c r="I16" s="5" t="s">
        <v>131</v>
      </c>
      <c r="J16" s="5" t="s">
        <v>113</v>
      </c>
      <c r="K16" s="5" t="s">
        <v>32</v>
      </c>
      <c r="L16" s="5" t="s">
        <v>132</v>
      </c>
      <c r="M16" s="5" t="s">
        <v>34</v>
      </c>
    </row>
    <row r="17" customFormat="false" ht="15" hidden="false" customHeight="false" outlineLevel="0" collapsed="false">
      <c r="A17" s="5" t="s">
        <v>133</v>
      </c>
      <c r="B17" s="5" t="s">
        <v>108</v>
      </c>
      <c r="C17" s="5" t="s">
        <v>134</v>
      </c>
      <c r="D17" s="5" t="s">
        <v>37</v>
      </c>
      <c r="E17" s="5" t="s">
        <v>135</v>
      </c>
      <c r="F17" s="5" t="s">
        <v>136</v>
      </c>
      <c r="G17" s="5" t="s">
        <v>29</v>
      </c>
      <c r="H17" s="5"/>
      <c r="I17" s="5" t="s">
        <v>137</v>
      </c>
      <c r="J17" s="5" t="s">
        <v>113</v>
      </c>
      <c r="K17" s="5" t="s">
        <v>32</v>
      </c>
      <c r="L17" s="5" t="s">
        <v>138</v>
      </c>
      <c r="M17" s="5" t="s">
        <v>34</v>
      </c>
    </row>
    <row r="18" customFormat="false" ht="23.85" hidden="false" customHeight="false" outlineLevel="0" collapsed="false">
      <c r="A18" s="5" t="s">
        <v>139</v>
      </c>
      <c r="B18" s="5" t="s">
        <v>108</v>
      </c>
      <c r="C18" s="5" t="s">
        <v>140</v>
      </c>
      <c r="D18" s="5" t="s">
        <v>26</v>
      </c>
      <c r="E18" s="5" t="s">
        <v>141</v>
      </c>
      <c r="F18" s="5" t="s">
        <v>142</v>
      </c>
      <c r="G18" s="5" t="s">
        <v>29</v>
      </c>
      <c r="H18" s="5" t="s">
        <v>143</v>
      </c>
      <c r="I18" s="5" t="s">
        <v>47</v>
      </c>
      <c r="J18" s="5" t="s">
        <v>113</v>
      </c>
      <c r="K18" s="5" t="s">
        <v>32</v>
      </c>
      <c r="L18" s="5" t="s">
        <v>144</v>
      </c>
      <c r="M18" s="5" t="s">
        <v>34</v>
      </c>
    </row>
    <row r="19" customFormat="false" ht="15" hidden="false" customHeight="false" outlineLevel="0" collapsed="false">
      <c r="A19" s="5" t="s">
        <v>145</v>
      </c>
      <c r="B19" s="5" t="s">
        <v>108</v>
      </c>
      <c r="C19" s="5" t="s">
        <v>146</v>
      </c>
      <c r="D19" s="5" t="s">
        <v>26</v>
      </c>
      <c r="E19" s="5" t="s">
        <v>147</v>
      </c>
      <c r="F19" s="5" t="s">
        <v>148</v>
      </c>
      <c r="G19" s="5" t="s">
        <v>61</v>
      </c>
      <c r="H19" s="5"/>
      <c r="I19" s="5" t="s">
        <v>149</v>
      </c>
      <c r="J19" s="5" t="s">
        <v>150</v>
      </c>
      <c r="K19" s="5" t="s">
        <v>32</v>
      </c>
      <c r="L19" s="5" t="s">
        <v>151</v>
      </c>
      <c r="M19" s="5" t="s">
        <v>34</v>
      </c>
    </row>
    <row r="20" customFormat="false" ht="15" hidden="false" customHeight="false" outlineLevel="0" collapsed="false">
      <c r="A20" s="5" t="s">
        <v>152</v>
      </c>
      <c r="B20" s="5" t="s">
        <v>108</v>
      </c>
      <c r="C20" s="5" t="s">
        <v>153</v>
      </c>
      <c r="D20" s="5" t="s">
        <v>26</v>
      </c>
      <c r="E20" s="5" t="s">
        <v>154</v>
      </c>
      <c r="F20" s="5" t="s">
        <v>155</v>
      </c>
      <c r="G20" s="5" t="s">
        <v>29</v>
      </c>
      <c r="H20" s="5" t="s">
        <v>156</v>
      </c>
      <c r="I20" s="5" t="s">
        <v>47</v>
      </c>
      <c r="J20" s="5" t="s">
        <v>157</v>
      </c>
      <c r="K20" s="5" t="s">
        <v>32</v>
      </c>
      <c r="L20" s="5" t="s">
        <v>158</v>
      </c>
      <c r="M20" s="5" t="s">
        <v>34</v>
      </c>
    </row>
    <row r="21" customFormat="false" ht="23.85" hidden="false" customHeight="false" outlineLevel="0" collapsed="false">
      <c r="A21" s="5" t="s">
        <v>159</v>
      </c>
      <c r="B21" s="5" t="s">
        <v>108</v>
      </c>
      <c r="C21" s="5" t="s">
        <v>160</v>
      </c>
      <c r="D21" s="5" t="s">
        <v>37</v>
      </c>
      <c r="E21" s="5" t="s">
        <v>161</v>
      </c>
      <c r="F21" s="5" t="s">
        <v>162</v>
      </c>
      <c r="G21" s="5" t="s">
        <v>61</v>
      </c>
      <c r="H21" s="5"/>
      <c r="I21" s="5" t="s">
        <v>163</v>
      </c>
      <c r="J21" s="5" t="s">
        <v>113</v>
      </c>
      <c r="K21" s="5" t="s">
        <v>32</v>
      </c>
      <c r="L21" s="5" t="s">
        <v>164</v>
      </c>
      <c r="M21" s="5" t="s">
        <v>34</v>
      </c>
    </row>
    <row r="22" customFormat="false" ht="23.85" hidden="false" customHeight="false" outlineLevel="0" collapsed="false">
      <c r="A22" s="5" t="s">
        <v>165</v>
      </c>
      <c r="B22" s="5" t="s">
        <v>166</v>
      </c>
      <c r="C22" s="5" t="s">
        <v>167</v>
      </c>
      <c r="D22" s="5" t="s">
        <v>26</v>
      </c>
      <c r="E22" s="5" t="s">
        <v>168</v>
      </c>
      <c r="F22" s="5" t="s">
        <v>169</v>
      </c>
      <c r="G22" s="5" t="s">
        <v>29</v>
      </c>
      <c r="H22" s="5"/>
      <c r="I22" s="5" t="s">
        <v>112</v>
      </c>
      <c r="J22" s="5" t="s">
        <v>170</v>
      </c>
      <c r="K22" s="5" t="s">
        <v>32</v>
      </c>
      <c r="L22" s="5" t="s">
        <v>171</v>
      </c>
      <c r="M22" s="5" t="s">
        <v>34</v>
      </c>
    </row>
    <row r="23" customFormat="false" ht="15" hidden="false" customHeight="false" outlineLevel="0" collapsed="false">
      <c r="A23" s="5" t="s">
        <v>172</v>
      </c>
      <c r="B23" s="5" t="s">
        <v>166</v>
      </c>
      <c r="C23" s="5" t="s">
        <v>173</v>
      </c>
      <c r="D23" s="5" t="s">
        <v>26</v>
      </c>
      <c r="E23" s="5" t="s">
        <v>174</v>
      </c>
      <c r="F23" s="5" t="s">
        <v>175</v>
      </c>
      <c r="G23" s="5" t="s">
        <v>29</v>
      </c>
      <c r="H23" s="5"/>
      <c r="I23" s="5" t="s">
        <v>176</v>
      </c>
      <c r="J23" s="5" t="s">
        <v>170</v>
      </c>
      <c r="K23" s="5" t="s">
        <v>177</v>
      </c>
      <c r="L23" s="5" t="s">
        <v>178</v>
      </c>
      <c r="M23" s="5" t="s">
        <v>34</v>
      </c>
    </row>
    <row r="24" customFormat="false" ht="15" hidden="false" customHeight="false" outlineLevel="0" collapsed="false">
      <c r="A24" s="5" t="s">
        <v>179</v>
      </c>
      <c r="B24" s="5" t="s">
        <v>166</v>
      </c>
      <c r="C24" s="5" t="s">
        <v>180</v>
      </c>
      <c r="D24" s="5" t="s">
        <v>26</v>
      </c>
      <c r="E24" s="5" t="s">
        <v>181</v>
      </c>
      <c r="F24" s="5" t="s">
        <v>60</v>
      </c>
      <c r="G24" s="5" t="s">
        <v>29</v>
      </c>
      <c r="H24" s="5"/>
      <c r="I24" s="5" t="s">
        <v>182</v>
      </c>
      <c r="J24" s="5" t="s">
        <v>170</v>
      </c>
      <c r="K24" s="5" t="s">
        <v>177</v>
      </c>
      <c r="L24" s="5" t="s">
        <v>183</v>
      </c>
      <c r="M24" s="5" t="s">
        <v>34</v>
      </c>
    </row>
    <row r="25" customFormat="false" ht="15" hidden="false" customHeight="false" outlineLevel="0" collapsed="false">
      <c r="A25" s="5" t="s">
        <v>184</v>
      </c>
      <c r="B25" s="5" t="s">
        <v>166</v>
      </c>
      <c r="C25" s="5" t="s">
        <v>185</v>
      </c>
      <c r="D25" s="5" t="s">
        <v>186</v>
      </c>
      <c r="E25" s="5" t="s">
        <v>187</v>
      </c>
      <c r="F25" s="5" t="s">
        <v>188</v>
      </c>
      <c r="G25" s="5" t="s">
        <v>29</v>
      </c>
      <c r="H25" s="5"/>
      <c r="I25" s="5" t="s">
        <v>189</v>
      </c>
      <c r="J25" s="5" t="s">
        <v>170</v>
      </c>
      <c r="K25" s="5" t="s">
        <v>177</v>
      </c>
      <c r="L25" s="5" t="s">
        <v>190</v>
      </c>
      <c r="M25" s="5" t="s">
        <v>34</v>
      </c>
    </row>
    <row r="26" customFormat="false" ht="15" hidden="false" customHeight="false" outlineLevel="0" collapsed="false">
      <c r="A26" s="5" t="s">
        <v>191</v>
      </c>
      <c r="B26" s="5" t="s">
        <v>166</v>
      </c>
      <c r="C26" s="5" t="s">
        <v>192</v>
      </c>
      <c r="D26" s="5" t="s">
        <v>186</v>
      </c>
      <c r="E26" s="5" t="s">
        <v>193</v>
      </c>
      <c r="F26" s="5" t="s">
        <v>194</v>
      </c>
      <c r="G26" s="5" t="s">
        <v>29</v>
      </c>
      <c r="H26" s="5"/>
      <c r="I26" s="5" t="s">
        <v>195</v>
      </c>
      <c r="J26" s="5" t="s">
        <v>170</v>
      </c>
      <c r="K26" s="5" t="s">
        <v>177</v>
      </c>
      <c r="L26" s="5" t="s">
        <v>190</v>
      </c>
      <c r="M26" s="5" t="s">
        <v>34</v>
      </c>
    </row>
    <row r="27" customFormat="false" ht="15" hidden="false" customHeight="false" outlineLevel="0" collapsed="false">
      <c r="A27" s="5" t="s">
        <v>196</v>
      </c>
      <c r="B27" s="5" t="s">
        <v>166</v>
      </c>
      <c r="C27" s="5" t="s">
        <v>197</v>
      </c>
      <c r="D27" s="5" t="s">
        <v>67</v>
      </c>
      <c r="E27" s="5" t="s">
        <v>198</v>
      </c>
      <c r="F27" s="5" t="s">
        <v>199</v>
      </c>
      <c r="G27" s="5" t="s">
        <v>29</v>
      </c>
      <c r="H27" s="5"/>
      <c r="I27" s="5" t="s">
        <v>200</v>
      </c>
      <c r="J27" s="5" t="s">
        <v>170</v>
      </c>
      <c r="K27" s="5" t="s">
        <v>32</v>
      </c>
      <c r="L27" s="5" t="s">
        <v>201</v>
      </c>
      <c r="M27" s="5" t="s">
        <v>34</v>
      </c>
    </row>
    <row r="28" customFormat="false" ht="15" hidden="false" customHeight="false" outlineLevel="0" collapsed="false">
      <c r="A28" s="5" t="s">
        <v>202</v>
      </c>
      <c r="B28" s="5" t="s">
        <v>166</v>
      </c>
      <c r="C28" s="5" t="s">
        <v>203</v>
      </c>
      <c r="D28" s="5" t="s">
        <v>26</v>
      </c>
      <c r="E28" s="5" t="s">
        <v>204</v>
      </c>
      <c r="F28" s="5" t="s">
        <v>205</v>
      </c>
      <c r="G28" s="5" t="s">
        <v>29</v>
      </c>
      <c r="H28" s="5" t="s">
        <v>206</v>
      </c>
      <c r="I28" s="5" t="s">
        <v>47</v>
      </c>
      <c r="J28" s="5" t="s">
        <v>170</v>
      </c>
      <c r="K28" s="5" t="s">
        <v>32</v>
      </c>
      <c r="L28" s="5" t="s">
        <v>207</v>
      </c>
      <c r="M28" s="5" t="s">
        <v>34</v>
      </c>
    </row>
    <row r="29" customFormat="false" ht="15" hidden="false" customHeight="false" outlineLevel="0" collapsed="false">
      <c r="A29" s="5" t="s">
        <v>208</v>
      </c>
      <c r="B29" s="5" t="s">
        <v>166</v>
      </c>
      <c r="C29" s="5" t="s">
        <v>209</v>
      </c>
      <c r="D29" s="5" t="s">
        <v>26</v>
      </c>
      <c r="E29" s="5" t="s">
        <v>210</v>
      </c>
      <c r="F29" s="5" t="s">
        <v>211</v>
      </c>
      <c r="G29" s="5" t="s">
        <v>61</v>
      </c>
      <c r="H29" s="5"/>
      <c r="I29" s="5" t="s">
        <v>212</v>
      </c>
      <c r="J29" s="5" t="s">
        <v>213</v>
      </c>
      <c r="K29" s="5" t="s">
        <v>32</v>
      </c>
      <c r="L29" s="5" t="s">
        <v>214</v>
      </c>
      <c r="M29" s="5" t="s">
        <v>34</v>
      </c>
    </row>
    <row r="30" customFormat="false" ht="15" hidden="false" customHeight="false" outlineLevel="0" collapsed="false">
      <c r="A30" s="5" t="s">
        <v>215</v>
      </c>
      <c r="B30" s="5" t="s">
        <v>166</v>
      </c>
      <c r="C30" s="5" t="s">
        <v>216</v>
      </c>
      <c r="D30" s="5" t="s">
        <v>37</v>
      </c>
      <c r="E30" s="5" t="s">
        <v>217</v>
      </c>
      <c r="F30" s="5" t="s">
        <v>218</v>
      </c>
      <c r="G30" s="5" t="s">
        <v>29</v>
      </c>
      <c r="H30" s="5"/>
      <c r="I30" s="5" t="s">
        <v>137</v>
      </c>
      <c r="J30" s="5" t="s">
        <v>170</v>
      </c>
      <c r="K30" s="5" t="s">
        <v>32</v>
      </c>
      <c r="L30" s="5" t="s">
        <v>219</v>
      </c>
      <c r="M30" s="5" t="s">
        <v>34</v>
      </c>
    </row>
    <row r="31" customFormat="false" ht="23.85" hidden="false" customHeight="false" outlineLevel="0" collapsed="false">
      <c r="A31" s="5" t="s">
        <v>220</v>
      </c>
      <c r="B31" s="5" t="s">
        <v>166</v>
      </c>
      <c r="C31" s="5" t="s">
        <v>221</v>
      </c>
      <c r="D31" s="5" t="s">
        <v>26</v>
      </c>
      <c r="E31" s="5" t="s">
        <v>222</v>
      </c>
      <c r="F31" s="5" t="s">
        <v>76</v>
      </c>
      <c r="G31" s="5" t="s">
        <v>29</v>
      </c>
      <c r="H31" s="5" t="s">
        <v>223</v>
      </c>
      <c r="I31" s="5" t="s">
        <v>47</v>
      </c>
      <c r="J31" s="5" t="s">
        <v>170</v>
      </c>
      <c r="K31" s="5" t="s">
        <v>32</v>
      </c>
      <c r="L31" s="5" t="s">
        <v>224</v>
      </c>
      <c r="M31" s="5" t="s">
        <v>34</v>
      </c>
    </row>
    <row r="32" customFormat="false" ht="15" hidden="false" customHeight="false" outlineLevel="0" collapsed="false">
      <c r="A32" s="5" t="s">
        <v>225</v>
      </c>
      <c r="B32" s="5" t="s">
        <v>226</v>
      </c>
      <c r="C32" s="5" t="s">
        <v>227</v>
      </c>
      <c r="D32" s="5" t="s">
        <v>67</v>
      </c>
      <c r="E32" s="5" t="s">
        <v>228</v>
      </c>
      <c r="F32" s="5" t="s">
        <v>229</v>
      </c>
      <c r="G32" s="5" t="s">
        <v>29</v>
      </c>
      <c r="H32" s="5"/>
      <c r="I32" s="5" t="s">
        <v>230</v>
      </c>
      <c r="J32" s="5" t="s">
        <v>231</v>
      </c>
      <c r="K32" s="5" t="s">
        <v>177</v>
      </c>
      <c r="L32" s="5" t="s">
        <v>232</v>
      </c>
      <c r="M32" s="5" t="s">
        <v>34</v>
      </c>
    </row>
    <row r="33" customFormat="false" ht="15" hidden="false" customHeight="false" outlineLevel="0" collapsed="false">
      <c r="A33" s="5" t="s">
        <v>233</v>
      </c>
      <c r="B33" s="5" t="s">
        <v>226</v>
      </c>
      <c r="C33" s="5" t="s">
        <v>234</v>
      </c>
      <c r="D33" s="5" t="s">
        <v>37</v>
      </c>
      <c r="E33" s="5" t="s">
        <v>235</v>
      </c>
      <c r="F33" s="5" t="s">
        <v>236</v>
      </c>
      <c r="G33" s="5" t="s">
        <v>29</v>
      </c>
      <c r="H33" s="5"/>
      <c r="I33" s="5" t="s">
        <v>237</v>
      </c>
      <c r="J33" s="5" t="s">
        <v>231</v>
      </c>
      <c r="K33" s="5" t="s">
        <v>177</v>
      </c>
      <c r="L33" s="5" t="s">
        <v>238</v>
      </c>
      <c r="M33" s="5" t="s">
        <v>34</v>
      </c>
    </row>
    <row r="34" customFormat="false" ht="15" hidden="false" customHeight="false" outlineLevel="0" collapsed="false">
      <c r="A34" s="5" t="s">
        <v>239</v>
      </c>
      <c r="B34" s="5" t="s">
        <v>226</v>
      </c>
      <c r="C34" s="5" t="s">
        <v>240</v>
      </c>
      <c r="D34" s="5" t="s">
        <v>26</v>
      </c>
      <c r="E34" s="5" t="s">
        <v>241</v>
      </c>
      <c r="F34" s="5" t="s">
        <v>242</v>
      </c>
      <c r="G34" s="5" t="s">
        <v>29</v>
      </c>
      <c r="H34" s="5" t="s">
        <v>243</v>
      </c>
      <c r="I34" s="5" t="s">
        <v>47</v>
      </c>
      <c r="J34" s="5" t="s">
        <v>231</v>
      </c>
      <c r="K34" s="5" t="s">
        <v>177</v>
      </c>
      <c r="L34" s="5" t="s">
        <v>244</v>
      </c>
      <c r="M34" s="5" t="s">
        <v>34</v>
      </c>
    </row>
    <row r="35" customFormat="false" ht="15" hidden="false" customHeight="false" outlineLevel="0" collapsed="false">
      <c r="A35" s="5" t="s">
        <v>245</v>
      </c>
      <c r="B35" s="5" t="s">
        <v>226</v>
      </c>
      <c r="C35" s="5" t="s">
        <v>246</v>
      </c>
      <c r="D35" s="5" t="s">
        <v>89</v>
      </c>
      <c r="E35" s="5" t="s">
        <v>247</v>
      </c>
      <c r="F35" s="5" t="s">
        <v>91</v>
      </c>
      <c r="G35" s="5" t="s">
        <v>29</v>
      </c>
      <c r="H35" s="5" t="s">
        <v>92</v>
      </c>
      <c r="I35" s="5" t="s">
        <v>248</v>
      </c>
      <c r="J35" s="5" t="s">
        <v>231</v>
      </c>
      <c r="K35" s="5" t="s">
        <v>177</v>
      </c>
      <c r="L35" s="5" t="s">
        <v>249</v>
      </c>
      <c r="M35" s="5" t="s">
        <v>34</v>
      </c>
    </row>
    <row r="36" customFormat="false" ht="15" hidden="false" customHeight="false" outlineLevel="0" collapsed="false">
      <c r="A36" s="5" t="s">
        <v>250</v>
      </c>
      <c r="B36" s="5" t="s">
        <v>226</v>
      </c>
      <c r="C36" s="5" t="s">
        <v>251</v>
      </c>
      <c r="D36" s="5" t="s">
        <v>89</v>
      </c>
      <c r="E36" s="5" t="s">
        <v>252</v>
      </c>
      <c r="F36" s="5" t="s">
        <v>253</v>
      </c>
      <c r="G36" s="5" t="s">
        <v>29</v>
      </c>
      <c r="H36" s="5" t="s">
        <v>92</v>
      </c>
      <c r="I36" s="5" t="s">
        <v>254</v>
      </c>
      <c r="J36" s="5" t="s">
        <v>213</v>
      </c>
      <c r="K36" s="5" t="s">
        <v>177</v>
      </c>
      <c r="L36" s="5" t="s">
        <v>255</v>
      </c>
      <c r="M36" s="5" t="s">
        <v>34</v>
      </c>
    </row>
    <row r="37" customFormat="false" ht="15" hidden="false" customHeight="false" outlineLevel="0" collapsed="false">
      <c r="A37" s="5" t="s">
        <v>256</v>
      </c>
      <c r="B37" s="5" t="s">
        <v>226</v>
      </c>
      <c r="C37" s="5" t="s">
        <v>257</v>
      </c>
      <c r="D37" s="5" t="s">
        <v>67</v>
      </c>
      <c r="E37" s="5" t="s">
        <v>258</v>
      </c>
      <c r="F37" s="5" t="s">
        <v>259</v>
      </c>
      <c r="G37" s="5" t="s">
        <v>29</v>
      </c>
      <c r="H37" s="5"/>
      <c r="I37" s="5" t="s">
        <v>260</v>
      </c>
      <c r="J37" s="5" t="s">
        <v>231</v>
      </c>
      <c r="K37" s="5" t="s">
        <v>177</v>
      </c>
      <c r="L37" s="5" t="s">
        <v>261</v>
      </c>
      <c r="M37" s="5" t="s">
        <v>34</v>
      </c>
    </row>
    <row r="38" customFormat="false" ht="15" hidden="false" customHeight="false" outlineLevel="0" collapsed="false">
      <c r="A38" s="5" t="s">
        <v>262</v>
      </c>
      <c r="B38" s="5" t="s">
        <v>263</v>
      </c>
      <c r="C38" s="5" t="s">
        <v>264</v>
      </c>
      <c r="D38" s="5" t="s">
        <v>26</v>
      </c>
      <c r="E38" s="5" t="s">
        <v>265</v>
      </c>
      <c r="F38" s="5" t="s">
        <v>266</v>
      </c>
      <c r="G38" s="5" t="s">
        <v>29</v>
      </c>
      <c r="H38" s="5"/>
      <c r="I38" s="5" t="s">
        <v>112</v>
      </c>
      <c r="J38" s="5" t="s">
        <v>31</v>
      </c>
      <c r="K38" s="5" t="s">
        <v>32</v>
      </c>
      <c r="L38" s="5" t="s">
        <v>267</v>
      </c>
      <c r="M38" s="5" t="s">
        <v>34</v>
      </c>
    </row>
    <row r="39" customFormat="false" ht="15" hidden="false" customHeight="false" outlineLevel="0" collapsed="false">
      <c r="A39" s="5" t="s">
        <v>268</v>
      </c>
      <c r="B39" s="5" t="s">
        <v>263</v>
      </c>
      <c r="C39" s="5" t="s">
        <v>25</v>
      </c>
      <c r="D39" s="5" t="s">
        <v>26</v>
      </c>
      <c r="E39" s="5" t="s">
        <v>269</v>
      </c>
      <c r="F39" s="5" t="s">
        <v>28</v>
      </c>
      <c r="G39" s="5" t="s">
        <v>29</v>
      </c>
      <c r="H39" s="5"/>
      <c r="I39" s="5" t="s">
        <v>270</v>
      </c>
      <c r="J39" s="5" t="s">
        <v>31</v>
      </c>
      <c r="K39" s="5" t="s">
        <v>32</v>
      </c>
      <c r="L39" s="5" t="s">
        <v>271</v>
      </c>
      <c r="M39" s="5" t="s">
        <v>34</v>
      </c>
    </row>
    <row r="40" customFormat="false" ht="15" hidden="false" customHeight="false" outlineLevel="0" collapsed="false">
      <c r="A40" s="5" t="s">
        <v>272</v>
      </c>
      <c r="B40" s="5" t="s">
        <v>263</v>
      </c>
      <c r="C40" s="5" t="s">
        <v>109</v>
      </c>
      <c r="D40" s="5" t="s">
        <v>26</v>
      </c>
      <c r="E40" s="5" t="s">
        <v>273</v>
      </c>
      <c r="F40" s="5" t="s">
        <v>111</v>
      </c>
      <c r="G40" s="5" t="s">
        <v>29</v>
      </c>
      <c r="H40" s="5"/>
      <c r="I40" s="5" t="s">
        <v>274</v>
      </c>
      <c r="J40" s="5" t="s">
        <v>31</v>
      </c>
      <c r="K40" s="5" t="s">
        <v>32</v>
      </c>
      <c r="L40" s="5" t="s">
        <v>275</v>
      </c>
      <c r="M40" s="5" t="s">
        <v>34</v>
      </c>
    </row>
    <row r="41" customFormat="false" ht="23.85" hidden="false" customHeight="false" outlineLevel="0" collapsed="false">
      <c r="A41" s="5" t="s">
        <v>276</v>
      </c>
      <c r="B41" s="5" t="s">
        <v>263</v>
      </c>
      <c r="C41" s="5" t="s">
        <v>277</v>
      </c>
      <c r="D41" s="5" t="s">
        <v>26</v>
      </c>
      <c r="E41" s="5" t="s">
        <v>278</v>
      </c>
      <c r="F41" s="5" t="s">
        <v>169</v>
      </c>
      <c r="G41" s="5" t="s">
        <v>61</v>
      </c>
      <c r="H41" s="5"/>
      <c r="I41" s="5" t="s">
        <v>279</v>
      </c>
      <c r="J41" s="5" t="s">
        <v>150</v>
      </c>
      <c r="K41" s="5" t="s">
        <v>32</v>
      </c>
      <c r="L41" s="5" t="s">
        <v>280</v>
      </c>
      <c r="M41" s="5" t="s">
        <v>34</v>
      </c>
    </row>
    <row r="42" customFormat="false" ht="23.85" hidden="false" customHeight="false" outlineLevel="0" collapsed="false">
      <c r="A42" s="5" t="s">
        <v>281</v>
      </c>
      <c r="B42" s="5" t="s">
        <v>263</v>
      </c>
      <c r="C42" s="5" t="s">
        <v>282</v>
      </c>
      <c r="D42" s="5" t="s">
        <v>26</v>
      </c>
      <c r="E42" s="5" t="s">
        <v>283</v>
      </c>
      <c r="F42" s="5" t="s">
        <v>284</v>
      </c>
      <c r="G42" s="5" t="s">
        <v>61</v>
      </c>
      <c r="H42" s="5"/>
      <c r="I42" s="5" t="s">
        <v>279</v>
      </c>
      <c r="J42" s="5" t="s">
        <v>150</v>
      </c>
      <c r="K42" s="5" t="s">
        <v>32</v>
      </c>
      <c r="L42" s="5" t="s">
        <v>285</v>
      </c>
      <c r="M42" s="5" t="s">
        <v>34</v>
      </c>
    </row>
    <row r="43" customFormat="false" ht="15" hidden="false" customHeight="false" outlineLevel="0" collapsed="false">
      <c r="A43" s="5" t="s">
        <v>286</v>
      </c>
      <c r="B43" s="5" t="s">
        <v>263</v>
      </c>
      <c r="C43" s="5" t="s">
        <v>287</v>
      </c>
      <c r="D43" s="5" t="s">
        <v>288</v>
      </c>
      <c r="E43" s="5" t="s">
        <v>289</v>
      </c>
      <c r="F43" s="5" t="s">
        <v>290</v>
      </c>
      <c r="G43" s="5" t="s">
        <v>29</v>
      </c>
      <c r="H43" s="5"/>
      <c r="I43" s="5" t="s">
        <v>291</v>
      </c>
      <c r="J43" s="5" t="s">
        <v>150</v>
      </c>
      <c r="K43" s="5" t="s">
        <v>32</v>
      </c>
      <c r="L43" s="5" t="s">
        <v>292</v>
      </c>
      <c r="M43" s="5" t="s">
        <v>34</v>
      </c>
    </row>
    <row r="44" customFormat="false" ht="15" hidden="false" customHeight="false" outlineLevel="0" collapsed="false">
      <c r="A44" s="5" t="s">
        <v>293</v>
      </c>
      <c r="B44" s="5" t="s">
        <v>263</v>
      </c>
      <c r="C44" s="5" t="s">
        <v>294</v>
      </c>
      <c r="D44" s="5" t="s">
        <v>288</v>
      </c>
      <c r="E44" s="5" t="s">
        <v>295</v>
      </c>
      <c r="F44" s="5" t="s">
        <v>296</v>
      </c>
      <c r="G44" s="5" t="s">
        <v>61</v>
      </c>
      <c r="H44" s="5"/>
      <c r="I44" s="5" t="s">
        <v>297</v>
      </c>
      <c r="J44" s="5" t="s">
        <v>150</v>
      </c>
      <c r="K44" s="5" t="s">
        <v>32</v>
      </c>
      <c r="L44" s="5" t="s">
        <v>298</v>
      </c>
      <c r="M44" s="5" t="s">
        <v>34</v>
      </c>
    </row>
    <row r="45" customFormat="false" ht="23.85" hidden="false" customHeight="false" outlineLevel="0" collapsed="false">
      <c r="A45" s="5" t="s">
        <v>299</v>
      </c>
      <c r="B45" s="5" t="s">
        <v>263</v>
      </c>
      <c r="C45" s="5" t="s">
        <v>300</v>
      </c>
      <c r="D45" s="5" t="s">
        <v>67</v>
      </c>
      <c r="E45" s="5" t="s">
        <v>301</v>
      </c>
      <c r="F45" s="5" t="s">
        <v>302</v>
      </c>
      <c r="G45" s="5" t="s">
        <v>61</v>
      </c>
      <c r="H45" s="5"/>
      <c r="I45" s="5" t="s">
        <v>303</v>
      </c>
      <c r="J45" s="5" t="s">
        <v>78</v>
      </c>
      <c r="K45" s="5" t="s">
        <v>32</v>
      </c>
      <c r="L45" s="5" t="s">
        <v>304</v>
      </c>
      <c r="M45" s="5" t="s">
        <v>34</v>
      </c>
    </row>
    <row r="46" customFormat="false" ht="15" hidden="false" customHeight="false" outlineLevel="0" collapsed="false">
      <c r="A46" s="5" t="s">
        <v>305</v>
      </c>
      <c r="B46" s="5" t="s">
        <v>263</v>
      </c>
      <c r="C46" s="5" t="s">
        <v>306</v>
      </c>
      <c r="D46" s="5" t="s">
        <v>67</v>
      </c>
      <c r="E46" s="5" t="s">
        <v>307</v>
      </c>
      <c r="F46" s="5" t="s">
        <v>308</v>
      </c>
      <c r="G46" s="5" t="s">
        <v>61</v>
      </c>
      <c r="H46" s="5"/>
      <c r="I46" s="5" t="s">
        <v>309</v>
      </c>
      <c r="J46" s="5" t="s">
        <v>150</v>
      </c>
      <c r="K46" s="5" t="s">
        <v>32</v>
      </c>
      <c r="L46" s="5" t="s">
        <v>310</v>
      </c>
      <c r="M46" s="5" t="s">
        <v>34</v>
      </c>
    </row>
    <row r="47" customFormat="false" ht="23.85" hidden="false" customHeight="false" outlineLevel="0" collapsed="false">
      <c r="A47" s="5" t="s">
        <v>311</v>
      </c>
      <c r="B47" s="5" t="s">
        <v>263</v>
      </c>
      <c r="C47" s="5" t="s">
        <v>312</v>
      </c>
      <c r="D47" s="5" t="s">
        <v>186</v>
      </c>
      <c r="E47" s="5" t="s">
        <v>313</v>
      </c>
      <c r="F47" s="5" t="s">
        <v>188</v>
      </c>
      <c r="G47" s="5" t="s">
        <v>61</v>
      </c>
      <c r="H47" s="5"/>
      <c r="I47" s="5" t="s">
        <v>189</v>
      </c>
      <c r="J47" s="5" t="s">
        <v>150</v>
      </c>
      <c r="K47" s="5" t="s">
        <v>71</v>
      </c>
      <c r="L47" s="5" t="s">
        <v>314</v>
      </c>
      <c r="M47" s="5" t="s">
        <v>34</v>
      </c>
    </row>
    <row r="48" customFormat="false" ht="15" hidden="false" customHeight="false" outlineLevel="0" collapsed="false">
      <c r="A48" s="5" t="s">
        <v>315</v>
      </c>
      <c r="B48" s="5" t="s">
        <v>263</v>
      </c>
      <c r="C48" s="5" t="s">
        <v>316</v>
      </c>
      <c r="D48" s="5" t="s">
        <v>186</v>
      </c>
      <c r="E48" s="5" t="s">
        <v>317</v>
      </c>
      <c r="F48" s="5" t="s">
        <v>194</v>
      </c>
      <c r="G48" s="5" t="s">
        <v>61</v>
      </c>
      <c r="H48" s="5"/>
      <c r="I48" s="5" t="s">
        <v>195</v>
      </c>
      <c r="J48" s="5" t="s">
        <v>150</v>
      </c>
      <c r="K48" s="5" t="s">
        <v>71</v>
      </c>
      <c r="L48" s="5" t="s">
        <v>318</v>
      </c>
      <c r="M48" s="5" t="s">
        <v>34</v>
      </c>
    </row>
    <row r="49" customFormat="false" ht="15" hidden="false" customHeight="false" outlineLevel="0" collapsed="false">
      <c r="A49" s="5" t="s">
        <v>319</v>
      </c>
      <c r="B49" s="5" t="s">
        <v>263</v>
      </c>
      <c r="C49" s="5" t="s">
        <v>320</v>
      </c>
      <c r="D49" s="5" t="s">
        <v>186</v>
      </c>
      <c r="E49" s="5" t="s">
        <v>321</v>
      </c>
      <c r="F49" s="5" t="s">
        <v>322</v>
      </c>
      <c r="G49" s="5" t="s">
        <v>61</v>
      </c>
      <c r="H49" s="5"/>
      <c r="I49" s="5" t="s">
        <v>189</v>
      </c>
      <c r="J49" s="5" t="s">
        <v>150</v>
      </c>
      <c r="K49" s="5" t="s">
        <v>71</v>
      </c>
      <c r="L49" s="5" t="s">
        <v>323</v>
      </c>
      <c r="M49" s="5" t="s">
        <v>34</v>
      </c>
    </row>
    <row r="50" customFormat="false" ht="15" hidden="false" customHeight="false" outlineLevel="0" collapsed="false">
      <c r="A50" s="5" t="s">
        <v>324</v>
      </c>
      <c r="B50" s="5" t="s">
        <v>263</v>
      </c>
      <c r="C50" s="5" t="s">
        <v>325</v>
      </c>
      <c r="D50" s="5" t="s">
        <v>186</v>
      </c>
      <c r="E50" s="5" t="s">
        <v>326</v>
      </c>
      <c r="F50" s="5" t="s">
        <v>327</v>
      </c>
      <c r="G50" s="5" t="s">
        <v>61</v>
      </c>
      <c r="H50" s="5"/>
      <c r="I50" s="5" t="s">
        <v>195</v>
      </c>
      <c r="J50" s="5" t="s">
        <v>150</v>
      </c>
      <c r="K50" s="5" t="s">
        <v>71</v>
      </c>
      <c r="L50" s="5" t="s">
        <v>323</v>
      </c>
      <c r="M50" s="5" t="s">
        <v>34</v>
      </c>
    </row>
    <row r="51" customFormat="false" ht="15" hidden="false" customHeight="false" outlineLevel="0" collapsed="false">
      <c r="A51" s="5" t="s">
        <v>328</v>
      </c>
      <c r="B51" s="5" t="s">
        <v>263</v>
      </c>
      <c r="C51" s="5" t="s">
        <v>329</v>
      </c>
      <c r="D51" s="5" t="s">
        <v>67</v>
      </c>
      <c r="E51" s="5" t="s">
        <v>330</v>
      </c>
      <c r="F51" s="5" t="s">
        <v>331</v>
      </c>
      <c r="G51" s="5" t="s">
        <v>61</v>
      </c>
      <c r="H51" s="5"/>
      <c r="I51" s="5" t="s">
        <v>332</v>
      </c>
      <c r="J51" s="5" t="s">
        <v>150</v>
      </c>
      <c r="K51" s="5" t="s">
        <v>32</v>
      </c>
      <c r="L51" s="5" t="s">
        <v>333</v>
      </c>
      <c r="M51" s="5" t="s">
        <v>34</v>
      </c>
    </row>
    <row r="52" customFormat="false" ht="23.85" hidden="false" customHeight="false" outlineLevel="0" collapsed="false">
      <c r="A52" s="5" t="s">
        <v>334</v>
      </c>
      <c r="B52" s="5" t="s">
        <v>263</v>
      </c>
      <c r="C52" s="5" t="s">
        <v>335</v>
      </c>
      <c r="D52" s="5" t="s">
        <v>67</v>
      </c>
      <c r="E52" s="5" t="s">
        <v>336</v>
      </c>
      <c r="F52" s="5" t="s">
        <v>337</v>
      </c>
      <c r="G52" s="5" t="s">
        <v>61</v>
      </c>
      <c r="H52" s="5"/>
      <c r="I52" s="5" t="s">
        <v>338</v>
      </c>
      <c r="J52" s="5" t="s">
        <v>150</v>
      </c>
      <c r="K52" s="5" t="s">
        <v>32</v>
      </c>
      <c r="L52" s="5" t="s">
        <v>339</v>
      </c>
      <c r="M52" s="5" t="s">
        <v>34</v>
      </c>
    </row>
    <row r="53" customFormat="false" ht="23.85" hidden="false" customHeight="false" outlineLevel="0" collapsed="false">
      <c r="A53" s="5" t="s">
        <v>340</v>
      </c>
      <c r="B53" s="5" t="s">
        <v>263</v>
      </c>
      <c r="C53" s="5" t="s">
        <v>341</v>
      </c>
      <c r="D53" s="5" t="s">
        <v>26</v>
      </c>
      <c r="E53" s="5" t="s">
        <v>342</v>
      </c>
      <c r="F53" s="5" t="s">
        <v>343</v>
      </c>
      <c r="G53" s="5" t="s">
        <v>29</v>
      </c>
      <c r="H53" s="5" t="s">
        <v>344</v>
      </c>
      <c r="I53" s="5" t="s">
        <v>47</v>
      </c>
      <c r="J53" s="5" t="s">
        <v>31</v>
      </c>
      <c r="K53" s="5" t="s">
        <v>32</v>
      </c>
      <c r="L53" s="5" t="s">
        <v>345</v>
      </c>
      <c r="M53" s="5" t="s">
        <v>34</v>
      </c>
    </row>
    <row r="54" customFormat="false" ht="15" hidden="false" customHeight="false" outlineLevel="0" collapsed="false">
      <c r="A54" s="5" t="s">
        <v>346</v>
      </c>
      <c r="B54" s="5" t="s">
        <v>263</v>
      </c>
      <c r="C54" s="5" t="s">
        <v>347</v>
      </c>
      <c r="D54" s="5" t="s">
        <v>26</v>
      </c>
      <c r="E54" s="5" t="s">
        <v>348</v>
      </c>
      <c r="F54" s="5" t="s">
        <v>349</v>
      </c>
      <c r="G54" s="5" t="s">
        <v>29</v>
      </c>
      <c r="H54" s="5" t="s">
        <v>350</v>
      </c>
      <c r="I54" s="5" t="s">
        <v>47</v>
      </c>
      <c r="J54" s="5" t="s">
        <v>31</v>
      </c>
      <c r="K54" s="5" t="s">
        <v>32</v>
      </c>
      <c r="L54" s="5" t="s">
        <v>351</v>
      </c>
      <c r="M54" s="5" t="s">
        <v>34</v>
      </c>
    </row>
    <row r="55" customFormat="false" ht="15" hidden="false" customHeight="false" outlineLevel="0" collapsed="false">
      <c r="A55" s="5" t="s">
        <v>352</v>
      </c>
      <c r="B55" s="5" t="s">
        <v>263</v>
      </c>
      <c r="C55" s="5" t="s">
        <v>353</v>
      </c>
      <c r="D55" s="5" t="s">
        <v>26</v>
      </c>
      <c r="E55" s="5" t="s">
        <v>354</v>
      </c>
      <c r="F55" s="5" t="s">
        <v>355</v>
      </c>
      <c r="G55" s="5" t="s">
        <v>29</v>
      </c>
      <c r="H55" s="5"/>
      <c r="I55" s="5" t="s">
        <v>356</v>
      </c>
      <c r="J55" s="5" t="s">
        <v>85</v>
      </c>
      <c r="K55" s="5" t="s">
        <v>32</v>
      </c>
      <c r="L55" s="5" t="s">
        <v>357</v>
      </c>
      <c r="M55" s="5" t="s">
        <v>34</v>
      </c>
    </row>
    <row r="56" customFormat="false" ht="15" hidden="false" customHeight="false" outlineLevel="0" collapsed="false">
      <c r="A56" s="5" t="s">
        <v>358</v>
      </c>
      <c r="B56" s="5" t="s">
        <v>263</v>
      </c>
      <c r="C56" s="5" t="s">
        <v>359</v>
      </c>
      <c r="D56" s="5" t="s">
        <v>89</v>
      </c>
      <c r="E56" s="5" t="s">
        <v>360</v>
      </c>
      <c r="F56" s="5" t="s">
        <v>91</v>
      </c>
      <c r="G56" s="5" t="s">
        <v>29</v>
      </c>
      <c r="H56" s="5" t="s">
        <v>92</v>
      </c>
      <c r="I56" s="5" t="s">
        <v>361</v>
      </c>
      <c r="J56" s="5" t="s">
        <v>78</v>
      </c>
      <c r="K56" s="5" t="s">
        <v>32</v>
      </c>
      <c r="L56" s="5" t="s">
        <v>362</v>
      </c>
      <c r="M56" s="5" t="s">
        <v>34</v>
      </c>
    </row>
    <row r="57" customFormat="false" ht="15" hidden="false" customHeight="false" outlineLevel="0" collapsed="false">
      <c r="A57" s="5" t="s">
        <v>363</v>
      </c>
      <c r="B57" s="5" t="s">
        <v>263</v>
      </c>
      <c r="C57" s="5" t="s">
        <v>364</v>
      </c>
      <c r="D57" s="5" t="s">
        <v>67</v>
      </c>
      <c r="E57" s="5" t="s">
        <v>365</v>
      </c>
      <c r="F57" s="5" t="s">
        <v>366</v>
      </c>
      <c r="G57" s="5" t="s">
        <v>61</v>
      </c>
      <c r="H57" s="5" t="s">
        <v>367</v>
      </c>
      <c r="I57" s="5" t="s">
        <v>368</v>
      </c>
      <c r="J57" s="5" t="s">
        <v>31</v>
      </c>
      <c r="K57" s="5" t="s">
        <v>32</v>
      </c>
      <c r="L57" s="5" t="s">
        <v>369</v>
      </c>
      <c r="M57" s="5" t="s">
        <v>34</v>
      </c>
    </row>
    <row r="58" customFormat="false" ht="15" hidden="false" customHeight="false" outlineLevel="0" collapsed="false">
      <c r="A58" s="5" t="s">
        <v>370</v>
      </c>
      <c r="B58" s="5" t="s">
        <v>371</v>
      </c>
      <c r="C58" s="5" t="s">
        <v>353</v>
      </c>
      <c r="D58" s="5" t="s">
        <v>26</v>
      </c>
      <c r="E58" s="5" t="s">
        <v>372</v>
      </c>
      <c r="F58" s="5" t="s">
        <v>355</v>
      </c>
      <c r="G58" s="5" t="s">
        <v>29</v>
      </c>
      <c r="H58" s="5"/>
      <c r="I58" s="5" t="s">
        <v>112</v>
      </c>
      <c r="J58" s="5" t="s">
        <v>85</v>
      </c>
      <c r="K58" s="5" t="s">
        <v>32</v>
      </c>
      <c r="L58" s="5" t="s">
        <v>373</v>
      </c>
      <c r="M58" s="5" t="s">
        <v>34</v>
      </c>
    </row>
    <row r="59" customFormat="false" ht="15" hidden="false" customHeight="false" outlineLevel="0" collapsed="false">
      <c r="A59" s="5" t="s">
        <v>374</v>
      </c>
      <c r="B59" s="5" t="s">
        <v>371</v>
      </c>
      <c r="C59" s="5" t="s">
        <v>375</v>
      </c>
      <c r="D59" s="5" t="s">
        <v>26</v>
      </c>
      <c r="E59" s="5" t="s">
        <v>376</v>
      </c>
      <c r="F59" s="5" t="s">
        <v>377</v>
      </c>
      <c r="G59" s="5" t="s">
        <v>29</v>
      </c>
      <c r="H59" s="5"/>
      <c r="I59" s="5" t="s">
        <v>378</v>
      </c>
      <c r="J59" s="5" t="s">
        <v>85</v>
      </c>
      <c r="K59" s="5" t="s">
        <v>177</v>
      </c>
      <c r="L59" s="5" t="s">
        <v>379</v>
      </c>
      <c r="M59" s="5" t="s">
        <v>34</v>
      </c>
    </row>
    <row r="60" customFormat="false" ht="15" hidden="false" customHeight="false" outlineLevel="0" collapsed="false">
      <c r="A60" s="5" t="s">
        <v>380</v>
      </c>
      <c r="B60" s="5" t="s">
        <v>371</v>
      </c>
      <c r="C60" s="5" t="s">
        <v>381</v>
      </c>
      <c r="D60" s="5" t="s">
        <v>382</v>
      </c>
      <c r="E60" s="5" t="s">
        <v>383</v>
      </c>
      <c r="F60" s="5" t="s">
        <v>384</v>
      </c>
      <c r="G60" s="5" t="s">
        <v>29</v>
      </c>
      <c r="H60" s="5"/>
      <c r="I60" s="5" t="s">
        <v>385</v>
      </c>
      <c r="J60" s="5" t="s">
        <v>85</v>
      </c>
      <c r="K60" s="5" t="s">
        <v>177</v>
      </c>
      <c r="L60" s="5" t="s">
        <v>386</v>
      </c>
      <c r="M60" s="5" t="s">
        <v>34</v>
      </c>
    </row>
    <row r="61" customFormat="false" ht="15" hidden="false" customHeight="false" outlineLevel="0" collapsed="false">
      <c r="A61" s="5" t="s">
        <v>387</v>
      </c>
      <c r="B61" s="5" t="s">
        <v>371</v>
      </c>
      <c r="C61" s="5" t="s">
        <v>388</v>
      </c>
      <c r="D61" s="5" t="s">
        <v>389</v>
      </c>
      <c r="E61" s="5" t="s">
        <v>390</v>
      </c>
      <c r="F61" s="5" t="s">
        <v>391</v>
      </c>
      <c r="G61" s="5" t="s">
        <v>29</v>
      </c>
      <c r="H61" s="5"/>
      <c r="I61" s="5" t="s">
        <v>385</v>
      </c>
      <c r="J61" s="5" t="s">
        <v>85</v>
      </c>
      <c r="K61" s="5" t="s">
        <v>177</v>
      </c>
      <c r="L61" s="5" t="s">
        <v>392</v>
      </c>
      <c r="M61" s="5" t="s">
        <v>34</v>
      </c>
    </row>
    <row r="62" customFormat="false" ht="15" hidden="false" customHeight="false" outlineLevel="0" collapsed="false">
      <c r="A62" s="5" t="s">
        <v>393</v>
      </c>
      <c r="B62" s="5" t="s">
        <v>371</v>
      </c>
      <c r="C62" s="5" t="s">
        <v>394</v>
      </c>
      <c r="D62" s="5" t="s">
        <v>67</v>
      </c>
      <c r="E62" s="5" t="s">
        <v>395</v>
      </c>
      <c r="F62" s="5" t="s">
        <v>396</v>
      </c>
      <c r="G62" s="5" t="s">
        <v>29</v>
      </c>
      <c r="H62" s="5"/>
      <c r="I62" s="5" t="s">
        <v>385</v>
      </c>
      <c r="J62" s="5" t="s">
        <v>85</v>
      </c>
      <c r="K62" s="5" t="s">
        <v>177</v>
      </c>
      <c r="L62" s="5" t="s">
        <v>397</v>
      </c>
      <c r="M62" s="5" t="s">
        <v>34</v>
      </c>
    </row>
    <row r="63" customFormat="false" ht="15" hidden="false" customHeight="false" outlineLevel="0" collapsed="false">
      <c r="A63" s="5" t="s">
        <v>398</v>
      </c>
      <c r="B63" s="5" t="s">
        <v>371</v>
      </c>
      <c r="C63" s="5" t="s">
        <v>399</v>
      </c>
      <c r="D63" s="5" t="s">
        <v>37</v>
      </c>
      <c r="E63" s="5" t="s">
        <v>400</v>
      </c>
      <c r="F63" s="5" t="s">
        <v>401</v>
      </c>
      <c r="G63" s="5" t="s">
        <v>29</v>
      </c>
      <c r="H63" s="5"/>
      <c r="I63" s="5" t="s">
        <v>402</v>
      </c>
      <c r="J63" s="5" t="s">
        <v>85</v>
      </c>
      <c r="K63" s="5" t="s">
        <v>32</v>
      </c>
      <c r="L63" s="5" t="s">
        <v>403</v>
      </c>
      <c r="M63" s="5" t="s">
        <v>34</v>
      </c>
    </row>
    <row r="64" customFormat="false" ht="15" hidden="false" customHeight="false" outlineLevel="0" collapsed="false">
      <c r="A64" s="5" t="s">
        <v>404</v>
      </c>
      <c r="B64" s="5" t="s">
        <v>405</v>
      </c>
      <c r="C64" s="5" t="s">
        <v>406</v>
      </c>
      <c r="D64" s="5" t="s">
        <v>26</v>
      </c>
      <c r="E64" s="5" t="s">
        <v>407</v>
      </c>
      <c r="F64" s="5" t="s">
        <v>408</v>
      </c>
      <c r="G64" s="5" t="s">
        <v>29</v>
      </c>
      <c r="H64" s="5"/>
      <c r="I64" s="5" t="s">
        <v>112</v>
      </c>
      <c r="J64" s="5" t="s">
        <v>409</v>
      </c>
      <c r="K64" s="5" t="s">
        <v>32</v>
      </c>
      <c r="L64" s="5" t="s">
        <v>410</v>
      </c>
      <c r="M64" s="5" t="s">
        <v>34</v>
      </c>
    </row>
    <row r="65" customFormat="false" ht="15" hidden="false" customHeight="false" outlineLevel="0" collapsed="false">
      <c r="A65" s="5" t="s">
        <v>411</v>
      </c>
      <c r="B65" s="5" t="s">
        <v>405</v>
      </c>
      <c r="C65" s="5" t="s">
        <v>264</v>
      </c>
      <c r="D65" s="5" t="s">
        <v>26</v>
      </c>
      <c r="E65" s="5" t="s">
        <v>412</v>
      </c>
      <c r="F65" s="5" t="s">
        <v>266</v>
      </c>
      <c r="G65" s="5" t="s">
        <v>61</v>
      </c>
      <c r="H65" s="5"/>
      <c r="I65" s="5" t="s">
        <v>413</v>
      </c>
      <c r="J65" s="5" t="s">
        <v>85</v>
      </c>
      <c r="K65" s="5" t="s">
        <v>32</v>
      </c>
      <c r="L65" s="5" t="s">
        <v>414</v>
      </c>
      <c r="M65" s="5" t="s">
        <v>34</v>
      </c>
    </row>
    <row r="66" customFormat="false" ht="15" hidden="false" customHeight="false" outlineLevel="0" collapsed="false">
      <c r="A66" s="5" t="s">
        <v>415</v>
      </c>
      <c r="B66" s="5" t="s">
        <v>405</v>
      </c>
      <c r="C66" s="5" t="s">
        <v>25</v>
      </c>
      <c r="D66" s="5" t="s">
        <v>26</v>
      </c>
      <c r="E66" s="5" t="s">
        <v>416</v>
      </c>
      <c r="F66" s="5" t="s">
        <v>28</v>
      </c>
      <c r="G66" s="5" t="s">
        <v>29</v>
      </c>
      <c r="H66" s="5"/>
      <c r="I66" s="5" t="s">
        <v>270</v>
      </c>
      <c r="J66" s="5" t="s">
        <v>409</v>
      </c>
      <c r="K66" s="5" t="s">
        <v>32</v>
      </c>
      <c r="L66" s="5" t="s">
        <v>417</v>
      </c>
      <c r="M66" s="5" t="s">
        <v>34</v>
      </c>
    </row>
    <row r="67" customFormat="false" ht="15" hidden="false" customHeight="false" outlineLevel="0" collapsed="false">
      <c r="A67" s="5" t="s">
        <v>418</v>
      </c>
      <c r="B67" s="5" t="s">
        <v>405</v>
      </c>
      <c r="C67" s="5" t="s">
        <v>419</v>
      </c>
      <c r="D67" s="5" t="s">
        <v>288</v>
      </c>
      <c r="E67" s="5" t="s">
        <v>420</v>
      </c>
      <c r="F67" s="5" t="s">
        <v>421</v>
      </c>
      <c r="G67" s="5" t="s">
        <v>29</v>
      </c>
      <c r="H67" s="5"/>
      <c r="I67" s="5" t="s">
        <v>422</v>
      </c>
      <c r="J67" s="5" t="s">
        <v>409</v>
      </c>
      <c r="K67" s="5" t="s">
        <v>32</v>
      </c>
      <c r="L67" s="5" t="s">
        <v>423</v>
      </c>
      <c r="M67" s="5" t="s">
        <v>34</v>
      </c>
    </row>
    <row r="68" customFormat="false" ht="15" hidden="false" customHeight="false" outlineLevel="0" collapsed="false">
      <c r="A68" s="5" t="s">
        <v>424</v>
      </c>
      <c r="B68" s="5" t="s">
        <v>405</v>
      </c>
      <c r="C68" s="5" t="s">
        <v>425</v>
      </c>
      <c r="D68" s="5" t="s">
        <v>426</v>
      </c>
      <c r="E68" s="5" t="s">
        <v>427</v>
      </c>
      <c r="F68" s="5" t="s">
        <v>428</v>
      </c>
      <c r="G68" s="5" t="s">
        <v>29</v>
      </c>
      <c r="H68" s="5"/>
      <c r="I68" s="5" t="s">
        <v>385</v>
      </c>
      <c r="J68" s="5" t="s">
        <v>409</v>
      </c>
      <c r="K68" s="5" t="s">
        <v>32</v>
      </c>
      <c r="L68" s="5" t="s">
        <v>429</v>
      </c>
      <c r="M68" s="5" t="s">
        <v>34</v>
      </c>
    </row>
    <row r="69" customFormat="false" ht="15" hidden="false" customHeight="false" outlineLevel="0" collapsed="false">
      <c r="A69" s="5" t="s">
        <v>430</v>
      </c>
      <c r="B69" s="5" t="s">
        <v>405</v>
      </c>
      <c r="C69" s="5" t="s">
        <v>431</v>
      </c>
      <c r="D69" s="5" t="s">
        <v>426</v>
      </c>
      <c r="E69" s="5" t="s">
        <v>432</v>
      </c>
      <c r="F69" s="5" t="s">
        <v>433</v>
      </c>
      <c r="G69" s="5" t="s">
        <v>29</v>
      </c>
      <c r="H69" s="5"/>
      <c r="I69" s="5" t="s">
        <v>434</v>
      </c>
      <c r="J69" s="5" t="s">
        <v>85</v>
      </c>
      <c r="K69" s="5" t="s">
        <v>32</v>
      </c>
      <c r="L69" s="5" t="s">
        <v>435</v>
      </c>
      <c r="M69" s="5" t="s">
        <v>34</v>
      </c>
    </row>
    <row r="70" customFormat="false" ht="15" hidden="false" customHeight="false" outlineLevel="0" collapsed="false">
      <c r="A70" s="5" t="s">
        <v>436</v>
      </c>
      <c r="B70" s="5" t="s">
        <v>405</v>
      </c>
      <c r="C70" s="5" t="s">
        <v>437</v>
      </c>
      <c r="D70" s="5" t="s">
        <v>26</v>
      </c>
      <c r="E70" s="5" t="s">
        <v>438</v>
      </c>
      <c r="F70" s="5" t="s">
        <v>439</v>
      </c>
      <c r="G70" s="5" t="s">
        <v>29</v>
      </c>
      <c r="H70" s="5" t="s">
        <v>440</v>
      </c>
      <c r="I70" s="5" t="s">
        <v>441</v>
      </c>
      <c r="J70" s="5" t="s">
        <v>409</v>
      </c>
      <c r="K70" s="5" t="s">
        <v>32</v>
      </c>
      <c r="L70" s="5" t="s">
        <v>442</v>
      </c>
      <c r="M70" s="5" t="s">
        <v>34</v>
      </c>
    </row>
    <row r="71" customFormat="false" ht="23.85" hidden="false" customHeight="false" outlineLevel="0" collapsed="false">
      <c r="A71" s="5" t="s">
        <v>443</v>
      </c>
      <c r="B71" s="5" t="s">
        <v>405</v>
      </c>
      <c r="C71" s="5" t="s">
        <v>444</v>
      </c>
      <c r="D71" s="5" t="s">
        <v>26</v>
      </c>
      <c r="E71" s="5" t="s">
        <v>445</v>
      </c>
      <c r="F71" s="5" t="s">
        <v>446</v>
      </c>
      <c r="G71" s="5" t="s">
        <v>29</v>
      </c>
      <c r="H71" s="5" t="s">
        <v>447</v>
      </c>
      <c r="I71" s="5" t="s">
        <v>47</v>
      </c>
      <c r="J71" s="5" t="s">
        <v>409</v>
      </c>
      <c r="K71" s="5" t="s">
        <v>32</v>
      </c>
      <c r="L71" s="5" t="s">
        <v>448</v>
      </c>
      <c r="M71" s="5" t="s">
        <v>34</v>
      </c>
    </row>
    <row r="72" customFormat="false" ht="15" hidden="false" customHeight="false" outlineLevel="0" collapsed="false">
      <c r="A72" s="5" t="s">
        <v>449</v>
      </c>
      <c r="B72" s="5" t="s">
        <v>405</v>
      </c>
      <c r="C72" s="5" t="s">
        <v>450</v>
      </c>
      <c r="D72" s="5" t="s">
        <v>26</v>
      </c>
      <c r="E72" s="5" t="s">
        <v>451</v>
      </c>
      <c r="F72" s="5" t="s">
        <v>452</v>
      </c>
      <c r="G72" s="5" t="s">
        <v>29</v>
      </c>
      <c r="H72" s="5" t="s">
        <v>453</v>
      </c>
      <c r="I72" s="5" t="s">
        <v>47</v>
      </c>
      <c r="J72" s="5" t="s">
        <v>409</v>
      </c>
      <c r="K72" s="5" t="s">
        <v>32</v>
      </c>
      <c r="L72" s="5" t="s">
        <v>454</v>
      </c>
      <c r="M72" s="5" t="s">
        <v>34</v>
      </c>
    </row>
    <row r="73" customFormat="false" ht="15" hidden="false" customHeight="false" outlineLevel="0" collapsed="false">
      <c r="A73" s="5" t="s">
        <v>455</v>
      </c>
      <c r="B73" s="5" t="s">
        <v>405</v>
      </c>
      <c r="C73" s="5" t="s">
        <v>456</v>
      </c>
      <c r="D73" s="5" t="s">
        <v>426</v>
      </c>
      <c r="E73" s="5" t="s">
        <v>457</v>
      </c>
      <c r="F73" s="5" t="s">
        <v>458</v>
      </c>
      <c r="G73" s="5" t="s">
        <v>29</v>
      </c>
      <c r="H73" s="5"/>
      <c r="I73" s="5" t="s">
        <v>434</v>
      </c>
      <c r="J73" s="5" t="s">
        <v>409</v>
      </c>
      <c r="K73" s="5" t="s">
        <v>32</v>
      </c>
      <c r="L73" s="5" t="s">
        <v>459</v>
      </c>
      <c r="M73" s="5" t="s">
        <v>34</v>
      </c>
    </row>
    <row r="74" customFormat="false" ht="15" hidden="false" customHeight="false" outlineLevel="0" collapsed="false">
      <c r="A74" s="5" t="s">
        <v>460</v>
      </c>
      <c r="B74" s="5" t="s">
        <v>405</v>
      </c>
      <c r="C74" s="5" t="s">
        <v>461</v>
      </c>
      <c r="D74" s="5" t="s">
        <v>26</v>
      </c>
      <c r="E74" s="5" t="s">
        <v>462</v>
      </c>
      <c r="F74" s="5" t="s">
        <v>463</v>
      </c>
      <c r="G74" s="5" t="s">
        <v>61</v>
      </c>
      <c r="H74" s="5"/>
      <c r="I74" s="5" t="s">
        <v>464</v>
      </c>
      <c r="J74" s="5" t="s">
        <v>85</v>
      </c>
      <c r="K74" s="5" t="s">
        <v>32</v>
      </c>
      <c r="L74" s="5" t="s">
        <v>465</v>
      </c>
      <c r="M74" s="5" t="s">
        <v>34</v>
      </c>
    </row>
    <row r="75" customFormat="false" ht="15" hidden="false" customHeight="false" outlineLevel="0" collapsed="false">
      <c r="A75" s="5" t="s">
        <v>466</v>
      </c>
      <c r="B75" s="5" t="s">
        <v>467</v>
      </c>
      <c r="C75" s="5" t="s">
        <v>461</v>
      </c>
      <c r="D75" s="5" t="s">
        <v>26</v>
      </c>
      <c r="E75" s="5" t="s">
        <v>468</v>
      </c>
      <c r="F75" s="5" t="s">
        <v>463</v>
      </c>
      <c r="G75" s="5" t="s">
        <v>29</v>
      </c>
      <c r="H75" s="5"/>
      <c r="I75" s="5" t="s">
        <v>112</v>
      </c>
      <c r="J75" s="5" t="s">
        <v>469</v>
      </c>
      <c r="K75" s="5" t="s">
        <v>32</v>
      </c>
      <c r="L75" s="5" t="s">
        <v>470</v>
      </c>
      <c r="M75" s="5" t="s">
        <v>34</v>
      </c>
    </row>
    <row r="76" customFormat="false" ht="15" hidden="false" customHeight="false" outlineLevel="0" collapsed="false">
      <c r="A76" s="5" t="s">
        <v>471</v>
      </c>
      <c r="B76" s="5" t="s">
        <v>467</v>
      </c>
      <c r="C76" s="5" t="s">
        <v>472</v>
      </c>
      <c r="D76" s="5" t="s">
        <v>26</v>
      </c>
      <c r="E76" s="5" t="s">
        <v>473</v>
      </c>
      <c r="F76" s="5" t="s">
        <v>474</v>
      </c>
      <c r="G76" s="5" t="s">
        <v>29</v>
      </c>
      <c r="H76" s="5"/>
      <c r="I76" s="5" t="s">
        <v>93</v>
      </c>
      <c r="J76" s="5" t="s">
        <v>469</v>
      </c>
      <c r="K76" s="5" t="s">
        <v>32</v>
      </c>
      <c r="L76" s="5" t="s">
        <v>475</v>
      </c>
      <c r="M76" s="5" t="s">
        <v>34</v>
      </c>
    </row>
    <row r="77" customFormat="false" ht="15" hidden="false" customHeight="false" outlineLevel="0" collapsed="false">
      <c r="A77" s="5" t="s">
        <v>476</v>
      </c>
      <c r="B77" s="5" t="s">
        <v>467</v>
      </c>
      <c r="C77" s="5" t="s">
        <v>477</v>
      </c>
      <c r="D77" s="5" t="s">
        <v>26</v>
      </c>
      <c r="E77" s="5" t="s">
        <v>478</v>
      </c>
      <c r="F77" s="5" t="s">
        <v>479</v>
      </c>
      <c r="G77" s="5" t="s">
        <v>29</v>
      </c>
      <c r="H77" s="5" t="s">
        <v>480</v>
      </c>
      <c r="I77" s="5" t="s">
        <v>47</v>
      </c>
      <c r="J77" s="5" t="s">
        <v>469</v>
      </c>
      <c r="K77" s="5" t="s">
        <v>32</v>
      </c>
      <c r="L77" s="5" t="s">
        <v>481</v>
      </c>
      <c r="M77" s="5" t="s">
        <v>34</v>
      </c>
    </row>
    <row r="78" customFormat="false" ht="15" hidden="false" customHeight="false" outlineLevel="0" collapsed="false">
      <c r="A78" s="5" t="s">
        <v>482</v>
      </c>
      <c r="B78" s="5" t="s">
        <v>467</v>
      </c>
      <c r="C78" s="5" t="s">
        <v>483</v>
      </c>
      <c r="D78" s="5" t="s">
        <v>382</v>
      </c>
      <c r="E78" s="5" t="s">
        <v>484</v>
      </c>
      <c r="F78" s="5" t="s">
        <v>485</v>
      </c>
      <c r="G78" s="5" t="s">
        <v>29</v>
      </c>
      <c r="H78" s="5"/>
      <c r="I78" s="5" t="s">
        <v>486</v>
      </c>
      <c r="J78" s="5" t="s">
        <v>469</v>
      </c>
      <c r="K78" s="5" t="s">
        <v>32</v>
      </c>
      <c r="L78" s="5" t="s">
        <v>487</v>
      </c>
      <c r="M78" s="5" t="s">
        <v>34</v>
      </c>
    </row>
    <row r="79" customFormat="false" ht="15" hidden="false" customHeight="false" outlineLevel="0" collapsed="false">
      <c r="A79" s="5" t="s">
        <v>488</v>
      </c>
      <c r="B79" s="5" t="s">
        <v>467</v>
      </c>
      <c r="C79" s="5" t="s">
        <v>489</v>
      </c>
      <c r="D79" s="5" t="s">
        <v>37</v>
      </c>
      <c r="E79" s="5" t="s">
        <v>490</v>
      </c>
      <c r="F79" s="5" t="s">
        <v>491</v>
      </c>
      <c r="G79" s="5" t="s">
        <v>29</v>
      </c>
      <c r="H79" s="5"/>
      <c r="I79" s="5" t="s">
        <v>492</v>
      </c>
      <c r="J79" s="5" t="s">
        <v>469</v>
      </c>
      <c r="K79" s="5" t="s">
        <v>32</v>
      </c>
      <c r="L79" s="5" t="s">
        <v>493</v>
      </c>
      <c r="M79" s="5" t="s">
        <v>34</v>
      </c>
    </row>
    <row r="80" customFormat="false" ht="15" hidden="false" customHeight="false" outlineLevel="0" collapsed="false">
      <c r="A80" s="5" t="s">
        <v>494</v>
      </c>
      <c r="B80" s="5" t="s">
        <v>495</v>
      </c>
      <c r="C80" s="5" t="s">
        <v>496</v>
      </c>
      <c r="D80" s="5" t="s">
        <v>26</v>
      </c>
      <c r="E80" s="5" t="s">
        <v>497</v>
      </c>
      <c r="F80" s="5" t="s">
        <v>498</v>
      </c>
      <c r="G80" s="5" t="s">
        <v>29</v>
      </c>
      <c r="H80" s="5"/>
      <c r="I80" s="5" t="s">
        <v>112</v>
      </c>
      <c r="J80" s="5" t="s">
        <v>113</v>
      </c>
      <c r="K80" s="5" t="s">
        <v>32</v>
      </c>
      <c r="L80" s="5" t="s">
        <v>499</v>
      </c>
      <c r="M80" s="5" t="s">
        <v>34</v>
      </c>
    </row>
    <row r="81" customFormat="false" ht="15" hidden="false" customHeight="false" outlineLevel="0" collapsed="false">
      <c r="A81" s="5" t="s">
        <v>500</v>
      </c>
      <c r="B81" s="5" t="s">
        <v>495</v>
      </c>
      <c r="C81" s="5" t="s">
        <v>109</v>
      </c>
      <c r="D81" s="5" t="s">
        <v>26</v>
      </c>
      <c r="E81" s="5" t="s">
        <v>501</v>
      </c>
      <c r="F81" s="5" t="s">
        <v>111</v>
      </c>
      <c r="G81" s="5" t="s">
        <v>29</v>
      </c>
      <c r="H81" s="5"/>
      <c r="I81" s="5" t="s">
        <v>274</v>
      </c>
      <c r="J81" s="5" t="s">
        <v>113</v>
      </c>
      <c r="K81" s="5" t="s">
        <v>32</v>
      </c>
      <c r="L81" s="5" t="s">
        <v>502</v>
      </c>
      <c r="M81" s="5" t="s">
        <v>34</v>
      </c>
    </row>
    <row r="82" customFormat="false" ht="15" hidden="false" customHeight="false" outlineLevel="0" collapsed="false">
      <c r="A82" s="5" t="s">
        <v>503</v>
      </c>
      <c r="B82" s="5" t="s">
        <v>495</v>
      </c>
      <c r="C82" s="5" t="s">
        <v>504</v>
      </c>
      <c r="D82" s="5" t="s">
        <v>288</v>
      </c>
      <c r="E82" s="5" t="s">
        <v>505</v>
      </c>
      <c r="F82" s="5" t="s">
        <v>506</v>
      </c>
      <c r="G82" s="5" t="s">
        <v>29</v>
      </c>
      <c r="H82" s="5"/>
      <c r="I82" s="5" t="s">
        <v>422</v>
      </c>
      <c r="J82" s="5" t="s">
        <v>113</v>
      </c>
      <c r="K82" s="5" t="s">
        <v>32</v>
      </c>
      <c r="L82" s="5" t="s">
        <v>507</v>
      </c>
      <c r="M82" s="5" t="s">
        <v>34</v>
      </c>
    </row>
    <row r="83" customFormat="false" ht="15" hidden="false" customHeight="false" outlineLevel="0" collapsed="false">
      <c r="A83" s="5" t="s">
        <v>508</v>
      </c>
      <c r="B83" s="5" t="s">
        <v>495</v>
      </c>
      <c r="C83" s="5" t="s">
        <v>509</v>
      </c>
      <c r="D83" s="5" t="s">
        <v>288</v>
      </c>
      <c r="E83" s="5" t="s">
        <v>510</v>
      </c>
      <c r="F83" s="5" t="s">
        <v>511</v>
      </c>
      <c r="G83" s="5" t="s">
        <v>61</v>
      </c>
      <c r="H83" s="5"/>
      <c r="I83" s="5" t="s">
        <v>512</v>
      </c>
      <c r="J83" s="5" t="s">
        <v>113</v>
      </c>
      <c r="K83" s="5" t="s">
        <v>32</v>
      </c>
      <c r="L83" s="5" t="s">
        <v>513</v>
      </c>
      <c r="M83" s="5" t="s">
        <v>34</v>
      </c>
    </row>
    <row r="84" customFormat="false" ht="23.85" hidden="false" customHeight="false" outlineLevel="0" collapsed="false">
      <c r="A84" s="5" t="s">
        <v>514</v>
      </c>
      <c r="B84" s="5" t="s">
        <v>495</v>
      </c>
      <c r="C84" s="5" t="s">
        <v>515</v>
      </c>
      <c r="D84" s="5" t="s">
        <v>26</v>
      </c>
      <c r="E84" s="5" t="s">
        <v>516</v>
      </c>
      <c r="F84" s="5" t="s">
        <v>517</v>
      </c>
      <c r="G84" s="5" t="s">
        <v>29</v>
      </c>
      <c r="H84" s="5" t="s">
        <v>518</v>
      </c>
      <c r="I84" s="5" t="s">
        <v>47</v>
      </c>
      <c r="J84" s="5" t="s">
        <v>113</v>
      </c>
      <c r="K84" s="5" t="s">
        <v>32</v>
      </c>
      <c r="L84" s="5" t="s">
        <v>519</v>
      </c>
      <c r="M84" s="5" t="s">
        <v>34</v>
      </c>
    </row>
    <row r="85" customFormat="false" ht="15" hidden="false" customHeight="false" outlineLevel="0" collapsed="false">
      <c r="A85" s="5" t="s">
        <v>520</v>
      </c>
      <c r="B85" s="5" t="s">
        <v>495</v>
      </c>
      <c r="C85" s="5" t="s">
        <v>521</v>
      </c>
      <c r="D85" s="5" t="s">
        <v>26</v>
      </c>
      <c r="E85" s="5" t="s">
        <v>522</v>
      </c>
      <c r="F85" s="5" t="s">
        <v>523</v>
      </c>
      <c r="G85" s="5" t="s">
        <v>29</v>
      </c>
      <c r="H85" s="5" t="s">
        <v>524</v>
      </c>
      <c r="I85" s="5" t="s">
        <v>47</v>
      </c>
      <c r="J85" s="5" t="s">
        <v>113</v>
      </c>
      <c r="K85" s="5" t="s">
        <v>32</v>
      </c>
      <c r="L85" s="5" t="s">
        <v>525</v>
      </c>
      <c r="M85" s="5" t="s">
        <v>34</v>
      </c>
    </row>
    <row r="86" customFormat="false" ht="23.85" hidden="false" customHeight="false" outlineLevel="0" collapsed="false">
      <c r="A86" s="5" t="s">
        <v>526</v>
      </c>
      <c r="B86" s="5" t="s">
        <v>495</v>
      </c>
      <c r="C86" s="5" t="s">
        <v>527</v>
      </c>
      <c r="D86" s="5" t="s">
        <v>26</v>
      </c>
      <c r="E86" s="5" t="s">
        <v>528</v>
      </c>
      <c r="F86" s="5" t="s">
        <v>529</v>
      </c>
      <c r="G86" s="5" t="s">
        <v>29</v>
      </c>
      <c r="H86" s="5" t="s">
        <v>530</v>
      </c>
      <c r="I86" s="5" t="s">
        <v>47</v>
      </c>
      <c r="J86" s="5" t="s">
        <v>113</v>
      </c>
      <c r="K86" s="5" t="s">
        <v>32</v>
      </c>
      <c r="L86" s="5" t="s">
        <v>531</v>
      </c>
      <c r="M86" s="5" t="s">
        <v>34</v>
      </c>
    </row>
    <row r="87" customFormat="false" ht="15" hidden="false" customHeight="false" outlineLevel="0" collapsed="false">
      <c r="A87" s="5" t="s">
        <v>532</v>
      </c>
      <c r="B87" s="5" t="s">
        <v>495</v>
      </c>
      <c r="C87" s="5" t="s">
        <v>533</v>
      </c>
      <c r="D87" s="5" t="s">
        <v>426</v>
      </c>
      <c r="E87" s="5" t="s">
        <v>534</v>
      </c>
      <c r="F87" s="5" t="s">
        <v>535</v>
      </c>
      <c r="G87" s="5" t="s">
        <v>61</v>
      </c>
      <c r="H87" s="5"/>
      <c r="I87" s="5" t="s">
        <v>385</v>
      </c>
      <c r="J87" s="5" t="s">
        <v>157</v>
      </c>
      <c r="K87" s="5" t="s">
        <v>32</v>
      </c>
      <c r="L87" s="5" t="s">
        <v>536</v>
      </c>
      <c r="M87" s="5" t="s">
        <v>34</v>
      </c>
    </row>
    <row r="88" customFormat="false" ht="15" hidden="false" customHeight="false" outlineLevel="0" collapsed="false">
      <c r="A88" s="5" t="s">
        <v>537</v>
      </c>
      <c r="B88" s="5" t="s">
        <v>495</v>
      </c>
      <c r="C88" s="5" t="s">
        <v>538</v>
      </c>
      <c r="D88" s="5" t="s">
        <v>26</v>
      </c>
      <c r="E88" s="5" t="s">
        <v>539</v>
      </c>
      <c r="F88" s="5" t="s">
        <v>540</v>
      </c>
      <c r="G88" s="5" t="s">
        <v>61</v>
      </c>
      <c r="H88" s="5"/>
      <c r="I88" s="5" t="s">
        <v>541</v>
      </c>
      <c r="J88" s="5" t="s">
        <v>113</v>
      </c>
      <c r="K88" s="5" t="s">
        <v>71</v>
      </c>
      <c r="L88" s="5" t="s">
        <v>542</v>
      </c>
      <c r="M88" s="5" t="s">
        <v>34</v>
      </c>
    </row>
    <row r="89" customFormat="false" ht="15" hidden="false" customHeight="false" outlineLevel="0" collapsed="false">
      <c r="A89" s="5" t="s">
        <v>543</v>
      </c>
      <c r="B89" s="5" t="s">
        <v>544</v>
      </c>
      <c r="C89" s="5" t="s">
        <v>545</v>
      </c>
      <c r="D89" s="5" t="s">
        <v>26</v>
      </c>
      <c r="E89" s="5" t="s">
        <v>546</v>
      </c>
      <c r="F89" s="5" t="s">
        <v>547</v>
      </c>
      <c r="G89" s="5" t="s">
        <v>29</v>
      </c>
      <c r="H89" s="5"/>
      <c r="I89" s="5" t="s">
        <v>112</v>
      </c>
      <c r="J89" s="5" t="s">
        <v>548</v>
      </c>
      <c r="K89" s="5" t="s">
        <v>32</v>
      </c>
      <c r="L89" s="5" t="s">
        <v>549</v>
      </c>
      <c r="M89" s="5" t="s">
        <v>34</v>
      </c>
    </row>
    <row r="90" customFormat="false" ht="15" hidden="false" customHeight="false" outlineLevel="0" collapsed="false">
      <c r="A90" s="5" t="s">
        <v>550</v>
      </c>
      <c r="B90" s="5" t="s">
        <v>544</v>
      </c>
      <c r="C90" s="5" t="s">
        <v>25</v>
      </c>
      <c r="D90" s="5" t="s">
        <v>26</v>
      </c>
      <c r="E90" s="5" t="s">
        <v>551</v>
      </c>
      <c r="F90" s="5" t="s">
        <v>28</v>
      </c>
      <c r="G90" s="5" t="s">
        <v>29</v>
      </c>
      <c r="H90" s="5"/>
      <c r="I90" s="5" t="s">
        <v>270</v>
      </c>
      <c r="J90" s="5" t="s">
        <v>548</v>
      </c>
      <c r="K90" s="5" t="s">
        <v>32</v>
      </c>
      <c r="L90" s="5" t="s">
        <v>552</v>
      </c>
      <c r="M90" s="5" t="s">
        <v>34</v>
      </c>
    </row>
    <row r="91" customFormat="false" ht="15" hidden="false" customHeight="false" outlineLevel="0" collapsed="false">
      <c r="A91" s="5" t="s">
        <v>553</v>
      </c>
      <c r="B91" s="5" t="s">
        <v>544</v>
      </c>
      <c r="C91" s="5" t="s">
        <v>264</v>
      </c>
      <c r="D91" s="5" t="s">
        <v>26</v>
      </c>
      <c r="E91" s="5" t="s">
        <v>554</v>
      </c>
      <c r="F91" s="5" t="s">
        <v>266</v>
      </c>
      <c r="G91" s="5" t="s">
        <v>61</v>
      </c>
      <c r="H91" s="5"/>
      <c r="I91" s="5" t="s">
        <v>413</v>
      </c>
      <c r="J91" s="5" t="s">
        <v>548</v>
      </c>
      <c r="K91" s="5" t="s">
        <v>32</v>
      </c>
      <c r="L91" s="5" t="s">
        <v>555</v>
      </c>
      <c r="M91" s="5" t="s">
        <v>34</v>
      </c>
    </row>
    <row r="92" customFormat="false" ht="15" hidden="false" customHeight="false" outlineLevel="0" collapsed="false">
      <c r="A92" s="5" t="s">
        <v>556</v>
      </c>
      <c r="B92" s="5" t="s">
        <v>544</v>
      </c>
      <c r="C92" s="5" t="s">
        <v>557</v>
      </c>
      <c r="D92" s="5" t="s">
        <v>288</v>
      </c>
      <c r="E92" s="5" t="s">
        <v>558</v>
      </c>
      <c r="F92" s="5" t="s">
        <v>559</v>
      </c>
      <c r="G92" s="5" t="s">
        <v>29</v>
      </c>
      <c r="H92" s="5"/>
      <c r="I92" s="5" t="s">
        <v>422</v>
      </c>
      <c r="J92" s="5" t="s">
        <v>548</v>
      </c>
      <c r="K92" s="5" t="s">
        <v>32</v>
      </c>
      <c r="L92" s="5" t="s">
        <v>560</v>
      </c>
      <c r="M92" s="5" t="s">
        <v>34</v>
      </c>
    </row>
    <row r="93" customFormat="false" ht="23.85" hidden="false" customHeight="false" outlineLevel="0" collapsed="false">
      <c r="A93" s="5" t="s">
        <v>561</v>
      </c>
      <c r="B93" s="5" t="s">
        <v>544</v>
      </c>
      <c r="C93" s="5" t="s">
        <v>562</v>
      </c>
      <c r="D93" s="5" t="s">
        <v>26</v>
      </c>
      <c r="E93" s="5" t="s">
        <v>563</v>
      </c>
      <c r="F93" s="5" t="s">
        <v>564</v>
      </c>
      <c r="G93" s="5" t="s">
        <v>29</v>
      </c>
      <c r="H93" s="5" t="s">
        <v>565</v>
      </c>
      <c r="I93" s="5" t="s">
        <v>47</v>
      </c>
      <c r="J93" s="5" t="s">
        <v>548</v>
      </c>
      <c r="K93" s="5" t="s">
        <v>32</v>
      </c>
      <c r="L93" s="5" t="s">
        <v>566</v>
      </c>
      <c r="M93" s="5" t="s">
        <v>34</v>
      </c>
    </row>
    <row r="94" customFormat="false" ht="15" hidden="false" customHeight="false" outlineLevel="0" collapsed="false">
      <c r="A94" s="5" t="s">
        <v>567</v>
      </c>
      <c r="B94" s="5" t="s">
        <v>544</v>
      </c>
      <c r="C94" s="5" t="s">
        <v>568</v>
      </c>
      <c r="D94" s="5" t="s">
        <v>26</v>
      </c>
      <c r="E94" s="5" t="s">
        <v>569</v>
      </c>
      <c r="F94" s="5" t="s">
        <v>570</v>
      </c>
      <c r="G94" s="5" t="s">
        <v>29</v>
      </c>
      <c r="H94" s="5" t="s">
        <v>571</v>
      </c>
      <c r="I94" s="5" t="s">
        <v>47</v>
      </c>
      <c r="J94" s="5" t="s">
        <v>548</v>
      </c>
      <c r="K94" s="5" t="s">
        <v>32</v>
      </c>
      <c r="L94" s="5" t="s">
        <v>572</v>
      </c>
      <c r="M94" s="5" t="s">
        <v>34</v>
      </c>
    </row>
    <row r="95" customFormat="false" ht="15" hidden="false" customHeight="false" outlineLevel="0" collapsed="false">
      <c r="A95" s="5" t="s">
        <v>573</v>
      </c>
      <c r="B95" s="5" t="s">
        <v>544</v>
      </c>
      <c r="C95" s="5" t="s">
        <v>574</v>
      </c>
      <c r="D95" s="5" t="s">
        <v>288</v>
      </c>
      <c r="E95" s="5" t="s">
        <v>575</v>
      </c>
      <c r="F95" s="5" t="s">
        <v>576</v>
      </c>
      <c r="G95" s="5" t="s">
        <v>61</v>
      </c>
      <c r="H95" s="5"/>
      <c r="I95" s="5" t="s">
        <v>577</v>
      </c>
      <c r="J95" s="5" t="s">
        <v>548</v>
      </c>
      <c r="K95" s="5" t="s">
        <v>32</v>
      </c>
      <c r="L95" s="5" t="s">
        <v>578</v>
      </c>
      <c r="M95" s="5" t="s">
        <v>34</v>
      </c>
    </row>
    <row r="96" customFormat="false" ht="15" hidden="false" customHeight="false" outlineLevel="0" collapsed="false">
      <c r="A96" s="5" t="s">
        <v>579</v>
      </c>
      <c r="B96" s="5" t="s">
        <v>544</v>
      </c>
      <c r="C96" s="5" t="s">
        <v>580</v>
      </c>
      <c r="D96" s="5" t="s">
        <v>67</v>
      </c>
      <c r="E96" s="5" t="s">
        <v>581</v>
      </c>
      <c r="F96" s="5" t="s">
        <v>582</v>
      </c>
      <c r="G96" s="5" t="s">
        <v>61</v>
      </c>
      <c r="H96" s="5" t="s">
        <v>367</v>
      </c>
      <c r="I96" s="5" t="s">
        <v>368</v>
      </c>
      <c r="J96" s="5" t="s">
        <v>548</v>
      </c>
      <c r="K96" s="5" t="s">
        <v>32</v>
      </c>
      <c r="L96" s="5" t="s">
        <v>583</v>
      </c>
      <c r="M96" s="5" t="s">
        <v>34</v>
      </c>
    </row>
    <row r="97" customFormat="false" ht="15" hidden="false" customHeight="false" outlineLevel="0" collapsed="false">
      <c r="A97" s="5" t="s">
        <v>584</v>
      </c>
      <c r="B97" s="5" t="s">
        <v>585</v>
      </c>
      <c r="C97" s="5" t="s">
        <v>586</v>
      </c>
      <c r="D97" s="5" t="s">
        <v>26</v>
      </c>
      <c r="E97" s="5" t="s">
        <v>587</v>
      </c>
      <c r="F97" s="5" t="s">
        <v>588</v>
      </c>
      <c r="G97" s="5" t="s">
        <v>29</v>
      </c>
      <c r="H97" s="5"/>
      <c r="I97" s="5" t="s">
        <v>112</v>
      </c>
      <c r="J97" s="5" t="s">
        <v>589</v>
      </c>
      <c r="K97" s="5" t="s">
        <v>32</v>
      </c>
      <c r="L97" s="5" t="s">
        <v>590</v>
      </c>
      <c r="M97" s="5" t="s">
        <v>34</v>
      </c>
    </row>
    <row r="98" customFormat="false" ht="15" hidden="false" customHeight="false" outlineLevel="0" collapsed="false">
      <c r="A98" s="5" t="s">
        <v>591</v>
      </c>
      <c r="B98" s="5" t="s">
        <v>585</v>
      </c>
      <c r="C98" s="5" t="s">
        <v>25</v>
      </c>
      <c r="D98" s="5" t="s">
        <v>26</v>
      </c>
      <c r="E98" s="5" t="s">
        <v>592</v>
      </c>
      <c r="F98" s="5" t="s">
        <v>28</v>
      </c>
      <c r="G98" s="5" t="s">
        <v>61</v>
      </c>
      <c r="H98" s="5"/>
      <c r="I98" s="5" t="s">
        <v>593</v>
      </c>
      <c r="J98" s="5" t="s">
        <v>589</v>
      </c>
      <c r="K98" s="5" t="s">
        <v>32</v>
      </c>
      <c r="L98" s="5" t="s">
        <v>594</v>
      </c>
      <c r="M98" s="5" t="s">
        <v>34</v>
      </c>
    </row>
    <row r="99" customFormat="false" ht="15" hidden="false" customHeight="false" outlineLevel="0" collapsed="false">
      <c r="A99" s="5" t="s">
        <v>595</v>
      </c>
      <c r="B99" s="5" t="s">
        <v>585</v>
      </c>
      <c r="C99" s="5" t="s">
        <v>596</v>
      </c>
      <c r="D99" s="5" t="s">
        <v>26</v>
      </c>
      <c r="E99" s="5" t="s">
        <v>597</v>
      </c>
      <c r="F99" s="5" t="s">
        <v>598</v>
      </c>
      <c r="G99" s="5" t="s">
        <v>29</v>
      </c>
      <c r="H99" s="5"/>
      <c r="I99" s="5" t="s">
        <v>93</v>
      </c>
      <c r="J99" s="5" t="s">
        <v>589</v>
      </c>
      <c r="K99" s="5" t="s">
        <v>32</v>
      </c>
      <c r="L99" s="5" t="s">
        <v>599</v>
      </c>
      <c r="M99" s="5" t="s">
        <v>34</v>
      </c>
    </row>
    <row r="100" customFormat="false" ht="15" hidden="false" customHeight="false" outlineLevel="0" collapsed="false">
      <c r="A100" s="5" t="s">
        <v>600</v>
      </c>
      <c r="B100" s="5" t="s">
        <v>585</v>
      </c>
      <c r="C100" s="5" t="s">
        <v>601</v>
      </c>
      <c r="D100" s="5" t="s">
        <v>288</v>
      </c>
      <c r="E100" s="5" t="s">
        <v>602</v>
      </c>
      <c r="F100" s="5" t="s">
        <v>603</v>
      </c>
      <c r="G100" s="5" t="s">
        <v>29</v>
      </c>
      <c r="H100" s="5"/>
      <c r="I100" s="5" t="s">
        <v>422</v>
      </c>
      <c r="J100" s="5" t="s">
        <v>589</v>
      </c>
      <c r="K100" s="5" t="s">
        <v>32</v>
      </c>
      <c r="L100" s="5" t="s">
        <v>604</v>
      </c>
      <c r="M100" s="5" t="s">
        <v>34</v>
      </c>
    </row>
    <row r="101" customFormat="false" ht="35.05" hidden="false" customHeight="false" outlineLevel="0" collapsed="false">
      <c r="A101" s="5" t="s">
        <v>605</v>
      </c>
      <c r="B101" s="5" t="s">
        <v>585</v>
      </c>
      <c r="C101" s="5" t="s">
        <v>606</v>
      </c>
      <c r="D101" s="5" t="s">
        <v>26</v>
      </c>
      <c r="E101" s="5" t="s">
        <v>607</v>
      </c>
      <c r="F101" s="5" t="s">
        <v>608</v>
      </c>
      <c r="G101" s="5" t="s">
        <v>29</v>
      </c>
      <c r="H101" s="5" t="s">
        <v>609</v>
      </c>
      <c r="I101" s="5" t="s">
        <v>610</v>
      </c>
      <c r="J101" s="5" t="s">
        <v>589</v>
      </c>
      <c r="K101" s="5" t="s">
        <v>32</v>
      </c>
      <c r="L101" s="5" t="s">
        <v>611</v>
      </c>
      <c r="M101" s="5" t="s">
        <v>34</v>
      </c>
    </row>
    <row r="102" customFormat="false" ht="15" hidden="false" customHeight="false" outlineLevel="0" collapsed="false">
      <c r="A102" s="5" t="s">
        <v>612</v>
      </c>
      <c r="B102" s="5" t="s">
        <v>585</v>
      </c>
      <c r="C102" s="5" t="s">
        <v>613</v>
      </c>
      <c r="D102" s="5" t="s">
        <v>26</v>
      </c>
      <c r="E102" s="5" t="s">
        <v>614</v>
      </c>
      <c r="F102" s="5" t="s">
        <v>615</v>
      </c>
      <c r="G102" s="5" t="s">
        <v>29</v>
      </c>
      <c r="H102" s="5" t="s">
        <v>616</v>
      </c>
      <c r="I102" s="5" t="s">
        <v>47</v>
      </c>
      <c r="J102" s="5" t="s">
        <v>589</v>
      </c>
      <c r="K102" s="5" t="s">
        <v>32</v>
      </c>
      <c r="L102" s="5" t="s">
        <v>617</v>
      </c>
      <c r="M102" s="5" t="s">
        <v>34</v>
      </c>
    </row>
    <row r="103" customFormat="false" ht="15" hidden="false" customHeight="false" outlineLevel="0" collapsed="false">
      <c r="A103" s="5" t="s">
        <v>618</v>
      </c>
      <c r="B103" s="5" t="s">
        <v>585</v>
      </c>
      <c r="C103" s="5" t="s">
        <v>619</v>
      </c>
      <c r="D103" s="5" t="s">
        <v>26</v>
      </c>
      <c r="E103" s="5" t="s">
        <v>620</v>
      </c>
      <c r="F103" s="5" t="s">
        <v>621</v>
      </c>
      <c r="G103" s="5" t="s">
        <v>29</v>
      </c>
      <c r="H103" s="5"/>
      <c r="I103" s="5" t="s">
        <v>622</v>
      </c>
      <c r="J103" s="5" t="s">
        <v>589</v>
      </c>
      <c r="K103" s="5" t="s">
        <v>32</v>
      </c>
      <c r="L103" s="5" t="s">
        <v>623</v>
      </c>
      <c r="M103" s="5" t="s">
        <v>34</v>
      </c>
    </row>
    <row r="104" customFormat="false" ht="15" hidden="false" customHeight="false" outlineLevel="0" collapsed="false">
      <c r="A104" s="5" t="s">
        <v>624</v>
      </c>
      <c r="B104" s="5" t="s">
        <v>585</v>
      </c>
      <c r="C104" s="5" t="s">
        <v>625</v>
      </c>
      <c r="D104" s="5" t="s">
        <v>26</v>
      </c>
      <c r="E104" s="5" t="s">
        <v>626</v>
      </c>
      <c r="F104" s="5" t="s">
        <v>627</v>
      </c>
      <c r="G104" s="5" t="s">
        <v>61</v>
      </c>
      <c r="H104" s="5"/>
      <c r="I104" s="5" t="s">
        <v>628</v>
      </c>
      <c r="J104" s="5" t="s">
        <v>589</v>
      </c>
      <c r="K104" s="5" t="s">
        <v>71</v>
      </c>
      <c r="L104" s="5" t="s">
        <v>629</v>
      </c>
      <c r="M104" s="5" t="s">
        <v>34</v>
      </c>
    </row>
    <row r="105" customFormat="false" ht="23.85" hidden="false" customHeight="false" outlineLevel="0" collapsed="false">
      <c r="A105" s="5" t="s">
        <v>630</v>
      </c>
      <c r="B105" s="5" t="s">
        <v>631</v>
      </c>
      <c r="C105" s="5" t="s">
        <v>632</v>
      </c>
      <c r="D105" s="5" t="s">
        <v>26</v>
      </c>
      <c r="E105" s="5" t="s">
        <v>633</v>
      </c>
      <c r="F105" s="5" t="s">
        <v>634</v>
      </c>
      <c r="G105" s="5" t="s">
        <v>29</v>
      </c>
      <c r="H105" s="5"/>
      <c r="I105" s="5" t="s">
        <v>112</v>
      </c>
      <c r="J105" s="5" t="s">
        <v>150</v>
      </c>
      <c r="K105" s="5" t="s">
        <v>32</v>
      </c>
      <c r="L105" s="5" t="s">
        <v>635</v>
      </c>
      <c r="M105" s="5" t="s">
        <v>34</v>
      </c>
    </row>
    <row r="106" customFormat="false" ht="15" hidden="false" customHeight="false" outlineLevel="0" collapsed="false">
      <c r="A106" s="5" t="s">
        <v>636</v>
      </c>
      <c r="B106" s="5" t="s">
        <v>631</v>
      </c>
      <c r="C106" s="5" t="s">
        <v>637</v>
      </c>
      <c r="D106" s="5" t="s">
        <v>288</v>
      </c>
      <c r="E106" s="5" t="s">
        <v>638</v>
      </c>
      <c r="F106" s="5" t="s">
        <v>639</v>
      </c>
      <c r="G106" s="5" t="s">
        <v>29</v>
      </c>
      <c r="H106" s="5"/>
      <c r="I106" s="5" t="s">
        <v>640</v>
      </c>
      <c r="J106" s="5" t="s">
        <v>150</v>
      </c>
      <c r="K106" s="5" t="s">
        <v>32</v>
      </c>
      <c r="L106" s="5" t="s">
        <v>641</v>
      </c>
      <c r="M106" s="5" t="s">
        <v>34</v>
      </c>
    </row>
    <row r="107" customFormat="false" ht="15" hidden="false" customHeight="false" outlineLevel="0" collapsed="false">
      <c r="A107" s="5" t="s">
        <v>642</v>
      </c>
      <c r="B107" s="5" t="s">
        <v>631</v>
      </c>
      <c r="C107" s="5" t="s">
        <v>109</v>
      </c>
      <c r="D107" s="5" t="s">
        <v>26</v>
      </c>
      <c r="E107" s="5" t="s">
        <v>643</v>
      </c>
      <c r="F107" s="5" t="s">
        <v>111</v>
      </c>
      <c r="G107" s="5" t="s">
        <v>29</v>
      </c>
      <c r="H107" s="5"/>
      <c r="I107" s="5" t="s">
        <v>274</v>
      </c>
      <c r="J107" s="5" t="s">
        <v>150</v>
      </c>
      <c r="K107" s="5" t="s">
        <v>32</v>
      </c>
      <c r="L107" s="5" t="s">
        <v>644</v>
      </c>
      <c r="M107" s="5" t="s">
        <v>34</v>
      </c>
    </row>
    <row r="108" customFormat="false" ht="15" hidden="false" customHeight="false" outlineLevel="0" collapsed="false">
      <c r="A108" s="5" t="s">
        <v>645</v>
      </c>
      <c r="B108" s="5" t="s">
        <v>631</v>
      </c>
      <c r="C108" s="5" t="s">
        <v>167</v>
      </c>
      <c r="D108" s="5" t="s">
        <v>26</v>
      </c>
      <c r="E108" s="5" t="s">
        <v>646</v>
      </c>
      <c r="F108" s="5" t="s">
        <v>169</v>
      </c>
      <c r="G108" s="5" t="s">
        <v>61</v>
      </c>
      <c r="H108" s="5"/>
      <c r="I108" s="5" t="s">
        <v>279</v>
      </c>
      <c r="J108" s="5" t="s">
        <v>150</v>
      </c>
      <c r="K108" s="5" t="s">
        <v>32</v>
      </c>
      <c r="L108" s="5" t="s">
        <v>647</v>
      </c>
      <c r="M108" s="5" t="s">
        <v>34</v>
      </c>
    </row>
    <row r="109" customFormat="false" ht="15" hidden="false" customHeight="false" outlineLevel="0" collapsed="false">
      <c r="A109" s="5" t="s">
        <v>648</v>
      </c>
      <c r="B109" s="5" t="s">
        <v>631</v>
      </c>
      <c r="C109" s="5" t="s">
        <v>649</v>
      </c>
      <c r="D109" s="5" t="s">
        <v>67</v>
      </c>
      <c r="E109" s="5" t="s">
        <v>650</v>
      </c>
      <c r="F109" s="5" t="s">
        <v>651</v>
      </c>
      <c r="G109" s="5" t="s">
        <v>61</v>
      </c>
      <c r="H109" s="5"/>
      <c r="I109" s="5" t="s">
        <v>332</v>
      </c>
      <c r="J109" s="5" t="s">
        <v>150</v>
      </c>
      <c r="K109" s="5" t="s">
        <v>32</v>
      </c>
      <c r="L109" s="5" t="s">
        <v>652</v>
      </c>
      <c r="M109" s="5" t="s">
        <v>34</v>
      </c>
    </row>
    <row r="110" customFormat="false" ht="23.85" hidden="false" customHeight="false" outlineLevel="0" collapsed="false">
      <c r="A110" s="5" t="s">
        <v>653</v>
      </c>
      <c r="B110" s="5" t="s">
        <v>631</v>
      </c>
      <c r="C110" s="5" t="s">
        <v>654</v>
      </c>
      <c r="D110" s="5" t="s">
        <v>26</v>
      </c>
      <c r="E110" s="5" t="s">
        <v>655</v>
      </c>
      <c r="F110" s="5" t="s">
        <v>142</v>
      </c>
      <c r="G110" s="5" t="s">
        <v>29</v>
      </c>
      <c r="H110" s="5" t="s">
        <v>656</v>
      </c>
      <c r="I110" s="5" t="s">
        <v>47</v>
      </c>
      <c r="J110" s="5" t="s">
        <v>150</v>
      </c>
      <c r="K110" s="5" t="s">
        <v>32</v>
      </c>
      <c r="L110" s="5" t="s">
        <v>657</v>
      </c>
      <c r="M110" s="5" t="s">
        <v>34</v>
      </c>
    </row>
  </sheetData>
  <autoFilter ref="A1:M110"/>
  <dataValidations count="3">
    <dataValidation allowBlank="false" errorStyle="stop" operator="between" showDropDown="false" showErrorMessage="false" showInputMessage="false" sqref="G2:G210" type="list">
      <formula1>"Yes,No"</formula1>
      <formula2>0</formula2>
    </dataValidation>
    <dataValidation allowBlank="false" errorStyle="stop" operator="between" showDropDown="false" showErrorMessage="false" showInputMessage="false" sqref="K2:K210" type="list">
      <formula1>"Public,Internal,Restricted"</formula1>
      <formula2>0</formula2>
    </dataValidation>
    <dataValidation allowBlank="false" errorStyle="stop" operator="between" showDropDown="false" showErrorMessage="false" showInputMessage="false" sqref="M2:M210" type="list">
      <formula1>"Confirmed,Proposed"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4" t="s">
        <v>11</v>
      </c>
      <c r="B1" s="4" t="s">
        <v>658</v>
      </c>
      <c r="C1" s="4" t="s">
        <v>659</v>
      </c>
      <c r="D1" s="4" t="s">
        <v>660</v>
      </c>
      <c r="E1" s="4" t="s">
        <v>661</v>
      </c>
      <c r="F1" s="4" t="s">
        <v>662</v>
      </c>
      <c r="G1" s="4" t="s">
        <v>663</v>
      </c>
    </row>
    <row r="2" customFormat="false" ht="15" hidden="false" customHeight="false" outlineLevel="0" collapsed="false">
      <c r="A2" s="6" t="s">
        <v>24</v>
      </c>
      <c r="B2" s="6" t="s">
        <v>664</v>
      </c>
      <c r="C2" s="6" t="s">
        <v>665</v>
      </c>
      <c r="D2" s="6" t="n">
        <f aca="false">COUNTIF('Data Dictionary'!$B$2:$B$210,A2)</f>
        <v>11</v>
      </c>
      <c r="E2" s="6" t="n">
        <f aca="false">COUNTIFS('Data Dictionary'!$B$2:$B$210,A2,'Data Dictionary'!$G$2:$G$210,"Yes")</f>
        <v>7</v>
      </c>
      <c r="F2" s="6" t="n">
        <f aca="false">COUNTIFS('Data Dictionary'!$B$2:$B$210,A2,'Data Dictionary'!$K$2:$K$210,"Restricted")</f>
        <v>3</v>
      </c>
      <c r="G2" s="6" t="n">
        <f aca="false">COUNTIFS('Data Dictionary'!$B$2:$B$210,A2,'Data Dictionary'!$M$2:$M$210,"Proposed")</f>
        <v>11</v>
      </c>
    </row>
    <row r="3" customFormat="false" ht="15" hidden="false" customHeight="false" outlineLevel="0" collapsed="false">
      <c r="A3" s="6" t="s">
        <v>108</v>
      </c>
      <c r="B3" s="6" t="s">
        <v>664</v>
      </c>
      <c r="C3" s="6" t="s">
        <v>666</v>
      </c>
      <c r="D3" s="6" t="n">
        <f aca="false">COUNTIF('Data Dictionary'!$B$2:$B$210,A3)</f>
        <v>9</v>
      </c>
      <c r="E3" s="6" t="n">
        <f aca="false">COUNTIFS('Data Dictionary'!$B$2:$B$210,A3,'Data Dictionary'!$G$2:$G$210,"Yes")</f>
        <v>6</v>
      </c>
      <c r="F3" s="6" t="n">
        <f aca="false">COUNTIFS('Data Dictionary'!$B$2:$B$210,A3,'Data Dictionary'!$K$2:$K$210,"Restricted")</f>
        <v>0</v>
      </c>
      <c r="G3" s="6" t="n">
        <f aca="false">COUNTIFS('Data Dictionary'!$B$2:$B$210,A3,'Data Dictionary'!$M$2:$M$210,"Proposed")</f>
        <v>9</v>
      </c>
    </row>
    <row r="4" customFormat="false" ht="15" hidden="false" customHeight="false" outlineLevel="0" collapsed="false">
      <c r="A4" s="6" t="s">
        <v>166</v>
      </c>
      <c r="B4" s="6" t="s">
        <v>664</v>
      </c>
      <c r="C4" s="6" t="s">
        <v>667</v>
      </c>
      <c r="D4" s="6" t="n">
        <f aca="false">COUNTIF('Data Dictionary'!$B$2:$B$210,A4)</f>
        <v>10</v>
      </c>
      <c r="E4" s="6" t="n">
        <f aca="false">COUNTIFS('Data Dictionary'!$B$2:$B$210,A4,'Data Dictionary'!$G$2:$G$210,"Yes")</f>
        <v>9</v>
      </c>
      <c r="F4" s="6" t="n">
        <f aca="false">COUNTIFS('Data Dictionary'!$B$2:$B$210,A4,'Data Dictionary'!$K$2:$K$210,"Restricted")</f>
        <v>0</v>
      </c>
      <c r="G4" s="6" t="n">
        <f aca="false">COUNTIFS('Data Dictionary'!$B$2:$B$210,A4,'Data Dictionary'!$M$2:$M$210,"Proposed")</f>
        <v>10</v>
      </c>
    </row>
    <row r="5" customFormat="false" ht="15" hidden="false" customHeight="false" outlineLevel="0" collapsed="false">
      <c r="A5" s="6" t="s">
        <v>226</v>
      </c>
      <c r="B5" s="6" t="s">
        <v>664</v>
      </c>
      <c r="C5" s="6" t="s">
        <v>668</v>
      </c>
      <c r="D5" s="6" t="n">
        <f aca="false">COUNTIF('Data Dictionary'!$B$2:$B$210,A5)</f>
        <v>6</v>
      </c>
      <c r="E5" s="6" t="n">
        <f aca="false">COUNTIFS('Data Dictionary'!$B$2:$B$210,A5,'Data Dictionary'!$G$2:$G$210,"Yes")</f>
        <v>6</v>
      </c>
      <c r="F5" s="6" t="n">
        <f aca="false">COUNTIFS('Data Dictionary'!$B$2:$B$210,A5,'Data Dictionary'!$K$2:$K$210,"Restricted")</f>
        <v>0</v>
      </c>
      <c r="G5" s="6" t="n">
        <f aca="false">COUNTIFS('Data Dictionary'!$B$2:$B$210,A5,'Data Dictionary'!$M$2:$M$210,"Proposed")</f>
        <v>6</v>
      </c>
    </row>
    <row r="6" customFormat="false" ht="15" hidden="false" customHeight="false" outlineLevel="0" collapsed="false">
      <c r="A6" s="6" t="s">
        <v>371</v>
      </c>
      <c r="B6" s="6" t="s">
        <v>664</v>
      </c>
      <c r="C6" s="6" t="s">
        <v>669</v>
      </c>
      <c r="D6" s="6" t="n">
        <f aca="false">COUNTIF('Data Dictionary'!$B$2:$B$210,A6)</f>
        <v>6</v>
      </c>
      <c r="E6" s="6" t="n">
        <f aca="false">COUNTIFS('Data Dictionary'!$B$2:$B$210,A6,'Data Dictionary'!$G$2:$G$210,"Yes")</f>
        <v>6</v>
      </c>
      <c r="F6" s="6" t="n">
        <f aca="false">COUNTIFS('Data Dictionary'!$B$2:$B$210,A6,'Data Dictionary'!$K$2:$K$210,"Restricted")</f>
        <v>0</v>
      </c>
      <c r="G6" s="6" t="n">
        <f aca="false">COUNTIFS('Data Dictionary'!$B$2:$B$210,A6,'Data Dictionary'!$M$2:$M$210,"Proposed")</f>
        <v>6</v>
      </c>
    </row>
    <row r="7" customFormat="false" ht="15" hidden="false" customHeight="false" outlineLevel="0" collapsed="false">
      <c r="A7" s="6" t="s">
        <v>467</v>
      </c>
      <c r="B7" s="6" t="s">
        <v>664</v>
      </c>
      <c r="C7" s="6" t="s">
        <v>670</v>
      </c>
      <c r="D7" s="6" t="n">
        <f aca="false">COUNTIF('Data Dictionary'!$B$2:$B$210,A7)</f>
        <v>5</v>
      </c>
      <c r="E7" s="6" t="n">
        <f aca="false">COUNTIFS('Data Dictionary'!$B$2:$B$210,A7,'Data Dictionary'!$G$2:$G$210,"Yes")</f>
        <v>5</v>
      </c>
      <c r="F7" s="6" t="n">
        <f aca="false">COUNTIFS('Data Dictionary'!$B$2:$B$210,A7,'Data Dictionary'!$K$2:$K$210,"Restricted")</f>
        <v>0</v>
      </c>
      <c r="G7" s="6" t="n">
        <f aca="false">COUNTIFS('Data Dictionary'!$B$2:$B$210,A7,'Data Dictionary'!$M$2:$M$210,"Proposed")</f>
        <v>5</v>
      </c>
    </row>
    <row r="8" customFormat="false" ht="15" hidden="false" customHeight="false" outlineLevel="0" collapsed="false">
      <c r="A8" s="6" t="s">
        <v>263</v>
      </c>
      <c r="B8" s="6" t="s">
        <v>671</v>
      </c>
      <c r="C8" s="6" t="s">
        <v>672</v>
      </c>
      <c r="D8" s="6" t="n">
        <f aca="false">COUNTIF('Data Dictionary'!$B$2:$B$210,A8)</f>
        <v>20</v>
      </c>
      <c r="E8" s="6" t="n">
        <f aca="false">COUNTIFS('Data Dictionary'!$B$2:$B$210,A8,'Data Dictionary'!$G$2:$G$210,"Yes")</f>
        <v>8</v>
      </c>
      <c r="F8" s="6" t="n">
        <f aca="false">COUNTIFS('Data Dictionary'!$B$2:$B$210,A8,'Data Dictionary'!$K$2:$K$210,"Restricted")</f>
        <v>4</v>
      </c>
      <c r="G8" s="6" t="n">
        <f aca="false">COUNTIFS('Data Dictionary'!$B$2:$B$210,A8,'Data Dictionary'!$M$2:$M$210,"Proposed")</f>
        <v>20</v>
      </c>
    </row>
    <row r="9" customFormat="false" ht="15" hidden="false" customHeight="false" outlineLevel="0" collapsed="false">
      <c r="A9" s="6" t="s">
        <v>405</v>
      </c>
      <c r="B9" s="6" t="s">
        <v>671</v>
      </c>
      <c r="C9" s="6" t="s">
        <v>673</v>
      </c>
      <c r="D9" s="6" t="n">
        <f aca="false">COUNTIF('Data Dictionary'!$B$2:$B$210,A9)</f>
        <v>11</v>
      </c>
      <c r="E9" s="6" t="n">
        <f aca="false">COUNTIFS('Data Dictionary'!$B$2:$B$210,A9,'Data Dictionary'!$G$2:$G$210,"Yes")</f>
        <v>9</v>
      </c>
      <c r="F9" s="6" t="n">
        <f aca="false">COUNTIFS('Data Dictionary'!$B$2:$B$210,A9,'Data Dictionary'!$K$2:$K$210,"Restricted")</f>
        <v>0</v>
      </c>
      <c r="G9" s="6" t="n">
        <f aca="false">COUNTIFS('Data Dictionary'!$B$2:$B$210,A9,'Data Dictionary'!$M$2:$M$210,"Proposed")</f>
        <v>11</v>
      </c>
    </row>
    <row r="10" customFormat="false" ht="15" hidden="false" customHeight="false" outlineLevel="0" collapsed="false">
      <c r="A10" s="6" t="s">
        <v>495</v>
      </c>
      <c r="B10" s="6" t="s">
        <v>671</v>
      </c>
      <c r="C10" s="6" t="s">
        <v>674</v>
      </c>
      <c r="D10" s="6" t="n">
        <f aca="false">COUNTIF('Data Dictionary'!$B$2:$B$210,A10)</f>
        <v>9</v>
      </c>
      <c r="E10" s="6" t="n">
        <f aca="false">COUNTIFS('Data Dictionary'!$B$2:$B$210,A10,'Data Dictionary'!$G$2:$G$210,"Yes")</f>
        <v>6</v>
      </c>
      <c r="F10" s="6" t="n">
        <f aca="false">COUNTIFS('Data Dictionary'!$B$2:$B$210,A10,'Data Dictionary'!$K$2:$K$210,"Restricted")</f>
        <v>1</v>
      </c>
      <c r="G10" s="6" t="n">
        <f aca="false">COUNTIFS('Data Dictionary'!$B$2:$B$210,A10,'Data Dictionary'!$M$2:$M$210,"Proposed")</f>
        <v>9</v>
      </c>
    </row>
    <row r="11" customFormat="false" ht="15" hidden="false" customHeight="false" outlineLevel="0" collapsed="false">
      <c r="A11" s="6" t="s">
        <v>544</v>
      </c>
      <c r="B11" s="6" t="s">
        <v>671</v>
      </c>
      <c r="C11" s="6" t="s">
        <v>675</v>
      </c>
      <c r="D11" s="6" t="n">
        <f aca="false">COUNTIF('Data Dictionary'!$B$2:$B$210,A11)</f>
        <v>8</v>
      </c>
      <c r="E11" s="6" t="n">
        <f aca="false">COUNTIFS('Data Dictionary'!$B$2:$B$210,A11,'Data Dictionary'!$G$2:$G$210,"Yes")</f>
        <v>5</v>
      </c>
      <c r="F11" s="6" t="n">
        <f aca="false">COUNTIFS('Data Dictionary'!$B$2:$B$210,A11,'Data Dictionary'!$K$2:$K$210,"Restricted")</f>
        <v>0</v>
      </c>
      <c r="G11" s="6" t="n">
        <f aca="false">COUNTIFS('Data Dictionary'!$B$2:$B$210,A11,'Data Dictionary'!$M$2:$M$210,"Proposed")</f>
        <v>8</v>
      </c>
    </row>
    <row r="12" customFormat="false" ht="15" hidden="false" customHeight="false" outlineLevel="0" collapsed="false">
      <c r="A12" s="6" t="s">
        <v>585</v>
      </c>
      <c r="B12" s="6" t="s">
        <v>671</v>
      </c>
      <c r="C12" s="6" t="s">
        <v>676</v>
      </c>
      <c r="D12" s="6" t="n">
        <f aca="false">COUNTIF('Data Dictionary'!$B$2:$B$210,A12)</f>
        <v>8</v>
      </c>
      <c r="E12" s="6" t="n">
        <f aca="false">COUNTIFS('Data Dictionary'!$B$2:$B$210,A12,'Data Dictionary'!$G$2:$G$210,"Yes")</f>
        <v>6</v>
      </c>
      <c r="F12" s="6" t="n">
        <f aca="false">COUNTIFS('Data Dictionary'!$B$2:$B$210,A12,'Data Dictionary'!$K$2:$K$210,"Restricted")</f>
        <v>1</v>
      </c>
      <c r="G12" s="6" t="n">
        <f aca="false">COUNTIFS('Data Dictionary'!$B$2:$B$210,A12,'Data Dictionary'!$M$2:$M$210,"Proposed")</f>
        <v>8</v>
      </c>
    </row>
    <row r="13" customFormat="false" ht="15" hidden="false" customHeight="false" outlineLevel="0" collapsed="false">
      <c r="A13" s="6" t="s">
        <v>631</v>
      </c>
      <c r="B13" s="6" t="s">
        <v>671</v>
      </c>
      <c r="C13" s="6" t="s">
        <v>677</v>
      </c>
      <c r="D13" s="6" t="n">
        <f aca="false">COUNTIF('Data Dictionary'!$B$2:$B$210,A13)</f>
        <v>6</v>
      </c>
      <c r="E13" s="6" t="n">
        <f aca="false">COUNTIFS('Data Dictionary'!$B$2:$B$210,A13,'Data Dictionary'!$G$2:$G$210,"Yes")</f>
        <v>4</v>
      </c>
      <c r="F13" s="6" t="n">
        <f aca="false">COUNTIFS('Data Dictionary'!$B$2:$B$210,A13,'Data Dictionary'!$K$2:$K$210,"Restricted")</f>
        <v>0</v>
      </c>
      <c r="G13" s="6" t="n">
        <f aca="false">COUNTIFS('Data Dictionary'!$B$2:$B$210,A13,'Data Dictionary'!$M$2:$M$210,"Proposed")</f>
        <v>6</v>
      </c>
    </row>
    <row r="14" customFormat="false" ht="15" hidden="false" customHeight="false" outlineLevel="0" collapsed="false">
      <c r="A14" s="7" t="s">
        <v>678</v>
      </c>
      <c r="B14" s="7"/>
      <c r="C14" s="7"/>
      <c r="D14" s="7" t="n">
        <f aca="false">SUM(D2:D13)</f>
        <v>109</v>
      </c>
      <c r="E14" s="7" t="n">
        <f aca="false">SUM(E2:E13)</f>
        <v>77</v>
      </c>
      <c r="F14" s="7" t="n">
        <f aca="false">SUM(F2:F13)</f>
        <v>9</v>
      </c>
      <c r="G14" s="7" t="n">
        <f aca="false">SUM(G2:G13)</f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4" t="s">
        <v>679</v>
      </c>
      <c r="B1" s="4" t="s">
        <v>680</v>
      </c>
      <c r="C1" s="4" t="s">
        <v>681</v>
      </c>
      <c r="D1" s="4" t="s">
        <v>682</v>
      </c>
    </row>
    <row r="2" customFormat="false" ht="15" hidden="false" customHeight="false" outlineLevel="0" collapsed="false">
      <c r="A2" s="6" t="s">
        <v>683</v>
      </c>
      <c r="B2" s="6" t="n">
        <f aca="false">COUNTA('Data Dictionary'!$C$2:$C$210)</f>
        <v>109</v>
      </c>
      <c r="C2" s="6" t="s">
        <v>684</v>
      </c>
      <c r="D2" s="6" t="str">
        <f aca="false">IF(B2&gt;=75,"PASS","FAIL")</f>
        <v>PASS</v>
      </c>
    </row>
    <row r="3" customFormat="false" ht="15" hidden="false" customHeight="false" outlineLevel="0" collapsed="false">
      <c r="A3" s="6" t="s">
        <v>685</v>
      </c>
      <c r="B3" s="6" t="n">
        <f aca="false">COUNTA('Entity Summary'!A2:A13)</f>
        <v>12</v>
      </c>
      <c r="C3" s="6" t="s">
        <v>686</v>
      </c>
      <c r="D3" s="6" t="str">
        <f aca="false">IF(B3&gt;=1,"PASS","FAIL")</f>
        <v>PASS</v>
      </c>
    </row>
    <row r="4" customFormat="false" ht="15" hidden="false" customHeight="false" outlineLevel="0" collapsed="false">
      <c r="A4" s="6" t="s">
        <v>687</v>
      </c>
      <c r="B4" s="6" t="n">
        <f aca="false">SUMPRODUCT(('Data Dictionary'!$B$2:$B$210&lt;&gt;"")*(COUNTIFS('Data Dictionary'!$B$2:$B$210,'Data Dictionary'!$B$2:$B$210,'Data Dictionary'!$C$2:$C$210,'Data Dictionary'!$C$2:$C$210)&gt;1))</f>
        <v>0</v>
      </c>
      <c r="C4" s="6" t="s">
        <v>688</v>
      </c>
      <c r="D4" s="6" t="str">
        <f aca="false">IF(B4=0,"PASS","FAIL")</f>
        <v>PASS</v>
      </c>
    </row>
    <row r="5" customFormat="false" ht="15" hidden="false" customHeight="false" outlineLevel="0" collapsed="false">
      <c r="A5" s="6" t="s">
        <v>689</v>
      </c>
      <c r="B5" s="6" t="n">
        <f aca="false">SUMPRODUCT(('Data Dictionary'!$C$2:$C$210&lt;&gt;"")*(('Data Dictionary'!$D$2:$D$210="")+('Data Dictionary'!$E$2:$E$210="")+('Data Dictionary'!$F$2:$F$210="")+('Data Dictionary'!$G$2:$G$210="")+('Data Dictionary'!$I$2:$I$210="")+('Data Dictionary'!$J$2:$J$210="")+('Data Dictionary'!$K$2:$K$210="")+('Data Dictionary'!$L$2:$L$210="")+('Data Dictionary'!$M$2:$M$210="")&gt;0))</f>
        <v>0</v>
      </c>
      <c r="C5" s="6" t="s">
        <v>688</v>
      </c>
      <c r="D5" s="6" t="str">
        <f aca="false">IF(B5=0,"PASS","FAIL")</f>
        <v>PASS</v>
      </c>
    </row>
    <row r="6" customFormat="false" ht="15" hidden="false" customHeight="false" outlineLevel="0" collapsed="false">
      <c r="A6" s="6" t="s">
        <v>690</v>
      </c>
      <c r="B6" s="6" t="n">
        <f aca="false">COUNTIF('Data Dictionary'!$M$2:$M$210,"Proposed")</f>
        <v>109</v>
      </c>
      <c r="C6" s="6" t="s">
        <v>691</v>
      </c>
      <c r="D6" s="6" t="str">
        <f aca="false">IF(B6=0,"DONE","OPEN")</f>
        <v>OPEN</v>
      </c>
    </row>
    <row r="7" customFormat="false" ht="15" hidden="false" customHeight="false" outlineLevel="0" collapsed="false">
      <c r="A7" s="6" t="s">
        <v>692</v>
      </c>
      <c r="B7" s="8" t="n">
        <f aca="false">COUNTIF('Data Dictionary'!$M$2:$M$210,"Confirmed")/B2</f>
        <v>0</v>
      </c>
      <c r="C7" s="6" t="s">
        <v>693</v>
      </c>
      <c r="D7" s="6" t="str">
        <f aca="false">IF(B7=1,"DONE","OPEN")</f>
        <v>OPEN</v>
      </c>
    </row>
    <row r="8" customFormat="false" ht="15" hidden="false" customHeight="false" outlineLevel="0" collapsed="false">
      <c r="A8" s="6" t="s">
        <v>694</v>
      </c>
      <c r="B8" s="8" t="n">
        <f aca="false">COUNTIF('Data Dictionary'!$K$2:$K$210,"Restricted")/B2</f>
        <v>0.0825688073394496</v>
      </c>
      <c r="C8" s="6" t="s">
        <v>695</v>
      </c>
      <c r="D8" s="6" t="str">
        <f aca="false">IF(B8&lt;=0.2,"OK","REVIEW")</f>
        <v>OK</v>
      </c>
    </row>
    <row r="9" customFormat="false" ht="15" hidden="false" customHeight="false" outlineLevel="0" collapsed="false">
      <c r="A9" s="6" t="s">
        <v>696</v>
      </c>
      <c r="B9" s="6" t="n">
        <f aca="false">'Entity Summary'!D14-B2</f>
        <v>0</v>
      </c>
      <c r="C9" s="6" t="s">
        <v>688</v>
      </c>
      <c r="D9" s="6" t="str">
        <f aca="false">IF(B9=0,"PASS","FAIL")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3" t="s">
        <v>697</v>
      </c>
    </row>
    <row r="2" customFormat="false" ht="23.85" hidden="false" customHeight="false" outlineLevel="0" collapsed="false">
      <c r="A2" s="2" t="s">
        <v>698</v>
      </c>
    </row>
    <row r="3" customFormat="false" ht="23.85" hidden="false" customHeight="false" outlineLevel="0" collapsed="false">
      <c r="A3" s="2" t="s">
        <v>699</v>
      </c>
    </row>
    <row r="4" customFormat="false" ht="15" hidden="false" customHeight="false" outlineLevel="0" collapsed="false">
      <c r="A4" s="2" t="s">
        <v>700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701</v>
      </c>
    </row>
    <row r="7" customFormat="false" ht="15" hidden="false" customHeight="false" outlineLevel="0" collapsed="false">
      <c r="A7" s="2" t="s">
        <v>702</v>
      </c>
    </row>
    <row r="8" customFormat="false" ht="15" hidden="false" customHeight="false" outlineLevel="0" collapsed="false">
      <c r="A8" s="2" t="s">
        <v>703</v>
      </c>
    </row>
    <row r="9" customFormat="false" ht="15" hidden="false" customHeight="false" outlineLevel="0" collapsed="false">
      <c r="A9" s="2" t="s">
        <v>704</v>
      </c>
    </row>
    <row r="10" customFormat="false" ht="15" hidden="false" customHeight="false" outlineLevel="0" collapsed="false">
      <c r="A10" s="2" t="s">
        <v>705</v>
      </c>
    </row>
    <row r="11" customFormat="false" ht="15" hidden="false" customHeight="false" outlineLevel="0" collapsed="false">
      <c r="A11" s="2" t="s">
        <v>706</v>
      </c>
    </row>
    <row r="12" customFormat="false" ht="15" hidden="false" customHeight="false" outlineLevel="0" collapsed="false">
      <c r="A12" s="2" t="s">
        <v>707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708</v>
      </c>
    </row>
    <row r="15" customFormat="false" ht="23.85" hidden="false" customHeight="false" outlineLevel="0" collapsed="false">
      <c r="A15" s="2" t="s">
        <v>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2026-10-17T06:06:19Z</dcterms:created>
  <dc:creator>openpyxl</dc:creator>
  <dc:description/>
  <dc:language>en-US</dc:language>
  <cp:lastModifiedBy/>
  <dcterms:modified xsi:type="dcterms:W3CDTF">2026-10-17T06:06:19Z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