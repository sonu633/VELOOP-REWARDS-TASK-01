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ta" sheetId="2" state="visible" r:id="rId4"/>
  </sheets>
  <definedNames>
    <definedName function="false" hidden="true" localSheetId="1" name="_xlnm._FilterDatabase" vbProcedure="false">Data!$A$1:$F$9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<sst xmlns="http://schemas.openxmlformats.org/spreadsheetml/2006/main" count="79" uniqueCount="46">
  <si>
    <t xml:space="preserve">User Engagement Dashboard</t>
  </si>
  <si>
    <t xml:space="preserve">Total Events</t>
  </si>
  <si>
    <t xml:space="preserve">Unique Users</t>
  </si>
  <si>
    <t xml:space="preserve">Tasks Completed</t>
  </si>
  <si>
    <t xml:space="preserve">Completion Rate</t>
  </si>
  <si>
    <t xml:space="preserve">Total Session Min</t>
  </si>
  <si>
    <t xml:space="preserve">Avg Session Min</t>
  </si>
  <si>
    <t xml:space="preserve">Performance by Feature</t>
  </si>
  <si>
    <t xml:space="preserve">Task Status Split</t>
  </si>
  <si>
    <t xml:space="preserve">Feature</t>
  </si>
  <si>
    <t xml:space="preserve">Events</t>
  </si>
  <si>
    <t xml:space="preserve">Completed</t>
  </si>
  <si>
    <t xml:space="preserve">Completion %</t>
  </si>
  <si>
    <t xml:space="preserve">Total Min</t>
  </si>
  <si>
    <t xml:space="preserve">Avg Min</t>
  </si>
  <si>
    <t xml:space="preserve">Status</t>
  </si>
  <si>
    <t xml:space="preserve">% of Events</t>
  </si>
  <si>
    <t xml:space="preserve">Daily Rewards</t>
  </si>
  <si>
    <t xml:space="preserve">Tasks</t>
  </si>
  <si>
    <t xml:space="preserve">Started</t>
  </si>
  <si>
    <t xml:space="preserve">Games</t>
  </si>
  <si>
    <t xml:space="preserve">Daily Activity</t>
  </si>
  <si>
    <t xml:space="preserve">Activity by User</t>
  </si>
  <si>
    <t xml:space="preserve">Date</t>
  </si>
  <si>
    <t xml:space="preserve">User</t>
  </si>
  <si>
    <t xml:space="preserve">U001</t>
  </si>
  <si>
    <t xml:space="preserve">U002</t>
  </si>
  <si>
    <t xml:space="preserve">U003</t>
  </si>
  <si>
    <t xml:space="preserve">U004</t>
  </si>
  <si>
    <t xml:space="preserve">U005</t>
  </si>
  <si>
    <t xml:space="preserve">U007</t>
  </si>
  <si>
    <t xml:space="preserve">U008</t>
  </si>
  <si>
    <t xml:space="preserve">Event_ID</t>
  </si>
  <si>
    <t xml:space="preserve">User_ID</t>
  </si>
  <si>
    <t xml:space="preserve">Event_Date</t>
  </si>
  <si>
    <t xml:space="preserve">Task_Status</t>
  </si>
  <si>
    <t xml:space="preserve">Session_Minutes</t>
  </si>
  <si>
    <t xml:space="preserve">Note: Dashboard formulas read Data rows 2–500, so you can append new events below row 9 and everything updates.</t>
  </si>
  <si>
    <t xml:space="preserve">E001</t>
  </si>
  <si>
    <t xml:space="preserve">E002</t>
  </si>
  <si>
    <t xml:space="preserve">E003</t>
  </si>
  <si>
    <t xml:space="preserve">E004</t>
  </si>
  <si>
    <t xml:space="preserve">E005</t>
  </si>
  <si>
    <t xml:space="preserve">E006</t>
  </si>
  <si>
    <t xml:space="preserve">E007</t>
  </si>
  <si>
    <t xml:space="preserve">E008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</si>
</sst>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0.0%"/>
    <numFmt numFmtId="167" formatCode="#,##0"/>
    <numFmt numFmtId="168" formatCode="0.0"/>
    <numFmt numFmtId="169" formatCode="dd\ mmm"/>
    <numFmt numFmtId="170" formatCode="yyyy\-mm\-dd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1"/>
      <color rgb="FFFFFFFF"/>
      <name val="Arial"/>
      <family val="0"/>
      <charset val="1"/>
    </font>
    <font>
      <i val="true"/>
      <sz val="11"/>
      <color rgb="FF7F7F7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4F81BD"/>
      </patternFill>
    </fill>
    <fill>
      <patternFill patternType="solid">
        <fgColor rgb="FFDDEBF7"/>
        <bgColor rgb="FFF2F2F2"/>
      </patternFill>
    </fill>
    <fill>
      <patternFill patternType="solid">
        <fgColor rgb="FFF2F2F2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C0504D"/>
      <rgbColor rgb="FFF2F2F2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4F81BD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Session Minutes by Feature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Dashboard!F8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rgbClr val="2e75b6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Dashboard!$B$9:$B$11</c:f>
              <c:strCache>
                <c:ptCount val="3"/>
                <c:pt idx="0">
                  <c:v>Daily Rewards</c:v>
                </c:pt>
                <c:pt idx="1">
                  <c:v>Tasks</c:v>
                </c:pt>
                <c:pt idx="2">
                  <c:v>Games</c:v>
                </c:pt>
              </c:strCache>
            </c:strRef>
          </c:cat>
          <c:val>
            <c:numRef>
              <c:f>Dashboard!$F$9:$F$11</c:f>
              <c:numCache>
                <c:formatCode>#,##0</c:formatCode>
                <c:ptCount val="3"/>
                <c:pt idx="0">
                  <c:v>41</c:v>
                </c:pt>
                <c:pt idx="1">
                  <c:v>55</c:v>
                </c:pt>
                <c:pt idx="2">
                  <c:v>26</c:v>
                </c:pt>
              </c:numCache>
            </c:numRef>
          </c:val>
        </c:ser>
        <c:gapWidth val="150"/>
        <c:overlap val="0"/>
        <c:axId val="59729100"/>
        <c:axId val="47649972"/>
      </c:barChart>
      <c:catAx>
        <c:axId val="59729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649972"/>
        <c:crosses val="autoZero"/>
        <c:auto val="1"/>
        <c:lblAlgn val="ctr"/>
        <c:lblOffset val="100"/>
        <c:noMultiLvlLbl val="0"/>
      </c:catAx>
      <c:valAx>
        <c:axId val="47649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7291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Task Status Split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Dashboard!J8</c:f>
              <c:strCache>
                <c:ptCount val="1"/>
                <c:pt idx="0">
                  <c:v>Events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1"/>
              <c:separator>
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1"/>
            <c:separator>
</c:separator>
            <c:showLeaderLines val="0"/>
          </c:dLbls>
          <c:cat>
            <c:strRef>
              <c:f>Dashboard!$I$9:$I$10</c:f>
              <c:strCache>
                <c:ptCount val="2"/>
                <c:pt idx="0">
                  <c:v>Completed</c:v>
                </c:pt>
                <c:pt idx="1">
                  <c:v>Started</c:v>
                </c:pt>
              </c:strCache>
            </c:strRef>
          </c:cat>
          <c:val>
            <c:numRef>
              <c:f>Dashboard!$J$9:$J$10</c:f>
              <c:numCache>
                <c:formatCode>0</c:formatCode>
                <c:ptCount val="2"/>
                <c:pt idx="0">
                  <c:v>6</c:v>
                </c:pt>
                <c:pt idx="1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Daily Session Minutes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Dashboard!D15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rgbClr val="1f3864"/>
            </a:solidFill>
            <a:ln w="28440">
              <a:solidFill>
                <a:srgbClr val="1f3864"/>
              </a:solidFill>
              <a:round/>
            </a:ln>
          </c:spPr>
          <c:marker>
            <c:symbol val="circle"/>
            <c:size val="5"/>
            <c:spPr>
              <a:solidFill>
                <a:srgbClr val="1f386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Dashboard!$B$16:$B$19</c:f>
              <c:strCache>
                <c:ptCount val="4"/>
                <c:pt idx="0">
                  <c:v>08 Oct</c:v>
                </c:pt>
                <c:pt idx="1">
                  <c:v>09 Oct</c:v>
                </c:pt>
                <c:pt idx="2">
                  <c:v>10 Oct</c:v>
                </c:pt>
                <c:pt idx="3">
                  <c:v>11 Oct</c:v>
                </c:pt>
              </c:strCache>
            </c:strRef>
          </c:cat>
          <c:val>
            <c:numRef>
              <c:f>Dashboard!$D$16:$D$19</c:f>
              <c:numCache>
                <c:formatCode>#,##0</c:formatCode>
                <c:ptCount val="4"/>
                <c:pt idx="0">
                  <c:v>32</c:v>
                </c:pt>
                <c:pt idx="1">
                  <c:v>23</c:v>
                </c:pt>
                <c:pt idx="2">
                  <c:v>43</c:v>
                </c:pt>
                <c:pt idx="3">
                  <c:v>24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149400"/>
        <c:axId val="40222818"/>
      </c:lineChart>
      <c:catAx>
        <c:axId val="7149400"/>
        <c:scaling>
          <c:orientation val="minMax"/>
        </c:scaling>
        <c:delete val="0"/>
        <c:axPos val="b"/>
        <c:numFmt formatCode="dd\ mmm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222818"/>
        <c:crosses val="autoZero"/>
        <c:auto val="1"/>
        <c:lblAlgn val="ctr"/>
        <c:lblOffset val="100"/>
        <c:noMultiLvlLbl val="0"/>
      </c:catAx>
      <c:valAx>
        <c:axId val="4022281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14940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Session Minutes by User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Dashboard!K15</c:f>
              <c:strCache>
                <c:ptCount val="1"/>
                <c:pt idx="0">
                  <c:v>Total Min</c:v>
                </c:pt>
              </c:strCache>
            </c:strRef>
          </c:tx>
          <c:spPr>
            <a:solidFill>
              <a:srgbClr val="1f386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Dashboard!$I$16:$I$22</c:f>
              <c:strCache>
                <c:ptCount val="7"/>
                <c:pt idx="0">
                  <c:v>U001</c:v>
                </c:pt>
                <c:pt idx="1">
                  <c:v>U002</c:v>
                </c:pt>
                <c:pt idx="2">
                  <c:v>U003</c:v>
                </c:pt>
                <c:pt idx="3">
                  <c:v>U004</c:v>
                </c:pt>
                <c:pt idx="4">
                  <c:v>U005</c:v>
                </c:pt>
                <c:pt idx="5">
                  <c:v>U007</c:v>
                </c:pt>
                <c:pt idx="6">
                  <c:v>U008</c:v>
                </c:pt>
              </c:strCache>
            </c:strRef>
          </c:cat>
          <c:val>
            <c:numRef>
              <c:f>Dashboard!$K$16:$K$22</c:f>
              <c:numCache>
                <c:formatCode>#,##0</c:formatCode>
                <c:ptCount val="7"/>
                <c:pt idx="0">
                  <c:v>30</c:v>
                </c:pt>
                <c:pt idx="1">
                  <c:v>20</c:v>
                </c:pt>
                <c:pt idx="2">
                  <c:v>8</c:v>
                </c:pt>
                <c:pt idx="3">
                  <c:v>15</c:v>
                </c:pt>
                <c:pt idx="4">
                  <c:v>25</c:v>
                </c:pt>
                <c:pt idx="5">
                  <c:v>10</c:v>
                </c:pt>
                <c:pt idx="6">
                  <c:v>14</c:v>
                </c:pt>
              </c:numCache>
            </c:numRef>
          </c:val>
        </c:ser>
        <c:gapWidth val="150"/>
        <c:overlap val="0"/>
        <c:axId val="21834820"/>
        <c:axId val="89735980"/>
      </c:barChart>
      <c:catAx>
        <c:axId val="218348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9735980"/>
        <c:crosses val="autoZero"/>
        <c:auto val="1"/>
        <c:lblAlgn val="ctr"/>
        <c:lblOffset val="100"/>
        <c:noMultiLvlLbl val="0"/>
      </c:catAx>
      <c:valAx>
        <c:axId val="8973598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8348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24</xdr:row>
      <xdr:rowOff>0</xdr:rowOff>
    </xdr:from>
    <xdr:to>
      <xdr:col>5</xdr:col>
      <xdr:colOff>701280</xdr:colOff>
      <xdr:row>37</xdr:row>
      <xdr:rowOff>43200</xdr:rowOff>
    </xdr:to>
    <xdr:graphicFrame>
      <xdr:nvGraphicFramePr>
        <xdr:cNvPr id="0" name="Chart 1"/>
        <xdr:cNvGraphicFramePr/>
      </xdr:nvGraphicFramePr>
      <xdr:xfrm>
        <a:off x="141120" y="517212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0</xdr:colOff>
      <xdr:row>24</xdr:row>
      <xdr:rowOff>0</xdr:rowOff>
    </xdr:from>
    <xdr:to>
      <xdr:col>12</xdr:col>
      <xdr:colOff>700920</xdr:colOff>
      <xdr:row>37</xdr:row>
      <xdr:rowOff>43200</xdr:rowOff>
    </xdr:to>
    <xdr:graphicFrame>
      <xdr:nvGraphicFramePr>
        <xdr:cNvPr id="1" name="Chart 2"/>
        <xdr:cNvGraphicFramePr/>
      </xdr:nvGraphicFramePr>
      <xdr:xfrm>
        <a:off x="6484680" y="517212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5</xdr:col>
      <xdr:colOff>701280</xdr:colOff>
      <xdr:row>52</xdr:row>
      <xdr:rowOff>42840</xdr:rowOff>
    </xdr:to>
    <xdr:graphicFrame>
      <xdr:nvGraphicFramePr>
        <xdr:cNvPr id="2" name="Chart 3"/>
        <xdr:cNvGraphicFramePr/>
      </xdr:nvGraphicFramePr>
      <xdr:xfrm>
        <a:off x="141120" y="802944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0</xdr:colOff>
      <xdr:row>39</xdr:row>
      <xdr:rowOff>0</xdr:rowOff>
    </xdr:from>
    <xdr:to>
      <xdr:col>12</xdr:col>
      <xdr:colOff>700920</xdr:colOff>
      <xdr:row>52</xdr:row>
      <xdr:rowOff>42840</xdr:rowOff>
    </xdr:to>
    <xdr:graphicFrame>
      <xdr:nvGraphicFramePr>
        <xdr:cNvPr id="3" name="Chart 4"/>
        <xdr:cNvGraphicFramePr/>
      </xdr:nvGraphicFramePr>
      <xdr:xfrm>
        <a:off x="6484680" y="8029440"/>
        <a:ext cx="48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7"/>
    <col collapsed="false" customWidth="true" hidden="false" outlineLevel="0" max="7" min="3" style="0" width="14"/>
    <col collapsed="false" customWidth="true" hidden="false" outlineLevel="0" max="8" min="8" style="0" width="3"/>
    <col collapsed="false" customWidth="true" hidden="false" outlineLevel="0" max="9" min="9" style="0" width="17"/>
    <col collapsed="false" customWidth="true" hidden="false" outlineLevel="0" max="14" min="10" style="0" width="14"/>
    <col collapsed="false" customWidth="true" hidden="false" outlineLevel="0" max="16" min="15" style="0" width="3"/>
  </cols>
  <sheetData>
    <row r="1" customFormat="false" ht="39.75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B2" s="2" t="str">
        <f aca="false">"Period: "&amp;TEXT(MIN(Data!C2:C500),"dd mmm yyyy")&amp;" – "&amp;TEXT(MAX(Data!C2:C500),"dd mmm yyyy")</f>
        <v>Period: 08 Oct 2026 – 11 Oct 2026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15" hidden="false" customHeight="false" outlineLevel="0" collapsed="false">
      <c r="B4" s="3" t="s">
        <v>1</v>
      </c>
      <c r="C4" s="3"/>
      <c r="D4" s="3" t="s">
        <v>2</v>
      </c>
      <c r="E4" s="3"/>
      <c r="F4" s="3" t="s">
        <v>3</v>
      </c>
      <c r="G4" s="3"/>
      <c r="I4" s="3" t="s">
        <v>4</v>
      </c>
      <c r="J4" s="3"/>
      <c r="K4" s="3" t="s">
        <v>5</v>
      </c>
      <c r="L4" s="3"/>
      <c r="M4" s="3" t="s">
        <v>6</v>
      </c>
      <c r="N4" s="3"/>
    </row>
    <row r="5" customFormat="false" ht="37.5" hidden="false" customHeight="true" outlineLevel="0" collapsed="false">
      <c r="B5" s="4" t="n">
        <f aca="false">COUNTA(Data!A2:A500)</f>
        <v>8</v>
      </c>
      <c r="C5" s="4"/>
      <c r="D5" s="4" t="n">
        <f aca="false">SUMPRODUCT((Data!$B$2:$B$500&lt;&gt;"")/COUNTIF(Data!$B$2:$B$500,Data!$B$2:$B$500&amp;""))</f>
        <v>7</v>
      </c>
      <c r="E5" s="4"/>
      <c r="F5" s="4" t="n">
        <f aca="false">COUNTIF(Data!$E$2:$E$500,"Completed")</f>
        <v>6</v>
      </c>
      <c r="G5" s="4"/>
      <c r="I5" s="5" t="n">
        <f aca="false">IFERROR(F5/B5,0)</f>
        <v>0.75</v>
      </c>
      <c r="J5" s="5"/>
      <c r="K5" s="6" t="n">
        <f aca="false">SUM(Data!$F$2:$F$500)</f>
        <v>122</v>
      </c>
      <c r="L5" s="6"/>
      <c r="M5" s="7" t="n">
        <f aca="false">IFERROR(K5/B5,0)</f>
        <v>15.25</v>
      </c>
      <c r="N5" s="7"/>
    </row>
    <row r="7" customFormat="false" ht="15" hidden="false" customHeight="false" outlineLevel="0" collapsed="false">
      <c r="B7" s="8" t="s">
        <v>7</v>
      </c>
      <c r="C7" s="8"/>
      <c r="D7" s="8"/>
      <c r="E7" s="8"/>
      <c r="F7" s="8"/>
      <c r="G7" s="8"/>
      <c r="I7" s="8" t="s">
        <v>8</v>
      </c>
      <c r="J7" s="8"/>
      <c r="K7" s="8"/>
    </row>
    <row r="8" customFormat="false" ht="15" hidden="false" customHeight="false" outlineLevel="0" collapsed="false">
      <c r="B8" s="9" t="s">
        <v>9</v>
      </c>
      <c r="C8" s="9" t="s">
        <v>10</v>
      </c>
      <c r="D8" s="9" t="s">
        <v>11</v>
      </c>
      <c r="E8" s="9" t="s">
        <v>12</v>
      </c>
      <c r="F8" s="9" t="s">
        <v>13</v>
      </c>
      <c r="G8" s="9" t="s">
        <v>14</v>
      </c>
      <c r="I8" s="9" t="s">
        <v>15</v>
      </c>
      <c r="J8" s="9" t="s">
        <v>10</v>
      </c>
      <c r="K8" s="9" t="s">
        <v>16</v>
      </c>
    </row>
    <row r="9" customFormat="false" ht="15" hidden="false" customHeight="false" outlineLevel="0" collapsed="false">
      <c r="B9" s="10" t="s">
        <v>17</v>
      </c>
      <c r="C9" s="11" t="n">
        <f aca="false">COUNTIF(Data!$D$2:$D$500,$B9)</f>
        <v>3</v>
      </c>
      <c r="D9" s="11" t="n">
        <f aca="false">COUNTIFS(Data!$D$2:$D$500,$B9,Data!$E$2:$E$500,"Completed")</f>
        <v>3</v>
      </c>
      <c r="E9" s="12" t="n">
        <f aca="false">IFERROR(D9/C9,0)</f>
        <v>1</v>
      </c>
      <c r="F9" s="13" t="n">
        <f aca="false">SUMIFS(Data!$F$2:$F$500,Data!$D$2:$D$500,$B9)</f>
        <v>41</v>
      </c>
      <c r="G9" s="14" t="n">
        <f aca="false">IFERROR(F9/C9,0)</f>
        <v>13.6666666666667</v>
      </c>
      <c r="I9" s="10" t="s">
        <v>11</v>
      </c>
      <c r="J9" s="11" t="n">
        <f aca="false">COUNTIF(Data!$E$2:$E$500,$I9)</f>
        <v>6</v>
      </c>
      <c r="K9" s="12" t="n">
        <f aca="false">IFERROR(J9/$B$5,0)</f>
        <v>0.75</v>
      </c>
    </row>
    <row r="10" customFormat="false" ht="15" hidden="false" customHeight="false" outlineLevel="0" collapsed="false">
      <c r="B10" s="15" t="s">
        <v>18</v>
      </c>
      <c r="C10" s="16" t="n">
        <f aca="false">COUNTIF(Data!$D$2:$D$500,$B10)</f>
        <v>3</v>
      </c>
      <c r="D10" s="16" t="n">
        <f aca="false">COUNTIFS(Data!$D$2:$D$500,$B10,Data!$E$2:$E$500,"Completed")</f>
        <v>2</v>
      </c>
      <c r="E10" s="17" t="n">
        <f aca="false">IFERROR(D10/C10,0)</f>
        <v>0.666666666666667</v>
      </c>
      <c r="F10" s="18" t="n">
        <f aca="false">SUMIFS(Data!$F$2:$F$500,Data!$D$2:$D$500,$B10)</f>
        <v>55</v>
      </c>
      <c r="G10" s="19" t="n">
        <f aca="false">IFERROR(F10/C10,0)</f>
        <v>18.3333333333333</v>
      </c>
      <c r="I10" s="15" t="s">
        <v>19</v>
      </c>
      <c r="J10" s="16" t="n">
        <f aca="false">COUNTIF(Data!$E$2:$E$500,$I10)</f>
        <v>2</v>
      </c>
      <c r="K10" s="17" t="n">
        <f aca="false">IFERROR(J10/$B$5,0)</f>
        <v>0.25</v>
      </c>
    </row>
    <row r="11" customFormat="false" ht="15" hidden="false" customHeight="false" outlineLevel="0" collapsed="false">
      <c r="B11" s="10" t="s">
        <v>20</v>
      </c>
      <c r="C11" s="11" t="n">
        <f aca="false">COUNTIF(Data!$D$2:$D$500,$B11)</f>
        <v>2</v>
      </c>
      <c r="D11" s="11" t="n">
        <f aca="false">COUNTIFS(Data!$D$2:$D$500,$B11,Data!$E$2:$E$500,"Completed")</f>
        <v>1</v>
      </c>
      <c r="E11" s="12" t="n">
        <f aca="false">IFERROR(D11/C11,0)</f>
        <v>0.5</v>
      </c>
      <c r="F11" s="13" t="n">
        <f aca="false">SUMIFS(Data!$F$2:$F$500,Data!$D$2:$D$500,$B11)</f>
        <v>26</v>
      </c>
      <c r="G11" s="14" t="n">
        <f aca="false">IFERROR(F11/C11,0)</f>
        <v>13</v>
      </c>
    </row>
    <row r="14" customFormat="false" ht="15" hidden="false" customHeight="false" outlineLevel="0" collapsed="false">
      <c r="B14" s="8" t="s">
        <v>21</v>
      </c>
      <c r="C14" s="8"/>
      <c r="D14" s="8"/>
      <c r="E14" s="8"/>
      <c r="I14" s="8" t="s">
        <v>22</v>
      </c>
      <c r="J14" s="8"/>
      <c r="K14" s="8"/>
      <c r="L14" s="8"/>
    </row>
    <row r="15" customFormat="false" ht="15" hidden="false" customHeight="false" outlineLevel="0" collapsed="false">
      <c r="B15" s="9" t="s">
        <v>23</v>
      </c>
      <c r="C15" s="9" t="s">
        <v>10</v>
      </c>
      <c r="D15" s="9" t="s">
        <v>13</v>
      </c>
      <c r="E15" s="9" t="s">
        <v>14</v>
      </c>
      <c r="I15" s="9" t="s">
        <v>24</v>
      </c>
      <c r="J15" s="9" t="s">
        <v>10</v>
      </c>
      <c r="K15" s="9" t="s">
        <v>13</v>
      </c>
      <c r="L15" s="9" t="s">
        <v>14</v>
      </c>
    </row>
    <row r="16" customFormat="false" ht="15" hidden="false" customHeight="false" outlineLevel="0" collapsed="false">
      <c r="B16" s="20" t="n">
        <v>46303</v>
      </c>
      <c r="C16" s="11" t="n">
        <f aca="false">COUNTIF(Data!$C$2:$C$500,$B16)</f>
        <v>2</v>
      </c>
      <c r="D16" s="13" t="n">
        <f aca="false">SUMIFS(Data!$F$2:$F$500,Data!$C$2:$C$500,$B16)</f>
        <v>32</v>
      </c>
      <c r="E16" s="14" t="n">
        <f aca="false">IFERROR(D16/C16,0)</f>
        <v>16</v>
      </c>
      <c r="I16" s="10" t="s">
        <v>25</v>
      </c>
      <c r="J16" s="11" t="n">
        <f aca="false">COUNTIF(Data!$B$2:$B$500,$I16)</f>
        <v>2</v>
      </c>
      <c r="K16" s="13" t="n">
        <f aca="false">SUMIFS(Data!$F$2:$F$500,Data!$B$2:$B$500,$I16)</f>
        <v>30</v>
      </c>
      <c r="L16" s="14" t="n">
        <f aca="false">IFERROR(K16/J16,0)</f>
        <v>15</v>
      </c>
    </row>
    <row r="17" customFormat="false" ht="15" hidden="false" customHeight="false" outlineLevel="0" collapsed="false">
      <c r="B17" s="21" t="n">
        <v>46304</v>
      </c>
      <c r="C17" s="16" t="n">
        <f aca="false">COUNTIF(Data!$C$2:$C$500,$B17)</f>
        <v>2</v>
      </c>
      <c r="D17" s="18" t="n">
        <f aca="false">SUMIFS(Data!$F$2:$F$500,Data!$C$2:$C$500,$B17)</f>
        <v>23</v>
      </c>
      <c r="E17" s="19" t="n">
        <f aca="false">IFERROR(D17/C17,0)</f>
        <v>11.5</v>
      </c>
      <c r="I17" s="15" t="s">
        <v>26</v>
      </c>
      <c r="J17" s="16" t="n">
        <f aca="false">COUNTIF(Data!$B$2:$B$500,$I17)</f>
        <v>1</v>
      </c>
      <c r="K17" s="18" t="n">
        <f aca="false">SUMIFS(Data!$F$2:$F$500,Data!$B$2:$B$500,$I17)</f>
        <v>20</v>
      </c>
      <c r="L17" s="19" t="n">
        <f aca="false">IFERROR(K17/J17,0)</f>
        <v>20</v>
      </c>
    </row>
    <row r="18" customFormat="false" ht="15" hidden="false" customHeight="false" outlineLevel="0" collapsed="false">
      <c r="B18" s="20" t="n">
        <v>46305</v>
      </c>
      <c r="C18" s="11" t="n">
        <f aca="false">COUNTIF(Data!$C$2:$C$500,$B18)</f>
        <v>2</v>
      </c>
      <c r="D18" s="13" t="n">
        <f aca="false">SUMIFS(Data!$F$2:$F$500,Data!$C$2:$C$500,$B18)</f>
        <v>43</v>
      </c>
      <c r="E18" s="14" t="n">
        <f aca="false">IFERROR(D18/C18,0)</f>
        <v>21.5</v>
      </c>
      <c r="I18" s="10" t="s">
        <v>27</v>
      </c>
      <c r="J18" s="11" t="n">
        <f aca="false">COUNTIF(Data!$B$2:$B$500,$I18)</f>
        <v>1</v>
      </c>
      <c r="K18" s="13" t="n">
        <f aca="false">SUMIFS(Data!$F$2:$F$500,Data!$B$2:$B$500,$I18)</f>
        <v>8</v>
      </c>
      <c r="L18" s="14" t="n">
        <f aca="false">IFERROR(K18/J18,0)</f>
        <v>8</v>
      </c>
    </row>
    <row r="19" customFormat="false" ht="15" hidden="false" customHeight="false" outlineLevel="0" collapsed="false">
      <c r="B19" s="21" t="n">
        <v>46306</v>
      </c>
      <c r="C19" s="16" t="n">
        <f aca="false">COUNTIF(Data!$C$2:$C$500,$B19)</f>
        <v>2</v>
      </c>
      <c r="D19" s="18" t="n">
        <f aca="false">SUMIFS(Data!$F$2:$F$500,Data!$C$2:$C$500,$B19)</f>
        <v>24</v>
      </c>
      <c r="E19" s="19" t="n">
        <f aca="false">IFERROR(D19/C19,0)</f>
        <v>12</v>
      </c>
      <c r="I19" s="15" t="s">
        <v>28</v>
      </c>
      <c r="J19" s="16" t="n">
        <f aca="false">COUNTIF(Data!$B$2:$B$500,$I19)</f>
        <v>1</v>
      </c>
      <c r="K19" s="18" t="n">
        <f aca="false">SUMIFS(Data!$F$2:$F$500,Data!$B$2:$B$500,$I19)</f>
        <v>15</v>
      </c>
      <c r="L19" s="19" t="n">
        <f aca="false">IFERROR(K19/J19,0)</f>
        <v>15</v>
      </c>
    </row>
    <row r="20" customFormat="false" ht="15" hidden="false" customHeight="false" outlineLevel="0" collapsed="false">
      <c r="I20" s="10" t="s">
        <v>29</v>
      </c>
      <c r="J20" s="11" t="n">
        <f aca="false">COUNTIF(Data!$B$2:$B$500,$I20)</f>
        <v>1</v>
      </c>
      <c r="K20" s="13" t="n">
        <f aca="false">SUMIFS(Data!$F$2:$F$500,Data!$B$2:$B$500,$I20)</f>
        <v>25</v>
      </c>
      <c r="L20" s="14" t="n">
        <f aca="false">IFERROR(K20/J20,0)</f>
        <v>25</v>
      </c>
    </row>
    <row r="21" customFormat="false" ht="15" hidden="false" customHeight="false" outlineLevel="0" collapsed="false">
      <c r="I21" s="15" t="s">
        <v>30</v>
      </c>
      <c r="J21" s="16" t="n">
        <f aca="false">COUNTIF(Data!$B$2:$B$500,$I21)</f>
        <v>1</v>
      </c>
      <c r="K21" s="18" t="n">
        <f aca="false">SUMIFS(Data!$F$2:$F$500,Data!$B$2:$B$500,$I21)</f>
        <v>10</v>
      </c>
      <c r="L21" s="19" t="n">
        <f aca="false">IFERROR(K21/J21,0)</f>
        <v>10</v>
      </c>
    </row>
    <row r="22" customFormat="false" ht="15" hidden="false" customHeight="false" outlineLevel="0" collapsed="false">
      <c r="I22" s="10" t="s">
        <v>31</v>
      </c>
      <c r="J22" s="11" t="n">
        <f aca="false">COUNTIF(Data!$B$2:$B$500,$I22)</f>
        <v>1</v>
      </c>
      <c r="K22" s="13" t="n">
        <f aca="false">SUMIFS(Data!$F$2:$F$500,Data!$B$2:$B$500,$I22)</f>
        <v>14</v>
      </c>
      <c r="L22" s="14" t="n">
        <f aca="false">IFERROR(K22/J22,0)</f>
        <v>14</v>
      </c>
    </row>
  </sheetData>
  <mergeCells count="18">
    <mergeCell ref="B1:N1"/>
    <mergeCell ref="B2:N2"/>
    <mergeCell ref="B4:C4"/>
    <mergeCell ref="D4:E4"/>
    <mergeCell ref="F4:G4"/>
    <mergeCell ref="I4:J4"/>
    <mergeCell ref="K4:L4"/>
    <mergeCell ref="M4:N4"/>
    <mergeCell ref="B5:C5"/>
    <mergeCell ref="D5:E5"/>
    <mergeCell ref="F5:G5"/>
    <mergeCell ref="I5:J5"/>
    <mergeCell ref="K5:L5"/>
    <mergeCell ref="M5:N5"/>
    <mergeCell ref="B7:G7"/>
    <mergeCell ref="I7:K7"/>
    <mergeCell ref="B14:E14"/>
    <mergeCell ref="I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0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7"/>
  </cols>
  <sheetData>
    <row r="1" customFormat="false" ht="15" hidden="false" customHeight="false" outlineLevel="0" collapsed="false">
      <c r="A1" s="22" t="s">
        <v>32</v>
      </c>
      <c r="B1" s="22" t="s">
        <v>33</v>
      </c>
      <c r="C1" s="22" t="s">
        <v>34</v>
      </c>
      <c r="D1" s="22" t="s">
        <v>9</v>
      </c>
      <c r="E1" s="22" t="s">
        <v>35</v>
      </c>
      <c r="F1" s="22" t="s">
        <v>36</v>
      </c>
      <c r="H1" s="23" t="s">
        <v>37</v>
      </c>
    </row>
    <row r="2" customFormat="false" ht="15" hidden="false" customHeight="false" outlineLevel="0" collapsed="false">
      <c r="A2" s="10" t="s">
        <v>38</v>
      </c>
      <c r="B2" s="10" t="s">
        <v>25</v>
      </c>
      <c r="C2" s="24" t="n">
        <v>46303</v>
      </c>
      <c r="D2" s="10" t="s">
        <v>17</v>
      </c>
      <c r="E2" s="10" t="s">
        <v>11</v>
      </c>
      <c r="F2" s="10" t="n">
        <v>12</v>
      </c>
    </row>
    <row r="3" customFormat="false" ht="15" hidden="false" customHeight="false" outlineLevel="0" collapsed="false">
      <c r="A3" s="15" t="s">
        <v>39</v>
      </c>
      <c r="B3" s="15" t="s">
        <v>26</v>
      </c>
      <c r="C3" s="25" t="n">
        <v>46303</v>
      </c>
      <c r="D3" s="15" t="s">
        <v>18</v>
      </c>
      <c r="E3" s="15" t="s">
        <v>11</v>
      </c>
      <c r="F3" s="15" t="n">
        <v>20</v>
      </c>
    </row>
    <row r="4" customFormat="false" ht="15" hidden="false" customHeight="false" outlineLevel="0" collapsed="false">
      <c r="A4" s="10" t="s">
        <v>40</v>
      </c>
      <c r="B4" s="10" t="s">
        <v>27</v>
      </c>
      <c r="C4" s="24" t="n">
        <v>46304</v>
      </c>
      <c r="D4" s="10" t="s">
        <v>20</v>
      </c>
      <c r="E4" s="10" t="s">
        <v>19</v>
      </c>
      <c r="F4" s="10" t="n">
        <v>8</v>
      </c>
    </row>
    <row r="5" customFormat="false" ht="15" hidden="false" customHeight="false" outlineLevel="0" collapsed="false">
      <c r="A5" s="15" t="s">
        <v>41</v>
      </c>
      <c r="B5" s="15" t="s">
        <v>28</v>
      </c>
      <c r="C5" s="25" t="n">
        <v>46304</v>
      </c>
      <c r="D5" s="15" t="s">
        <v>17</v>
      </c>
      <c r="E5" s="15" t="s">
        <v>11</v>
      </c>
      <c r="F5" s="15" t="n">
        <v>15</v>
      </c>
    </row>
    <row r="6" customFormat="false" ht="15" hidden="false" customHeight="false" outlineLevel="0" collapsed="false">
      <c r="A6" s="10" t="s">
        <v>42</v>
      </c>
      <c r="B6" s="10" t="s">
        <v>29</v>
      </c>
      <c r="C6" s="24" t="n">
        <v>46305</v>
      </c>
      <c r="D6" s="10" t="s">
        <v>18</v>
      </c>
      <c r="E6" s="10" t="s">
        <v>11</v>
      </c>
      <c r="F6" s="10" t="n">
        <v>25</v>
      </c>
    </row>
    <row r="7" customFormat="false" ht="15" hidden="false" customHeight="false" outlineLevel="0" collapsed="false">
      <c r="A7" s="15" t="s">
        <v>43</v>
      </c>
      <c r="B7" s="15" t="s">
        <v>25</v>
      </c>
      <c r="C7" s="25" t="n">
        <v>46305</v>
      </c>
      <c r="D7" s="15" t="s">
        <v>20</v>
      </c>
      <c r="E7" s="15" t="s">
        <v>11</v>
      </c>
      <c r="F7" s="15" t="n">
        <v>18</v>
      </c>
    </row>
    <row r="8" customFormat="false" ht="15" hidden="false" customHeight="false" outlineLevel="0" collapsed="false">
      <c r="A8" s="10" t="s">
        <v>44</v>
      </c>
      <c r="B8" s="10" t="s">
        <v>30</v>
      </c>
      <c r="C8" s="24" t="n">
        <v>46306</v>
      </c>
      <c r="D8" s="10" t="s">
        <v>18</v>
      </c>
      <c r="E8" s="10" t="s">
        <v>19</v>
      </c>
      <c r="F8" s="10" t="n">
        <v>10</v>
      </c>
    </row>
    <row r="9" customFormat="false" ht="15" hidden="false" customHeight="false" outlineLevel="0" collapsed="false">
      <c r="A9" s="15" t="s">
        <v>45</v>
      </c>
      <c r="B9" s="15" t="s">
        <v>31</v>
      </c>
      <c r="C9" s="25" t="n">
        <v>46306</v>
      </c>
      <c r="D9" s="15" t="s">
        <v>17</v>
      </c>
      <c r="E9" s="15" t="s">
        <v>11</v>
      </c>
      <c r="F9" s="15" t="n">
        <v>14</v>
      </c>
    </row>
  </sheetData>
  <autoFilter ref="A1:F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2026-10-14T06:34:42Z</dcterms:created>
  <dc:creator>openpyxl</dc:creator>
  <dc:description/>
  <dc:language>en-US</dc:language>
  <cp:lastModifiedBy/>
  <dcterms:modified xsi:type="dcterms:W3CDTF">2026-10-14T06:34:44Z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