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D189183A-94A6-9A4A-BC0F-EEA08BF832C8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ashboard" sheetId="1" r:id="rId1"/>
    <sheet name="Data" sheetId="2" r:id="rId2"/>
  </sheets>
  <definedNames>
    <definedName name="_xlnm._FilterDatabase" localSheetId="1" hidden="1">Data!$A$1:$F$7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9" i="1" l="1"/>
  <c r="K20" i="1"/>
  <c r="K21" i="1"/>
  <c r="K22" i="1"/>
  <c r="K24" i="1"/>
  <c r="K23" i="1"/>
  <c r="K25" i="1"/>
  <c r="I19" i="1"/>
  <c r="I20" i="1"/>
  <c r="I21" i="1"/>
  <c r="I22" i="1"/>
  <c r="I24" i="1"/>
  <c r="I23" i="1"/>
  <c r="I25" i="1"/>
  <c r="L25" i="1"/>
  <c r="J19" i="1"/>
  <c r="J20" i="1"/>
  <c r="J21" i="1"/>
  <c r="J22" i="1"/>
  <c r="J24" i="1"/>
  <c r="J23" i="1"/>
  <c r="J25" i="1"/>
  <c r="L24" i="1"/>
  <c r="E19" i="1"/>
  <c r="E20" i="1"/>
  <c r="E21" i="1"/>
  <c r="E22" i="1"/>
  <c r="E23" i="1"/>
  <c r="E24" i="1"/>
  <c r="C19" i="1"/>
  <c r="C20" i="1"/>
  <c r="C21" i="1"/>
  <c r="C22" i="1"/>
  <c r="C23" i="1"/>
  <c r="C24" i="1"/>
  <c r="F24" i="1"/>
  <c r="D19" i="1"/>
  <c r="D20" i="1"/>
  <c r="D21" i="1"/>
  <c r="D22" i="1"/>
  <c r="D23" i="1"/>
  <c r="D24" i="1"/>
  <c r="L23" i="1"/>
  <c r="F23" i="1"/>
  <c r="L22" i="1"/>
  <c r="F22" i="1"/>
  <c r="L21" i="1"/>
  <c r="F21" i="1"/>
  <c r="L20" i="1"/>
  <c r="F20" i="1"/>
  <c r="L19" i="1"/>
  <c r="F19" i="1"/>
  <c r="I12" i="1"/>
  <c r="J12" i="1"/>
  <c r="K12" i="1"/>
  <c r="I13" i="1"/>
  <c r="J13" i="1"/>
  <c r="K13" i="1"/>
  <c r="K14" i="1"/>
  <c r="J14" i="1"/>
  <c r="I14" i="1"/>
  <c r="C13" i="1"/>
  <c r="C14" i="1"/>
  <c r="E14" i="1"/>
  <c r="C12" i="1"/>
  <c r="D14" i="1"/>
  <c r="E13" i="1"/>
  <c r="D13" i="1"/>
  <c r="D12" i="1"/>
  <c r="K8" i="1"/>
  <c r="I8" i="1"/>
  <c r="F8" i="1"/>
  <c r="D8" i="1"/>
  <c r="B8" i="1"/>
  <c r="K5" i="1"/>
  <c r="I5" i="1"/>
  <c r="F5" i="1"/>
  <c r="D5" i="1"/>
  <c r="B5" i="1"/>
  <c r="B2" i="1"/>
</calcChain>
</file>

<file path=xl/sharedStrings.xml><?xml version="1.0" encoding="utf-8"?>
<sst xmlns="http://schemas.openxmlformats.org/spreadsheetml/2006/main" count="87" uniqueCount="53">
  <si>
    <t>Referral Program Dashboard</t>
  </si>
  <si>
    <t>Total Referrals</t>
  </si>
  <si>
    <t>Registered</t>
  </si>
  <si>
    <t>Activated</t>
  </si>
  <si>
    <t>Pending Invites</t>
  </si>
  <si>
    <t>Unique Referrers</t>
  </si>
  <si>
    <t>Registration Rate</t>
  </si>
  <si>
    <t>Activation Rate (all)</t>
  </si>
  <si>
    <t>Activation (Registered)</t>
  </si>
  <si>
    <t>Not Activated</t>
  </si>
  <si>
    <t>Avg Referrals / Referrer</t>
  </si>
  <si>
    <t>Referral Funnel</t>
  </si>
  <si>
    <t>Registration x Activation Status</t>
  </si>
  <si>
    <t>Stage</t>
  </si>
  <si>
    <t>Count</t>
  </si>
  <si>
    <t>% of Referrals</t>
  </si>
  <si>
    <t>Drop-off vs Prior</t>
  </si>
  <si>
    <t>Registration Status</t>
  </si>
  <si>
    <t>Total</t>
  </si>
  <si>
    <t>Referred / Invited</t>
  </si>
  <si>
    <t>-</t>
  </si>
  <si>
    <t>Invited</t>
  </si>
  <si>
    <t>Performance by Referrer</t>
  </si>
  <si>
    <t>Daily Trend</t>
  </si>
  <si>
    <t>Referrer</t>
  </si>
  <si>
    <t>Referrals</t>
  </si>
  <si>
    <t>Activation Rate</t>
  </si>
  <si>
    <t>Date</t>
  </si>
  <si>
    <t>U001</t>
  </si>
  <si>
    <t>U002</t>
  </si>
  <si>
    <t>U004</t>
  </si>
  <si>
    <t>U005</t>
  </si>
  <si>
    <t>U007</t>
  </si>
  <si>
    <t>Notes &amp; assumptions</t>
  </si>
  <si>
    <t>Activation Rate (all) = Activated / all referrals; Activation (Registered) only counts referrals whose invitee has registered. 'Invited' means the invitee has not registered yet (no Referred_User_ID).</t>
  </si>
  <si>
    <t>The referrer list is typed in (users who made at least one referral); add a row for any new referrer ID. Daily Trend lists the dates present in the data.</t>
  </si>
  <si>
    <t>Charts</t>
  </si>
  <si>
    <t>Referral_ID</t>
  </si>
  <si>
    <t>Referrer_ID</t>
  </si>
  <si>
    <t>Referred_User_ID</t>
  </si>
  <si>
    <t>Referral_Date</t>
  </si>
  <si>
    <t>Registration_Status</t>
  </si>
  <si>
    <t>Activation_Status</t>
  </si>
  <si>
    <t>RF001</t>
  </si>
  <si>
    <t>RF002</t>
  </si>
  <si>
    <t>U003</t>
  </si>
  <si>
    <t>RF003</t>
  </si>
  <si>
    <t>RF004</t>
  </si>
  <si>
    <t>U006</t>
  </si>
  <si>
    <t>RF005</t>
  </si>
  <si>
    <t>U008</t>
  </si>
  <si>
    <t>RF006</t>
  </si>
  <si>
    <t>Source: dataset provided by user (6 referrals, 2026-10-02 to 2026-10-11). RF006 has no Referred_User_ID because the invitee has not registered yet (left blank as in the source).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</si>
</sst>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#,##0;\(#,##0\);\-"/>
    <numFmt numFmtId="167" formatCode="dd\ mmm\ yyyy"/>
    <numFmt numFmtId="168" formatCode="yyyy\-mm\-dd"/>
  </numFmts>
  <fonts count="15" x14ac:knownFonts="1">
    <font>
      <sz val="11"/>
      <color theme="1"/>
      <name val="Calibri"/>
      <family val="2"/>
      <charset val="1"/>
    </font>
    <font>
      <b/>
      <sz val="22"/>
      <color rgb="FF1F3864"/>
      <name val="Arial"/>
      <charset val="1"/>
    </font>
    <font>
      <b/>
      <sz val="12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7F7F7F"/>
      <name val="Arial"/>
      <charset val="1"/>
    </font>
    <font>
      <b/>
      <sz val="28"/>
      <color rgb="FFFFFFFF"/>
      <name val="Arial"/>
      <charset val="1"/>
    </font>
    <font>
      <i/>
      <sz val="12"/>
      <color rgb="FF595959"/>
      <name val="Arial"/>
      <charset val="1"/>
    </font>
    <font>
      <i/>
      <sz val="20"/>
      <color rgb="FF595959"/>
      <name val="Arial"/>
      <charset val="1"/>
    </font>
    <font>
      <b/>
      <sz val="18"/>
      <color rgb="FFFFFFFF"/>
      <name val="Arial"/>
      <charset val="1"/>
    </font>
    <font>
      <sz val="18"/>
      <color rgb="FFFFFFFF"/>
      <name val="Arial"/>
      <charset val="1"/>
    </font>
    <font>
      <b/>
      <sz val="18"/>
      <color rgb="FF1F3864"/>
      <name val="Arial"/>
      <charset val="1"/>
    </font>
    <font>
      <i/>
      <sz val="11"/>
      <color rgb="FF595959"/>
      <name val="Arial"/>
      <charset val="1"/>
    </font>
    <font>
      <b/>
      <sz val="28"/>
      <color rgb="FF1F3864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</borders>
  <cellStyleXfs count="1">
    <xf numFmtId="0" fontId="0" fillId="0" borderId="0"/>
  </cellStyleXfs>
  <cellXfs count="47">
    <xf numFmtId="0" fontId="0" fillId="0" borderId="0" xfId="0"/>
    <xf numFmtId="165" fontId="1" fillId="4" borderId="0" xfId="0" applyNumberFormat="1" applyFont="1" applyFill="1" applyBorder="1" applyAlignment="1">
      <alignment horizontal="center" vertical="center"/>
    </xf>
    <xf numFmtId="164" fontId="1" fillId="4" borderId="0" xfId="0" applyNumberFormat="1" applyFont="1" applyFill="1" applyBorder="1" applyAlignment="1">
      <alignment horizontal="center" vertical="center"/>
    </xf>
    <xf numFmtId="3" fontId="1" fillId="4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164" fontId="4" fillId="0" borderId="1" xfId="0" applyNumberFormat="1" applyFont="1" applyBorder="1"/>
    <xf numFmtId="3" fontId="4" fillId="0" borderId="1" xfId="0" applyNumberFormat="1" applyFont="1" applyBorder="1" applyAlignment="1">
      <alignment horizontal="right"/>
    </xf>
    <xf numFmtId="166" fontId="4" fillId="0" borderId="1" xfId="0" applyNumberFormat="1" applyFont="1" applyBorder="1"/>
    <xf numFmtId="0" fontId="5" fillId="5" borderId="1" xfId="0" applyFont="1" applyFill="1" applyBorder="1"/>
    <xf numFmtId="166" fontId="5" fillId="5" borderId="1" xfId="0" applyNumberFormat="1" applyFont="1" applyFill="1" applyBorder="1"/>
    <xf numFmtId="167" fontId="4" fillId="0" borderId="1" xfId="0" applyNumberFormat="1" applyFont="1" applyBorder="1" applyAlignment="1">
      <alignment horizontal="left"/>
    </xf>
    <xf numFmtId="3" fontId="5" fillId="5" borderId="1" xfId="0" applyNumberFormat="1" applyFont="1" applyFill="1" applyBorder="1"/>
    <xf numFmtId="164" fontId="5" fillId="5" borderId="1" xfId="0" applyNumberFormat="1" applyFont="1" applyFill="1" applyBorder="1"/>
    <xf numFmtId="0" fontId="3" fillId="2" borderId="0" xfId="0" applyFont="1" applyFill="1" applyAlignment="1">
      <alignment horizontal="center" vertical="center"/>
    </xf>
    <xf numFmtId="168" fontId="4" fillId="0" borderId="1" xfId="0" applyNumberFormat="1" applyFont="1" applyBorder="1" applyAlignment="1">
      <alignment horizontal="center"/>
    </xf>
    <xf numFmtId="0" fontId="6" fillId="0" borderId="0" xfId="0" applyFont="1"/>
    <xf numFmtId="0" fontId="9" fillId="0" borderId="0" xfId="0" applyFont="1" applyBorder="1" applyAlignment="1">
      <alignment indent="1"/>
    </xf>
    <xf numFmtId="0" fontId="7" fillId="2" borderId="2" xfId="0" applyFont="1" applyFill="1" applyBorder="1" applyAlignment="1">
      <alignment horizontal="center" vertical="center" indent="1"/>
    </xf>
    <xf numFmtId="0" fontId="7" fillId="2" borderId="3" xfId="0" applyFont="1" applyFill="1" applyBorder="1" applyAlignment="1">
      <alignment horizontal="center" vertical="center" indent="1"/>
    </xf>
    <xf numFmtId="0" fontId="0" fillId="0" borderId="3" xfId="0" applyBorder="1"/>
    <xf numFmtId="0" fontId="0" fillId="0" borderId="4" xfId="0" applyBorder="1"/>
    <xf numFmtId="0" fontId="9" fillId="0" borderId="5" xfId="0" applyFont="1" applyBorder="1" applyAlignment="1">
      <alignment indent="1"/>
    </xf>
    <xf numFmtId="0" fontId="0" fillId="0" borderId="0" xfId="0" applyBorder="1"/>
    <xf numFmtId="0" fontId="0" fillId="0" borderId="6" xfId="0" applyBorder="1"/>
    <xf numFmtId="0" fontId="0" fillId="0" borderId="5" xfId="0" applyBorder="1"/>
    <xf numFmtId="3" fontId="1" fillId="4" borderId="5" xfId="0" applyNumberFormat="1" applyFont="1" applyFill="1" applyBorder="1" applyAlignment="1">
      <alignment horizontal="center" vertical="center"/>
    </xf>
    <xf numFmtId="164" fontId="1" fillId="4" borderId="5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0" xfId="0" applyFont="1" applyBorder="1"/>
    <xf numFmtId="0" fontId="3" fillId="2" borderId="7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5" fillId="5" borderId="7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0" fillId="3" borderId="5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0" fontId="12" fillId="0" borderId="5" xfId="0" applyFont="1" applyBorder="1"/>
    <xf numFmtId="0" fontId="13" fillId="0" borderId="5" xfId="0" applyFont="1" applyBorder="1" applyAlignment="1">
      <alignment vertical="top" wrapText="1"/>
    </xf>
    <xf numFmtId="0" fontId="13" fillId="0" borderId="0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8" fillId="0" borderId="0" xfId="0" applyFont="1" applyBorder="1" applyAlignment="1">
      <alignment vertical="top" wrapText="1"/>
    </xf>
    <xf numFmtId="0" fontId="14" fillId="0" borderId="5" xfId="0" applyFont="1" applyBorder="1" applyAlignment="1">
      <alignment horizontal="center"/>
    </xf>
    <xf numFmtId="0" fontId="14" fillId="0" borderId="0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70AD47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Referral Funnel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Dashboard!$B$12:$B$14</c:f>
              <c:strCache>
                <c:ptCount val="3"/>
                <c:pt idx="0">
                  <c:v>Referred / Invited</c:v>
                </c:pt>
                <c:pt idx="1">
                  <c:v>Registered</c:v>
                </c:pt>
                <c:pt idx="2">
                  <c:v>Activated</c:v>
                </c:pt>
              </c:strCache>
            </c:strRef>
          </c:cat>
          <c:val>
            <c:numRef>
              <c:f>Dashboard!$C$12:$C$14</c:f>
              <c:numCache>
                <c:formatCode>#,##0</c:formatCode>
                <c:ptCount val="3"/>
                <c:pt idx="0">
                  <c:v>6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C-C948-BB6D-C7B9AD545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82890"/>
        <c:axId val="59034343"/>
      </c:barChart>
      <c:catAx>
        <c:axId val="2148289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034343"/>
        <c:crosses val="autoZero"/>
        <c:auto val="1"/>
        <c:lblAlgn val="ctr"/>
        <c:lblOffset val="100"/>
        <c:noMultiLvlLbl val="0"/>
      </c:catAx>
      <c:valAx>
        <c:axId val="59034343"/>
        <c:scaling>
          <c:orientation val="minMax"/>
        </c:scaling>
        <c:delete val="0"/>
        <c:axPos val="t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4828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Activation Status (All Referrals)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"Referrals"</c:f>
              <c:strCache>
                <c:ptCount val="1"/>
                <c:pt idx="0">
                  <c:v>Referrals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70AD47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00000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Dashboard!$I$11:$J$11</c:f>
              <c:strCache>
                <c:ptCount val="2"/>
                <c:pt idx="0">
                  <c:v>Activated</c:v>
                </c:pt>
                <c:pt idx="1">
                  <c:v>Not Activated</c:v>
                </c:pt>
              </c:strCache>
            </c:strRef>
          </c:cat>
          <c:val>
            <c:numRef>
              <c:f>Dashboard!$I$14:$J$14</c:f>
              <c:numCache>
                <c:formatCode>#,##0;\(#,##0\);\-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2-014F-BF0C-F2EC31854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Referrals by Referrer (Total vs Activated)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Dashboard!C18</c:f>
              <c:strCache>
                <c:ptCount val="1"/>
                <c:pt idx="0">
                  <c:v>Referrals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Dashboard!$B$19:$B$23</c:f>
              <c:strCache>
                <c:ptCount val="5"/>
                <c:pt idx="0">
                  <c:v>U001</c:v>
                </c:pt>
                <c:pt idx="1">
                  <c:v>U002</c:v>
                </c:pt>
                <c:pt idx="2">
                  <c:v>U004</c:v>
                </c:pt>
                <c:pt idx="3">
                  <c:v>U005</c:v>
                </c:pt>
                <c:pt idx="4">
                  <c:v>U007</c:v>
                </c:pt>
              </c:strCache>
            </c:strRef>
          </c:cat>
          <c:val>
            <c:numRef>
              <c:f>Dashboard!$C$19:$C$23</c:f>
              <c:numCache>
                <c:formatCode>#,##0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7-FA48-A5E3-8A3B089958D5}"/>
            </c:ext>
          </c:extLst>
        </c:ser>
        <c:ser>
          <c:idx val="1"/>
          <c:order val="1"/>
          <c:tx>
            <c:strRef>
              <c:f>Dashboard!E18</c:f>
              <c:strCache>
                <c:ptCount val="1"/>
                <c:pt idx="0">
                  <c:v>Activated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Dashboard!$B$19:$B$23</c:f>
              <c:strCache>
                <c:ptCount val="5"/>
                <c:pt idx="0">
                  <c:v>U001</c:v>
                </c:pt>
                <c:pt idx="1">
                  <c:v>U002</c:v>
                </c:pt>
                <c:pt idx="2">
                  <c:v>U004</c:v>
                </c:pt>
                <c:pt idx="3">
                  <c:v>U005</c:v>
                </c:pt>
                <c:pt idx="4">
                  <c:v>U007</c:v>
                </c:pt>
              </c:strCache>
            </c:strRef>
          </c:cat>
          <c:val>
            <c:numRef>
              <c:f>Dashboard!$E$19:$E$23</c:f>
              <c:numCache>
                <c:formatCode>#,##0;\(#,##0\);\-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07-FA48-A5E3-8A3B08995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218717"/>
        <c:axId val="69244600"/>
      </c:barChart>
      <c:catAx>
        <c:axId val="472187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244600"/>
        <c:crosses val="autoZero"/>
        <c:auto val="1"/>
        <c:lblAlgn val="ctr"/>
        <c:lblOffset val="100"/>
        <c:noMultiLvlLbl val="0"/>
      </c:catAx>
      <c:valAx>
        <c:axId val="6924460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2187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Daily Referrals vs Activations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Dashboard!I18</c:f>
              <c:strCache>
                <c:ptCount val="1"/>
                <c:pt idx="0">
                  <c:v>Referrals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Dashboard!$H$19:$H$24</c:f>
              <c:numCache>
                <c:formatCode>dd\ mmm\ yyyy</c:formatCode>
                <c:ptCount val="6"/>
                <c:pt idx="0">
                  <c:v>46297</c:v>
                </c:pt>
                <c:pt idx="1">
                  <c:v>46298</c:v>
                </c:pt>
                <c:pt idx="2">
                  <c:v>46300</c:v>
                </c:pt>
                <c:pt idx="3">
                  <c:v>46301</c:v>
                </c:pt>
                <c:pt idx="4">
                  <c:v>46303</c:v>
                </c:pt>
                <c:pt idx="5">
                  <c:v>46306</c:v>
                </c:pt>
              </c:numCache>
            </c:numRef>
          </c:cat>
          <c:val>
            <c:numRef>
              <c:f>Dashboard!$I$19:$I$24</c:f>
              <c:numCache>
                <c:formatCode>#,##0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6-D04A-853E-07A80856DE5D}"/>
            </c:ext>
          </c:extLst>
        </c:ser>
        <c:ser>
          <c:idx val="1"/>
          <c:order val="1"/>
          <c:tx>
            <c:strRef>
              <c:f>Dashboard!K18</c:f>
              <c:strCache>
                <c:ptCount val="1"/>
                <c:pt idx="0">
                  <c:v>Activated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Dashboard!$H$19:$H$24</c:f>
              <c:numCache>
                <c:formatCode>dd\ mmm\ yyyy</c:formatCode>
                <c:ptCount val="6"/>
                <c:pt idx="0">
                  <c:v>46297</c:v>
                </c:pt>
                <c:pt idx="1">
                  <c:v>46298</c:v>
                </c:pt>
                <c:pt idx="2">
                  <c:v>46300</c:v>
                </c:pt>
                <c:pt idx="3">
                  <c:v>46301</c:v>
                </c:pt>
                <c:pt idx="4">
                  <c:v>46303</c:v>
                </c:pt>
                <c:pt idx="5">
                  <c:v>46306</c:v>
                </c:pt>
              </c:numCache>
            </c:numRef>
          </c:cat>
          <c:val>
            <c:numRef>
              <c:f>Dashboard!$K$19:$K$24</c:f>
              <c:numCache>
                <c:formatCode>#,##0;\(#,##0\);\-</c:formatCode>
                <c:ptCount val="6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A6-D04A-853E-07A80856D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810709"/>
        <c:axId val="21317593"/>
      </c:barChart>
      <c:dateAx>
        <c:axId val="75810709"/>
        <c:scaling>
          <c:orientation val="minMax"/>
        </c:scaling>
        <c:delete val="0"/>
        <c:axPos val="b"/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317593"/>
        <c:crosses val="autoZero"/>
        <c:auto val="1"/>
        <c:lblOffset val="100"/>
        <c:baseTimeUnit val="days"/>
      </c:dateAx>
      <c:valAx>
        <c:axId val="2131759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8107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660797</xdr:colOff>
      <xdr:row>31</xdr:row>
      <xdr:rowOff>17859</xdr:rowOff>
    </xdr:from>
    <xdr:to>
      <xdr:col>5</xdr:col>
      <xdr:colOff>391517</xdr:colOff>
      <xdr:row>45</xdr:row>
      <xdr:rowOff>50258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31</xdr:row>
      <xdr:rowOff>0</xdr:rowOff>
    </xdr:from>
    <xdr:to>
      <xdr:col>10</xdr:col>
      <xdr:colOff>333360</xdr:colOff>
      <xdr:row>45</xdr:row>
      <xdr:rowOff>32399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696516</xdr:colOff>
      <xdr:row>46</xdr:row>
      <xdr:rowOff>107153</xdr:rowOff>
    </xdr:from>
    <xdr:to>
      <xdr:col>5</xdr:col>
      <xdr:colOff>427236</xdr:colOff>
      <xdr:row>60</xdr:row>
      <xdr:rowOff>139913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47</xdr:row>
      <xdr:rowOff>0</xdr:rowOff>
    </xdr:from>
    <xdr:to>
      <xdr:col>10</xdr:col>
      <xdr:colOff>333360</xdr:colOff>
      <xdr:row>61</xdr:row>
      <xdr:rowOff>32759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N75"/>
  <sheetViews>
    <sheetView showGridLines="0" tabSelected="1" zoomScaleNormal="100" workbookViewId="0">
      <selection activeCell="K46" sqref="K46"/>
    </sheetView>
  </sheetViews>
  <sheetFormatPr defaultColWidth="8.7421875" defaultRowHeight="15" x14ac:dyDescent="0.2"/>
  <cols>
    <col min="1" max="1" width="2.015625" customWidth="1"/>
    <col min="2" max="2" width="22.05859375" customWidth="1"/>
    <col min="3" max="6" width="16.0078125" customWidth="1"/>
    <col min="7" max="7" width="2.95703125" customWidth="1"/>
    <col min="8" max="8" width="22.05859375" customWidth="1"/>
    <col min="9" max="12" width="16.0078125" customWidth="1"/>
    <col min="13" max="13" width="2.015625" customWidth="1"/>
  </cols>
  <sheetData>
    <row r="1" spans="2:14" ht="37.5" customHeight="1" x14ac:dyDescent="0.2">
      <c r="B1" s="19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  <c r="N1" s="22"/>
    </row>
    <row r="2" spans="2:14" ht="25.5" x14ac:dyDescent="0.3">
      <c r="B2" s="23" t="str">
        <f>"Period: "&amp;TEXT(MIN(Data!$D$2:$D$7),"dd mmm yyyy")&amp;" to "&amp;TEXT(MAX(Data!$D$2:$D$7),"dd mmm yyyy")&amp;"   |   All figures update from the Data sheet"</f>
        <v>Period: 02 Oct 2026 to 11 Oct 2026   |   All figures update from the Data sheet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24"/>
      <c r="N2" s="25"/>
    </row>
    <row r="3" spans="2:14" x14ac:dyDescent="0.2">
      <c r="B3" s="26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5"/>
    </row>
    <row r="4" spans="2:14" ht="22.5" x14ac:dyDescent="0.25">
      <c r="B4" s="37" t="s">
        <v>1</v>
      </c>
      <c r="C4" s="38"/>
      <c r="D4" s="38" t="s">
        <v>2</v>
      </c>
      <c r="E4" s="38"/>
      <c r="F4" s="38" t="s">
        <v>3</v>
      </c>
      <c r="G4" s="38"/>
      <c r="H4" s="38"/>
      <c r="I4" s="38" t="s">
        <v>4</v>
      </c>
      <c r="J4" s="38"/>
      <c r="K4" s="39" t="s">
        <v>5</v>
      </c>
      <c r="L4" s="39"/>
      <c r="M4" s="24"/>
      <c r="N4" s="25"/>
    </row>
    <row r="5" spans="2:14" ht="39.75" customHeight="1" x14ac:dyDescent="0.2">
      <c r="B5" s="27">
        <f>COUNTA(Data!$A$2:$A$7)</f>
        <v>6</v>
      </c>
      <c r="C5" s="3"/>
      <c r="D5" s="3">
        <f>COUNTIFS(Data!$E$2:$E$7,"Registered")</f>
        <v>5</v>
      </c>
      <c r="E5" s="3"/>
      <c r="F5" s="3">
        <f>COUNTIFS(Data!$F$2:$F$7,"Activated")</f>
        <v>3</v>
      </c>
      <c r="G5" s="3"/>
      <c r="H5" s="3"/>
      <c r="I5" s="3">
        <f>COUNTIFS(Data!$E$2:$E$7,"Invited")</f>
        <v>1</v>
      </c>
      <c r="J5" s="3"/>
      <c r="K5" s="3">
        <f>SUMPRODUCT(1/COUNTIF(Data!$B$2:$B$7,Data!$B$2:$B$7))</f>
        <v>5</v>
      </c>
      <c r="L5" s="3"/>
      <c r="M5" s="24"/>
      <c r="N5" s="25"/>
    </row>
    <row r="6" spans="2:14" x14ac:dyDescent="0.2">
      <c r="B6" s="26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5"/>
    </row>
    <row r="7" spans="2:14" ht="22.5" x14ac:dyDescent="0.25">
      <c r="B7" s="37" t="s">
        <v>6</v>
      </c>
      <c r="C7" s="38"/>
      <c r="D7" s="38" t="s">
        <v>7</v>
      </c>
      <c r="E7" s="38"/>
      <c r="F7" s="38" t="s">
        <v>8</v>
      </c>
      <c r="G7" s="38"/>
      <c r="H7" s="38"/>
      <c r="I7" s="38" t="s">
        <v>9</v>
      </c>
      <c r="J7" s="38"/>
      <c r="K7" s="38" t="s">
        <v>10</v>
      </c>
      <c r="L7" s="38"/>
      <c r="M7" s="24"/>
      <c r="N7" s="25"/>
    </row>
    <row r="8" spans="2:14" ht="39.75" customHeight="1" x14ac:dyDescent="0.2">
      <c r="B8" s="28">
        <f>COUNTIFS(Data!$E$2:$E$7,"Registered")/COUNTA(Data!$A$2:$A$7)</f>
        <v>0.83333333333333337</v>
      </c>
      <c r="C8" s="2"/>
      <c r="D8" s="2">
        <f>COUNTIFS(Data!$F$2:$F$7,"Activated")/COUNTA(Data!$A$2:$A$7)</f>
        <v>0.5</v>
      </c>
      <c r="E8" s="2"/>
      <c r="F8" s="2">
        <f>IFERROR(COUNTIFS(Data!$E$2:$E$7,"Registered",Data!$F$2:$F$7,"Activated")/COUNTIFS(Data!$E$2:$E$7,"Registered"),0)</f>
        <v>0.6</v>
      </c>
      <c r="G8" s="2"/>
      <c r="H8" s="2"/>
      <c r="I8" s="3">
        <f>COUNTIFS(Data!$F$2:$F$7,"Not Activated")</f>
        <v>3</v>
      </c>
      <c r="J8" s="3"/>
      <c r="K8" s="1">
        <f>COUNTA(Data!$A$2:$A$7)/SUMPRODUCT(1/COUNTIF(Data!$B$2:$B$7,Data!$B$2:$B$7))</f>
        <v>1.2</v>
      </c>
      <c r="L8" s="1"/>
      <c r="M8" s="24"/>
      <c r="N8" s="25"/>
    </row>
    <row r="9" spans="2:14" x14ac:dyDescent="0.2">
      <c r="B9" s="26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5"/>
    </row>
    <row r="10" spans="2:14" x14ac:dyDescent="0.2">
      <c r="B10" s="29" t="s">
        <v>11</v>
      </c>
      <c r="C10" s="24"/>
      <c r="D10" s="24"/>
      <c r="E10" s="24"/>
      <c r="F10" s="24"/>
      <c r="G10" s="24"/>
      <c r="H10" s="30" t="s">
        <v>12</v>
      </c>
      <c r="I10" s="24"/>
      <c r="J10" s="24"/>
      <c r="K10" s="24"/>
      <c r="L10" s="24"/>
      <c r="M10" s="24"/>
      <c r="N10" s="25"/>
    </row>
    <row r="11" spans="2:14" ht="30" customHeight="1" x14ac:dyDescent="0.2">
      <c r="B11" s="31" t="s">
        <v>13</v>
      </c>
      <c r="C11" s="4" t="s">
        <v>14</v>
      </c>
      <c r="D11" s="4" t="s">
        <v>15</v>
      </c>
      <c r="E11" s="4" t="s">
        <v>16</v>
      </c>
      <c r="F11" s="24"/>
      <c r="G11" s="24"/>
      <c r="H11" s="4" t="s">
        <v>17</v>
      </c>
      <c r="I11" s="4" t="s">
        <v>3</v>
      </c>
      <c r="J11" s="4" t="s">
        <v>9</v>
      </c>
      <c r="K11" s="4" t="s">
        <v>18</v>
      </c>
      <c r="L11" s="24"/>
      <c r="M11" s="24"/>
      <c r="N11" s="25"/>
    </row>
    <row r="12" spans="2:14" x14ac:dyDescent="0.2">
      <c r="B12" s="32" t="s">
        <v>19</v>
      </c>
      <c r="C12" s="6">
        <f>COUNTA(Data!$A$2:$A$7)</f>
        <v>6</v>
      </c>
      <c r="D12" s="7">
        <f>C12/C$12</f>
        <v>1</v>
      </c>
      <c r="E12" s="8" t="s">
        <v>20</v>
      </c>
      <c r="F12" s="24"/>
      <c r="G12" s="24"/>
      <c r="H12" s="5" t="s">
        <v>2</v>
      </c>
      <c r="I12" s="9">
        <f>COUNTIFS(Data!$E$2:$E$7,H12,Data!$F$2:$F$7,"Activated")</f>
        <v>3</v>
      </c>
      <c r="J12" s="9">
        <f>COUNTIFS(Data!$E$2:$E$7,H12,Data!$F$2:$F$7,"Not Activated")</f>
        <v>2</v>
      </c>
      <c r="K12" s="9">
        <f>I12+J12</f>
        <v>5</v>
      </c>
      <c r="L12" s="24"/>
      <c r="M12" s="24"/>
      <c r="N12" s="25"/>
    </row>
    <row r="13" spans="2:14" x14ac:dyDescent="0.2">
      <c r="B13" s="32" t="s">
        <v>2</v>
      </c>
      <c r="C13" s="6">
        <f>COUNTIFS(Data!$E$2:$E$7,"Registered")</f>
        <v>5</v>
      </c>
      <c r="D13" s="7">
        <f>C13/C$12</f>
        <v>0.83333333333333337</v>
      </c>
      <c r="E13" s="8">
        <f>C12-C13</f>
        <v>1</v>
      </c>
      <c r="F13" s="24"/>
      <c r="G13" s="24"/>
      <c r="H13" s="5" t="s">
        <v>21</v>
      </c>
      <c r="I13" s="9">
        <f>COUNTIFS(Data!$E$2:$E$7,H13,Data!$F$2:$F$7,"Activated")</f>
        <v>0</v>
      </c>
      <c r="J13" s="9">
        <f>COUNTIFS(Data!$E$2:$E$7,H13,Data!$F$2:$F$7,"Not Activated")</f>
        <v>1</v>
      </c>
      <c r="K13" s="9">
        <f>I13+J13</f>
        <v>1</v>
      </c>
      <c r="L13" s="24"/>
      <c r="M13" s="24"/>
      <c r="N13" s="25"/>
    </row>
    <row r="14" spans="2:14" x14ac:dyDescent="0.2">
      <c r="B14" s="32" t="s">
        <v>3</v>
      </c>
      <c r="C14" s="6">
        <f>COUNTIFS(Data!$F$2:$F$7,"Activated")</f>
        <v>3</v>
      </c>
      <c r="D14" s="7">
        <f>C14/C$12</f>
        <v>0.5</v>
      </c>
      <c r="E14" s="8">
        <f>C13-C14</f>
        <v>2</v>
      </c>
      <c r="F14" s="24"/>
      <c r="G14" s="24"/>
      <c r="H14" s="10" t="s">
        <v>18</v>
      </c>
      <c r="I14" s="11">
        <f>SUM(I12:I13)</f>
        <v>3</v>
      </c>
      <c r="J14" s="11">
        <f>SUM(J12:J13)</f>
        <v>3</v>
      </c>
      <c r="K14" s="11">
        <f>SUM(K12:K13)</f>
        <v>6</v>
      </c>
      <c r="L14" s="24"/>
      <c r="M14" s="24"/>
      <c r="N14" s="25"/>
    </row>
    <row r="15" spans="2:14" x14ac:dyDescent="0.2">
      <c r="B15" s="26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5"/>
    </row>
    <row r="16" spans="2:14" x14ac:dyDescent="0.2">
      <c r="B16" s="26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5"/>
    </row>
    <row r="17" spans="2:14" x14ac:dyDescent="0.2">
      <c r="B17" s="29" t="s">
        <v>22</v>
      </c>
      <c r="C17" s="24"/>
      <c r="D17" s="24"/>
      <c r="E17" s="24"/>
      <c r="F17" s="24"/>
      <c r="G17" s="24"/>
      <c r="H17" s="30" t="s">
        <v>23</v>
      </c>
      <c r="I17" s="24"/>
      <c r="J17" s="24"/>
      <c r="K17" s="24"/>
      <c r="L17" s="24"/>
      <c r="M17" s="24"/>
      <c r="N17" s="25"/>
    </row>
    <row r="18" spans="2:14" ht="30" customHeight="1" x14ac:dyDescent="0.2">
      <c r="B18" s="31" t="s">
        <v>24</v>
      </c>
      <c r="C18" s="4" t="s">
        <v>25</v>
      </c>
      <c r="D18" s="4" t="s">
        <v>2</v>
      </c>
      <c r="E18" s="4" t="s">
        <v>3</v>
      </c>
      <c r="F18" s="4" t="s">
        <v>26</v>
      </c>
      <c r="G18" s="24"/>
      <c r="H18" s="4" t="s">
        <v>27</v>
      </c>
      <c r="I18" s="4" t="s">
        <v>25</v>
      </c>
      <c r="J18" s="4" t="s">
        <v>2</v>
      </c>
      <c r="K18" s="4" t="s">
        <v>3</v>
      </c>
      <c r="L18" s="4" t="s">
        <v>26</v>
      </c>
      <c r="M18" s="24"/>
      <c r="N18" s="25"/>
    </row>
    <row r="19" spans="2:14" x14ac:dyDescent="0.2">
      <c r="B19" s="32" t="s">
        <v>28</v>
      </c>
      <c r="C19" s="6">
        <f>COUNTIFS(Data!$B$2:$B$7,B19)</f>
        <v>2</v>
      </c>
      <c r="D19" s="9">
        <f>COUNTIFS(Data!$B$2:$B$7,B19,Data!$E$2:$E$7,"Registered")</f>
        <v>1</v>
      </c>
      <c r="E19" s="9">
        <f>COUNTIFS(Data!$B$2:$B$7,B19,Data!$F$2:$F$7,"Activated")</f>
        <v>1</v>
      </c>
      <c r="F19" s="7">
        <f>IFERROR(E19/C19,0)</f>
        <v>0.5</v>
      </c>
      <c r="G19" s="24"/>
      <c r="H19" s="12">
        <v>46297</v>
      </c>
      <c r="I19" s="6">
        <f>COUNTIFS(Data!$D$2:$D$7,H19)</f>
        <v>1</v>
      </c>
      <c r="J19" s="9">
        <f>COUNTIFS(Data!$D$2:$D$7,H19,Data!$E$2:$E$7,"Registered")</f>
        <v>1</v>
      </c>
      <c r="K19" s="9">
        <f>COUNTIFS(Data!$D$2:$D$7,H19,Data!$F$2:$F$7,"Activated")</f>
        <v>1</v>
      </c>
      <c r="L19" s="7">
        <f>IFERROR(K19/I19,0)</f>
        <v>1</v>
      </c>
      <c r="M19" s="24"/>
      <c r="N19" s="25"/>
    </row>
    <row r="20" spans="2:14" x14ac:dyDescent="0.2">
      <c r="B20" s="32" t="s">
        <v>29</v>
      </c>
      <c r="C20" s="6">
        <f>COUNTIFS(Data!$B$2:$B$7,B20)</f>
        <v>1</v>
      </c>
      <c r="D20" s="9">
        <f>COUNTIFS(Data!$B$2:$B$7,B20,Data!$E$2:$E$7,"Registered")</f>
        <v>1</v>
      </c>
      <c r="E20" s="9">
        <f>COUNTIFS(Data!$B$2:$B$7,B20,Data!$F$2:$F$7,"Activated")</f>
        <v>0</v>
      </c>
      <c r="F20" s="7">
        <f>IFERROR(E20/C20,0)</f>
        <v>0</v>
      </c>
      <c r="G20" s="24"/>
      <c r="H20" s="12">
        <v>46298</v>
      </c>
      <c r="I20" s="6">
        <f>COUNTIFS(Data!$D$2:$D$7,H20)</f>
        <v>1</v>
      </c>
      <c r="J20" s="9">
        <f>COUNTIFS(Data!$D$2:$D$7,H20,Data!$E$2:$E$7,"Registered")</f>
        <v>1</v>
      </c>
      <c r="K20" s="9">
        <f>COUNTIFS(Data!$D$2:$D$7,H20,Data!$F$2:$F$7,"Activated")</f>
        <v>0</v>
      </c>
      <c r="L20" s="7">
        <f>IFERROR(K20/I20,0)</f>
        <v>0</v>
      </c>
      <c r="M20" s="24"/>
      <c r="N20" s="25"/>
    </row>
    <row r="21" spans="2:14" x14ac:dyDescent="0.2">
      <c r="B21" s="32" t="s">
        <v>30</v>
      </c>
      <c r="C21" s="6">
        <f>COUNTIFS(Data!$B$2:$B$7,B21)</f>
        <v>1</v>
      </c>
      <c r="D21" s="9">
        <f>COUNTIFS(Data!$B$2:$B$7,B21,Data!$E$2:$E$7,"Registered")</f>
        <v>1</v>
      </c>
      <c r="E21" s="9">
        <f>COUNTIFS(Data!$B$2:$B$7,B21,Data!$F$2:$F$7,"Activated")</f>
        <v>1</v>
      </c>
      <c r="F21" s="7">
        <f>IFERROR(E21/C21,0)</f>
        <v>1</v>
      </c>
      <c r="G21" s="24"/>
      <c r="H21" s="12">
        <v>46300</v>
      </c>
      <c r="I21" s="6">
        <f>COUNTIFS(Data!$D$2:$D$7,H21)</f>
        <v>1</v>
      </c>
      <c r="J21" s="9">
        <f>COUNTIFS(Data!$D$2:$D$7,H21,Data!$E$2:$E$7,"Registered")</f>
        <v>1</v>
      </c>
      <c r="K21" s="9">
        <f>COUNTIFS(Data!$D$2:$D$7,H21,Data!$F$2:$F$7,"Activated")</f>
        <v>1</v>
      </c>
      <c r="L21" s="7">
        <f>IFERROR(K21/I21,0)</f>
        <v>1</v>
      </c>
      <c r="M21" s="24"/>
      <c r="N21" s="25"/>
    </row>
    <row r="22" spans="2:14" x14ac:dyDescent="0.2">
      <c r="B22" s="32" t="s">
        <v>31</v>
      </c>
      <c r="C22" s="6">
        <f>COUNTIFS(Data!$B$2:$B$7,B22)</f>
        <v>1</v>
      </c>
      <c r="D22" s="9">
        <f>COUNTIFS(Data!$B$2:$B$7,B22,Data!$E$2:$E$7,"Registered")</f>
        <v>1</v>
      </c>
      <c r="E22" s="9">
        <f>COUNTIFS(Data!$B$2:$B$7,B22,Data!$F$2:$F$7,"Activated")</f>
        <v>0</v>
      </c>
      <c r="F22" s="7">
        <f>IFERROR(E22/C22,0)</f>
        <v>0</v>
      </c>
      <c r="G22" s="24"/>
      <c r="H22" s="12">
        <v>46301</v>
      </c>
      <c r="I22" s="6">
        <f>COUNTIFS(Data!$D$2:$D$7,H22)</f>
        <v>1</v>
      </c>
      <c r="J22" s="9">
        <f>COUNTIFS(Data!$D$2:$D$7,H22,Data!$E$2:$E$7,"Registered")</f>
        <v>1</v>
      </c>
      <c r="K22" s="9">
        <f>COUNTIFS(Data!$D$2:$D$7,H22,Data!$F$2:$F$7,"Activated")</f>
        <v>0</v>
      </c>
      <c r="L22" s="7">
        <f>IFERROR(K22/I22,0)</f>
        <v>0</v>
      </c>
      <c r="M22" s="24"/>
      <c r="N22" s="25"/>
    </row>
    <row r="23" spans="2:14" x14ac:dyDescent="0.2">
      <c r="B23" s="32" t="s">
        <v>32</v>
      </c>
      <c r="C23" s="6">
        <f>COUNTIFS(Data!$B$2:$B$7,B23)</f>
        <v>1</v>
      </c>
      <c r="D23" s="9">
        <f>COUNTIFS(Data!$B$2:$B$7,B23,Data!$E$2:$E$7,"Registered")</f>
        <v>1</v>
      </c>
      <c r="E23" s="9">
        <f>COUNTIFS(Data!$B$2:$B$7,B23,Data!$F$2:$F$7,"Activated")</f>
        <v>1</v>
      </c>
      <c r="F23" s="7">
        <f>IFERROR(E23/C23,0)</f>
        <v>1</v>
      </c>
      <c r="G23" s="24"/>
      <c r="H23" s="12">
        <v>46303</v>
      </c>
      <c r="I23" s="6">
        <f>COUNTIFS(Data!$D$2:$D$7,H23)</f>
        <v>1</v>
      </c>
      <c r="J23" s="9">
        <f>COUNTIFS(Data!$D$2:$D$7,H23,Data!$E$2:$E$7,"Registered")</f>
        <v>1</v>
      </c>
      <c r="K23" s="9">
        <f>COUNTIFS(Data!$D$2:$D$7,H23,Data!$F$2:$F$7,"Activated")</f>
        <v>1</v>
      </c>
      <c r="L23" s="7">
        <f>IFERROR(K23/I23,0)</f>
        <v>1</v>
      </c>
      <c r="M23" s="24"/>
      <c r="N23" s="25"/>
    </row>
    <row r="24" spans="2:14" x14ac:dyDescent="0.2">
      <c r="B24" s="33" t="s">
        <v>18</v>
      </c>
      <c r="C24" s="13">
        <f>SUM(C19:C23)</f>
        <v>6</v>
      </c>
      <c r="D24" s="13">
        <f>SUM(D19:D23)</f>
        <v>5</v>
      </c>
      <c r="E24" s="13">
        <f>SUM(E19:E23)</f>
        <v>3</v>
      </c>
      <c r="F24" s="14">
        <f>IFERROR(E24/C24,0)</f>
        <v>0.5</v>
      </c>
      <c r="G24" s="24"/>
      <c r="H24" s="12">
        <v>46306</v>
      </c>
      <c r="I24" s="6">
        <f>COUNTIFS(Data!$D$2:$D$7,H24)</f>
        <v>1</v>
      </c>
      <c r="J24" s="9">
        <f>COUNTIFS(Data!$D$2:$D$7,H24,Data!$E$2:$E$7,"Registered")</f>
        <v>0</v>
      </c>
      <c r="K24" s="9">
        <f>COUNTIFS(Data!$D$2:$D$7,H24,Data!$F$2:$F$7,"Activated")</f>
        <v>0</v>
      </c>
      <c r="L24" s="7">
        <f>IFERROR(K24/I24,0)</f>
        <v>0</v>
      </c>
      <c r="M24" s="24"/>
      <c r="N24" s="25"/>
    </row>
    <row r="25" spans="2:14" x14ac:dyDescent="0.2">
      <c r="B25" s="26"/>
      <c r="C25" s="24"/>
      <c r="D25" s="24"/>
      <c r="E25" s="24"/>
      <c r="F25" s="24"/>
      <c r="G25" s="24"/>
      <c r="H25" s="10" t="s">
        <v>18</v>
      </c>
      <c r="I25" s="13">
        <f>SUM(I19:I24)</f>
        <v>6</v>
      </c>
      <c r="J25" s="13">
        <f>SUM(J19:J24)</f>
        <v>5</v>
      </c>
      <c r="K25" s="13">
        <f>SUM(K19:K24)</f>
        <v>3</v>
      </c>
      <c r="L25" s="14">
        <f>IFERROR(K25/I25,0)</f>
        <v>0.5</v>
      </c>
      <c r="M25" s="24"/>
      <c r="N25" s="25"/>
    </row>
    <row r="26" spans="2:14" x14ac:dyDescent="0.2">
      <c r="B26" s="26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5"/>
    </row>
    <row r="27" spans="2:14" ht="22.5" x14ac:dyDescent="0.25">
      <c r="B27" s="40" t="s">
        <v>33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5"/>
    </row>
    <row r="28" spans="2:14" ht="25.5" customHeight="1" x14ac:dyDescent="0.2">
      <c r="B28" s="41" t="s">
        <v>34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24"/>
      <c r="N28" s="25"/>
    </row>
    <row r="29" spans="2:14" ht="25.5" customHeight="1" x14ac:dyDescent="0.2">
      <c r="B29" s="43" t="s">
        <v>35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24"/>
      <c r="N29" s="25"/>
    </row>
    <row r="30" spans="2:14" x14ac:dyDescent="0.2">
      <c r="B30" s="45" t="s">
        <v>36</v>
      </c>
      <c r="C30" s="46"/>
      <c r="D30" s="46"/>
      <c r="E30" s="46"/>
      <c r="F30" s="46"/>
      <c r="G30" s="46"/>
      <c r="H30" s="46"/>
      <c r="I30" s="46"/>
      <c r="J30" s="46"/>
      <c r="K30" s="46"/>
      <c r="L30" s="24"/>
      <c r="M30" s="24"/>
      <c r="N30" s="25"/>
    </row>
    <row r="31" spans="2:14" x14ac:dyDescent="0.2">
      <c r="B31" s="45"/>
      <c r="C31" s="46"/>
      <c r="D31" s="46"/>
      <c r="E31" s="46"/>
      <c r="F31" s="46"/>
      <c r="G31" s="46"/>
      <c r="H31" s="46"/>
      <c r="I31" s="46"/>
      <c r="J31" s="46"/>
      <c r="K31" s="46"/>
      <c r="L31" s="24"/>
      <c r="M31" s="24"/>
      <c r="N31" s="25"/>
    </row>
    <row r="32" spans="2:14" x14ac:dyDescent="0.2">
      <c r="B32" s="26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5"/>
    </row>
    <row r="33" spans="2:14" x14ac:dyDescent="0.2">
      <c r="B33" s="26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5"/>
    </row>
    <row r="34" spans="2:14" x14ac:dyDescent="0.2">
      <c r="B34" s="26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5"/>
    </row>
    <row r="35" spans="2:14" x14ac:dyDescent="0.2">
      <c r="B35" s="26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5"/>
    </row>
    <row r="36" spans="2:14" x14ac:dyDescent="0.2">
      <c r="B36" s="26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5"/>
    </row>
    <row r="37" spans="2:14" x14ac:dyDescent="0.2">
      <c r="B37" s="26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5"/>
    </row>
    <row r="38" spans="2:14" x14ac:dyDescent="0.2">
      <c r="B38" s="26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5"/>
    </row>
    <row r="39" spans="2:14" x14ac:dyDescent="0.2">
      <c r="B39" s="26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5"/>
    </row>
    <row r="40" spans="2:14" x14ac:dyDescent="0.2">
      <c r="B40" s="26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5"/>
    </row>
    <row r="41" spans="2:14" x14ac:dyDescent="0.2">
      <c r="B41" s="26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5"/>
    </row>
    <row r="42" spans="2:14" x14ac:dyDescent="0.2">
      <c r="B42" s="26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5"/>
    </row>
    <row r="43" spans="2:14" x14ac:dyDescent="0.2">
      <c r="B43" s="26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5"/>
    </row>
    <row r="44" spans="2:14" x14ac:dyDescent="0.2">
      <c r="B44" s="26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5"/>
    </row>
    <row r="45" spans="2:14" x14ac:dyDescent="0.2">
      <c r="B45" s="26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5"/>
    </row>
    <row r="46" spans="2:14" x14ac:dyDescent="0.2">
      <c r="B46" s="26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5"/>
    </row>
    <row r="47" spans="2:14" x14ac:dyDescent="0.2">
      <c r="B47" s="26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5"/>
    </row>
    <row r="48" spans="2:14" x14ac:dyDescent="0.2">
      <c r="B48" s="26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5"/>
    </row>
    <row r="49" spans="2:14" x14ac:dyDescent="0.2">
      <c r="B49" s="26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5"/>
    </row>
    <row r="50" spans="2:14" x14ac:dyDescent="0.2">
      <c r="B50" s="26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5"/>
    </row>
    <row r="51" spans="2:14" x14ac:dyDescent="0.2">
      <c r="B51" s="26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5"/>
    </row>
    <row r="52" spans="2:14" x14ac:dyDescent="0.2">
      <c r="B52" s="26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5"/>
    </row>
    <row r="53" spans="2:14" x14ac:dyDescent="0.2">
      <c r="B53" s="26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5"/>
    </row>
    <row r="54" spans="2:14" x14ac:dyDescent="0.2">
      <c r="B54" s="26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5"/>
    </row>
    <row r="55" spans="2:14" x14ac:dyDescent="0.2">
      <c r="B55" s="26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5"/>
    </row>
    <row r="56" spans="2:14" x14ac:dyDescent="0.2">
      <c r="B56" s="26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5"/>
    </row>
    <row r="57" spans="2:14" x14ac:dyDescent="0.2">
      <c r="B57" s="26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5"/>
    </row>
    <row r="58" spans="2:14" x14ac:dyDescent="0.2">
      <c r="B58" s="26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5"/>
    </row>
    <row r="59" spans="2:14" x14ac:dyDescent="0.2">
      <c r="B59" s="26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5"/>
    </row>
    <row r="60" spans="2:14" x14ac:dyDescent="0.2">
      <c r="B60" s="26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5"/>
    </row>
    <row r="61" spans="2:14" x14ac:dyDescent="0.2">
      <c r="B61" s="26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5"/>
    </row>
    <row r="62" spans="2:14" x14ac:dyDescent="0.2">
      <c r="B62" s="26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5"/>
    </row>
    <row r="63" spans="2:14" x14ac:dyDescent="0.2">
      <c r="B63" s="26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5"/>
    </row>
    <row r="64" spans="2:14" x14ac:dyDescent="0.2">
      <c r="B64" s="26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5"/>
    </row>
    <row r="65" spans="2:14" x14ac:dyDescent="0.2">
      <c r="B65" s="26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5"/>
    </row>
    <row r="66" spans="2:14" x14ac:dyDescent="0.2">
      <c r="B66" s="26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5"/>
    </row>
    <row r="67" spans="2:14" x14ac:dyDescent="0.2">
      <c r="B67" s="26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5"/>
    </row>
    <row r="68" spans="2:14" x14ac:dyDescent="0.2">
      <c r="B68" s="26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5"/>
    </row>
    <row r="69" spans="2:14" x14ac:dyDescent="0.2">
      <c r="B69" s="26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5"/>
    </row>
    <row r="70" spans="2:14" x14ac:dyDescent="0.2">
      <c r="B70" s="26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5"/>
    </row>
    <row r="71" spans="2:14" x14ac:dyDescent="0.2">
      <c r="B71" s="26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5"/>
    </row>
    <row r="72" spans="2:14" x14ac:dyDescent="0.2">
      <c r="B72" s="26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5"/>
    </row>
    <row r="73" spans="2:14" x14ac:dyDescent="0.2">
      <c r="B73" s="26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5"/>
    </row>
    <row r="74" spans="2:14" x14ac:dyDescent="0.2">
      <c r="B74" s="26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5"/>
    </row>
    <row r="75" spans="2:14" ht="15.75" thickBot="1" x14ac:dyDescent="0.25">
      <c r="B75" s="34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6"/>
    </row>
  </sheetData>
  <mergeCells count="25">
    <mergeCell ref="B28:L28"/>
    <mergeCell ref="B29:L29"/>
    <mergeCell ref="B30:K31"/>
    <mergeCell ref="B8:C8"/>
    <mergeCell ref="D8:E8"/>
    <mergeCell ref="F8:H8"/>
    <mergeCell ref="I8:J8"/>
    <mergeCell ref="K8:L8"/>
    <mergeCell ref="B7:C7"/>
    <mergeCell ref="D7:E7"/>
    <mergeCell ref="F7:H7"/>
    <mergeCell ref="I7:J7"/>
    <mergeCell ref="K7:L7"/>
    <mergeCell ref="B5:C5"/>
    <mergeCell ref="D5:E5"/>
    <mergeCell ref="F5:H5"/>
    <mergeCell ref="I5:J5"/>
    <mergeCell ref="K5:L5"/>
    <mergeCell ref="B1:L1"/>
    <mergeCell ref="B2:L2"/>
    <mergeCell ref="B4:C4"/>
    <mergeCell ref="D4:E4"/>
    <mergeCell ref="F4:H4"/>
    <mergeCell ref="I4:J4"/>
    <mergeCell ref="K4:L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2" width="13.98828125" customWidth="1"/>
    <col min="3" max="3" width="20.04296875" customWidth="1"/>
    <col min="4" max="4" width="16.0078125" customWidth="1"/>
    <col min="5" max="5" width="22.05859375" customWidth="1"/>
    <col min="6" max="6" width="20.04296875" customWidth="1"/>
  </cols>
  <sheetData>
    <row r="1" spans="1:6" x14ac:dyDescent="0.2">
      <c r="A1" s="15" t="s">
        <v>37</v>
      </c>
      <c r="B1" s="15" t="s">
        <v>38</v>
      </c>
      <c r="C1" s="15" t="s">
        <v>39</v>
      </c>
      <c r="D1" s="15" t="s">
        <v>40</v>
      </c>
      <c r="E1" s="15" t="s">
        <v>41</v>
      </c>
      <c r="F1" s="15" t="s">
        <v>42</v>
      </c>
    </row>
    <row r="2" spans="1:6" x14ac:dyDescent="0.2">
      <c r="A2" s="5" t="s">
        <v>43</v>
      </c>
      <c r="B2" s="5" t="s">
        <v>28</v>
      </c>
      <c r="C2" s="5" t="s">
        <v>29</v>
      </c>
      <c r="D2" s="16">
        <v>46297</v>
      </c>
      <c r="E2" s="5" t="s">
        <v>2</v>
      </c>
      <c r="F2" s="5" t="s">
        <v>3</v>
      </c>
    </row>
    <row r="3" spans="1:6" x14ac:dyDescent="0.2">
      <c r="A3" s="5" t="s">
        <v>44</v>
      </c>
      <c r="B3" s="5" t="s">
        <v>29</v>
      </c>
      <c r="C3" s="5" t="s">
        <v>45</v>
      </c>
      <c r="D3" s="16">
        <v>46298</v>
      </c>
      <c r="E3" s="5" t="s">
        <v>2</v>
      </c>
      <c r="F3" s="5" t="s">
        <v>9</v>
      </c>
    </row>
    <row r="4" spans="1:6" x14ac:dyDescent="0.2">
      <c r="A4" s="5" t="s">
        <v>46</v>
      </c>
      <c r="B4" s="5" t="s">
        <v>30</v>
      </c>
      <c r="C4" s="5" t="s">
        <v>31</v>
      </c>
      <c r="D4" s="16">
        <v>46300</v>
      </c>
      <c r="E4" s="5" t="s">
        <v>2</v>
      </c>
      <c r="F4" s="5" t="s">
        <v>3</v>
      </c>
    </row>
    <row r="5" spans="1:6" x14ac:dyDescent="0.2">
      <c r="A5" s="5" t="s">
        <v>47</v>
      </c>
      <c r="B5" s="5" t="s">
        <v>31</v>
      </c>
      <c r="C5" s="5" t="s">
        <v>48</v>
      </c>
      <c r="D5" s="16">
        <v>46301</v>
      </c>
      <c r="E5" s="5" t="s">
        <v>2</v>
      </c>
      <c r="F5" s="5" t="s">
        <v>9</v>
      </c>
    </row>
    <row r="6" spans="1:6" x14ac:dyDescent="0.2">
      <c r="A6" s="5" t="s">
        <v>49</v>
      </c>
      <c r="B6" s="5" t="s">
        <v>32</v>
      </c>
      <c r="C6" s="5" t="s">
        <v>50</v>
      </c>
      <c r="D6" s="16">
        <v>46303</v>
      </c>
      <c r="E6" s="5" t="s">
        <v>2</v>
      </c>
      <c r="F6" s="5" t="s">
        <v>3</v>
      </c>
    </row>
    <row r="7" spans="1:6" x14ac:dyDescent="0.2">
      <c r="A7" s="5" t="s">
        <v>51</v>
      </c>
      <c r="B7" s="5" t="s">
        <v>28</v>
      </c>
      <c r="C7" s="5"/>
      <c r="D7" s="16">
        <v>46306</v>
      </c>
      <c r="E7" s="5" t="s">
        <v>21</v>
      </c>
      <c r="F7" s="5" t="s">
        <v>9</v>
      </c>
    </row>
    <row r="9" spans="1:6" x14ac:dyDescent="0.2">
      <c r="A9" s="17" t="s">
        <v>52</v>
      </c>
    </row>
  </sheetData>
  <autoFilter ref="A1:F7" xr:uid="{00000000-0009-0000-0000-000001000000}"/>
  <conditionalFormatting sqref="E2:E7">
    <cfRule type="cellIs" dxfId="3" priority="2" operator="equal">
      <formula>"Registered"</formula>
    </cfRule>
    <cfRule type="cellIs" dxfId="2" priority="3" operator="equal">
      <formula>"Invited"</formula>
    </cfRule>
  </conditionalFormatting>
  <conditionalFormatting sqref="F2:F7">
    <cfRule type="cellIs" dxfId="1" priority="4" operator="equal">
      <formula>"Activated"</formula>
    </cfRule>
    <cfRule type="cellIs" dxfId="0" priority="5" operator="equal">
      <formula>"Not Activated"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2026-10-14T09:37:22Z</dcterms:created>
  <dcterms:modified xsi:type="dcterms:W3CDTF">2026-10-14T09:37:23Z</dcterms:modified>
  <dc:language>en-US</dc:language>
</cp:coreProperties>
</file>