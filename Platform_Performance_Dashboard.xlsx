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Daily KPIs" sheetId="3" state="visible" r:id="rId5"/>
  </sheets>
  <definedNames>
    <definedName function="false" hidden="true" localSheetId="1" name="_xlnm._FilterDatabase" vbProcedure="false">Data!$A$1:$L$11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<sst xmlns="http://schemas.openxmlformats.org/spreadsheetml/2006/main" count="70" uniqueCount="53">
  <si>
    <t xml:space="preserve">Platform Performance Dashboard</t>
  </si>
  <si>
    <t xml:space="preserve">Total Users (Latest)</t>
  </si>
  <si>
    <t xml:space="preserve">User Growth Since Day 1</t>
  </si>
  <si>
    <t xml:space="preserve">Avg Daily Active Users</t>
  </si>
  <si>
    <t xml:space="preserve">Latest Active Rate</t>
  </si>
  <si>
    <t xml:space="preserve">Engagement Events</t>
  </si>
  <si>
    <t xml:space="preserve">Completed Tasks</t>
  </si>
  <si>
    <t xml:space="preserve">Tasks / Active User-Day</t>
  </si>
  <si>
    <t xml:space="preserve">Reward Points Credited</t>
  </si>
  <si>
    <t xml:space="preserve">Wallet Redemptions</t>
  </si>
  <si>
    <t xml:space="preserve">Net Wallet Flow</t>
  </si>
  <si>
    <t xml:space="preserve">Withdrawal Requests</t>
  </si>
  <si>
    <t xml:space="preserve">Withdrawal Completion</t>
  </si>
  <si>
    <t xml:space="preserve">Referral Invitations</t>
  </si>
  <si>
    <t xml:space="preserve">Referral Activation Rate</t>
  </si>
  <si>
    <t xml:space="preserve">Redemption Rate</t>
  </si>
  <si>
    <t xml:space="preserve">First Half vs Second Half (Days 1-5 vs Days 6-10)</t>
  </si>
  <si>
    <t xml:space="preserve">Peak Day by Metric</t>
  </si>
  <si>
    <t xml:space="preserve">Metric</t>
  </si>
  <si>
    <t xml:space="preserve">Total / Avg</t>
  </si>
  <si>
    <t xml:space="preserve">First Half</t>
  </si>
  <si>
    <t xml:space="preserve">Second Half</t>
  </si>
  <si>
    <t xml:space="preserve">Change %</t>
  </si>
  <si>
    <t xml:space="preserve">Peak Value</t>
  </si>
  <si>
    <t xml:space="preserve">Peak Date</t>
  </si>
  <si>
    <t xml:space="preserve">Daily Avg</t>
  </si>
  <si>
    <t xml:space="preserve">Latest Day</t>
  </si>
  <si>
    <t xml:space="preserve">Active Users</t>
  </si>
  <si>
    <t xml:space="preserve">Wallet Credits</t>
  </si>
  <si>
    <t xml:space="preserve">Completed Withdrawals</t>
  </si>
  <si>
    <t xml:space="preserve">Activated Referrals</t>
  </si>
  <si>
    <t xml:space="preserve">Notes &amp; assumptions</t>
  </si>
  <si>
    <t xml:space="preserve">Total_Users is treated as a cumulative count (the latest value is used for the headline); all other metrics are daily figures that are summed or averaged. Net Wallet Flow = Wallet Credits - Wallet Redemptions.</t>
  </si>
  <si>
    <t xml:space="preserve">Reward_Points_Credited equals Wallet_Credits on every day in the source data. First half / second half splits the days evenly, so update the split if you add more days. Daily ratios are on the 'Daily KPIs' sheet.</t>
  </si>
  <si>
    <t xml:space="preserve">Charts</t>
  </si>
  <si>
    <t xml:space="preserve">Date</t>
  </si>
  <si>
    <t xml:space="preserve">Total_Users</t>
  </si>
  <si>
    <t xml:space="preserve">Active_Users</t>
  </si>
  <si>
    <t xml:space="preserve">Engagement_Events</t>
  </si>
  <si>
    <t xml:space="preserve">Completed_Tasks</t>
  </si>
  <si>
    <t xml:space="preserve">Reward_Points_Credited</t>
  </si>
  <si>
    <t xml:space="preserve">Wallet_Credits</t>
  </si>
  <si>
    <t xml:space="preserve">Wallet_Redemptions</t>
  </si>
  <si>
    <t xml:space="preserve">Withdrawal_Requests</t>
  </si>
  <si>
    <t xml:space="preserve">Completed_Withdrawals</t>
  </si>
  <si>
    <t xml:space="preserve">Referral_Invitations</t>
  </si>
  <si>
    <t xml:space="preserve">Activated_Referrals</t>
  </si>
  <si>
    <t xml:space="preserve">Source: daily metrics provided by user (10 days, 2026-10-01 to 2026-10-10). Add new days directly below; extend the ranges on the Dashboard / Daily KPIs sheets if needed.</t>
  </si>
  <si>
    <t xml:space="preserve">Active Rate</t>
  </si>
  <si>
    <t xml:space="preserve">Withdrawal Completion Rate</t>
  </si>
  <si>
    <t xml:space="preserve">Tasks per Active User</t>
  </si>
  <si>
    <t xml:space="preserve">Events per Active User</t>
  </si>
  <si>
    <t xml:space="preserve">Calculated daily ratios; all cells are formulas on the Data sheet.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</si>
</sst>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%"/>
    <numFmt numFmtId="167" formatCode="0.0"/>
    <numFmt numFmtId="168" formatCode="0.0%"/>
    <numFmt numFmtId="169" formatCode="0.00"/>
    <numFmt numFmtId="170" formatCode="#,##0;[RED]\(#,##0\)"/>
    <numFmt numFmtId="171" formatCode="\+0.0%;\-0.0%;0.0%"/>
    <numFmt numFmtId="172" formatCode="dd\ mmm\ yyyy"/>
    <numFmt numFmtId="173" formatCode="#,##0.0"/>
    <numFmt numFmtId="174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color rgb="FF006100"/>
      </font>
    </dxf>
    <dxf>
      <font>
        <name val="Arial"/>
        <charset val="1"/>
        <family val="0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vs Active Users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Data!B1</c:f>
              <c:strCache>
                <c:ptCount val="1"/>
                <c:pt idx="0">
                  <c:v>Total_Users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Data!$B$2:$B$11</c:f>
              <c:numCache>
                <c:formatCode>#,##0</c:formatCode>
                <c:ptCount val="10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23</c:v>
                </c:pt>
                <c:pt idx="7">
                  <c:v>25</c:v>
                </c:pt>
                <c:pt idx="8">
                  <c:v>28</c:v>
                </c:pt>
                <c:pt idx="9">
                  <c:v>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Data!C1</c:f>
              <c:strCache>
                <c:ptCount val="1"/>
                <c:pt idx="0">
                  <c:v>Active_Users</c:v>
                </c:pt>
              </c:strCache>
            </c:strRef>
          </c:tx>
          <c:spPr>
            <a:solidFill>
              <a:srgbClr val="70ad47"/>
            </a:solidFill>
            <a:ln w="28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Data!$C$2:$C$11</c:f>
              <c:numCache>
                <c:formatCode>#,##0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15</c:v>
                </c:pt>
                <c:pt idx="8">
                  <c:v>17</c:v>
                </c:pt>
                <c:pt idx="9">
                  <c:v>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115022"/>
        <c:axId val="91686025"/>
      </c:lineChart>
      <c:catAx>
        <c:axId val="86115022"/>
        <c:scaling>
          <c:orientation val="minMax"/>
        </c:scaling>
        <c:delete val="0"/>
        <c:axPos val="b"/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86025"/>
        <c:crosses val="autoZero"/>
        <c:auto val="1"/>
        <c:lblAlgn val="ctr"/>
        <c:lblOffset val="100"/>
        <c:noMultiLvlLbl val="0"/>
      </c:catAx>
      <c:valAx>
        <c:axId val="9168602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150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Events vs Completed Tasks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Data!D1</c:f>
              <c:strCache>
                <c:ptCount val="1"/>
                <c:pt idx="0">
                  <c:v>Engagement_Events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Data!$D$2:$D$11</c:f>
              <c:numCache>
                <c:formatCode>#,##0</c:formatCode>
                <c:ptCount val="10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20</c:v>
                </c:pt>
                <c:pt idx="4">
                  <c:v>24</c:v>
                </c:pt>
                <c:pt idx="5">
                  <c:v>28</c:v>
                </c:pt>
                <c:pt idx="6">
                  <c:v>32</c:v>
                </c:pt>
                <c:pt idx="7">
                  <c:v>35</c:v>
                </c:pt>
                <c:pt idx="8">
                  <c:v>40</c:v>
                </c:pt>
                <c:pt idx="9">
                  <c:v>44</c:v>
                </c:pt>
              </c:numCache>
            </c:numRef>
          </c:val>
        </c:ser>
        <c:ser>
          <c:idx val="1"/>
          <c:order val="1"/>
          <c:tx>
            <c:strRef>
              <c:f>Data!E1</c:f>
              <c:strCache>
                <c:ptCount val="1"/>
                <c:pt idx="0">
                  <c:v>Completed_Tasks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Data!$E$2:$E$11</c:f>
              <c:numCache>
                <c:formatCode>#,##0</c:formatCode>
                <c:ptCount val="10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25</c:v>
                </c:pt>
                <c:pt idx="8">
                  <c:v>29</c:v>
                </c:pt>
                <c:pt idx="9">
                  <c:v>32</c:v>
                </c:pt>
              </c:numCache>
            </c:numRef>
          </c:val>
        </c:ser>
        <c:gapWidth val="150"/>
        <c:overlap val="0"/>
        <c:axId val="63419454"/>
        <c:axId val="7314221"/>
      </c:barChart>
      <c:catAx>
        <c:axId val="63419454"/>
        <c:scaling>
          <c:orientation val="minMax"/>
        </c:scaling>
        <c:delete val="0"/>
        <c:axPos val="b"/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4221"/>
        <c:crosses val="autoZero"/>
        <c:auto val="1"/>
        <c:lblAlgn val="ctr"/>
        <c:lblOffset val="100"/>
        <c:noMultiLvlLbl val="0"/>
      </c:catAx>
      <c:valAx>
        <c:axId val="731422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194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Wallet Credits vs Redemptions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Data!G1</c:f>
              <c:strCache>
                <c:ptCount val="1"/>
                <c:pt idx="0">
                  <c:v>Wallet_Credits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Data!$G$2:$G$11</c:f>
              <c:numCache>
                <c:formatCode>#,##0</c:formatCode>
                <c:ptCount val="10"/>
                <c:pt idx="0">
                  <c:v>500</c:v>
                </c:pt>
                <c:pt idx="1">
                  <c:v>650</c:v>
                </c:pt>
                <c:pt idx="2">
                  <c:v>800</c:v>
                </c:pt>
                <c:pt idx="3">
                  <c:v>900</c:v>
                </c:pt>
                <c:pt idx="4">
                  <c:v>1100</c:v>
                </c:pt>
                <c:pt idx="5">
                  <c:v>1250</c:v>
                </c:pt>
                <c:pt idx="6">
                  <c:v>1400</c:v>
                </c:pt>
                <c:pt idx="7">
                  <c:v>1600</c:v>
                </c:pt>
                <c:pt idx="8">
                  <c:v>1750</c:v>
                </c:pt>
                <c:pt idx="9">
                  <c:v>1900</c:v>
                </c:pt>
              </c:numCache>
            </c:numRef>
          </c:val>
        </c:ser>
        <c:ser>
          <c:idx val="1"/>
          <c:order val="1"/>
          <c:tx>
            <c:strRef>
              <c:f>Data!H1</c:f>
              <c:strCache>
                <c:ptCount val="1"/>
                <c:pt idx="0">
                  <c:v>Wallet_Redemptions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Data!$H$2:$H$11</c:f>
              <c:numCache>
                <c:formatCode>#,##0</c:formatCode>
                <c:ptCount val="10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</c:numCache>
            </c:numRef>
          </c:val>
        </c:ser>
        <c:gapWidth val="150"/>
        <c:overlap val="0"/>
        <c:axId val="27407533"/>
        <c:axId val="69820804"/>
      </c:barChart>
      <c:catAx>
        <c:axId val="27407533"/>
        <c:scaling>
          <c:orientation val="minMax"/>
        </c:scaling>
        <c:delete val="0"/>
        <c:axPos val="b"/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20804"/>
        <c:crosses val="autoZero"/>
        <c:auto val="1"/>
        <c:lblAlgn val="ctr"/>
        <c:lblOffset val="100"/>
        <c:noMultiLvlLbl val="0"/>
      </c:catAx>
      <c:valAx>
        <c:axId val="6982080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075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Withdrawals: Requested vs Completed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Data!I1</c:f>
              <c:strCache>
                <c:ptCount val="1"/>
                <c:pt idx="0">
                  <c:v>Withdrawal_Requests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Data!$I$2:$I$11</c:f>
              <c:numCache>
                <c:formatCode>#,##0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</c:ser>
        <c:ser>
          <c:idx val="1"/>
          <c:order val="1"/>
          <c:tx>
            <c:strRef>
              <c:f>Data!J1</c:f>
              <c:strCache>
                <c:ptCount val="1"/>
                <c:pt idx="0">
                  <c:v>Completed_Withdrawals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Data!$J$2:$J$11</c:f>
              <c:numCache>
                <c:formatCode>#,##0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</c:ser>
        <c:gapWidth val="150"/>
        <c:overlap val="0"/>
        <c:axId val="9657217"/>
        <c:axId val="426297"/>
      </c:barChart>
      <c:catAx>
        <c:axId val="9657217"/>
        <c:scaling>
          <c:orientation val="minMax"/>
        </c:scaling>
        <c:delete val="0"/>
        <c:axPos val="b"/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297"/>
        <c:crosses val="autoZero"/>
        <c:auto val="1"/>
        <c:lblAlgn val="ctr"/>
        <c:lblOffset val="100"/>
        <c:noMultiLvlLbl val="0"/>
      </c:catAx>
      <c:valAx>
        <c:axId val="42629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72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Referrals: Invitations vs Activated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Data!K1</c:f>
              <c:strCache>
                <c:ptCount val="1"/>
                <c:pt idx="0">
                  <c:v>Referral_Invitations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Data!$K$2:$K$11</c:f>
              <c:numCache>
                <c:formatCode>#,##0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</c:ser>
        <c:ser>
          <c:idx val="1"/>
          <c:order val="1"/>
          <c:tx>
            <c:strRef>
              <c:f>Data!L1</c:f>
              <c:strCache>
                <c:ptCount val="1"/>
                <c:pt idx="0">
                  <c:v>Activated_Referrals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Data!$L$2:$L$11</c:f>
              <c:numCache>
                <c:formatCode>#,##0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  <c:pt idx="9">
                  <c:v>6</c:v>
                </c:pt>
              </c:numCache>
            </c:numRef>
          </c:val>
        </c:ser>
        <c:gapWidth val="150"/>
        <c:overlap val="0"/>
        <c:axId val="12430584"/>
        <c:axId val="43279912"/>
      </c:barChart>
      <c:catAx>
        <c:axId val="12430584"/>
        <c:scaling>
          <c:orientation val="minMax"/>
        </c:scaling>
        <c:delete val="0"/>
        <c:axPos val="b"/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79912"/>
        <c:crosses val="autoZero"/>
        <c:auto val="1"/>
        <c:lblAlgn val="ctr"/>
        <c:lblOffset val="100"/>
        <c:noMultiLvlLbl val="0"/>
      </c:catAx>
      <c:valAx>
        <c:axId val="4327991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305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Rate Trends (Active, Withdrawal Completion, Referral Activation)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KPIs'!B1</c:f>
              <c:strCache>
                <c:ptCount val="1"/>
                <c:pt idx="0">
                  <c:v>Active Rate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KPIs'!$A$2:$A$11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'Daily KPIs'!$B$2:$B$11</c:f>
              <c:numCache>
                <c:formatCode>0.0%</c:formatCode>
                <c:ptCount val="10"/>
                <c:pt idx="0">
                  <c:v>0.6</c:v>
                </c:pt>
                <c:pt idx="1">
                  <c:v>0.583333333333333</c:v>
                </c:pt>
                <c:pt idx="2">
                  <c:v>0.571428571428571</c:v>
                </c:pt>
                <c:pt idx="3">
                  <c:v>0.5625</c:v>
                </c:pt>
                <c:pt idx="4">
                  <c:v>0.555555555555556</c:v>
                </c:pt>
                <c:pt idx="5">
                  <c:v>0.6</c:v>
                </c:pt>
                <c:pt idx="6">
                  <c:v>0.608695652173913</c:v>
                </c:pt>
                <c:pt idx="7">
                  <c:v>0.6</c:v>
                </c:pt>
                <c:pt idx="8">
                  <c:v>0.607142857142857</c:v>
                </c:pt>
                <c:pt idx="9">
                  <c:v>0.6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'Daily KPIs'!E1</c:f>
              <c:strCache>
                <c:ptCount val="1"/>
                <c:pt idx="0">
                  <c:v>Withdrawal Completion Rate</c:v>
                </c:pt>
              </c:strCache>
            </c:strRef>
          </c:tx>
          <c:spPr>
            <a:solidFill>
              <a:srgbClr val="70ad47"/>
            </a:solidFill>
            <a:ln w="28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KPIs'!$A$2:$A$11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'Daily KPIs'!$E$2:$E$11</c:f>
              <c:numCache>
                <c:formatCode>0.0%</c:formatCode>
                <c:ptCount val="10"/>
                <c:pt idx="0">
                  <c:v>0.5</c:v>
                </c:pt>
                <c:pt idx="1">
                  <c:v>0.666666666666667</c:v>
                </c:pt>
                <c:pt idx="2">
                  <c:v>0.5</c:v>
                </c:pt>
                <c:pt idx="3">
                  <c:v>0.75</c:v>
                </c:pt>
                <c:pt idx="4">
                  <c:v>0.666666666666667</c:v>
                </c:pt>
                <c:pt idx="5">
                  <c:v>0.75</c:v>
                </c:pt>
                <c:pt idx="6">
                  <c:v>0.8</c:v>
                </c:pt>
                <c:pt idx="7">
                  <c:v>0.75</c:v>
                </c:pt>
                <c:pt idx="8">
                  <c:v>0.666666666666667</c:v>
                </c:pt>
                <c:pt idx="9">
                  <c:v>0.8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'Daily KPIs'!F1</c:f>
              <c:strCache>
                <c:ptCount val="1"/>
                <c:pt idx="0">
                  <c:v>Referral Activation Rate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KPIs'!$A$2:$A$11</c:f>
              <c:strCache>
                <c:ptCount val="10"/>
                <c:pt idx="0">
                  <c:v>2026-10-01</c:v>
                </c:pt>
                <c:pt idx="1">
                  <c:v>2026-10-02</c:v>
                </c:pt>
                <c:pt idx="2">
                  <c:v>2026-10-03</c:v>
                </c:pt>
                <c:pt idx="3">
                  <c:v>2026-10-04</c:v>
                </c:pt>
                <c:pt idx="4">
                  <c:v>2026-10-05</c:v>
                </c:pt>
                <c:pt idx="5">
                  <c:v>2026-10-06</c:v>
                </c:pt>
                <c:pt idx="6">
                  <c:v>2026-10-07</c:v>
                </c:pt>
                <c:pt idx="7">
                  <c:v>2026-10-08</c:v>
                </c:pt>
                <c:pt idx="8">
                  <c:v>2026-10-09</c:v>
                </c:pt>
                <c:pt idx="9">
                  <c:v>2026-10-10</c:v>
                </c:pt>
              </c:strCache>
            </c:strRef>
          </c:cat>
          <c:val>
            <c:numRef>
              <c:f>'Daily KPIs'!$F$2:$F$11</c:f>
              <c:numCache>
                <c:formatCode>0.0%</c:formatCode>
                <c:ptCount val="10"/>
                <c:pt idx="0">
                  <c:v>0.333333333333333</c:v>
                </c:pt>
                <c:pt idx="1">
                  <c:v>0.5</c:v>
                </c:pt>
                <c:pt idx="2">
                  <c:v>0.4</c:v>
                </c:pt>
                <c:pt idx="3">
                  <c:v>0.5</c:v>
                </c:pt>
                <c:pt idx="4">
                  <c:v>0.4</c:v>
                </c:pt>
                <c:pt idx="5">
                  <c:v>0.571428571428571</c:v>
                </c:pt>
                <c:pt idx="6">
                  <c:v>0.625</c:v>
                </c:pt>
                <c:pt idx="7">
                  <c:v>0.5</c:v>
                </c:pt>
                <c:pt idx="8">
                  <c:v>0.555555555555556</c:v>
                </c:pt>
                <c:pt idx="9">
                  <c:v>0.6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693917"/>
        <c:axId val="10180260"/>
      </c:lineChart>
      <c:catAx>
        <c:axId val="85693917"/>
        <c:scaling>
          <c:orientation val="minMax"/>
        </c:scaling>
        <c:delete val="0"/>
        <c:axPos val="b"/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80260"/>
        <c:crosses val="autoZero"/>
        <c:auto val="1"/>
        <c:lblAlgn val="ctr"/>
        <c:lblOffset val="100"/>
        <c:noMultiLvlLbl val="0"/>
      </c:catAx>
      <c:valAx>
        <c:axId val="10180260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939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4</xdr:col>
      <xdr:colOff>591480</xdr:colOff>
      <xdr:row>43</xdr:row>
      <xdr:rowOff>32760</xdr:rowOff>
    </xdr:to>
    <xdr:graphicFrame>
      <xdr:nvGraphicFramePr>
        <xdr:cNvPr id="0" name="Chart 1"/>
        <xdr:cNvGraphicFramePr/>
      </xdr:nvGraphicFramePr>
      <xdr:xfrm>
        <a:off x="141120" y="7210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10</xdr:col>
      <xdr:colOff>192240</xdr:colOff>
      <xdr:row>43</xdr:row>
      <xdr:rowOff>32760</xdr:rowOff>
    </xdr:to>
    <xdr:graphicFrame>
      <xdr:nvGraphicFramePr>
        <xdr:cNvPr id="1" name="Chart 2"/>
        <xdr:cNvGraphicFramePr/>
      </xdr:nvGraphicFramePr>
      <xdr:xfrm>
        <a:off x="6696000" y="7210440"/>
        <a:ext cx="41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4</xdr:col>
      <xdr:colOff>591480</xdr:colOff>
      <xdr:row>59</xdr:row>
      <xdr:rowOff>32760</xdr:rowOff>
    </xdr:to>
    <xdr:graphicFrame>
      <xdr:nvGraphicFramePr>
        <xdr:cNvPr id="2" name="Chart 3"/>
        <xdr:cNvGraphicFramePr/>
      </xdr:nvGraphicFramePr>
      <xdr:xfrm>
        <a:off x="141120" y="102585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45</xdr:row>
      <xdr:rowOff>0</xdr:rowOff>
    </xdr:from>
    <xdr:to>
      <xdr:col>10</xdr:col>
      <xdr:colOff>192240</xdr:colOff>
      <xdr:row>59</xdr:row>
      <xdr:rowOff>32760</xdr:rowOff>
    </xdr:to>
    <xdr:graphicFrame>
      <xdr:nvGraphicFramePr>
        <xdr:cNvPr id="3" name="Chart 4"/>
        <xdr:cNvGraphicFramePr/>
      </xdr:nvGraphicFramePr>
      <xdr:xfrm>
        <a:off x="6696000" y="10258560"/>
        <a:ext cx="41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61</xdr:row>
      <xdr:rowOff>0</xdr:rowOff>
    </xdr:from>
    <xdr:to>
      <xdr:col>4</xdr:col>
      <xdr:colOff>591480</xdr:colOff>
      <xdr:row>75</xdr:row>
      <xdr:rowOff>32400</xdr:rowOff>
    </xdr:to>
    <xdr:graphicFrame>
      <xdr:nvGraphicFramePr>
        <xdr:cNvPr id="4" name="Chart 5"/>
        <xdr:cNvGraphicFramePr/>
      </xdr:nvGraphicFramePr>
      <xdr:xfrm>
        <a:off x="141120" y="133063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61</xdr:row>
      <xdr:rowOff>0</xdr:rowOff>
    </xdr:from>
    <xdr:to>
      <xdr:col>10</xdr:col>
      <xdr:colOff>192240</xdr:colOff>
      <xdr:row>75</xdr:row>
      <xdr:rowOff>32400</xdr:rowOff>
    </xdr:to>
    <xdr:graphicFrame>
      <xdr:nvGraphicFramePr>
        <xdr:cNvPr id="5" name="Chart 6"/>
        <xdr:cNvGraphicFramePr/>
      </xdr:nvGraphicFramePr>
      <xdr:xfrm>
        <a:off x="6696000" y="13306320"/>
        <a:ext cx="41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L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6" min="3" style="0" width="16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12" min="9" style="0" width="16"/>
    <col collapsed="false" customWidth="true" hidden="false" outlineLevel="0" max="13" min="13" style="0" width="2"/>
  </cols>
  <sheetData>
    <row r="1" customFormat="false" ht="37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B2" s="2" t="str">
        <f aca="false">"Period: "&amp;TEXT(MIN(Data!$A$2:$A$11),"dd mmm yyyy")&amp;" to "&amp;TEXT(MAX(Data!$A$2:$A$11),"dd mmm yyyy")&amp;"  ("&amp;COUNT(Data!$A$2:$A$11)&amp;" days)   |   All figures update from the Data sheet"</f>
        <v>Period: 01 Oct 2026 to 10 Oct 2026  (10 days)   |   All figures update from the Data sheet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B4" s="3" t="s">
        <v>1</v>
      </c>
      <c r="C4" s="3"/>
      <c r="D4" s="3" t="s">
        <v>2</v>
      </c>
      <c r="E4" s="3"/>
      <c r="F4" s="3" t="s">
        <v>3</v>
      </c>
      <c r="G4" s="3"/>
      <c r="H4" s="3"/>
      <c r="I4" s="3" t="s">
        <v>4</v>
      </c>
      <c r="J4" s="3"/>
      <c r="K4" s="3" t="s">
        <v>5</v>
      </c>
      <c r="L4" s="3"/>
    </row>
    <row r="5" customFormat="false" ht="39.75" hidden="false" customHeight="true" outlineLevel="0" collapsed="false">
      <c r="B5" s="4" t="n">
        <f aca="false">INDEX(Data!$B$2:$B$11,COUNT(Data!$B$2:$B$11))</f>
        <v>30</v>
      </c>
      <c r="C5" s="4"/>
      <c r="D5" s="5" t="n">
        <f aca="false">INDEX(Data!$B$2:$B$11,COUNT(Data!$B$2:$B$11))/INDEX(Data!$B$2:$B$11,1)-1</f>
        <v>2</v>
      </c>
      <c r="E5" s="5"/>
      <c r="F5" s="6" t="n">
        <f aca="false">AVERAGE(Data!$C$2:$C$11)</f>
        <v>11.6</v>
      </c>
      <c r="G5" s="6"/>
      <c r="H5" s="6"/>
      <c r="I5" s="7" t="n">
        <f aca="false">INDEX(Data!$C$2:$C$11,COUNT(Data!$C$2:$C$11))/INDEX(Data!$B$2:$B$11,COUNT(Data!$B$2:$B$11))</f>
        <v>0.6</v>
      </c>
      <c r="J5" s="7"/>
      <c r="K5" s="4" t="n">
        <f aca="false">SUM(Data!$D$2:$D$11)</f>
        <v>268</v>
      </c>
      <c r="L5" s="4"/>
    </row>
    <row r="7" customFormat="false" ht="15" hidden="false" customHeight="false" outlineLevel="0" collapsed="false">
      <c r="B7" s="3" t="s">
        <v>6</v>
      </c>
      <c r="C7" s="3"/>
      <c r="D7" s="3" t="s">
        <v>7</v>
      </c>
      <c r="E7" s="3"/>
      <c r="F7" s="3" t="s">
        <v>8</v>
      </c>
      <c r="G7" s="3"/>
      <c r="H7" s="3"/>
      <c r="I7" s="3" t="s">
        <v>9</v>
      </c>
      <c r="J7" s="3"/>
      <c r="K7" s="3" t="s">
        <v>10</v>
      </c>
      <c r="L7" s="3"/>
    </row>
    <row r="8" customFormat="false" ht="39.75" hidden="false" customHeight="true" outlineLevel="0" collapsed="false">
      <c r="B8" s="4" t="n">
        <f aca="false">SUM(Data!$E$2:$E$11)</f>
        <v>190</v>
      </c>
      <c r="C8" s="4"/>
      <c r="D8" s="8" t="n">
        <f aca="false">SUM(Data!$E$2:$E$11)/SUM(Data!$C$2:$C$11)</f>
        <v>1.63793103448276</v>
      </c>
      <c r="E8" s="8"/>
      <c r="F8" s="4" t="n">
        <f aca="false">SUM(Data!$F$2:$F$11)</f>
        <v>11850</v>
      </c>
      <c r="G8" s="4"/>
      <c r="H8" s="4"/>
      <c r="I8" s="4" t="n">
        <f aca="false">SUM(Data!$H$2:$H$11)</f>
        <v>3250</v>
      </c>
      <c r="J8" s="4"/>
      <c r="K8" s="9" t="n">
        <f aca="false">SUM(Data!$G$2:$G$11)-SUM(Data!$H$2:$H$11)</f>
        <v>8600</v>
      </c>
      <c r="L8" s="9"/>
    </row>
    <row r="10" customFormat="false" ht="15" hidden="false" customHeight="false" outlineLevel="0" collapsed="false">
      <c r="B10" s="3" t="s">
        <v>11</v>
      </c>
      <c r="C10" s="3"/>
      <c r="D10" s="3" t="s">
        <v>12</v>
      </c>
      <c r="E10" s="3"/>
      <c r="F10" s="3" t="s">
        <v>13</v>
      </c>
      <c r="G10" s="3"/>
      <c r="H10" s="3"/>
      <c r="I10" s="3" t="s">
        <v>14</v>
      </c>
      <c r="J10" s="3"/>
      <c r="K10" s="3" t="s">
        <v>15</v>
      </c>
      <c r="L10" s="3"/>
    </row>
    <row r="11" customFormat="false" ht="39.75" hidden="false" customHeight="true" outlineLevel="0" collapsed="false">
      <c r="B11" s="4" t="n">
        <f aca="false">SUM(Data!$I$2:$I$11)</f>
        <v>38</v>
      </c>
      <c r="C11" s="4"/>
      <c r="D11" s="7" t="n">
        <f aca="false">SUM(Data!$J$2:$J$11)/SUM(Data!$I$2:$I$11)</f>
        <v>0.710526315789474</v>
      </c>
      <c r="E11" s="7"/>
      <c r="F11" s="4" t="n">
        <f aca="false">SUM(Data!$K$2:$K$11)</f>
        <v>63</v>
      </c>
      <c r="G11" s="4"/>
      <c r="H11" s="4"/>
      <c r="I11" s="7" t="n">
        <f aca="false">SUM(Data!$L$2:$L$11)/SUM(Data!$K$2:$K$11)</f>
        <v>0.523809523809524</v>
      </c>
      <c r="J11" s="7"/>
      <c r="K11" s="7" t="n">
        <f aca="false">SUM(Data!$H$2:$H$11)/SUM(Data!$G$2:$G$11)</f>
        <v>0.274261603375527</v>
      </c>
      <c r="L11" s="7"/>
    </row>
    <row r="13" customFormat="false" ht="15" hidden="false" customHeight="false" outlineLevel="0" collapsed="false">
      <c r="B13" s="10" t="s">
        <v>16</v>
      </c>
      <c r="H13" s="10" t="s">
        <v>17</v>
      </c>
    </row>
    <row r="14" customFormat="false" ht="30" hidden="false" customHeight="true" outlineLevel="0" collapsed="false">
      <c r="B14" s="11" t="s">
        <v>18</v>
      </c>
      <c r="C14" s="11" t="s">
        <v>19</v>
      </c>
      <c r="D14" s="11" t="s">
        <v>20</v>
      </c>
      <c r="E14" s="11" t="s">
        <v>21</v>
      </c>
      <c r="F14" s="11" t="s">
        <v>22</v>
      </c>
      <c r="H14" s="11" t="s">
        <v>18</v>
      </c>
      <c r="I14" s="11" t="s">
        <v>23</v>
      </c>
      <c r="J14" s="11" t="s">
        <v>24</v>
      </c>
      <c r="K14" s="11" t="s">
        <v>25</v>
      </c>
      <c r="L14" s="11" t="s">
        <v>26</v>
      </c>
    </row>
    <row r="15" customFormat="false" ht="15" hidden="false" customHeight="false" outlineLevel="0" collapsed="false">
      <c r="B15" s="12" t="s">
        <v>3</v>
      </c>
      <c r="C15" s="13" t="n">
        <f aca="false">AVERAGE(Data!$C$2:$C$11)</f>
        <v>11.6</v>
      </c>
      <c r="D15" s="13" t="n">
        <f aca="false">AVERAGE(Data!$C$2:$C$6)</f>
        <v>8</v>
      </c>
      <c r="E15" s="13" t="n">
        <f aca="false">AVERAGE(Data!$C$7:$C$11)</f>
        <v>15.2</v>
      </c>
      <c r="F15" s="14" t="n">
        <f aca="false">IFERROR(E15/D15-1,0)</f>
        <v>0.9</v>
      </c>
      <c r="H15" s="12" t="s">
        <v>27</v>
      </c>
      <c r="I15" s="15" t="n">
        <f aca="false">MAX(Data!$C$2:$C$11)</f>
        <v>18</v>
      </c>
      <c r="J15" s="16" t="n">
        <f aca="false">INDEX(Data!$A$2:$A$11,MATCH(I15,Data!$C$2:$C$11,0))</f>
        <v>46305</v>
      </c>
      <c r="K15" s="17" t="n">
        <f aca="false">AVERAGE(Data!$C$2:$C$11)</f>
        <v>11.6</v>
      </c>
      <c r="L15" s="15" t="n">
        <f aca="false">INDEX(Data!$C$2:$C$11,COUNT(Data!$C$2:$C$11))</f>
        <v>18</v>
      </c>
    </row>
    <row r="16" customFormat="false" ht="15" hidden="false" customHeight="false" outlineLevel="0" collapsed="false">
      <c r="B16" s="12" t="s">
        <v>5</v>
      </c>
      <c r="C16" s="15" t="n">
        <f aca="false">SUM(Data!$D$2:$D$11)</f>
        <v>268</v>
      </c>
      <c r="D16" s="15" t="n">
        <f aca="false">SUM(Data!$D$2:$D$6)</f>
        <v>89</v>
      </c>
      <c r="E16" s="15" t="n">
        <f aca="false">SUM(Data!$D$7:$D$11)</f>
        <v>179</v>
      </c>
      <c r="F16" s="14" t="n">
        <f aca="false">IFERROR(E16/D16-1,0)</f>
        <v>1.01123595505618</v>
      </c>
      <c r="H16" s="12" t="s">
        <v>5</v>
      </c>
      <c r="I16" s="15" t="n">
        <f aca="false">MAX(Data!$D$2:$D$11)</f>
        <v>44</v>
      </c>
      <c r="J16" s="16" t="n">
        <f aca="false">INDEX(Data!$A$2:$A$11,MATCH(I16,Data!$D$2:$D$11,0))</f>
        <v>46305</v>
      </c>
      <c r="K16" s="17" t="n">
        <f aca="false">AVERAGE(Data!$D$2:$D$11)</f>
        <v>26.8</v>
      </c>
      <c r="L16" s="15" t="n">
        <f aca="false">INDEX(Data!$D$2:$D$11,COUNT(Data!$D$2:$D$11))</f>
        <v>44</v>
      </c>
    </row>
    <row r="17" customFormat="false" ht="15" hidden="false" customHeight="false" outlineLevel="0" collapsed="false">
      <c r="B17" s="12" t="s">
        <v>6</v>
      </c>
      <c r="C17" s="15" t="n">
        <f aca="false">SUM(Data!$E$2:$E$11)</f>
        <v>190</v>
      </c>
      <c r="D17" s="15" t="n">
        <f aca="false">SUM(Data!$E$2:$E$6)</f>
        <v>61</v>
      </c>
      <c r="E17" s="15" t="n">
        <f aca="false">SUM(Data!$E$7:$E$11)</f>
        <v>129</v>
      </c>
      <c r="F17" s="14" t="n">
        <f aca="false">IFERROR(E17/D17-1,0)</f>
        <v>1.11475409836066</v>
      </c>
      <c r="H17" s="12" t="s">
        <v>6</v>
      </c>
      <c r="I17" s="15" t="n">
        <f aca="false">MAX(Data!$E$2:$E$11)</f>
        <v>32</v>
      </c>
      <c r="J17" s="16" t="n">
        <f aca="false">INDEX(Data!$A$2:$A$11,MATCH(I17,Data!$E$2:$E$11,0))</f>
        <v>46305</v>
      </c>
      <c r="K17" s="17" t="n">
        <f aca="false">AVERAGE(Data!$E$2:$E$11)</f>
        <v>19</v>
      </c>
      <c r="L17" s="15" t="n">
        <f aca="false">INDEX(Data!$E$2:$E$11,COUNT(Data!$E$2:$E$11))</f>
        <v>32</v>
      </c>
    </row>
    <row r="18" customFormat="false" ht="15" hidden="false" customHeight="false" outlineLevel="0" collapsed="false">
      <c r="B18" s="12" t="s">
        <v>28</v>
      </c>
      <c r="C18" s="15" t="n">
        <f aca="false">SUM(Data!$G$2:$G$11)</f>
        <v>11850</v>
      </c>
      <c r="D18" s="15" t="n">
        <f aca="false">SUM(Data!$G$2:$G$6)</f>
        <v>3950</v>
      </c>
      <c r="E18" s="15" t="n">
        <f aca="false">SUM(Data!$G$7:$G$11)</f>
        <v>7900</v>
      </c>
      <c r="F18" s="14" t="n">
        <f aca="false">IFERROR(E18/D18-1,0)</f>
        <v>1</v>
      </c>
      <c r="H18" s="12" t="s">
        <v>28</v>
      </c>
      <c r="I18" s="15" t="n">
        <f aca="false">MAX(Data!$G$2:$G$11)</f>
        <v>1900</v>
      </c>
      <c r="J18" s="16" t="n">
        <f aca="false">INDEX(Data!$A$2:$A$11,MATCH(I18,Data!$G$2:$G$11,0))</f>
        <v>46305</v>
      </c>
      <c r="K18" s="17" t="n">
        <f aca="false">AVERAGE(Data!$G$2:$G$11)</f>
        <v>1185</v>
      </c>
      <c r="L18" s="15" t="n">
        <f aca="false">INDEX(Data!$G$2:$G$11,COUNT(Data!$G$2:$G$11))</f>
        <v>1900</v>
      </c>
    </row>
    <row r="19" customFormat="false" ht="15" hidden="false" customHeight="false" outlineLevel="0" collapsed="false">
      <c r="B19" s="12" t="s">
        <v>9</v>
      </c>
      <c r="C19" s="15" t="n">
        <f aca="false">SUM(Data!$H$2:$H$11)</f>
        <v>3250</v>
      </c>
      <c r="D19" s="15" t="n">
        <f aca="false">SUM(Data!$H$2:$H$6)</f>
        <v>1000</v>
      </c>
      <c r="E19" s="15" t="n">
        <f aca="false">SUM(Data!$H$7:$H$11)</f>
        <v>2250</v>
      </c>
      <c r="F19" s="14" t="n">
        <f aca="false">IFERROR(E19/D19-1,0)</f>
        <v>1.25</v>
      </c>
      <c r="H19" s="12" t="s">
        <v>9</v>
      </c>
      <c r="I19" s="15" t="n">
        <f aca="false">MAX(Data!$H$2:$H$11)</f>
        <v>550</v>
      </c>
      <c r="J19" s="16" t="n">
        <f aca="false">INDEX(Data!$A$2:$A$11,MATCH(I19,Data!$H$2:$H$11,0))</f>
        <v>46305</v>
      </c>
      <c r="K19" s="17" t="n">
        <f aca="false">AVERAGE(Data!$H$2:$H$11)</f>
        <v>325</v>
      </c>
      <c r="L19" s="15" t="n">
        <f aca="false">INDEX(Data!$H$2:$H$11,COUNT(Data!$H$2:$H$11))</f>
        <v>550</v>
      </c>
    </row>
    <row r="20" customFormat="false" ht="15" hidden="false" customHeight="false" outlineLevel="0" collapsed="false">
      <c r="B20" s="12" t="s">
        <v>11</v>
      </c>
      <c r="C20" s="15" t="n">
        <f aca="false">SUM(Data!$I$2:$I$11)</f>
        <v>38</v>
      </c>
      <c r="D20" s="15" t="n">
        <f aca="false">SUM(Data!$I$2:$I$6)</f>
        <v>14</v>
      </c>
      <c r="E20" s="15" t="n">
        <f aca="false">SUM(Data!$I$7:$I$11)</f>
        <v>24</v>
      </c>
      <c r="F20" s="14" t="n">
        <f aca="false">IFERROR(E20/D20-1,0)</f>
        <v>0.714285714285714</v>
      </c>
      <c r="H20" s="12" t="s">
        <v>29</v>
      </c>
      <c r="I20" s="15" t="n">
        <f aca="false">MAX(Data!$J$2:$J$11)</f>
        <v>4</v>
      </c>
      <c r="J20" s="16" t="n">
        <f aca="false">INDEX(Data!$A$2:$A$11,MATCH(I20,Data!$J$2:$J$11,0))</f>
        <v>46302</v>
      </c>
      <c r="K20" s="17" t="n">
        <f aca="false">AVERAGE(Data!$J$2:$J$11)</f>
        <v>2.7</v>
      </c>
      <c r="L20" s="15" t="n">
        <f aca="false">INDEX(Data!$J$2:$J$11,COUNT(Data!$J$2:$J$11))</f>
        <v>4</v>
      </c>
    </row>
    <row r="21" customFormat="false" ht="15" hidden="false" customHeight="false" outlineLevel="0" collapsed="false">
      <c r="B21" s="12" t="s">
        <v>29</v>
      </c>
      <c r="C21" s="15" t="n">
        <f aca="false">SUM(Data!$J$2:$J$11)</f>
        <v>27</v>
      </c>
      <c r="D21" s="15" t="n">
        <f aca="false">SUM(Data!$J$2:$J$6)</f>
        <v>9</v>
      </c>
      <c r="E21" s="15" t="n">
        <f aca="false">SUM(Data!$J$7:$J$11)</f>
        <v>18</v>
      </c>
      <c r="F21" s="14" t="n">
        <f aca="false">IFERROR(E21/D21-1,0)</f>
        <v>1</v>
      </c>
      <c r="H21" s="12" t="s">
        <v>30</v>
      </c>
      <c r="I21" s="15" t="n">
        <f aca="false">MAX(Data!$L$2:$L$11)</f>
        <v>6</v>
      </c>
      <c r="J21" s="16" t="n">
        <f aca="false">INDEX(Data!$A$2:$A$11,MATCH(I21,Data!$L$2:$L$11,0))</f>
        <v>46305</v>
      </c>
      <c r="K21" s="17" t="n">
        <f aca="false">AVERAGE(Data!$L$2:$L$11)</f>
        <v>3.3</v>
      </c>
      <c r="L21" s="15" t="n">
        <f aca="false">INDEX(Data!$L$2:$L$11,COUNT(Data!$L$2:$L$11))</f>
        <v>6</v>
      </c>
    </row>
    <row r="22" customFormat="false" ht="15" hidden="false" customHeight="false" outlineLevel="0" collapsed="false">
      <c r="B22" s="12" t="s">
        <v>13</v>
      </c>
      <c r="C22" s="15" t="n">
        <f aca="false">SUM(Data!$K$2:$K$11)</f>
        <v>63</v>
      </c>
      <c r="D22" s="15" t="n">
        <f aca="false">SUM(Data!$K$2:$K$6)</f>
        <v>23</v>
      </c>
      <c r="E22" s="15" t="n">
        <f aca="false">SUM(Data!$K$7:$K$11)</f>
        <v>40</v>
      </c>
      <c r="F22" s="14" t="n">
        <f aca="false">IFERROR(E22/D22-1,0)</f>
        <v>0.739130434782609</v>
      </c>
    </row>
    <row r="23" customFormat="false" ht="15" hidden="false" customHeight="false" outlineLevel="0" collapsed="false">
      <c r="B23" s="12" t="s">
        <v>30</v>
      </c>
      <c r="C23" s="15" t="n">
        <f aca="false">SUM(Data!$L$2:$L$11)</f>
        <v>33</v>
      </c>
      <c r="D23" s="15" t="n">
        <f aca="false">SUM(Data!$L$2:$L$6)</f>
        <v>10</v>
      </c>
      <c r="E23" s="15" t="n">
        <f aca="false">SUM(Data!$L$7:$L$11)</f>
        <v>23</v>
      </c>
      <c r="F23" s="14" t="n">
        <f aca="false">IFERROR(E23/D23-1,0)</f>
        <v>1.3</v>
      </c>
    </row>
    <row r="25" customFormat="false" ht="15" hidden="false" customHeight="false" outlineLevel="0" collapsed="false">
      <c r="B25" s="18" t="s">
        <v>31</v>
      </c>
    </row>
    <row r="26" customFormat="false" ht="25.5" hidden="false" customHeight="true" outlineLevel="0" collapsed="false">
      <c r="B26" s="19" t="s">
        <v>32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customFormat="false" ht="25.5" hidden="false" customHeight="true" outlineLevel="0" collapsed="false">
      <c r="B27" s="19" t="s">
        <v>33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9" customFormat="false" ht="15" hidden="false" customHeight="false" outlineLevel="0" collapsed="false">
      <c r="B29" s="10" t="s">
        <v>34</v>
      </c>
    </row>
  </sheetData>
  <mergeCells count="34">
    <mergeCell ref="B1:L1"/>
    <mergeCell ref="B2:L2"/>
    <mergeCell ref="B4:C4"/>
    <mergeCell ref="D4:E4"/>
    <mergeCell ref="F4:H4"/>
    <mergeCell ref="I4:J4"/>
    <mergeCell ref="K4:L4"/>
    <mergeCell ref="B5:C5"/>
    <mergeCell ref="D5:E5"/>
    <mergeCell ref="F5:H5"/>
    <mergeCell ref="I5:J5"/>
    <mergeCell ref="K5:L5"/>
    <mergeCell ref="B7:C7"/>
    <mergeCell ref="D7:E7"/>
    <mergeCell ref="F7:H7"/>
    <mergeCell ref="I7:J7"/>
    <mergeCell ref="K7:L7"/>
    <mergeCell ref="B8:C8"/>
    <mergeCell ref="D8:E8"/>
    <mergeCell ref="F8:H8"/>
    <mergeCell ref="I8:J8"/>
    <mergeCell ref="K8:L8"/>
    <mergeCell ref="B10:C10"/>
    <mergeCell ref="D10:E10"/>
    <mergeCell ref="F10:H10"/>
    <mergeCell ref="I10:J10"/>
    <mergeCell ref="K10:L10"/>
    <mergeCell ref="B11:C11"/>
    <mergeCell ref="D11:E11"/>
    <mergeCell ref="F11:H11"/>
    <mergeCell ref="I11:J11"/>
    <mergeCell ref="K11:L11"/>
    <mergeCell ref="B26:L26"/>
    <mergeCell ref="B27:L27"/>
  </mergeCells>
  <conditionalFormatting sqref="F15:F23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2" min="2" style="0" width="14"/>
  </cols>
  <sheetData>
    <row r="1" customFormat="false" ht="31.5" hidden="false" customHeight="true" outlineLevel="0" collapsed="false">
      <c r="A1" s="20" t="s">
        <v>35</v>
      </c>
      <c r="B1" s="20" t="s">
        <v>36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L1" s="20" t="s">
        <v>46</v>
      </c>
    </row>
    <row r="2" customFormat="false" ht="15" hidden="false" customHeight="false" outlineLevel="0" collapsed="false">
      <c r="A2" s="21" t="n">
        <v>46296</v>
      </c>
      <c r="B2" s="15" t="n">
        <v>10</v>
      </c>
      <c r="C2" s="15" t="n">
        <v>6</v>
      </c>
      <c r="D2" s="15" t="n">
        <v>12</v>
      </c>
      <c r="E2" s="15" t="n">
        <v>8</v>
      </c>
      <c r="F2" s="15" t="n">
        <v>500</v>
      </c>
      <c r="G2" s="15" t="n">
        <v>500</v>
      </c>
      <c r="H2" s="15" t="n">
        <v>100</v>
      </c>
      <c r="I2" s="15" t="n">
        <v>2</v>
      </c>
      <c r="J2" s="15" t="n">
        <v>1</v>
      </c>
      <c r="K2" s="15" t="n">
        <v>3</v>
      </c>
      <c r="L2" s="15" t="n">
        <v>1</v>
      </c>
    </row>
    <row r="3" customFormat="false" ht="15" hidden="false" customHeight="false" outlineLevel="0" collapsed="false">
      <c r="A3" s="21" t="n">
        <v>46297</v>
      </c>
      <c r="B3" s="15" t="n">
        <v>12</v>
      </c>
      <c r="C3" s="15" t="n">
        <v>7</v>
      </c>
      <c r="D3" s="15" t="n">
        <v>15</v>
      </c>
      <c r="E3" s="15" t="n">
        <v>10</v>
      </c>
      <c r="F3" s="15" t="n">
        <v>650</v>
      </c>
      <c r="G3" s="15" t="n">
        <v>650</v>
      </c>
      <c r="H3" s="15" t="n">
        <v>150</v>
      </c>
      <c r="I3" s="15" t="n">
        <v>3</v>
      </c>
      <c r="J3" s="15" t="n">
        <v>2</v>
      </c>
      <c r="K3" s="15" t="n">
        <v>4</v>
      </c>
      <c r="L3" s="15" t="n">
        <v>2</v>
      </c>
    </row>
    <row r="4" customFormat="false" ht="15" hidden="false" customHeight="false" outlineLevel="0" collapsed="false">
      <c r="A4" s="21" t="n">
        <v>46298</v>
      </c>
      <c r="B4" s="15" t="n">
        <v>14</v>
      </c>
      <c r="C4" s="15" t="n">
        <v>8</v>
      </c>
      <c r="D4" s="15" t="n">
        <v>18</v>
      </c>
      <c r="E4" s="15" t="n">
        <v>12</v>
      </c>
      <c r="F4" s="15" t="n">
        <v>800</v>
      </c>
      <c r="G4" s="15" t="n">
        <v>800</v>
      </c>
      <c r="H4" s="15" t="n">
        <v>200</v>
      </c>
      <c r="I4" s="15" t="n">
        <v>2</v>
      </c>
      <c r="J4" s="15" t="n">
        <v>1</v>
      </c>
      <c r="K4" s="15" t="n">
        <v>5</v>
      </c>
      <c r="L4" s="15" t="n">
        <v>2</v>
      </c>
    </row>
    <row r="5" customFormat="false" ht="15" hidden="false" customHeight="false" outlineLevel="0" collapsed="false">
      <c r="A5" s="21" t="n">
        <v>46299</v>
      </c>
      <c r="B5" s="15" t="n">
        <v>16</v>
      </c>
      <c r="C5" s="15" t="n">
        <v>9</v>
      </c>
      <c r="D5" s="15" t="n">
        <v>20</v>
      </c>
      <c r="E5" s="15" t="n">
        <v>14</v>
      </c>
      <c r="F5" s="15" t="n">
        <v>900</v>
      </c>
      <c r="G5" s="15" t="n">
        <v>900</v>
      </c>
      <c r="H5" s="15" t="n">
        <v>250</v>
      </c>
      <c r="I5" s="15" t="n">
        <v>4</v>
      </c>
      <c r="J5" s="15" t="n">
        <v>3</v>
      </c>
      <c r="K5" s="15" t="n">
        <v>6</v>
      </c>
      <c r="L5" s="15" t="n">
        <v>3</v>
      </c>
    </row>
    <row r="6" customFormat="false" ht="15" hidden="false" customHeight="false" outlineLevel="0" collapsed="false">
      <c r="A6" s="21" t="n">
        <v>46300</v>
      </c>
      <c r="B6" s="15" t="n">
        <v>18</v>
      </c>
      <c r="C6" s="15" t="n">
        <v>10</v>
      </c>
      <c r="D6" s="15" t="n">
        <v>24</v>
      </c>
      <c r="E6" s="15" t="n">
        <v>17</v>
      </c>
      <c r="F6" s="15" t="n">
        <v>1100</v>
      </c>
      <c r="G6" s="15" t="n">
        <v>1100</v>
      </c>
      <c r="H6" s="15" t="n">
        <v>300</v>
      </c>
      <c r="I6" s="15" t="n">
        <v>3</v>
      </c>
      <c r="J6" s="15" t="n">
        <v>2</v>
      </c>
      <c r="K6" s="15" t="n">
        <v>5</v>
      </c>
      <c r="L6" s="15" t="n">
        <v>2</v>
      </c>
    </row>
    <row r="7" customFormat="false" ht="15" hidden="false" customHeight="false" outlineLevel="0" collapsed="false">
      <c r="A7" s="21" t="n">
        <v>46301</v>
      </c>
      <c r="B7" s="15" t="n">
        <v>20</v>
      </c>
      <c r="C7" s="15" t="n">
        <v>12</v>
      </c>
      <c r="D7" s="15" t="n">
        <v>28</v>
      </c>
      <c r="E7" s="15" t="n">
        <v>20</v>
      </c>
      <c r="F7" s="15" t="n">
        <v>1250</v>
      </c>
      <c r="G7" s="15" t="n">
        <v>1250</v>
      </c>
      <c r="H7" s="15" t="n">
        <v>350</v>
      </c>
      <c r="I7" s="15" t="n">
        <v>4</v>
      </c>
      <c r="J7" s="15" t="n">
        <v>3</v>
      </c>
      <c r="K7" s="15" t="n">
        <v>7</v>
      </c>
      <c r="L7" s="15" t="n">
        <v>4</v>
      </c>
    </row>
    <row r="8" customFormat="false" ht="15" hidden="false" customHeight="false" outlineLevel="0" collapsed="false">
      <c r="A8" s="21" t="n">
        <v>46302</v>
      </c>
      <c r="B8" s="15" t="n">
        <v>23</v>
      </c>
      <c r="C8" s="15" t="n">
        <v>14</v>
      </c>
      <c r="D8" s="15" t="n">
        <v>32</v>
      </c>
      <c r="E8" s="15" t="n">
        <v>23</v>
      </c>
      <c r="F8" s="15" t="n">
        <v>1400</v>
      </c>
      <c r="G8" s="15" t="n">
        <v>1400</v>
      </c>
      <c r="H8" s="15" t="n">
        <v>400</v>
      </c>
      <c r="I8" s="15" t="n">
        <v>5</v>
      </c>
      <c r="J8" s="15" t="n">
        <v>4</v>
      </c>
      <c r="K8" s="15" t="n">
        <v>8</v>
      </c>
      <c r="L8" s="15" t="n">
        <v>5</v>
      </c>
    </row>
    <row r="9" customFormat="false" ht="15" hidden="false" customHeight="false" outlineLevel="0" collapsed="false">
      <c r="A9" s="21" t="n">
        <v>46303</v>
      </c>
      <c r="B9" s="15" t="n">
        <v>25</v>
      </c>
      <c r="C9" s="15" t="n">
        <v>15</v>
      </c>
      <c r="D9" s="15" t="n">
        <v>35</v>
      </c>
      <c r="E9" s="15" t="n">
        <v>25</v>
      </c>
      <c r="F9" s="15" t="n">
        <v>1600</v>
      </c>
      <c r="G9" s="15" t="n">
        <v>1600</v>
      </c>
      <c r="H9" s="15" t="n">
        <v>450</v>
      </c>
      <c r="I9" s="15" t="n">
        <v>4</v>
      </c>
      <c r="J9" s="15" t="n">
        <v>3</v>
      </c>
      <c r="K9" s="15" t="n">
        <v>6</v>
      </c>
      <c r="L9" s="15" t="n">
        <v>3</v>
      </c>
    </row>
    <row r="10" customFormat="false" ht="15" hidden="false" customHeight="false" outlineLevel="0" collapsed="false">
      <c r="A10" s="21" t="n">
        <v>46304</v>
      </c>
      <c r="B10" s="15" t="n">
        <v>28</v>
      </c>
      <c r="C10" s="15" t="n">
        <v>17</v>
      </c>
      <c r="D10" s="15" t="n">
        <v>40</v>
      </c>
      <c r="E10" s="15" t="n">
        <v>29</v>
      </c>
      <c r="F10" s="15" t="n">
        <v>1750</v>
      </c>
      <c r="G10" s="15" t="n">
        <v>1750</v>
      </c>
      <c r="H10" s="15" t="n">
        <v>500</v>
      </c>
      <c r="I10" s="15" t="n">
        <v>6</v>
      </c>
      <c r="J10" s="15" t="n">
        <v>4</v>
      </c>
      <c r="K10" s="15" t="n">
        <v>9</v>
      </c>
      <c r="L10" s="15" t="n">
        <v>5</v>
      </c>
    </row>
    <row r="11" customFormat="false" ht="15" hidden="false" customHeight="false" outlineLevel="0" collapsed="false">
      <c r="A11" s="21" t="n">
        <v>46305</v>
      </c>
      <c r="B11" s="15" t="n">
        <v>30</v>
      </c>
      <c r="C11" s="15" t="n">
        <v>18</v>
      </c>
      <c r="D11" s="15" t="n">
        <v>44</v>
      </c>
      <c r="E11" s="15" t="n">
        <v>32</v>
      </c>
      <c r="F11" s="15" t="n">
        <v>1900</v>
      </c>
      <c r="G11" s="15" t="n">
        <v>1900</v>
      </c>
      <c r="H11" s="15" t="n">
        <v>550</v>
      </c>
      <c r="I11" s="15" t="n">
        <v>5</v>
      </c>
      <c r="J11" s="15" t="n">
        <v>4</v>
      </c>
      <c r="K11" s="15" t="n">
        <v>10</v>
      </c>
      <c r="L11" s="15" t="n">
        <v>6</v>
      </c>
    </row>
    <row r="13" customFormat="false" ht="15" hidden="false" customHeight="false" outlineLevel="0" collapsed="false">
      <c r="A13" s="22" t="s">
        <v>47</v>
      </c>
    </row>
  </sheetData>
  <autoFilter ref="A1:L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31.5" hidden="false" customHeight="true" outlineLevel="0" collapsed="false">
      <c r="A1" s="20" t="s">
        <v>35</v>
      </c>
      <c r="B1" s="20" t="s">
        <v>48</v>
      </c>
      <c r="C1" s="20" t="s">
        <v>10</v>
      </c>
      <c r="D1" s="20" t="s">
        <v>15</v>
      </c>
      <c r="E1" s="20" t="s">
        <v>49</v>
      </c>
      <c r="F1" s="20" t="s">
        <v>14</v>
      </c>
      <c r="G1" s="20" t="s">
        <v>50</v>
      </c>
      <c r="H1" s="20" t="s">
        <v>51</v>
      </c>
    </row>
    <row r="2" customFormat="false" ht="15" hidden="false" customHeight="false" outlineLevel="0" collapsed="false">
      <c r="A2" s="21" t="n">
        <f aca="false">Data!A2</f>
        <v>46296</v>
      </c>
      <c r="B2" s="23" t="n">
        <f aca="false">IFERROR(Data!C2/Data!B2,0)</f>
        <v>0.6</v>
      </c>
      <c r="C2" s="15" t="n">
        <f aca="false">Data!G2-Data!H2</f>
        <v>400</v>
      </c>
      <c r="D2" s="23" t="n">
        <f aca="false">IFERROR(Data!H2/Data!G2,0)</f>
        <v>0.2</v>
      </c>
      <c r="E2" s="23" t="n">
        <f aca="false">IFERROR(Data!J2/Data!I2,0)</f>
        <v>0.5</v>
      </c>
      <c r="F2" s="23" t="n">
        <f aca="false">IFERROR(Data!L2/Data!K2,0)</f>
        <v>0.333333333333333</v>
      </c>
      <c r="G2" s="24" t="n">
        <f aca="false">IFERROR(Data!E2/Data!C2,0)</f>
        <v>1.33333333333333</v>
      </c>
      <c r="H2" s="24" t="n">
        <f aca="false">IFERROR(Data!D2/Data!C2,0)</f>
        <v>2</v>
      </c>
    </row>
    <row r="3" customFormat="false" ht="15" hidden="false" customHeight="false" outlineLevel="0" collapsed="false">
      <c r="A3" s="21" t="n">
        <f aca="false">Data!A3</f>
        <v>46297</v>
      </c>
      <c r="B3" s="23" t="n">
        <f aca="false">IFERROR(Data!C3/Data!B3,0)</f>
        <v>0.583333333333333</v>
      </c>
      <c r="C3" s="15" t="n">
        <f aca="false">Data!G3-Data!H3</f>
        <v>500</v>
      </c>
      <c r="D3" s="23" t="n">
        <f aca="false">IFERROR(Data!H3/Data!G3,0)</f>
        <v>0.230769230769231</v>
      </c>
      <c r="E3" s="23" t="n">
        <f aca="false">IFERROR(Data!J3/Data!I3,0)</f>
        <v>0.666666666666667</v>
      </c>
      <c r="F3" s="23" t="n">
        <f aca="false">IFERROR(Data!L3/Data!K3,0)</f>
        <v>0.5</v>
      </c>
      <c r="G3" s="24" t="n">
        <f aca="false">IFERROR(Data!E3/Data!C3,0)</f>
        <v>1.42857142857143</v>
      </c>
      <c r="H3" s="24" t="n">
        <f aca="false">IFERROR(Data!D3/Data!C3,0)</f>
        <v>2.14285714285714</v>
      </c>
    </row>
    <row r="4" customFormat="false" ht="15" hidden="false" customHeight="false" outlineLevel="0" collapsed="false">
      <c r="A4" s="21" t="n">
        <f aca="false">Data!A4</f>
        <v>46298</v>
      </c>
      <c r="B4" s="23" t="n">
        <f aca="false">IFERROR(Data!C4/Data!B4,0)</f>
        <v>0.571428571428571</v>
      </c>
      <c r="C4" s="15" t="n">
        <f aca="false">Data!G4-Data!H4</f>
        <v>600</v>
      </c>
      <c r="D4" s="23" t="n">
        <f aca="false">IFERROR(Data!H4/Data!G4,0)</f>
        <v>0.25</v>
      </c>
      <c r="E4" s="23" t="n">
        <f aca="false">IFERROR(Data!J4/Data!I4,0)</f>
        <v>0.5</v>
      </c>
      <c r="F4" s="23" t="n">
        <f aca="false">IFERROR(Data!L4/Data!K4,0)</f>
        <v>0.4</v>
      </c>
      <c r="G4" s="24" t="n">
        <f aca="false">IFERROR(Data!E4/Data!C4,0)</f>
        <v>1.5</v>
      </c>
      <c r="H4" s="24" t="n">
        <f aca="false">IFERROR(Data!D4/Data!C4,0)</f>
        <v>2.25</v>
      </c>
    </row>
    <row r="5" customFormat="false" ht="15" hidden="false" customHeight="false" outlineLevel="0" collapsed="false">
      <c r="A5" s="21" t="n">
        <f aca="false">Data!A5</f>
        <v>46299</v>
      </c>
      <c r="B5" s="23" t="n">
        <f aca="false">IFERROR(Data!C5/Data!B5,0)</f>
        <v>0.5625</v>
      </c>
      <c r="C5" s="15" t="n">
        <f aca="false">Data!G5-Data!H5</f>
        <v>650</v>
      </c>
      <c r="D5" s="23" t="n">
        <f aca="false">IFERROR(Data!H5/Data!G5,0)</f>
        <v>0.277777777777778</v>
      </c>
      <c r="E5" s="23" t="n">
        <f aca="false">IFERROR(Data!J5/Data!I5,0)</f>
        <v>0.75</v>
      </c>
      <c r="F5" s="23" t="n">
        <f aca="false">IFERROR(Data!L5/Data!K5,0)</f>
        <v>0.5</v>
      </c>
      <c r="G5" s="24" t="n">
        <f aca="false">IFERROR(Data!E5/Data!C5,0)</f>
        <v>1.55555555555556</v>
      </c>
      <c r="H5" s="24" t="n">
        <f aca="false">IFERROR(Data!D5/Data!C5,0)</f>
        <v>2.22222222222222</v>
      </c>
    </row>
    <row r="6" customFormat="false" ht="15" hidden="false" customHeight="false" outlineLevel="0" collapsed="false">
      <c r="A6" s="21" t="n">
        <f aca="false">Data!A6</f>
        <v>46300</v>
      </c>
      <c r="B6" s="23" t="n">
        <f aca="false">IFERROR(Data!C6/Data!B6,0)</f>
        <v>0.555555555555556</v>
      </c>
      <c r="C6" s="15" t="n">
        <f aca="false">Data!G6-Data!H6</f>
        <v>800</v>
      </c>
      <c r="D6" s="23" t="n">
        <f aca="false">IFERROR(Data!H6/Data!G6,0)</f>
        <v>0.272727272727273</v>
      </c>
      <c r="E6" s="23" t="n">
        <f aca="false">IFERROR(Data!J6/Data!I6,0)</f>
        <v>0.666666666666667</v>
      </c>
      <c r="F6" s="23" t="n">
        <f aca="false">IFERROR(Data!L6/Data!K6,0)</f>
        <v>0.4</v>
      </c>
      <c r="G6" s="24" t="n">
        <f aca="false">IFERROR(Data!E6/Data!C6,0)</f>
        <v>1.7</v>
      </c>
      <c r="H6" s="24" t="n">
        <f aca="false">IFERROR(Data!D6/Data!C6,0)</f>
        <v>2.4</v>
      </c>
    </row>
    <row r="7" customFormat="false" ht="15" hidden="false" customHeight="false" outlineLevel="0" collapsed="false">
      <c r="A7" s="21" t="n">
        <f aca="false">Data!A7</f>
        <v>46301</v>
      </c>
      <c r="B7" s="23" t="n">
        <f aca="false">IFERROR(Data!C7/Data!B7,0)</f>
        <v>0.6</v>
      </c>
      <c r="C7" s="15" t="n">
        <f aca="false">Data!G7-Data!H7</f>
        <v>900</v>
      </c>
      <c r="D7" s="23" t="n">
        <f aca="false">IFERROR(Data!H7/Data!G7,0)</f>
        <v>0.28</v>
      </c>
      <c r="E7" s="23" t="n">
        <f aca="false">IFERROR(Data!J7/Data!I7,0)</f>
        <v>0.75</v>
      </c>
      <c r="F7" s="23" t="n">
        <f aca="false">IFERROR(Data!L7/Data!K7,0)</f>
        <v>0.571428571428571</v>
      </c>
      <c r="G7" s="24" t="n">
        <f aca="false">IFERROR(Data!E7/Data!C7,0)</f>
        <v>1.66666666666667</v>
      </c>
      <c r="H7" s="24" t="n">
        <f aca="false">IFERROR(Data!D7/Data!C7,0)</f>
        <v>2.33333333333333</v>
      </c>
    </row>
    <row r="8" customFormat="false" ht="15" hidden="false" customHeight="false" outlineLevel="0" collapsed="false">
      <c r="A8" s="21" t="n">
        <f aca="false">Data!A8</f>
        <v>46302</v>
      </c>
      <c r="B8" s="23" t="n">
        <f aca="false">IFERROR(Data!C8/Data!B8,0)</f>
        <v>0.608695652173913</v>
      </c>
      <c r="C8" s="15" t="n">
        <f aca="false">Data!G8-Data!H8</f>
        <v>1000</v>
      </c>
      <c r="D8" s="23" t="n">
        <f aca="false">IFERROR(Data!H8/Data!G8,0)</f>
        <v>0.285714285714286</v>
      </c>
      <c r="E8" s="23" t="n">
        <f aca="false">IFERROR(Data!J8/Data!I8,0)</f>
        <v>0.8</v>
      </c>
      <c r="F8" s="23" t="n">
        <f aca="false">IFERROR(Data!L8/Data!K8,0)</f>
        <v>0.625</v>
      </c>
      <c r="G8" s="24" t="n">
        <f aca="false">IFERROR(Data!E8/Data!C8,0)</f>
        <v>1.64285714285714</v>
      </c>
      <c r="H8" s="24" t="n">
        <f aca="false">IFERROR(Data!D8/Data!C8,0)</f>
        <v>2.28571428571429</v>
      </c>
    </row>
    <row r="9" customFormat="false" ht="15" hidden="false" customHeight="false" outlineLevel="0" collapsed="false">
      <c r="A9" s="21" t="n">
        <f aca="false">Data!A9</f>
        <v>46303</v>
      </c>
      <c r="B9" s="23" t="n">
        <f aca="false">IFERROR(Data!C9/Data!B9,0)</f>
        <v>0.6</v>
      </c>
      <c r="C9" s="15" t="n">
        <f aca="false">Data!G9-Data!H9</f>
        <v>1150</v>
      </c>
      <c r="D9" s="23" t="n">
        <f aca="false">IFERROR(Data!H9/Data!G9,0)</f>
        <v>0.28125</v>
      </c>
      <c r="E9" s="23" t="n">
        <f aca="false">IFERROR(Data!J9/Data!I9,0)</f>
        <v>0.75</v>
      </c>
      <c r="F9" s="23" t="n">
        <f aca="false">IFERROR(Data!L9/Data!K9,0)</f>
        <v>0.5</v>
      </c>
      <c r="G9" s="24" t="n">
        <f aca="false">IFERROR(Data!E9/Data!C9,0)</f>
        <v>1.66666666666667</v>
      </c>
      <c r="H9" s="24" t="n">
        <f aca="false">IFERROR(Data!D9/Data!C9,0)</f>
        <v>2.33333333333333</v>
      </c>
    </row>
    <row r="10" customFormat="false" ht="15" hidden="false" customHeight="false" outlineLevel="0" collapsed="false">
      <c r="A10" s="21" t="n">
        <f aca="false">Data!A10</f>
        <v>46304</v>
      </c>
      <c r="B10" s="23" t="n">
        <f aca="false">IFERROR(Data!C10/Data!B10,0)</f>
        <v>0.607142857142857</v>
      </c>
      <c r="C10" s="15" t="n">
        <f aca="false">Data!G10-Data!H10</f>
        <v>1250</v>
      </c>
      <c r="D10" s="23" t="n">
        <f aca="false">IFERROR(Data!H10/Data!G10,0)</f>
        <v>0.285714285714286</v>
      </c>
      <c r="E10" s="23" t="n">
        <f aca="false">IFERROR(Data!J10/Data!I10,0)</f>
        <v>0.666666666666667</v>
      </c>
      <c r="F10" s="23" t="n">
        <f aca="false">IFERROR(Data!L10/Data!K10,0)</f>
        <v>0.555555555555556</v>
      </c>
      <c r="G10" s="24" t="n">
        <f aca="false">IFERROR(Data!E10/Data!C10,0)</f>
        <v>1.70588235294118</v>
      </c>
      <c r="H10" s="24" t="n">
        <f aca="false">IFERROR(Data!D10/Data!C10,0)</f>
        <v>2.35294117647059</v>
      </c>
    </row>
    <row r="11" customFormat="false" ht="15" hidden="false" customHeight="false" outlineLevel="0" collapsed="false">
      <c r="A11" s="21" t="n">
        <f aca="false">Data!A11</f>
        <v>46305</v>
      </c>
      <c r="B11" s="23" t="n">
        <f aca="false">IFERROR(Data!C11/Data!B11,0)</f>
        <v>0.6</v>
      </c>
      <c r="C11" s="15" t="n">
        <f aca="false">Data!G11-Data!H11</f>
        <v>1350</v>
      </c>
      <c r="D11" s="23" t="n">
        <f aca="false">IFERROR(Data!H11/Data!G11,0)</f>
        <v>0.289473684210526</v>
      </c>
      <c r="E11" s="23" t="n">
        <f aca="false">IFERROR(Data!J11/Data!I11,0)</f>
        <v>0.8</v>
      </c>
      <c r="F11" s="23" t="n">
        <f aca="false">IFERROR(Data!L11/Data!K11,0)</f>
        <v>0.6</v>
      </c>
      <c r="G11" s="24" t="n">
        <f aca="false">IFERROR(Data!E11/Data!C11,0)</f>
        <v>1.77777777777778</v>
      </c>
      <c r="H11" s="24" t="n">
        <f aca="false">IFERROR(Data!D11/Data!C11,0)</f>
        <v>2.44444444444444</v>
      </c>
    </row>
    <row r="13" customFormat="false" ht="15" hidden="false" customHeight="false" outlineLevel="0" collapsed="false">
      <c r="A13" s="2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2026-10-14T13:38:48Z</dcterms:created>
  <dc:creator>openpyxl</dc:creator>
  <dc:description/>
  <dc:language>en-US</dc:language>
  <cp:lastModifiedBy/>
  <dcterms:modified xsi:type="dcterms:W3CDTF">2026-10-14T13:38:51Z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