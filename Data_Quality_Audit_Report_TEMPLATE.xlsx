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ummary" sheetId="2" state="visible" r:id="rId4"/>
    <sheet name="DQ Report" sheetId="3" state="visible" r:id="rId5"/>
  </sheets>
  <definedNames>
    <definedName function="false" hidden="true" localSheetId="2" name="_xlnm._FilterDatabase" vbProcedure="false">'DQ Report'!$A$1:$L$15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<sst xmlns="http://schemas.openxmlformats.org/spreadsheetml/2006/main" count="190" uniqueCount="136">
  <si>
    <t xml:space="preserve">WORK PACKAGE K - DATA QUALITY AUDIT (TEMPLATE)</t>
  </si>
  <si>
    <t xml:space="preserve">STATUS: The Messy_Data sheet was not received, so no counts or findings are verified yet.</t>
  </si>
  <si>
    <t xml:space="preserve">This workbook is pre-built with the 14 required checks. Complete it after running the checks on the real data.</t>
  </si>
  <si>
    <t xml:space="preserve">How to complete</t>
  </si>
  <si>
    <t xml:space="preserve">1. Yellow cells (Dataset, Field, Records Affected) = fill in from your findings. Blue text = my suggested default; overwrite if the data disagrees.</t>
  </si>
  <si>
    <t xml:space="preserve">2. Records Affected: enter 0 if a check found nothing. Summary tab ignores rows with 0 / blank.</t>
  </si>
  <si>
    <t xml:space="preserve">3. If one check finds problems in several fields, copy the row and give each its own Issue ID (e.g. DQ-004a, DQ-004b).</t>
  </si>
  <si>
    <t xml:space="preserve">4. Detection Logic tab has Excel formulas and pandas snippets for each check.</t>
  </si>
  <si>
    <t xml:space="preserve">5. Update Status to Resolved once the correction is applied and re-tested.</t>
  </si>
  <si>
    <t xml:space="preserve">Assumptions: severities, causes, owners are generic defaults, not derived from your data. Valid statuses and allowed state transitions must be confirmed with the data owner.</t>
  </si>
  <si>
    <t xml:space="preserve">Severity</t>
  </si>
  <si>
    <t xml:space="preserve">Issues With Records Found</t>
  </si>
  <si>
    <t xml:space="preserve">Total Records Affected</t>
  </si>
  <si>
    <t xml:space="preserve">Critical</t>
  </si>
  <si>
    <t xml:space="preserve">High</t>
  </si>
  <si>
    <t xml:space="preserve">Medium</t>
  </si>
  <si>
    <t xml:space="preserve">Low</t>
  </si>
  <si>
    <t xml:space="preserve">Total</t>
  </si>
  <si>
    <t xml:space="preserve">Status</t>
  </si>
  <si>
    <t xml:space="preserve">Issues</t>
  </si>
  <si>
    <t xml:space="preserve">Open</t>
  </si>
  <si>
    <t xml:space="preserve">Proposed</t>
  </si>
  <si>
    <t xml:space="preserve">Resolved</t>
  </si>
  <si>
    <t xml:space="preserve">Checks not yet completed (Records Affected blank)</t>
  </si>
  <si>
    <t xml:space="preserve">Issue ID</t>
  </si>
  <si>
    <t xml:space="preserve">Dataset</t>
  </si>
  <si>
    <t xml:space="preserve">Field</t>
  </si>
  <si>
    <t xml:space="preserve">Issue Type</t>
  </si>
  <si>
    <t xml:space="preserve">Records Affected</t>
  </si>
  <si>
    <t xml:space="preserve">Detection Logic</t>
  </si>
  <si>
    <t xml:space="preserve">Likely Cause</t>
  </si>
  <si>
    <t xml:space="preserve">Correction</t>
  </si>
  <si>
    <t xml:space="preserve">Prevention</t>
  </si>
  <si>
    <t xml:space="preserve">Owner</t>
  </si>
  <si>
    <t xml:space="preserve">DQ-001</t>
  </si>
  <si>
    <t xml:space="preserve">Messy_Data</t>
  </si>
  <si>
    <t xml:space="preserve">Primary ID</t>
  </si>
  <si>
    <t xml:space="preserve">Duplicate IDs</t>
  </si>
  <si>
    <t xml:space="preserve">Count IDs appearing &gt;1 time: =COUNTIF(A:A,A2)&gt;1; pandas df[df.duplicated('ID',keep=False)]</t>
  </si>
  <si>
    <t xml:space="preserve">Repeated load / merge of source extracts; no uniqueness constraint</t>
  </si>
  <si>
    <t xml:space="preserve">Keep one authoritative record (latest timestamp); merge or archive the rest</t>
  </si>
  <si>
    <t xml:space="preserve">Primary key / unique constraint; idempotent loads</t>
  </si>
  <si>
    <t xml:space="preserve">Data Engineering</t>
  </si>
  <si>
    <t xml:space="preserve">DQ-002</t>
  </si>
  <si>
    <t xml:space="preserve">Missing IDs</t>
  </si>
  <si>
    <t xml:space="preserve">Blank-cell test: =COUNTBLANK(A2:A1000); df['ID'].isna() | df['ID'].str.strip().eq('')</t>
  </si>
  <si>
    <t xml:space="preserve">Manual entry or failed key generation upstream</t>
  </si>
  <si>
    <t xml:space="preserve">Recover ID from source system; quarantine records that cannot be recovered</t>
  </si>
  <si>
    <t xml:space="preserve">NOT NULL constraint; reject on ingest</t>
  </si>
  <si>
    <t xml:space="preserve">DQ-003</t>
  </si>
  <si>
    <t xml:space="preserve">Timestamp fields</t>
  </si>
  <si>
    <t xml:space="preserve">Missing timestamps</t>
  </si>
  <si>
    <t xml:space="preserve">Blank test on each date/time column; flag events with no time</t>
  </si>
  <si>
    <t xml:space="preserve">Optional form field; integration dropped the value</t>
  </si>
  <si>
    <t xml:space="preserve">Back-fill from source logs; otherwise flag as unknown, do not guess</t>
  </si>
  <si>
    <t xml:space="preserve">Make timestamp mandatory; default to system time on create</t>
  </si>
  <si>
    <t xml:space="preserve">Application Owner</t>
  </si>
  <si>
    <t xml:space="preserve">DQ-004</t>
  </si>
  <si>
    <t xml:space="preserve">Date fields</t>
  </si>
  <si>
    <t xml:space="preserve">Malformed dates</t>
  </si>
  <si>
    <t xml:space="preserve">Excel check: =ISNUMBER(B2) fails on text dates; pandas pd.to_datetime(errors='coerce') returns NaT; check mixed formats (DD/MM vs MM/DD)</t>
  </si>
  <si>
    <t xml:space="preserve">Free-text entry; mixed regional formats; CSV import</t>
  </si>
  <si>
    <t xml:space="preserve">Standardise to ISO 8601 (YYYY-MM-DD hh:mm:ss) after confirming source format</t>
  </si>
  <si>
    <t xml:space="preserve">Date pickers; format validation; single locale standard</t>
  </si>
  <si>
    <t xml:space="preserve">Data Governance</t>
  </si>
  <si>
    <t xml:space="preserve">DQ-005</t>
  </si>
  <si>
    <t xml:space="preserve">Invalid statuses</t>
  </si>
  <si>
    <t xml:space="preserve">Compare against valid list: =COUNTIF(ValidList,C2)=0; df[~df.Status.isin(valid)]</t>
  </si>
  <si>
    <t xml:space="preserve">No controlled vocabulary; typos; retired status codes</t>
  </si>
  <si>
    <t xml:space="preserve">Map to valid status via a lookup table; escalate unmappable values</t>
  </si>
  <si>
    <t xml:space="preserve">Dropdown / enum validation at entry and in DB</t>
  </si>
  <si>
    <t xml:space="preserve">Operations</t>
  </si>
  <si>
    <t xml:space="preserve">DQ-006</t>
  </si>
  <si>
    <t xml:space="preserve">Status / category / name text</t>
  </si>
  <si>
    <t xml:space="preserve">Inconsistent capitalization</t>
  </si>
  <si>
    <t xml:space="preserve">Exact-match vs case-insensitive distinct counts: =SUMPRODUCT(--EXACT(...)); df.col.nunique() vs df.col.str.lower().nunique()</t>
  </si>
  <si>
    <t xml:space="preserve">Free-text entry; multiple source systems</t>
  </si>
  <si>
    <t xml:space="preserve">Normalise to one case convention (e.g. Title Case or UPPER for codes)</t>
  </si>
  <si>
    <t xml:space="preserve">Enforce case on input; standardise in ETL</t>
  </si>
  <si>
    <t xml:space="preserve">DQ-007</t>
  </si>
  <si>
    <t xml:space="preserve">Text fields</t>
  </si>
  <si>
    <t xml:space="preserve">Trailing / leading spaces</t>
  </si>
  <si>
    <t xml:space="preserve">Excel check: =LEN(A2)&lt;&gt;LEN(TRIM(A2)); df.col.ne(df.col.str.strip())</t>
  </si>
  <si>
    <t xml:space="preserve">Copy-paste; fixed-width exports</t>
  </si>
  <si>
    <t xml:space="preserve">Apply TRIM to all text fields</t>
  </si>
  <si>
    <t xml:space="preserve">Strip whitespace at ingestion</t>
  </si>
  <si>
    <t xml:space="preserve">DQ-008</t>
  </si>
  <si>
    <t xml:space="preserve">Numeric fields</t>
  </si>
  <si>
    <t xml:space="preserve">Invalid numeric values</t>
  </si>
  <si>
    <t xml:space="preserve">Text in number columns: =NOT(ISNUMBER(D2)) where not blank; pd.to_numeric(errors='coerce').isna()</t>
  </si>
  <si>
    <t xml:space="preserve">Currency symbols, commas, 'N/A', 'TBD' typed into numeric fields</t>
  </si>
  <si>
    <t xml:space="preserve">Clean to numeric; set unparseable to null and log</t>
  </si>
  <si>
    <t xml:space="preserve">Numeric-type validation; reject non-numeric input</t>
  </si>
  <si>
    <t xml:space="preserve">DQ-009</t>
  </si>
  <si>
    <t xml:space="preserve">Quantity / amount / duration</t>
  </si>
  <si>
    <t xml:space="preserve">Negative values where inappropriate</t>
  </si>
  <si>
    <t xml:space="preserve">Excel check: =D2&lt;0 on fields that must be &gt;=0; also flag end time before start time</t>
  </si>
  <si>
    <t xml:space="preserve">Sign errors; refunds/reversals not modelled separately; data entry error</t>
  </si>
  <si>
    <t xml:space="preserve">Review against source; correct sign or move to a dedicated reversal field</t>
  </si>
  <si>
    <t xml:space="preserve">Range checks (&gt;=0); business-rule validation</t>
  </si>
  <si>
    <t xml:space="preserve">Finance / Business Owner</t>
  </si>
  <si>
    <t xml:space="preserve">DQ-010</t>
  </si>
  <si>
    <t xml:space="preserve">Mandatory fields</t>
  </si>
  <si>
    <t xml:space="preserve">Unexpected nulls</t>
  </si>
  <si>
    <t xml:space="preserve">Null rate per column vs expected; df.isna().sum()</t>
  </si>
  <si>
    <t xml:space="preserve">Optional schema; failed joins; partial loads</t>
  </si>
  <si>
    <t xml:space="preserve">Populate from source or default per business rule; flag residual nulls</t>
  </si>
  <si>
    <t xml:space="preserve">NOT NULL on mandatory fields; null-rate monitoring</t>
  </si>
  <si>
    <t xml:space="preserve">DQ-011</t>
  </si>
  <si>
    <t xml:space="preserve">Foreign key (e.g. Customer / Parent ID)</t>
  </si>
  <si>
    <t xml:space="preserve">Orphan records</t>
  </si>
  <si>
    <t xml:space="preserve">Child key not in parent table: =COUNTIF(ParentIDs,E2)=0; df[~df.ParentID.isin(parent.ID)]</t>
  </si>
  <si>
    <t xml:space="preserve">Parent deleted or never loaded; load order issue</t>
  </si>
  <si>
    <t xml:space="preserve">Restore missing parent or archive orphan child</t>
  </si>
  <si>
    <t xml:space="preserve">Foreign-key constraints; referential-integrity check in ETL</t>
  </si>
  <si>
    <t xml:space="preserve">DQ-012</t>
  </si>
  <si>
    <t xml:space="preserve">ID + event type + timestamp</t>
  </si>
  <si>
    <t xml:space="preserve">Duplicate events</t>
  </si>
  <si>
    <t xml:space="preserve">Same ID, event and timestamp repeated: df.duplicated(['ID','Event','Timestamp'],keep=False)</t>
  </si>
  <si>
    <t xml:space="preserve">Retried messages; double-submit; overlapping extract windows</t>
  </si>
  <si>
    <t xml:space="preserve">Keep first occurrence; remove exact repeats</t>
  </si>
  <si>
    <t xml:space="preserve">Idempotency keys; dedupe in pipeline</t>
  </si>
  <si>
    <t xml:space="preserve">DQ-013</t>
  </si>
  <si>
    <t xml:space="preserve">Name / category / location fields</t>
  </si>
  <si>
    <t xml:space="preserve">Inconsistent naming</t>
  </si>
  <si>
    <t xml:space="preserve">Fuzzy-match distinct values (e.g. 'NY','N.Y.','New York'); review sorted distinct list</t>
  </si>
  <si>
    <t xml:space="preserve">Free text; no master data; merged sources</t>
  </si>
  <si>
    <t xml:space="preserve">Map variants to a canonical name via reference table</t>
  </si>
  <si>
    <t xml:space="preserve">Master data / picklists; naming standard</t>
  </si>
  <si>
    <t xml:space="preserve">DQ-014</t>
  </si>
  <si>
    <t xml:space="preserve">Status over time (per ID)</t>
  </si>
  <si>
    <t xml:space="preserve">Impossible state transitions</t>
  </si>
  <si>
    <t xml:space="preserve">Sort by ID and timestamp; flag transitions not in allowed list (e.g. Closed -&gt; Open, Completed before Created)</t>
  </si>
  <si>
    <t xml:space="preserve">Out-of-order events; manual overrides; clock skew</t>
  </si>
  <si>
    <t xml:space="preserve">Correct sequence or timestamps; confirm against source audit log</t>
  </si>
  <si>
    <t xml:space="preserve">State-machine rules enforced in app; sequence validation in ETL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</si>
</sst>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6"/>
    <col collapsed="false" customWidth="true" hidden="false" outlineLevel="0" max="3" min="3" style="0" width="24"/>
  </cols>
  <sheetData>
    <row r="1" customFormat="false" ht="15" hidden="false" customHeight="false" outlineLevel="0" collapsed="false">
      <c r="A1" s="5" t="s">
        <v>10</v>
      </c>
      <c r="B1" s="5" t="s">
        <v>11</v>
      </c>
      <c r="C1" s="5" t="s">
        <v>12</v>
      </c>
    </row>
    <row r="2" customFormat="false" ht="15" hidden="false" customHeight="false" outlineLevel="0" collapsed="false">
      <c r="A2" s="2" t="s">
        <v>13</v>
      </c>
      <c r="B2" s="2" t="n">
        <f aca="false">COUNTIFS('DQ Report'!$F$2:$F$200,A2,'DQ Report'!$E$2:$E$200,"&gt;0")</f>
        <v>0</v>
      </c>
      <c r="C2" s="2" t="n">
        <f aca="false">SUMIFS('DQ Report'!$E$2:$E$200,'DQ Report'!$F$2:$F$200,A2)</f>
        <v>0</v>
      </c>
    </row>
    <row r="3" customFormat="false" ht="15" hidden="false" customHeight="false" outlineLevel="0" collapsed="false">
      <c r="A3" s="2" t="s">
        <v>14</v>
      </c>
      <c r="B3" s="2" t="n">
        <f aca="false">COUNTIFS('DQ Report'!$F$2:$F$200,A3,'DQ Report'!$E$2:$E$200,"&gt;0")</f>
        <v>0</v>
      </c>
      <c r="C3" s="2" t="n">
        <f aca="false">SUMIFS('DQ Report'!$E$2:$E$200,'DQ Report'!$F$2:$F$200,A3)</f>
        <v>0</v>
      </c>
    </row>
    <row r="4" customFormat="false" ht="15" hidden="false" customHeight="false" outlineLevel="0" collapsed="false">
      <c r="A4" s="2" t="s">
        <v>15</v>
      </c>
      <c r="B4" s="2" t="n">
        <f aca="false">COUNTIFS('DQ Report'!$F$2:$F$200,A4,'DQ Report'!$E$2:$E$200,"&gt;0")</f>
        <v>0</v>
      </c>
      <c r="C4" s="2" t="n">
        <f aca="false">SUMIFS('DQ Report'!$E$2:$E$200,'DQ Report'!$F$2:$F$200,A4)</f>
        <v>0</v>
      </c>
    </row>
    <row r="5" customFormat="false" ht="15" hidden="false" customHeight="false" outlineLevel="0" collapsed="false">
      <c r="A5" s="2" t="s">
        <v>16</v>
      </c>
      <c r="B5" s="2" t="n">
        <f aca="false">COUNTIFS('DQ Report'!$F$2:$F$200,A5,'DQ Report'!$E$2:$E$200,"&gt;0")</f>
        <v>0</v>
      </c>
      <c r="C5" s="2" t="n">
        <f aca="false">SUMIFS('DQ Report'!$E$2:$E$200,'DQ Report'!$F$2:$F$200,A5)</f>
        <v>0</v>
      </c>
    </row>
    <row r="6" customFormat="false" ht="15" hidden="false" customHeight="false" outlineLevel="0" collapsed="false">
      <c r="A6" s="6" t="s">
        <v>17</v>
      </c>
      <c r="B6" s="6" t="n">
        <f aca="false">SUM(B2:B5)</f>
        <v>0</v>
      </c>
      <c r="C6" s="6" t="n">
        <f aca="false">SUM(C2:C5)</f>
        <v>0</v>
      </c>
    </row>
    <row r="7" customFormat="false" ht="15" hidden="false" customHeight="false" outlineLevel="0" collapsed="false">
      <c r="A7" s="2"/>
      <c r="B7" s="2"/>
      <c r="C7" s="2"/>
    </row>
    <row r="8" customFormat="false" ht="15" hidden="false" customHeight="false" outlineLevel="0" collapsed="false">
      <c r="A8" s="5" t="s">
        <v>18</v>
      </c>
      <c r="B8" s="5" t="s">
        <v>19</v>
      </c>
      <c r="C8" s="5"/>
    </row>
    <row r="9" customFormat="false" ht="15" hidden="false" customHeight="false" outlineLevel="0" collapsed="false">
      <c r="A9" s="2" t="s">
        <v>20</v>
      </c>
      <c r="B9" s="2" t="n">
        <f aca="false">COUNTIF('DQ Report'!$L$2:$L$200,A9)</f>
        <v>0</v>
      </c>
      <c r="C9" s="2"/>
    </row>
    <row r="10" customFormat="false" ht="15" hidden="false" customHeight="false" outlineLevel="0" collapsed="false">
      <c r="A10" s="2" t="s">
        <v>21</v>
      </c>
      <c r="B10" s="2" t="n">
        <f aca="false">COUNTIF('DQ Report'!$L$2:$L$200,A10)</f>
        <v>14</v>
      </c>
      <c r="C10" s="2"/>
    </row>
    <row r="11" customFormat="false" ht="15" hidden="false" customHeight="false" outlineLevel="0" collapsed="false">
      <c r="A11" s="2" t="s">
        <v>22</v>
      </c>
      <c r="B11" s="2" t="n">
        <f aca="false">COUNTIF('DQ Report'!$L$2:$L$200,A11)</f>
        <v>0</v>
      </c>
      <c r="C11" s="2"/>
    </row>
    <row r="12" customFormat="false" ht="15" hidden="false" customHeight="false" outlineLevel="0" collapsed="false">
      <c r="A12" s="2"/>
      <c r="B12" s="2"/>
      <c r="C12" s="2"/>
    </row>
    <row r="13" customFormat="false" ht="15" hidden="false" customHeight="false" outlineLevel="0" collapsed="false">
      <c r="A13" s="6" t="s">
        <v>23</v>
      </c>
      <c r="B13" s="2" t="n">
        <f aca="false">COUNTBLANK('DQ Report'!E2:E15)</f>
        <v>14</v>
      </c>
      <c r="C1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48"/>
    <col collapsed="false" customWidth="true" hidden="false" outlineLevel="0" max="8" min="8" style="0" width="38"/>
    <col collapsed="false" customWidth="true" hidden="false" outlineLevel="0" max="9" min="9" style="0" width="40"/>
    <col collapsed="false" customWidth="true" hidden="false" outlineLevel="0" max="10" min="10" style="0" width="36"/>
    <col collapsed="false" customWidth="true" hidden="false" outlineLevel="0" max="11" min="11" style="0" width="20"/>
    <col collapsed="false" customWidth="true" hidden="false" outlineLevel="0" max="12" min="12" style="0" width="11"/>
  </cols>
  <sheetData>
    <row r="1" customFormat="false" ht="23.85" hidden="false" customHeight="false" outlineLevel="0" collapsed="false">
      <c r="A1" s="7" t="s">
        <v>24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10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  <c r="L1" s="7" t="s">
        <v>18</v>
      </c>
    </row>
    <row r="2" customFormat="false" ht="23.85" hidden="false" customHeight="false" outlineLevel="0" collapsed="false">
      <c r="A2" s="8" t="s">
        <v>34</v>
      </c>
      <c r="B2" s="9" t="s">
        <v>35</v>
      </c>
      <c r="C2" s="9" t="s">
        <v>36</v>
      </c>
      <c r="D2" s="8" t="s">
        <v>37</v>
      </c>
      <c r="E2" s="10"/>
      <c r="F2" s="11" t="s">
        <v>13</v>
      </c>
      <c r="G2" s="8" t="s">
        <v>38</v>
      </c>
      <c r="H2" s="8" t="s">
        <v>39</v>
      </c>
      <c r="I2" s="8" t="s">
        <v>40</v>
      </c>
      <c r="J2" s="8" t="s">
        <v>41</v>
      </c>
      <c r="K2" s="11" t="s">
        <v>42</v>
      </c>
      <c r="L2" s="11" t="s">
        <v>21</v>
      </c>
    </row>
    <row r="3" customFormat="false" ht="23.85" hidden="false" customHeight="false" outlineLevel="0" collapsed="false">
      <c r="A3" s="8" t="s">
        <v>43</v>
      </c>
      <c r="B3" s="9" t="s">
        <v>35</v>
      </c>
      <c r="C3" s="9" t="s">
        <v>36</v>
      </c>
      <c r="D3" s="8" t="s">
        <v>44</v>
      </c>
      <c r="E3" s="10"/>
      <c r="F3" s="11" t="s">
        <v>13</v>
      </c>
      <c r="G3" s="8" t="s">
        <v>45</v>
      </c>
      <c r="H3" s="8" t="s">
        <v>46</v>
      </c>
      <c r="I3" s="8" t="s">
        <v>47</v>
      </c>
      <c r="J3" s="8" t="s">
        <v>48</v>
      </c>
      <c r="K3" s="11" t="s">
        <v>42</v>
      </c>
      <c r="L3" s="11" t="s">
        <v>21</v>
      </c>
    </row>
    <row r="4" customFormat="false" ht="23.85" hidden="false" customHeight="false" outlineLevel="0" collapsed="false">
      <c r="A4" s="8" t="s">
        <v>49</v>
      </c>
      <c r="B4" s="9" t="s">
        <v>35</v>
      </c>
      <c r="C4" s="9" t="s">
        <v>50</v>
      </c>
      <c r="D4" s="8" t="s">
        <v>51</v>
      </c>
      <c r="E4" s="10"/>
      <c r="F4" s="11" t="s">
        <v>14</v>
      </c>
      <c r="G4" s="8" t="s">
        <v>52</v>
      </c>
      <c r="H4" s="8" t="s">
        <v>53</v>
      </c>
      <c r="I4" s="8" t="s">
        <v>54</v>
      </c>
      <c r="J4" s="8" t="s">
        <v>55</v>
      </c>
      <c r="K4" s="11" t="s">
        <v>56</v>
      </c>
      <c r="L4" s="11" t="s">
        <v>21</v>
      </c>
    </row>
    <row r="5" customFormat="false" ht="35.05" hidden="false" customHeight="false" outlineLevel="0" collapsed="false">
      <c r="A5" s="8" t="s">
        <v>57</v>
      </c>
      <c r="B5" s="9" t="s">
        <v>35</v>
      </c>
      <c r="C5" s="9" t="s">
        <v>58</v>
      </c>
      <c r="D5" s="8" t="s">
        <v>59</v>
      </c>
      <c r="E5" s="10"/>
      <c r="F5" s="11" t="s">
        <v>14</v>
      </c>
      <c r="G5" s="8" t="s">
        <v>60</v>
      </c>
      <c r="H5" s="8" t="s">
        <v>61</v>
      </c>
      <c r="I5" s="8" t="s">
        <v>62</v>
      </c>
      <c r="J5" s="8" t="s">
        <v>63</v>
      </c>
      <c r="K5" s="11" t="s">
        <v>64</v>
      </c>
      <c r="L5" s="11" t="s">
        <v>21</v>
      </c>
    </row>
    <row r="6" customFormat="false" ht="23.85" hidden="false" customHeight="false" outlineLevel="0" collapsed="false">
      <c r="A6" s="8" t="s">
        <v>65</v>
      </c>
      <c r="B6" s="9" t="s">
        <v>35</v>
      </c>
      <c r="C6" s="9" t="s">
        <v>18</v>
      </c>
      <c r="D6" s="8" t="s">
        <v>66</v>
      </c>
      <c r="E6" s="10"/>
      <c r="F6" s="11" t="s">
        <v>14</v>
      </c>
      <c r="G6" s="8" t="s">
        <v>67</v>
      </c>
      <c r="H6" s="8" t="s">
        <v>68</v>
      </c>
      <c r="I6" s="8" t="s">
        <v>69</v>
      </c>
      <c r="J6" s="8" t="s">
        <v>70</v>
      </c>
      <c r="K6" s="11" t="s">
        <v>71</v>
      </c>
      <c r="L6" s="11" t="s">
        <v>21</v>
      </c>
    </row>
    <row r="7" customFormat="false" ht="35.05" hidden="false" customHeight="false" outlineLevel="0" collapsed="false">
      <c r="A7" s="8" t="s">
        <v>72</v>
      </c>
      <c r="B7" s="9" t="s">
        <v>35</v>
      </c>
      <c r="C7" s="9" t="s">
        <v>73</v>
      </c>
      <c r="D7" s="8" t="s">
        <v>74</v>
      </c>
      <c r="E7" s="10"/>
      <c r="F7" s="11" t="s">
        <v>15</v>
      </c>
      <c r="G7" s="8" t="s">
        <v>75</v>
      </c>
      <c r="H7" s="8" t="s">
        <v>76</v>
      </c>
      <c r="I7" s="8" t="s">
        <v>77</v>
      </c>
      <c r="J7" s="8" t="s">
        <v>78</v>
      </c>
      <c r="K7" s="11" t="s">
        <v>42</v>
      </c>
      <c r="L7" s="11" t="s">
        <v>21</v>
      </c>
    </row>
    <row r="8" customFormat="false" ht="23.85" hidden="false" customHeight="false" outlineLevel="0" collapsed="false">
      <c r="A8" s="8" t="s">
        <v>79</v>
      </c>
      <c r="B8" s="9" t="s">
        <v>35</v>
      </c>
      <c r="C8" s="9" t="s">
        <v>80</v>
      </c>
      <c r="D8" s="8" t="s">
        <v>81</v>
      </c>
      <c r="E8" s="10"/>
      <c r="F8" s="11" t="s">
        <v>16</v>
      </c>
      <c r="G8" s="8" t="s">
        <v>82</v>
      </c>
      <c r="H8" s="8" t="s">
        <v>83</v>
      </c>
      <c r="I8" s="8" t="s">
        <v>84</v>
      </c>
      <c r="J8" s="8" t="s">
        <v>85</v>
      </c>
      <c r="K8" s="11" t="s">
        <v>42</v>
      </c>
      <c r="L8" s="11" t="s">
        <v>21</v>
      </c>
    </row>
    <row r="9" customFormat="false" ht="23.85" hidden="false" customHeight="false" outlineLevel="0" collapsed="false">
      <c r="A9" s="8" t="s">
        <v>86</v>
      </c>
      <c r="B9" s="9" t="s">
        <v>35</v>
      </c>
      <c r="C9" s="9" t="s">
        <v>87</v>
      </c>
      <c r="D9" s="8" t="s">
        <v>88</v>
      </c>
      <c r="E9" s="10"/>
      <c r="F9" s="11" t="s">
        <v>14</v>
      </c>
      <c r="G9" s="8" t="s">
        <v>89</v>
      </c>
      <c r="H9" s="8" t="s">
        <v>90</v>
      </c>
      <c r="I9" s="8" t="s">
        <v>91</v>
      </c>
      <c r="J9" s="8" t="s">
        <v>92</v>
      </c>
      <c r="K9" s="11" t="s">
        <v>64</v>
      </c>
      <c r="L9" s="11" t="s">
        <v>21</v>
      </c>
    </row>
    <row r="10" customFormat="false" ht="23.85" hidden="false" customHeight="false" outlineLevel="0" collapsed="false">
      <c r="A10" s="8" t="s">
        <v>93</v>
      </c>
      <c r="B10" s="9" t="s">
        <v>35</v>
      </c>
      <c r="C10" s="9" t="s">
        <v>94</v>
      </c>
      <c r="D10" s="8" t="s">
        <v>95</v>
      </c>
      <c r="E10" s="10"/>
      <c r="F10" s="11" t="s">
        <v>14</v>
      </c>
      <c r="G10" s="8" t="s">
        <v>96</v>
      </c>
      <c r="H10" s="8" t="s">
        <v>97</v>
      </c>
      <c r="I10" s="8" t="s">
        <v>98</v>
      </c>
      <c r="J10" s="8" t="s">
        <v>99</v>
      </c>
      <c r="K10" s="11" t="s">
        <v>100</v>
      </c>
      <c r="L10" s="11" t="s">
        <v>21</v>
      </c>
    </row>
    <row r="11" customFormat="false" ht="23.85" hidden="false" customHeight="false" outlineLevel="0" collapsed="false">
      <c r="A11" s="8" t="s">
        <v>101</v>
      </c>
      <c r="B11" s="9" t="s">
        <v>35</v>
      </c>
      <c r="C11" s="9" t="s">
        <v>102</v>
      </c>
      <c r="D11" s="8" t="s">
        <v>103</v>
      </c>
      <c r="E11" s="10"/>
      <c r="F11" s="11" t="s">
        <v>15</v>
      </c>
      <c r="G11" s="8" t="s">
        <v>104</v>
      </c>
      <c r="H11" s="8" t="s">
        <v>105</v>
      </c>
      <c r="I11" s="8" t="s">
        <v>106</v>
      </c>
      <c r="J11" s="8" t="s">
        <v>107</v>
      </c>
      <c r="K11" s="11" t="s">
        <v>42</v>
      </c>
      <c r="L11" s="11" t="s">
        <v>21</v>
      </c>
    </row>
    <row r="12" customFormat="false" ht="23.85" hidden="false" customHeight="false" outlineLevel="0" collapsed="false">
      <c r="A12" s="8" t="s">
        <v>108</v>
      </c>
      <c r="B12" s="9" t="s">
        <v>35</v>
      </c>
      <c r="C12" s="9" t="s">
        <v>109</v>
      </c>
      <c r="D12" s="8" t="s">
        <v>110</v>
      </c>
      <c r="E12" s="10"/>
      <c r="F12" s="11" t="s">
        <v>13</v>
      </c>
      <c r="G12" s="8" t="s">
        <v>111</v>
      </c>
      <c r="H12" s="8" t="s">
        <v>112</v>
      </c>
      <c r="I12" s="8" t="s">
        <v>113</v>
      </c>
      <c r="J12" s="8" t="s">
        <v>114</v>
      </c>
      <c r="K12" s="11" t="s">
        <v>42</v>
      </c>
      <c r="L12" s="11" t="s">
        <v>21</v>
      </c>
    </row>
    <row r="13" customFormat="false" ht="23.85" hidden="false" customHeight="false" outlineLevel="0" collapsed="false">
      <c r="A13" s="8" t="s">
        <v>115</v>
      </c>
      <c r="B13" s="9" t="s">
        <v>35</v>
      </c>
      <c r="C13" s="9" t="s">
        <v>116</v>
      </c>
      <c r="D13" s="8" t="s">
        <v>117</v>
      </c>
      <c r="E13" s="10"/>
      <c r="F13" s="11" t="s">
        <v>14</v>
      </c>
      <c r="G13" s="8" t="s">
        <v>118</v>
      </c>
      <c r="H13" s="8" t="s">
        <v>119</v>
      </c>
      <c r="I13" s="8" t="s">
        <v>120</v>
      </c>
      <c r="J13" s="8" t="s">
        <v>121</v>
      </c>
      <c r="K13" s="11" t="s">
        <v>42</v>
      </c>
      <c r="L13" s="11" t="s">
        <v>21</v>
      </c>
    </row>
    <row r="14" customFormat="false" ht="23.85" hidden="false" customHeight="false" outlineLevel="0" collapsed="false">
      <c r="A14" s="8" t="s">
        <v>122</v>
      </c>
      <c r="B14" s="9" t="s">
        <v>35</v>
      </c>
      <c r="C14" s="9" t="s">
        <v>123</v>
      </c>
      <c r="D14" s="8" t="s">
        <v>124</v>
      </c>
      <c r="E14" s="10"/>
      <c r="F14" s="11" t="s">
        <v>15</v>
      </c>
      <c r="G14" s="8" t="s">
        <v>125</v>
      </c>
      <c r="H14" s="8" t="s">
        <v>126</v>
      </c>
      <c r="I14" s="8" t="s">
        <v>127</v>
      </c>
      <c r="J14" s="8" t="s">
        <v>128</v>
      </c>
      <c r="K14" s="11" t="s">
        <v>64</v>
      </c>
      <c r="L14" s="11" t="s">
        <v>21</v>
      </c>
    </row>
    <row r="15" customFormat="false" ht="23.85" hidden="false" customHeight="false" outlineLevel="0" collapsed="false">
      <c r="A15" s="8" t="s">
        <v>129</v>
      </c>
      <c r="B15" s="9" t="s">
        <v>35</v>
      </c>
      <c r="C15" s="9" t="s">
        <v>130</v>
      </c>
      <c r="D15" s="8" t="s">
        <v>131</v>
      </c>
      <c r="E15" s="10"/>
      <c r="F15" s="11" t="s">
        <v>13</v>
      </c>
      <c r="G15" s="8" t="s">
        <v>132</v>
      </c>
      <c r="H15" s="8" t="s">
        <v>133</v>
      </c>
      <c r="I15" s="8" t="s">
        <v>134</v>
      </c>
      <c r="J15" s="8" t="s">
        <v>135</v>
      </c>
      <c r="K15" s="11" t="s">
        <v>56</v>
      </c>
      <c r="L15" s="11" t="s">
        <v>21</v>
      </c>
    </row>
  </sheetData>
  <autoFilter ref="A1:L15"/>
  <conditionalFormatting sqref="F2:F65">
    <cfRule type="cellIs" priority="2" operator="equal" aboveAverage="0" equalAverage="0" bottom="0" percent="0" rank="0" text="" dxfId="9">
      <formula>"Critical"</formula>
    </cfRule>
    <cfRule type="cellIs" priority="3" operator="equal" aboveAverage="0" equalAverage="0" bottom="0" percent="0" rank="0" text="" dxfId="10">
      <formula>"High"</formula>
    </cfRule>
    <cfRule type="cellIs" priority="4" operator="equal" aboveAverage="0" equalAverage="0" bottom="0" percent="0" rank="0" text="" dxfId="11">
      <formula>"Medium"</formula>
    </cfRule>
    <cfRule type="cellIs" priority="5" operator="equal" aboveAverage="0" equalAverage="0" bottom="0" percent="0" rank="0" text="" dxfId="12">
      <formula>"Low"</formula>
    </cfRule>
  </conditionalFormatting>
  <dataValidations count="2">
    <dataValidation allowBlank="false" errorStyle="stop" operator="between" showDropDown="false" showErrorMessage="false" showInputMessage="false" sqref="F2:F65" type="list">
      <formula1>"Critical,High,Medium,Low"</formula1>
      <formula2>0</formula2>
    </dataValidation>
    <dataValidation allowBlank="false" errorStyle="stop" operator="between" showDropDown="false" showErrorMessage="false" showInputMessage="false" sqref="L2:L65" type="list">
      <formula1>"Open,Resolved,Proposed"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2026-10-16T17:58:03Z</dcterms:created>
  <dc:creator>openpyxl</dc:creator>
  <dc:description/>
  <dc:language>en-US</dc:language>
  <cp:lastModifiedBy/>
  <dcterms:modified xsi:type="dcterms:W3CDTF">2026-10-16T17:58:03Z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