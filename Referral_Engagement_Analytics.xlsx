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ashboard" sheetId="2" state="visible" r:id="rId4"/>
    <sheet name="Referral_Data" sheetId="3" state="visible" r:id="rId5"/>
    <sheet name="Engagement_Events" sheetId="4" state="visible" r:id="rId6"/>
    <sheet name="Daily_Activity" sheetId="5" state="visible" r:id="rId7"/>
    <sheet name="Feature_Adoption" sheetId="6" state="visible" r:id="rId8"/>
    <sheet name="Settings" sheetId="7" state="visible" r:id="rId9"/>
    <sheet name="E1_Data_Dictionary" sheetId="8" state="visible" r:id="rId10"/>
    <sheet name="E2_Metric_Definitions" sheetId="9" state="visible" r:id="rId11"/>
  </sheets>
  <definedNames>
    <definedName function="false" hidden="true" localSheetId="3" name="_xlnm._FilterDatabase" vbProcedure="false">Engagement_Events!$A$4:$N$1635</definedName>
    <definedName function="false" hidden="true" localSheetId="2" name="_xlnm._FilterDatabase" vbProcedure="false">Referral_Data!$A$4:$R$64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<sst xmlns="http://schemas.openxmlformats.org/spreadsheetml/2006/main" count="7253" uniqueCount="2136">
  <si>
    <t xml:space="preserve">Work Package E - Referral &amp; Engagement Analytics</t>
  </si>
  <si>
    <t xml:space="preserve">Purpose</t>
  </si>
  <si>
    <t xml:space="preserve">Measure the referral funnel and user engagement without treating registration as a successful referral.</t>
  </si>
  <si>
    <t xml:space="preserve">Funnel</t>
  </si>
  <si>
    <t xml:space="preserve">Referral Created  -&gt;  User Registered  -&gt;  User Activated  -&gt;  Referral Converted  (only the last stage is a successful referral).</t>
  </si>
  <si>
    <t xml:space="preserve">SHEETS</t>
  </si>
  <si>
    <t xml:space="preserve">KPI_Dashboard</t>
  </si>
  <si>
    <t xml:space="preserve">All headline KPIs, targets, status flags, group and source breakdowns, charts.</t>
  </si>
  <si>
    <t xml:space="preserve">Referral_Data</t>
  </si>
  <si>
    <t xml:space="preserve">E1 - one row per referral: IDs, source, 4 stage timestamps, status, derived stage, data checks, cycle times.</t>
  </si>
  <si>
    <t xml:space="preserve">Engagement_Events</t>
  </si>
  <si>
    <t xml:space="preserve">E2 - event log (login / feature use / task completed) with helper columns for distinct counts.</t>
  </si>
  <si>
    <t xml:space="preserve">Daily_Activity</t>
  </si>
  <si>
    <t xml:space="preserve">Daily referral funnel + DAU, new, returning users, logins, feature uses, task completions.</t>
  </si>
  <si>
    <t xml:space="preserve">Feature_Adoption</t>
  </si>
  <si>
    <t xml:space="preserve">Adoption, repeat usage and frequency per feature.</t>
  </si>
  <si>
    <t xml:space="preserve">Settings</t>
  </si>
  <si>
    <t xml:space="preserve">As-of date, windows, targets, and the business definitions of Activation and Conversion.</t>
  </si>
  <si>
    <t xml:space="preserve">E1_Data_Dictionary / E2_Metric_Definitions</t>
  </si>
  <si>
    <t xml:space="preserve">Field definitions, stage rules and metric formulas.</t>
  </si>
  <si>
    <t xml:space="preserve">HOW TO USE</t>
  </si>
  <si>
    <t xml:space="preserve">1</t>
  </si>
  <si>
    <t xml:space="preserve">Replace the sample rows in Referral_Data (blue) and Engagement_Events (blue) with your real data. Sample data is illustrative only.</t>
  </si>
  <si>
    <t xml:space="preserve">2</t>
  </si>
  <si>
    <t xml:space="preserve">For new rows, copy the grey formula cells down. Summary formulas already read to row 1000 (referrals) / 3000 (events).</t>
  </si>
  <si>
    <t xml:space="preserve">3</t>
  </si>
  <si>
    <t xml:space="preserve">Set the As-of Date, windows and targets in Settings (yellow cells), and write down your Activation and Conversion definitions.</t>
  </si>
  <si>
    <t xml:space="preserve">4</t>
  </si>
  <si>
    <t xml:space="preserve">If the reporting period exceeds 45 days, copy the last row of Daily_Activity down.</t>
  </si>
  <si>
    <t xml:space="preserve">5</t>
  </si>
  <si>
    <t xml:space="preserve">Keep Referral_Data[Data Check] at OK - CHECK flags mean status, gaps or timestamp order are inconsistent.</t>
  </si>
  <si>
    <t xml:space="preserve">COLOR LEGEND</t>
  </si>
  <si>
    <t xml:space="preserve">Blue text</t>
  </si>
  <si>
    <t xml:space="preserve">Input data / assumptions you can edit.</t>
  </si>
  <si>
    <t xml:space="preserve">Black text</t>
  </si>
  <si>
    <t xml:space="preserve">Formulas - do not overwrite.</t>
  </si>
  <si>
    <t xml:space="preserve">Green text</t>
  </si>
  <si>
    <t xml:space="preserve">Link pulled from another sheet (Settings).</t>
  </si>
  <si>
    <t xml:space="preserve">Yellow fill</t>
  </si>
  <si>
    <t xml:space="preserve">Key assumption to confirm (targets, windows, definitions).</t>
  </si>
  <si>
    <t xml:space="preserve">Referral &amp; Engagement KPI Dashboard</t>
  </si>
  <si>
    <t xml:space="preserve">As-of date:</t>
  </si>
  <si>
    <t xml:space="preserve">1. REFERRAL FUNNEL</t>
  </si>
  <si>
    <t xml:space="preserve">Count</t>
  </si>
  <si>
    <t xml:space="preserve">% of Created</t>
  </si>
  <si>
    <t xml:space="preserve">Step Conversion</t>
  </si>
  <si>
    <t xml:space="preserve">Definition / Notes</t>
  </si>
  <si>
    <t xml:space="preserve">Referral Created</t>
  </si>
  <si>
    <t xml:space="preserve">-</t>
  </si>
  <si>
    <t xml:space="preserve">Referral record exists (invite/link generated).</t>
  </si>
  <si>
    <t xml:space="preserve">User Registered</t>
  </si>
  <si>
    <t xml:space="preserve">Referred user completed sign-up (registration timestamp present).</t>
  </si>
  <si>
    <t xml:space="preserve">User Activated</t>
  </si>
  <si>
    <t xml:space="preserve">Referred user completed the activation event defined in Settings.</t>
  </si>
  <si>
    <t xml:space="preserve">Referral Converted</t>
  </si>
  <si>
    <t xml:space="preserve">Referred user reached the conversion event defined in Settings.</t>
  </si>
  <si>
    <t xml:space="preserve">Expired (never registered)</t>
  </si>
  <si>
    <t xml:space="preserve">Referral older than expiry window with no registration.</t>
  </si>
  <si>
    <t xml:space="preserve">Registered but NOT converted</t>
  </si>
  <si>
    <t xml:space="preserve">Registration is not conversion - this is the gap to close.</t>
  </si>
  <si>
    <t xml:space="preserve">Registered but NOT activated</t>
  </si>
  <si>
    <t xml:space="preserve">Signed up but never reached first value.</t>
  </si>
  <si>
    <t xml:space="preserve">Activated within window</t>
  </si>
  <si>
    <t xml:space="preserve">Activated within the activation-window days from Settings.</t>
  </si>
  <si>
    <t xml:space="preserve">Data-quality flags (Referral_Data)</t>
  </si>
  <si>
    <t xml:space="preserve">Rows where status, gaps or timestamp order look wrong. Should be 0.</t>
  </si>
  <si>
    <t xml:space="preserve">2. REFERRAL KPIs vs TARGET</t>
  </si>
  <si>
    <t xml:space="preserve">Value</t>
  </si>
  <si>
    <t xml:space="preserve">Target</t>
  </si>
  <si>
    <t xml:space="preserve">Status</t>
  </si>
  <si>
    <t xml:space="preserve">Definition</t>
  </si>
  <si>
    <t xml:space="preserve">Registration Rate</t>
  </si>
  <si>
    <t xml:space="preserve">Registered / Created</t>
  </si>
  <si>
    <t xml:space="preserve">Activation Rate (of registered)</t>
  </si>
  <si>
    <t xml:space="preserve">Activated / Registered</t>
  </si>
  <si>
    <t xml:space="preserve">Conversion Rate (of activated)</t>
  </si>
  <si>
    <t xml:space="preserve">Converted / Activated</t>
  </si>
  <si>
    <t xml:space="preserve">Overall Referral Conversion Rate</t>
  </si>
  <si>
    <t xml:space="preserve">Converted / Created - the true referral success rate.</t>
  </si>
  <si>
    <t xml:space="preserve">Registered-to-Converted Rate</t>
  </si>
  <si>
    <t xml:space="preserve">Converted / Registered - shows how misleading 'registration = success' would be.</t>
  </si>
  <si>
    <t xml:space="preserve">Referring users (distinct)</t>
  </si>
  <si>
    <t xml:space="preserve">Distinct referring users with at least one referral.</t>
  </si>
  <si>
    <t xml:space="preserve">Referring users with 1+ conversion</t>
  </si>
  <si>
    <t xml:space="preserve">Distinct referrers whose referral reached Converted.</t>
  </si>
  <si>
    <t xml:space="preserve">Referrer Success Rate</t>
  </si>
  <si>
    <t xml:space="preserve">Referrers with 1+ conversion / all referrers.</t>
  </si>
  <si>
    <t xml:space="preserve">3. REFERRAL CYCLE TIME (days)</t>
  </si>
  <si>
    <t xml:space="preserve">Average</t>
  </si>
  <si>
    <t xml:space="preserve">Median</t>
  </si>
  <si>
    <t xml:space="preserve">Created to Registered</t>
  </si>
  <si>
    <t xml:space="preserve">Only referrals that reached both stages are included.</t>
  </si>
  <si>
    <t xml:space="preserve">Registered to Activated</t>
  </si>
  <si>
    <t xml:space="preserve">Activated to Converted</t>
  </si>
  <si>
    <t xml:space="preserve">Created to Converted</t>
  </si>
  <si>
    <t xml:space="preserve">4. ENGAGEMENT KPIs</t>
  </si>
  <si>
    <t xml:space="preserve">Distinct active users (all-time in log)</t>
  </si>
  <si>
    <t xml:space="preserve">Users with at least one event.</t>
  </si>
  <si>
    <t xml:space="preserve">DAU (as-of date)</t>
  </si>
  <si>
    <t xml:space="preserve">Distinct users with any event on the as-of date.</t>
  </si>
  <si>
    <t xml:space="preserve">WAU (rolling window)</t>
  </si>
  <si>
    <t xml:space="preserve">Distinct users active in the last N days (Settings: WAU window).</t>
  </si>
  <si>
    <t xml:space="preserve">MAU (rolling window)</t>
  </si>
  <si>
    <t xml:space="preserve">Distinct users active in the last N days (Settings: MAU window).</t>
  </si>
  <si>
    <t xml:space="preserve">Stickiness (DAU / MAU)</t>
  </si>
  <si>
    <t xml:space="preserve">How often monthly users show up daily.</t>
  </si>
  <si>
    <t xml:space="preserve">Returning users (as-of date)</t>
  </si>
  <si>
    <t xml:space="preserve">Active on as-of date AND active on an earlier date.</t>
  </si>
  <si>
    <t xml:space="preserve">Returning user rate</t>
  </si>
  <si>
    <t xml:space="preserve">Returning users / DAU.</t>
  </si>
  <si>
    <t xml:space="preserve">Average DAU over reporting period</t>
  </si>
  <si>
    <t xml:space="preserve">Mean of daily active users on Daily_Activity.</t>
  </si>
  <si>
    <t xml:space="preserve">Total task completions</t>
  </si>
  <si>
    <t xml:space="preserve">Count of 'Task Completed' events.</t>
  </si>
  <si>
    <t xml:space="preserve">Task completions per active user</t>
  </si>
  <si>
    <t xml:space="preserve">Task activity depth.</t>
  </si>
  <si>
    <t xml:space="preserve">Total feature uses</t>
  </si>
  <si>
    <t xml:space="preserve">Count of 'Feature Use' events.</t>
  </si>
  <si>
    <t xml:space="preserve">Feature uses per active user</t>
  </si>
  <si>
    <t xml:space="preserve">Feature frequency per user.</t>
  </si>
  <si>
    <t xml:space="preserve">Feature adoption rate (any feature)</t>
  </si>
  <si>
    <t xml:space="preserve">Users with 1+ feature use / active users.</t>
  </si>
  <si>
    <t xml:space="preserve">Average feature repeat rate</t>
  </si>
  <si>
    <t xml:space="preserve">Average of per-feature repeat usage rates.</t>
  </si>
  <si>
    <t xml:space="preserve">5. ENGAGEMENT BY USER GROUP</t>
  </si>
  <si>
    <t xml:space="preserve">Active Users</t>
  </si>
  <si>
    <t xml:space="preserve">Task Completions</t>
  </si>
  <si>
    <t xml:space="preserve">Tasks per User</t>
  </si>
  <si>
    <t xml:space="preserve">Feature Uses per User</t>
  </si>
  <si>
    <t xml:space="preserve">Logins per User</t>
  </si>
  <si>
    <t xml:space="preserve">Referred</t>
  </si>
  <si>
    <t xml:space="preserve">Referrer</t>
  </si>
  <si>
    <t xml:space="preserve">Organic</t>
  </si>
  <si>
    <t xml:space="preserve">6. REFERRAL FUNNEL BY SOURCE</t>
  </si>
  <si>
    <t xml:space="preserve">Created</t>
  </si>
  <si>
    <t xml:space="preserve">Registered</t>
  </si>
  <si>
    <t xml:space="preserve">Activated</t>
  </si>
  <si>
    <t xml:space="preserve">Converted</t>
  </si>
  <si>
    <t xml:space="preserve">Activation Rate (of reg.)</t>
  </si>
  <si>
    <t xml:space="preserve">Conversion Rate (of created)</t>
  </si>
  <si>
    <t xml:space="preserve">Email</t>
  </si>
  <si>
    <t xml:space="preserve">WhatsApp</t>
  </si>
  <si>
    <t xml:space="preserve">Social Media</t>
  </si>
  <si>
    <t xml:space="preserve">In-App Invite</t>
  </si>
  <si>
    <t xml:space="preserve">Referral Link</t>
  </si>
  <si>
    <t xml:space="preserve">Total</t>
  </si>
  <si>
    <t xml:space="preserve">Check: source total minus funnel total (should be 0)</t>
  </si>
  <si>
    <t xml:space="preserve">Referral Data (E1) - one row per referral</t>
  </si>
  <si>
    <t xml:space="preserve">Blue = input data (replace sample rows with your own). Grey = formulas (copy down for new rows). A referral is only 'Converted' when a conversion timestamp exists - registration alone is not conversion.</t>
  </si>
  <si>
    <t xml:space="preserve">Referral ID</t>
  </si>
  <si>
    <t xml:space="preserve">Referring User ID</t>
  </si>
  <si>
    <t xml:space="preserve">Referred User ID</t>
  </si>
  <si>
    <t xml:space="preserve">Source</t>
  </si>
  <si>
    <t xml:space="preserve">Created Timestamp</t>
  </si>
  <si>
    <t xml:space="preserve">Registered Timestamp</t>
  </si>
  <si>
    <t xml:space="preserve">Activated Timestamp</t>
  </si>
  <si>
    <t xml:space="preserve">Converted Timestamp</t>
  </si>
  <si>
    <t xml:space="preserve">Derived Stage (from timestamps)</t>
  </si>
  <si>
    <t xml:space="preserve">Data Check</t>
  </si>
  <si>
    <t xml:space="preserve">Days: Created to Registered</t>
  </si>
  <si>
    <t xml:space="preserve">Days: Registered to Activated</t>
  </si>
  <si>
    <t xml:space="preserve">Days: Activated to Converted</t>
  </si>
  <si>
    <t xml:space="preserve">Days: Created to Converted</t>
  </si>
  <si>
    <t xml:space="preserve">Activated Within Window?</t>
  </si>
  <si>
    <t xml:space="preserve">First Referral of Referrer (1/0)</t>
  </si>
  <si>
    <t xml:space="preserve">First Converted Referral of Referrer (1/0)</t>
  </si>
  <si>
    <t xml:space="preserve">REF-0001</t>
  </si>
  <si>
    <t xml:space="preserve">U001</t>
  </si>
  <si>
    <t xml:space="preserve">R001</t>
  </si>
  <si>
    <t xml:space="preserve">REF-0002</t>
  </si>
  <si>
    <t xml:space="preserve">U007</t>
  </si>
  <si>
    <t xml:space="preserve">R002</t>
  </si>
  <si>
    <t xml:space="preserve">REF-0003</t>
  </si>
  <si>
    <t xml:space="preserve">U003</t>
  </si>
  <si>
    <t xml:space="preserve">REF-0004</t>
  </si>
  <si>
    <t xml:space="preserve">U012</t>
  </si>
  <si>
    <t xml:space="preserve">R003</t>
  </si>
  <si>
    <t xml:space="preserve">REF-0005</t>
  </si>
  <si>
    <t xml:space="preserve">U006</t>
  </si>
  <si>
    <t xml:space="preserve">R004</t>
  </si>
  <si>
    <t xml:space="preserve">REF-0006</t>
  </si>
  <si>
    <t xml:space="preserve">R005</t>
  </si>
  <si>
    <t xml:space="preserve">REF-0007</t>
  </si>
  <si>
    <t xml:space="preserve">U011</t>
  </si>
  <si>
    <t xml:space="preserve">R006</t>
  </si>
  <si>
    <t xml:space="preserve">REF-0008</t>
  </si>
  <si>
    <t xml:space="preserve">Expired</t>
  </si>
  <si>
    <t xml:space="preserve">REF-0009</t>
  </si>
  <si>
    <t xml:space="preserve">R007</t>
  </si>
  <si>
    <t xml:space="preserve">REF-0010</t>
  </si>
  <si>
    <t xml:space="preserve">U008</t>
  </si>
  <si>
    <t xml:space="preserve">REF-0011</t>
  </si>
  <si>
    <t xml:space="preserve">R008</t>
  </si>
  <si>
    <t xml:space="preserve">REF-0012</t>
  </si>
  <si>
    <t xml:space="preserve">R009</t>
  </si>
  <si>
    <t xml:space="preserve">REF-0013</t>
  </si>
  <si>
    <t xml:space="preserve">U002</t>
  </si>
  <si>
    <t xml:space="preserve">R010</t>
  </si>
  <si>
    <t xml:space="preserve">REF-0014</t>
  </si>
  <si>
    <t xml:space="preserve">REF-0015</t>
  </si>
  <si>
    <t xml:space="preserve">U009</t>
  </si>
  <si>
    <t xml:space="preserve">R011</t>
  </si>
  <si>
    <t xml:space="preserve">REF-0016</t>
  </si>
  <si>
    <t xml:space="preserve">U005</t>
  </si>
  <si>
    <t xml:space="preserve">R012</t>
  </si>
  <si>
    <t xml:space="preserve">REF-0017</t>
  </si>
  <si>
    <t xml:space="preserve">REF-0018</t>
  </si>
  <si>
    <t xml:space="preserve">REF-0019</t>
  </si>
  <si>
    <t xml:space="preserve">U004</t>
  </si>
  <si>
    <t xml:space="preserve">R013</t>
  </si>
  <si>
    <t xml:space="preserve">REF-0020</t>
  </si>
  <si>
    <t xml:space="preserve">R014</t>
  </si>
  <si>
    <t xml:space="preserve">REF-0021</t>
  </si>
  <si>
    <t xml:space="preserve">R015</t>
  </si>
  <si>
    <t xml:space="preserve">REF-0022</t>
  </si>
  <si>
    <t xml:space="preserve">U010</t>
  </si>
  <si>
    <t xml:space="preserve">REF-0023</t>
  </si>
  <si>
    <t xml:space="preserve">REF-0024</t>
  </si>
  <si>
    <t xml:space="preserve">R016</t>
  </si>
  <si>
    <t xml:space="preserve">REF-0025</t>
  </si>
  <si>
    <t xml:space="preserve">R017</t>
  </si>
  <si>
    <t xml:space="preserve">REF-0026</t>
  </si>
  <si>
    <t xml:space="preserve">R018</t>
  </si>
  <si>
    <t xml:space="preserve">REF-0027</t>
  </si>
  <si>
    <t xml:space="preserve">REF-0028</t>
  </si>
  <si>
    <t xml:space="preserve">REF-0029</t>
  </si>
  <si>
    <t xml:space="preserve">R019</t>
  </si>
  <si>
    <t xml:space="preserve">REF-0030</t>
  </si>
  <si>
    <t xml:space="preserve">R020</t>
  </si>
  <si>
    <t xml:space="preserve">REF-0031</t>
  </si>
  <si>
    <t xml:space="preserve">R021</t>
  </si>
  <si>
    <t xml:space="preserve">REF-0032</t>
  </si>
  <si>
    <t xml:space="preserve">R022</t>
  </si>
  <si>
    <t xml:space="preserve">REF-0033</t>
  </si>
  <si>
    <t xml:space="preserve">R023</t>
  </si>
  <si>
    <t xml:space="preserve">REF-0034</t>
  </si>
  <si>
    <t xml:space="preserve">REF-0035</t>
  </si>
  <si>
    <t xml:space="preserve">R024</t>
  </si>
  <si>
    <t xml:space="preserve">REF-0036</t>
  </si>
  <si>
    <t xml:space="preserve">R025</t>
  </si>
  <si>
    <t xml:space="preserve">REF-0037</t>
  </si>
  <si>
    <t xml:space="preserve">R026</t>
  </si>
  <si>
    <t xml:space="preserve">REF-0038</t>
  </si>
  <si>
    <t xml:space="preserve">R027</t>
  </si>
  <si>
    <t xml:space="preserve">REF-0039</t>
  </si>
  <si>
    <t xml:space="preserve">R028</t>
  </si>
  <si>
    <t xml:space="preserve">REF-0040</t>
  </si>
  <si>
    <t xml:space="preserve">R029</t>
  </si>
  <si>
    <t xml:space="preserve">REF-0041</t>
  </si>
  <si>
    <t xml:space="preserve">REF-0042</t>
  </si>
  <si>
    <t xml:space="preserve">REF-0043</t>
  </si>
  <si>
    <t xml:space="preserve">REF-0044</t>
  </si>
  <si>
    <t xml:space="preserve">R030</t>
  </si>
  <si>
    <t xml:space="preserve">REF-0045</t>
  </si>
  <si>
    <t xml:space="preserve">R031</t>
  </si>
  <si>
    <t xml:space="preserve">REF-0046</t>
  </si>
  <si>
    <t xml:space="preserve">R032</t>
  </si>
  <si>
    <t xml:space="preserve">REF-0047</t>
  </si>
  <si>
    <t xml:space="preserve">REF-0048</t>
  </si>
  <si>
    <t xml:space="preserve">REF-0049</t>
  </si>
  <si>
    <t xml:space="preserve">REF-0050</t>
  </si>
  <si>
    <t xml:space="preserve">R033</t>
  </si>
  <si>
    <t xml:space="preserve">REF-0051</t>
  </si>
  <si>
    <t xml:space="preserve">R034</t>
  </si>
  <si>
    <t xml:space="preserve">REF-0052</t>
  </si>
  <si>
    <t xml:space="preserve">R035</t>
  </si>
  <si>
    <t xml:space="preserve">REF-0053</t>
  </si>
  <si>
    <t xml:space="preserve">R036</t>
  </si>
  <si>
    <t xml:space="preserve">REF-0054</t>
  </si>
  <si>
    <t xml:space="preserve">R037</t>
  </si>
  <si>
    <t xml:space="preserve">REF-0055</t>
  </si>
  <si>
    <t xml:space="preserve">R038</t>
  </si>
  <si>
    <t xml:space="preserve">REF-0056</t>
  </si>
  <si>
    <t xml:space="preserve">REF-0057</t>
  </si>
  <si>
    <t xml:space="preserve">REF-0058</t>
  </si>
  <si>
    <t xml:space="preserve">REF-0059</t>
  </si>
  <si>
    <t xml:space="preserve">R039</t>
  </si>
  <si>
    <t xml:space="preserve">REF-0060</t>
  </si>
  <si>
    <t xml:space="preserve">R040</t>
  </si>
  <si>
    <t xml:space="preserve">Engagement Events (E2) - one row per user event</t>
  </si>
  <si>
    <t xml:space="preserve">Blue = input event log. Grey = helper formulas that make distinct counts possible (copy down for new rows). Event Type: Login / Feature Use / Task Completed.</t>
  </si>
  <si>
    <t xml:space="preserve">Event ID</t>
  </si>
  <si>
    <t xml:space="preserve">User ID</t>
  </si>
  <si>
    <t xml:space="preserve">Event Date</t>
  </si>
  <si>
    <t xml:space="preserve">Event Type</t>
  </si>
  <si>
    <t xml:space="preserve">Feature</t>
  </si>
  <si>
    <t xml:space="preserve">User Group (auto)</t>
  </si>
  <si>
    <t xml:space="preserve">First Event of User-Day</t>
  </si>
  <si>
    <t xml:space="preserve">Returning User-Day</t>
  </si>
  <si>
    <t xml:space="preserve">First Use of Feature by User</t>
  </si>
  <si>
    <t xml:space="preserve">Repeat (2nd) Use of Feature by User</t>
  </si>
  <si>
    <t xml:space="preserve">First Event of User (ever)</t>
  </si>
  <si>
    <t xml:space="preserve">First Event of User in WAU Window</t>
  </si>
  <si>
    <t xml:space="preserve">First Event of User in MAU Window</t>
  </si>
  <si>
    <t xml:space="preserve">First Feature Use of User (any feature)</t>
  </si>
  <si>
    <t xml:space="preserve">EVT-00001</t>
  </si>
  <si>
    <t xml:space="preserve">O002</t>
  </si>
  <si>
    <t xml:space="preserve">Login</t>
  </si>
  <si>
    <t xml:space="preserve">n/a</t>
  </si>
  <si>
    <t xml:space="preserve">EVT-00002</t>
  </si>
  <si>
    <t xml:space="preserve">Feature Use</t>
  </si>
  <si>
    <t xml:space="preserve">Chat</t>
  </si>
  <si>
    <t xml:space="preserve">EVT-00003</t>
  </si>
  <si>
    <t xml:space="preserve">O004</t>
  </si>
  <si>
    <t xml:space="preserve">EVT-00004</t>
  </si>
  <si>
    <t xml:space="preserve">Dashboard</t>
  </si>
  <si>
    <t xml:space="preserve">EVT-00005</t>
  </si>
  <si>
    <t xml:space="preserve">EVT-00006</t>
  </si>
  <si>
    <t xml:space="preserve">Task Completed</t>
  </si>
  <si>
    <t xml:space="preserve">Export</t>
  </si>
  <si>
    <t xml:space="preserve">EVT-00007</t>
  </si>
  <si>
    <t xml:space="preserve">Reports</t>
  </si>
  <si>
    <t xml:space="preserve">EVT-00008</t>
  </si>
  <si>
    <t xml:space="preserve">O008</t>
  </si>
  <si>
    <t xml:space="preserve">EVT-00009</t>
  </si>
  <si>
    <t xml:space="preserve">EVT-00010</t>
  </si>
  <si>
    <t xml:space="preserve">EVT-00011</t>
  </si>
  <si>
    <t xml:space="preserve">EVT-00012</t>
  </si>
  <si>
    <t xml:space="preserve">EVT-00013</t>
  </si>
  <si>
    <t xml:space="preserve">Invite &amp; Share</t>
  </si>
  <si>
    <t xml:space="preserve">EVT-00014</t>
  </si>
  <si>
    <t xml:space="preserve">EVT-00015</t>
  </si>
  <si>
    <t xml:space="preserve">EVT-00016</t>
  </si>
  <si>
    <t xml:space="preserve">EVT-00017</t>
  </si>
  <si>
    <t xml:space="preserve">EVT-00018</t>
  </si>
  <si>
    <t xml:space="preserve">EVT-00019</t>
  </si>
  <si>
    <t xml:space="preserve">EVT-00020</t>
  </si>
  <si>
    <t xml:space="preserve">EVT-00021</t>
  </si>
  <si>
    <t xml:space="preserve">EVT-00022</t>
  </si>
  <si>
    <t xml:space="preserve">O003</t>
  </si>
  <si>
    <t xml:space="preserve">EVT-00023</t>
  </si>
  <si>
    <t xml:space="preserve">EVT-00024</t>
  </si>
  <si>
    <t xml:space="preserve">EVT-00025</t>
  </si>
  <si>
    <t xml:space="preserve">O005</t>
  </si>
  <si>
    <t xml:space="preserve">EVT-00026</t>
  </si>
  <si>
    <t xml:space="preserve">EVT-00027</t>
  </si>
  <si>
    <t xml:space="preserve">EVT-00028</t>
  </si>
  <si>
    <t xml:space="preserve">EVT-00029</t>
  </si>
  <si>
    <t xml:space="preserve">EVT-00030</t>
  </si>
  <si>
    <t xml:space="preserve">EVT-00031</t>
  </si>
  <si>
    <t xml:space="preserve">EVT-00032</t>
  </si>
  <si>
    <t xml:space="preserve">EVT-00033</t>
  </si>
  <si>
    <t xml:space="preserve">EVT-00034</t>
  </si>
  <si>
    <t xml:space="preserve">EVT-00035</t>
  </si>
  <si>
    <t xml:space="preserve">EVT-00036</t>
  </si>
  <si>
    <t xml:space="preserve">EVT-00037</t>
  </si>
  <si>
    <t xml:space="preserve">EVT-00038</t>
  </si>
  <si>
    <t xml:space="preserve">EVT-00039</t>
  </si>
  <si>
    <t xml:space="preserve">EVT-00040</t>
  </si>
  <si>
    <t xml:space="preserve">EVT-00041</t>
  </si>
  <si>
    <t xml:space="preserve">EVT-00042</t>
  </si>
  <si>
    <t xml:space="preserve">EVT-00043</t>
  </si>
  <si>
    <t xml:space="preserve">EVT-00044</t>
  </si>
  <si>
    <t xml:space="preserve">EVT-00045</t>
  </si>
  <si>
    <t xml:space="preserve">EVT-00046</t>
  </si>
  <si>
    <t xml:space="preserve">EVT-00047</t>
  </si>
  <si>
    <t xml:space="preserve">EVT-00048</t>
  </si>
  <si>
    <t xml:space="preserve">EVT-00049</t>
  </si>
  <si>
    <t xml:space="preserve">EVT-00050</t>
  </si>
  <si>
    <t xml:space="preserve">EVT-00051</t>
  </si>
  <si>
    <t xml:space="preserve">EVT-00052</t>
  </si>
  <si>
    <t xml:space="preserve">EVT-00053</t>
  </si>
  <si>
    <t xml:space="preserve">EVT-00054</t>
  </si>
  <si>
    <t xml:space="preserve">EVT-00055</t>
  </si>
  <si>
    <t xml:space="preserve">EVT-00056</t>
  </si>
  <si>
    <t xml:space="preserve">EVT-00057</t>
  </si>
  <si>
    <t xml:space="preserve">EVT-00058</t>
  </si>
  <si>
    <t xml:space="preserve">EVT-00059</t>
  </si>
  <si>
    <t xml:space="preserve">EVT-00060</t>
  </si>
  <si>
    <t xml:space="preserve">EVT-00061</t>
  </si>
  <si>
    <t xml:space="preserve">EVT-00062</t>
  </si>
  <si>
    <t xml:space="preserve">EVT-00063</t>
  </si>
  <si>
    <t xml:space="preserve">EVT-00064</t>
  </si>
  <si>
    <t xml:space="preserve">EVT-00065</t>
  </si>
  <si>
    <t xml:space="preserve">EVT-00066</t>
  </si>
  <si>
    <t xml:space="preserve">EVT-00067</t>
  </si>
  <si>
    <t xml:space="preserve">EVT-00068</t>
  </si>
  <si>
    <t xml:space="preserve">EVT-00069</t>
  </si>
  <si>
    <t xml:space="preserve">EVT-00070</t>
  </si>
  <si>
    <t xml:space="preserve">EVT-00071</t>
  </si>
  <si>
    <t xml:space="preserve">EVT-00072</t>
  </si>
  <si>
    <t xml:space="preserve">EVT-00073</t>
  </si>
  <si>
    <t xml:space="preserve">EVT-00074</t>
  </si>
  <si>
    <t xml:space="preserve">EVT-00075</t>
  </si>
  <si>
    <t xml:space="preserve">EVT-00076</t>
  </si>
  <si>
    <t xml:space="preserve">O006</t>
  </si>
  <si>
    <t xml:space="preserve">EVT-00077</t>
  </si>
  <si>
    <t xml:space="preserve">EVT-00078</t>
  </si>
  <si>
    <t xml:space="preserve">EVT-00079</t>
  </si>
  <si>
    <t xml:space="preserve">EVT-00080</t>
  </si>
  <si>
    <t xml:space="preserve">EVT-00081</t>
  </si>
  <si>
    <t xml:space="preserve">EVT-00082</t>
  </si>
  <si>
    <t xml:space="preserve">EVT-00083</t>
  </si>
  <si>
    <t xml:space="preserve">EVT-00084</t>
  </si>
  <si>
    <t xml:space="preserve">EVT-00085</t>
  </si>
  <si>
    <t xml:space="preserve">EVT-00086</t>
  </si>
  <si>
    <t xml:space="preserve">EVT-00087</t>
  </si>
  <si>
    <t xml:space="preserve">EVT-00088</t>
  </si>
  <si>
    <t xml:space="preserve">EVT-00089</t>
  </si>
  <si>
    <t xml:space="preserve">EVT-00090</t>
  </si>
  <si>
    <t xml:space="preserve">EVT-00091</t>
  </si>
  <si>
    <t xml:space="preserve">EVT-00092</t>
  </si>
  <si>
    <t xml:space="preserve">EVT-00093</t>
  </si>
  <si>
    <t xml:space="preserve">EVT-00094</t>
  </si>
  <si>
    <t xml:space="preserve">EVT-00095</t>
  </si>
  <si>
    <t xml:space="preserve">EVT-00096</t>
  </si>
  <si>
    <t xml:space="preserve">EVT-00097</t>
  </si>
  <si>
    <t xml:space="preserve">EVT-00098</t>
  </si>
  <si>
    <t xml:space="preserve">EVT-00099</t>
  </si>
  <si>
    <t xml:space="preserve">EVT-00100</t>
  </si>
  <si>
    <t xml:space="preserve">EVT-00101</t>
  </si>
  <si>
    <t xml:space="preserve">EVT-00102</t>
  </si>
  <si>
    <t xml:space="preserve">EVT-00103</t>
  </si>
  <si>
    <t xml:space="preserve">EVT-00104</t>
  </si>
  <si>
    <t xml:space="preserve">EVT-00105</t>
  </si>
  <si>
    <t xml:space="preserve">EVT-00106</t>
  </si>
  <si>
    <t xml:space="preserve">EVT-00107</t>
  </si>
  <si>
    <t xml:space="preserve">EVT-00108</t>
  </si>
  <si>
    <t xml:space="preserve">EVT-00109</t>
  </si>
  <si>
    <t xml:space="preserve">EVT-00110</t>
  </si>
  <si>
    <t xml:space="preserve">EVT-00111</t>
  </si>
  <si>
    <t xml:space="preserve">EVT-00112</t>
  </si>
  <si>
    <t xml:space="preserve">EVT-00113</t>
  </si>
  <si>
    <t xml:space="preserve">EVT-00114</t>
  </si>
  <si>
    <t xml:space="preserve">EVT-00115</t>
  </si>
  <si>
    <t xml:space="preserve">EVT-00116</t>
  </si>
  <si>
    <t xml:space="preserve">EVT-00117</t>
  </si>
  <si>
    <t xml:space="preserve">O001</t>
  </si>
  <si>
    <t xml:space="preserve">EVT-00118</t>
  </si>
  <si>
    <t xml:space="preserve">EVT-00119</t>
  </si>
  <si>
    <t xml:space="preserve">EVT-00120</t>
  </si>
  <si>
    <t xml:space="preserve">EVT-00121</t>
  </si>
  <si>
    <t xml:space="preserve">EVT-00122</t>
  </si>
  <si>
    <t xml:space="preserve">EVT-00123</t>
  </si>
  <si>
    <t xml:space="preserve">EVT-00124</t>
  </si>
  <si>
    <t xml:space="preserve">EVT-00125</t>
  </si>
  <si>
    <t xml:space="preserve">EVT-00126</t>
  </si>
  <si>
    <t xml:space="preserve">EVT-00127</t>
  </si>
  <si>
    <t xml:space="preserve">EVT-00128</t>
  </si>
  <si>
    <t xml:space="preserve">EVT-00129</t>
  </si>
  <si>
    <t xml:space="preserve">EVT-00130</t>
  </si>
  <si>
    <t xml:space="preserve">EVT-00131</t>
  </si>
  <si>
    <t xml:space="preserve">EVT-00132</t>
  </si>
  <si>
    <t xml:space="preserve">EVT-00133</t>
  </si>
  <si>
    <t xml:space="preserve">EVT-00134</t>
  </si>
  <si>
    <t xml:space="preserve">EVT-00135</t>
  </si>
  <si>
    <t xml:space="preserve">EVT-00136</t>
  </si>
  <si>
    <t xml:space="preserve">EVT-00137</t>
  </si>
  <si>
    <t xml:space="preserve">EVT-00138</t>
  </si>
  <si>
    <t xml:space="preserve">EVT-00139</t>
  </si>
  <si>
    <t xml:space="preserve">EVT-00140</t>
  </si>
  <si>
    <t xml:space="preserve">EVT-00141</t>
  </si>
  <si>
    <t xml:space="preserve">EVT-00142</t>
  </si>
  <si>
    <t xml:space="preserve">EVT-00143</t>
  </si>
  <si>
    <t xml:space="preserve">EVT-00144</t>
  </si>
  <si>
    <t xml:space="preserve">EVT-00145</t>
  </si>
  <si>
    <t xml:space="preserve">EVT-00146</t>
  </si>
  <si>
    <t xml:space="preserve">EVT-00147</t>
  </si>
  <si>
    <t xml:space="preserve">EVT-00148</t>
  </si>
  <si>
    <t xml:space="preserve">EVT-00149</t>
  </si>
  <si>
    <t xml:space="preserve">EVT-00150</t>
  </si>
  <si>
    <t xml:space="preserve">EVT-00151</t>
  </si>
  <si>
    <t xml:space="preserve">EVT-00152</t>
  </si>
  <si>
    <t xml:space="preserve">EVT-00153</t>
  </si>
  <si>
    <t xml:space="preserve">EVT-00154</t>
  </si>
  <si>
    <t xml:space="preserve">EVT-00155</t>
  </si>
  <si>
    <t xml:space="preserve">EVT-00156</t>
  </si>
  <si>
    <t xml:space="preserve">EVT-00157</t>
  </si>
  <si>
    <t xml:space="preserve">EVT-00158</t>
  </si>
  <si>
    <t xml:space="preserve">EVT-00159</t>
  </si>
  <si>
    <t xml:space="preserve">EVT-00160</t>
  </si>
  <si>
    <t xml:space="preserve">EVT-00161</t>
  </si>
  <si>
    <t xml:space="preserve">EVT-00162</t>
  </si>
  <si>
    <t xml:space="preserve">EVT-00163</t>
  </si>
  <si>
    <t xml:space="preserve">EVT-00164</t>
  </si>
  <si>
    <t xml:space="preserve">EVT-00165</t>
  </si>
  <si>
    <t xml:space="preserve">EVT-00166</t>
  </si>
  <si>
    <t xml:space="preserve">EVT-00167</t>
  </si>
  <si>
    <t xml:space="preserve">EVT-00168</t>
  </si>
  <si>
    <t xml:space="preserve">EVT-00169</t>
  </si>
  <si>
    <t xml:space="preserve">EVT-00170</t>
  </si>
  <si>
    <t xml:space="preserve">EVT-00171</t>
  </si>
  <si>
    <t xml:space="preserve">EVT-00172</t>
  </si>
  <si>
    <t xml:space="preserve">EVT-00173</t>
  </si>
  <si>
    <t xml:space="preserve">EVT-00174</t>
  </si>
  <si>
    <t xml:space="preserve">EVT-00175</t>
  </si>
  <si>
    <t xml:space="preserve">EVT-00176</t>
  </si>
  <si>
    <t xml:space="preserve">EVT-00177</t>
  </si>
  <si>
    <t xml:space="preserve">EVT-00178</t>
  </si>
  <si>
    <t xml:space="preserve">EVT-00179</t>
  </si>
  <si>
    <t xml:space="preserve">EVT-00180</t>
  </si>
  <si>
    <t xml:space="preserve">EVT-00181</t>
  </si>
  <si>
    <t xml:space="preserve">EVT-00182</t>
  </si>
  <si>
    <t xml:space="preserve">EVT-00183</t>
  </si>
  <si>
    <t xml:space="preserve">EVT-00184</t>
  </si>
  <si>
    <t xml:space="preserve">EVT-00185</t>
  </si>
  <si>
    <t xml:space="preserve">EVT-00186</t>
  </si>
  <si>
    <t xml:space="preserve">EVT-00187</t>
  </si>
  <si>
    <t xml:space="preserve">EVT-00188</t>
  </si>
  <si>
    <t xml:space="preserve">EVT-00189</t>
  </si>
  <si>
    <t xml:space="preserve">EVT-00190</t>
  </si>
  <si>
    <t xml:space="preserve">EVT-00191</t>
  </si>
  <si>
    <t xml:space="preserve">EVT-00192</t>
  </si>
  <si>
    <t xml:space="preserve">EVT-00193</t>
  </si>
  <si>
    <t xml:space="preserve">EVT-00194</t>
  </si>
  <si>
    <t xml:space="preserve">EVT-00195</t>
  </si>
  <si>
    <t xml:space="preserve">EVT-00196</t>
  </si>
  <si>
    <t xml:space="preserve">EVT-00197</t>
  </si>
  <si>
    <t xml:space="preserve">EVT-00198</t>
  </si>
  <si>
    <t xml:space="preserve">EVT-00199</t>
  </si>
  <si>
    <t xml:space="preserve">EVT-00200</t>
  </si>
  <si>
    <t xml:space="preserve">EVT-00201</t>
  </si>
  <si>
    <t xml:space="preserve">EVT-00202</t>
  </si>
  <si>
    <t xml:space="preserve">EVT-00203</t>
  </si>
  <si>
    <t xml:space="preserve">EVT-00204</t>
  </si>
  <si>
    <t xml:space="preserve">EVT-00205</t>
  </si>
  <si>
    <t xml:space="preserve">EVT-00206</t>
  </si>
  <si>
    <t xml:space="preserve">EVT-00207</t>
  </si>
  <si>
    <t xml:space="preserve">EVT-00208</t>
  </si>
  <si>
    <t xml:space="preserve">EVT-00209</t>
  </si>
  <si>
    <t xml:space="preserve">EVT-00210</t>
  </si>
  <si>
    <t xml:space="preserve">EVT-00211</t>
  </si>
  <si>
    <t xml:space="preserve">EVT-00212</t>
  </si>
  <si>
    <t xml:space="preserve">EVT-00213</t>
  </si>
  <si>
    <t xml:space="preserve">EVT-00214</t>
  </si>
  <si>
    <t xml:space="preserve">EVT-00215</t>
  </si>
  <si>
    <t xml:space="preserve">EVT-00216</t>
  </si>
  <si>
    <t xml:space="preserve">EVT-00217</t>
  </si>
  <si>
    <t xml:space="preserve">EVT-00218</t>
  </si>
  <si>
    <t xml:space="preserve">EVT-00219</t>
  </si>
  <si>
    <t xml:space="preserve">O007</t>
  </si>
  <si>
    <t xml:space="preserve">EVT-00220</t>
  </si>
  <si>
    <t xml:space="preserve">EVT-00221</t>
  </si>
  <si>
    <t xml:space="preserve">EVT-00222</t>
  </si>
  <si>
    <t xml:space="preserve">EVT-00223</t>
  </si>
  <si>
    <t xml:space="preserve">EVT-00224</t>
  </si>
  <si>
    <t xml:space="preserve">EVT-00225</t>
  </si>
  <si>
    <t xml:space="preserve">EVT-00226</t>
  </si>
  <si>
    <t xml:space="preserve">EVT-00227</t>
  </si>
  <si>
    <t xml:space="preserve">EVT-00228</t>
  </si>
  <si>
    <t xml:space="preserve">EVT-00229</t>
  </si>
  <si>
    <t xml:space="preserve">EVT-00230</t>
  </si>
  <si>
    <t xml:space="preserve">EVT-00231</t>
  </si>
  <si>
    <t xml:space="preserve">EVT-00232</t>
  </si>
  <si>
    <t xml:space="preserve">EVT-00233</t>
  </si>
  <si>
    <t xml:space="preserve">EVT-00234</t>
  </si>
  <si>
    <t xml:space="preserve">EVT-00235</t>
  </si>
  <si>
    <t xml:space="preserve">EVT-00236</t>
  </si>
  <si>
    <t xml:space="preserve">EVT-00237</t>
  </si>
  <si>
    <t xml:space="preserve">EVT-00238</t>
  </si>
  <si>
    <t xml:space="preserve">EVT-00239</t>
  </si>
  <si>
    <t xml:space="preserve">EVT-00240</t>
  </si>
  <si>
    <t xml:space="preserve">EVT-00241</t>
  </si>
  <si>
    <t xml:space="preserve">EVT-00242</t>
  </si>
  <si>
    <t xml:space="preserve">EVT-00243</t>
  </si>
  <si>
    <t xml:space="preserve">EVT-00244</t>
  </si>
  <si>
    <t xml:space="preserve">EVT-00245</t>
  </si>
  <si>
    <t xml:space="preserve">EVT-00246</t>
  </si>
  <si>
    <t xml:space="preserve">EVT-00247</t>
  </si>
  <si>
    <t xml:space="preserve">EVT-00248</t>
  </si>
  <si>
    <t xml:space="preserve">EVT-00249</t>
  </si>
  <si>
    <t xml:space="preserve">EVT-00250</t>
  </si>
  <si>
    <t xml:space="preserve">EVT-00251</t>
  </si>
  <si>
    <t xml:space="preserve">EVT-00252</t>
  </si>
  <si>
    <t xml:space="preserve">EVT-00253</t>
  </si>
  <si>
    <t xml:space="preserve">EVT-00254</t>
  </si>
  <si>
    <t xml:space="preserve">EVT-00255</t>
  </si>
  <si>
    <t xml:space="preserve">EVT-00256</t>
  </si>
  <si>
    <t xml:space="preserve">EVT-00257</t>
  </si>
  <si>
    <t xml:space="preserve">EVT-00258</t>
  </si>
  <si>
    <t xml:space="preserve">EVT-00259</t>
  </si>
  <si>
    <t xml:space="preserve">EVT-00260</t>
  </si>
  <si>
    <t xml:space="preserve">EVT-00261</t>
  </si>
  <si>
    <t xml:space="preserve">EVT-00262</t>
  </si>
  <si>
    <t xml:space="preserve">EVT-00263</t>
  </si>
  <si>
    <t xml:space="preserve">EVT-00264</t>
  </si>
  <si>
    <t xml:space="preserve">EVT-00265</t>
  </si>
  <si>
    <t xml:space="preserve">EVT-00266</t>
  </si>
  <si>
    <t xml:space="preserve">EVT-00267</t>
  </si>
  <si>
    <t xml:space="preserve">EVT-00268</t>
  </si>
  <si>
    <t xml:space="preserve">EVT-00269</t>
  </si>
  <si>
    <t xml:space="preserve">EVT-00270</t>
  </si>
  <si>
    <t xml:space="preserve">EVT-00271</t>
  </si>
  <si>
    <t xml:space="preserve">EVT-00272</t>
  </si>
  <si>
    <t xml:space="preserve">EVT-00273</t>
  </si>
  <si>
    <t xml:space="preserve">EVT-00274</t>
  </si>
  <si>
    <t xml:space="preserve">EVT-00275</t>
  </si>
  <si>
    <t xml:space="preserve">EVT-00276</t>
  </si>
  <si>
    <t xml:space="preserve">EVT-00277</t>
  </si>
  <si>
    <t xml:space="preserve">EVT-00278</t>
  </si>
  <si>
    <t xml:space="preserve">EVT-00279</t>
  </si>
  <si>
    <t xml:space="preserve">EVT-00280</t>
  </si>
  <si>
    <t xml:space="preserve">EVT-00281</t>
  </si>
  <si>
    <t xml:space="preserve">EVT-00282</t>
  </si>
  <si>
    <t xml:space="preserve">EVT-00283</t>
  </si>
  <si>
    <t xml:space="preserve">EVT-00284</t>
  </si>
  <si>
    <t xml:space="preserve">EVT-00285</t>
  </si>
  <si>
    <t xml:space="preserve">EVT-00286</t>
  </si>
  <si>
    <t xml:space="preserve">EVT-00287</t>
  </si>
  <si>
    <t xml:space="preserve">EVT-00288</t>
  </si>
  <si>
    <t xml:space="preserve">EVT-00289</t>
  </si>
  <si>
    <t xml:space="preserve">EVT-00290</t>
  </si>
  <si>
    <t xml:space="preserve">EVT-00291</t>
  </si>
  <si>
    <t xml:space="preserve">EVT-00292</t>
  </si>
  <si>
    <t xml:space="preserve">EVT-00293</t>
  </si>
  <si>
    <t xml:space="preserve">EVT-00294</t>
  </si>
  <si>
    <t xml:space="preserve">EVT-00295</t>
  </si>
  <si>
    <t xml:space="preserve">EVT-00296</t>
  </si>
  <si>
    <t xml:space="preserve">EVT-00297</t>
  </si>
  <si>
    <t xml:space="preserve">EVT-00298</t>
  </si>
  <si>
    <t xml:space="preserve">EVT-00299</t>
  </si>
  <si>
    <t xml:space="preserve">EVT-00300</t>
  </si>
  <si>
    <t xml:space="preserve">EVT-00301</t>
  </si>
  <si>
    <t xml:space="preserve">EVT-00302</t>
  </si>
  <si>
    <t xml:space="preserve">EVT-00303</t>
  </si>
  <si>
    <t xml:space="preserve">EVT-00304</t>
  </si>
  <si>
    <t xml:space="preserve">EVT-00305</t>
  </si>
  <si>
    <t xml:space="preserve">EVT-00306</t>
  </si>
  <si>
    <t xml:space="preserve">EVT-00307</t>
  </si>
  <si>
    <t xml:space="preserve">EVT-00308</t>
  </si>
  <si>
    <t xml:space="preserve">EVT-00309</t>
  </si>
  <si>
    <t xml:space="preserve">EVT-00310</t>
  </si>
  <si>
    <t xml:space="preserve">EVT-00311</t>
  </si>
  <si>
    <t xml:space="preserve">EVT-00312</t>
  </si>
  <si>
    <t xml:space="preserve">EVT-00313</t>
  </si>
  <si>
    <t xml:space="preserve">EVT-00314</t>
  </si>
  <si>
    <t xml:space="preserve">EVT-00315</t>
  </si>
  <si>
    <t xml:space="preserve">EVT-00316</t>
  </si>
  <si>
    <t xml:space="preserve">EVT-00317</t>
  </si>
  <si>
    <t xml:space="preserve">EVT-00318</t>
  </si>
  <si>
    <t xml:space="preserve">EVT-00319</t>
  </si>
  <si>
    <t xml:space="preserve">EVT-00320</t>
  </si>
  <si>
    <t xml:space="preserve">EVT-00321</t>
  </si>
  <si>
    <t xml:space="preserve">EVT-00322</t>
  </si>
  <si>
    <t xml:space="preserve">EVT-00323</t>
  </si>
  <si>
    <t xml:space="preserve">EVT-00324</t>
  </si>
  <si>
    <t xml:space="preserve">EVT-00325</t>
  </si>
  <si>
    <t xml:space="preserve">EVT-00326</t>
  </si>
  <si>
    <t xml:space="preserve">EVT-00327</t>
  </si>
  <si>
    <t xml:space="preserve">EVT-00328</t>
  </si>
  <si>
    <t xml:space="preserve">EVT-00329</t>
  </si>
  <si>
    <t xml:space="preserve">EVT-00330</t>
  </si>
  <si>
    <t xml:space="preserve">EVT-00331</t>
  </si>
  <si>
    <t xml:space="preserve">EVT-00332</t>
  </si>
  <si>
    <t xml:space="preserve">EVT-00333</t>
  </si>
  <si>
    <t xml:space="preserve">EVT-00334</t>
  </si>
  <si>
    <t xml:space="preserve">EVT-00335</t>
  </si>
  <si>
    <t xml:space="preserve">EVT-00336</t>
  </si>
  <si>
    <t xml:space="preserve">EVT-00337</t>
  </si>
  <si>
    <t xml:space="preserve">EVT-00338</t>
  </si>
  <si>
    <t xml:space="preserve">EVT-00339</t>
  </si>
  <si>
    <t xml:space="preserve">EVT-00340</t>
  </si>
  <si>
    <t xml:space="preserve">EVT-00341</t>
  </si>
  <si>
    <t xml:space="preserve">EVT-00342</t>
  </si>
  <si>
    <t xml:space="preserve">EVT-00343</t>
  </si>
  <si>
    <t xml:space="preserve">EVT-00344</t>
  </si>
  <si>
    <t xml:space="preserve">EVT-00345</t>
  </si>
  <si>
    <t xml:space="preserve">EVT-00346</t>
  </si>
  <si>
    <t xml:space="preserve">EVT-00347</t>
  </si>
  <si>
    <t xml:space="preserve">EVT-00348</t>
  </si>
  <si>
    <t xml:space="preserve">EVT-00349</t>
  </si>
  <si>
    <t xml:space="preserve">EVT-00350</t>
  </si>
  <si>
    <t xml:space="preserve">EVT-00351</t>
  </si>
  <si>
    <t xml:space="preserve">EVT-00352</t>
  </si>
  <si>
    <t xml:space="preserve">EVT-00353</t>
  </si>
  <si>
    <t xml:space="preserve">EVT-00354</t>
  </si>
  <si>
    <t xml:space="preserve">EVT-00355</t>
  </si>
  <si>
    <t xml:space="preserve">EVT-00356</t>
  </si>
  <si>
    <t xml:space="preserve">EVT-00357</t>
  </si>
  <si>
    <t xml:space="preserve">EVT-00358</t>
  </si>
  <si>
    <t xml:space="preserve">EVT-00359</t>
  </si>
  <si>
    <t xml:space="preserve">EVT-00360</t>
  </si>
  <si>
    <t xml:space="preserve">EVT-00361</t>
  </si>
  <si>
    <t xml:space="preserve">EVT-00362</t>
  </si>
  <si>
    <t xml:space="preserve">EVT-00363</t>
  </si>
  <si>
    <t xml:space="preserve">EVT-00364</t>
  </si>
  <si>
    <t xml:space="preserve">EVT-00365</t>
  </si>
  <si>
    <t xml:space="preserve">EVT-00366</t>
  </si>
  <si>
    <t xml:space="preserve">EVT-00367</t>
  </si>
  <si>
    <t xml:space="preserve">EVT-00368</t>
  </si>
  <si>
    <t xml:space="preserve">EVT-00369</t>
  </si>
  <si>
    <t xml:space="preserve">EVT-00370</t>
  </si>
  <si>
    <t xml:space="preserve">EVT-00371</t>
  </si>
  <si>
    <t xml:space="preserve">EVT-00372</t>
  </si>
  <si>
    <t xml:space="preserve">EVT-00373</t>
  </si>
  <si>
    <t xml:space="preserve">EVT-00374</t>
  </si>
  <si>
    <t xml:space="preserve">EVT-00375</t>
  </si>
  <si>
    <t xml:space="preserve">EVT-00376</t>
  </si>
  <si>
    <t xml:space="preserve">EVT-00377</t>
  </si>
  <si>
    <t xml:space="preserve">EVT-00378</t>
  </si>
  <si>
    <t xml:space="preserve">EVT-00379</t>
  </si>
  <si>
    <t xml:space="preserve">EVT-00380</t>
  </si>
  <si>
    <t xml:space="preserve">EVT-00381</t>
  </si>
  <si>
    <t xml:space="preserve">EVT-00382</t>
  </si>
  <si>
    <t xml:space="preserve">EVT-00383</t>
  </si>
  <si>
    <t xml:space="preserve">EVT-00384</t>
  </si>
  <si>
    <t xml:space="preserve">EVT-00385</t>
  </si>
  <si>
    <t xml:space="preserve">EVT-00386</t>
  </si>
  <si>
    <t xml:space="preserve">EVT-00387</t>
  </si>
  <si>
    <t xml:space="preserve">EVT-00388</t>
  </si>
  <si>
    <t xml:space="preserve">EVT-00389</t>
  </si>
  <si>
    <t xml:space="preserve">EVT-00390</t>
  </si>
  <si>
    <t xml:space="preserve">EVT-00391</t>
  </si>
  <si>
    <t xml:space="preserve">EVT-00392</t>
  </si>
  <si>
    <t xml:space="preserve">EVT-00393</t>
  </si>
  <si>
    <t xml:space="preserve">EVT-00394</t>
  </si>
  <si>
    <t xml:space="preserve">EVT-00395</t>
  </si>
  <si>
    <t xml:space="preserve">EVT-00396</t>
  </si>
  <si>
    <t xml:space="preserve">EVT-00397</t>
  </si>
  <si>
    <t xml:space="preserve">EVT-00398</t>
  </si>
  <si>
    <t xml:space="preserve">EVT-00399</t>
  </si>
  <si>
    <t xml:space="preserve">EVT-00400</t>
  </si>
  <si>
    <t xml:space="preserve">EVT-00401</t>
  </si>
  <si>
    <t xml:space="preserve">EVT-00402</t>
  </si>
  <si>
    <t xml:space="preserve">EVT-00403</t>
  </si>
  <si>
    <t xml:space="preserve">EVT-00404</t>
  </si>
  <si>
    <t xml:space="preserve">EVT-00405</t>
  </si>
  <si>
    <t xml:space="preserve">EVT-00406</t>
  </si>
  <si>
    <t xml:space="preserve">EVT-00407</t>
  </si>
  <si>
    <t xml:space="preserve">EVT-00408</t>
  </si>
  <si>
    <t xml:space="preserve">EVT-00409</t>
  </si>
  <si>
    <t xml:space="preserve">EVT-00410</t>
  </si>
  <si>
    <t xml:space="preserve">EVT-00411</t>
  </si>
  <si>
    <t xml:space="preserve">EVT-00412</t>
  </si>
  <si>
    <t xml:space="preserve">EVT-00413</t>
  </si>
  <si>
    <t xml:space="preserve">EVT-00414</t>
  </si>
  <si>
    <t xml:space="preserve">EVT-00415</t>
  </si>
  <si>
    <t xml:space="preserve">EVT-00416</t>
  </si>
  <si>
    <t xml:space="preserve">EVT-00417</t>
  </si>
  <si>
    <t xml:space="preserve">EVT-00418</t>
  </si>
  <si>
    <t xml:space="preserve">EVT-00419</t>
  </si>
  <si>
    <t xml:space="preserve">EVT-00420</t>
  </si>
  <si>
    <t xml:space="preserve">EVT-00421</t>
  </si>
  <si>
    <t xml:space="preserve">EVT-00422</t>
  </si>
  <si>
    <t xml:space="preserve">EVT-00423</t>
  </si>
  <si>
    <t xml:space="preserve">EVT-00424</t>
  </si>
  <si>
    <t xml:space="preserve">EVT-00425</t>
  </si>
  <si>
    <t xml:space="preserve">EVT-00426</t>
  </si>
  <si>
    <t xml:space="preserve">EVT-00427</t>
  </si>
  <si>
    <t xml:space="preserve">EVT-00428</t>
  </si>
  <si>
    <t xml:space="preserve">EVT-00429</t>
  </si>
  <si>
    <t xml:space="preserve">EVT-00430</t>
  </si>
  <si>
    <t xml:space="preserve">EVT-00431</t>
  </si>
  <si>
    <t xml:space="preserve">EVT-00432</t>
  </si>
  <si>
    <t xml:space="preserve">EVT-00433</t>
  </si>
  <si>
    <t xml:space="preserve">EVT-00434</t>
  </si>
  <si>
    <t xml:space="preserve">EVT-00435</t>
  </si>
  <si>
    <t xml:space="preserve">EVT-00436</t>
  </si>
  <si>
    <t xml:space="preserve">EVT-00437</t>
  </si>
  <si>
    <t xml:space="preserve">EVT-00438</t>
  </si>
  <si>
    <t xml:space="preserve">EVT-00439</t>
  </si>
  <si>
    <t xml:space="preserve">EVT-00440</t>
  </si>
  <si>
    <t xml:space="preserve">EVT-00441</t>
  </si>
  <si>
    <t xml:space="preserve">EVT-00442</t>
  </si>
  <si>
    <t xml:space="preserve">EVT-00443</t>
  </si>
  <si>
    <t xml:space="preserve">EVT-00444</t>
  </si>
  <si>
    <t xml:space="preserve">EVT-00445</t>
  </si>
  <si>
    <t xml:space="preserve">EVT-00446</t>
  </si>
  <si>
    <t xml:space="preserve">EVT-00447</t>
  </si>
  <si>
    <t xml:space="preserve">EVT-00448</t>
  </si>
  <si>
    <t xml:space="preserve">EVT-00449</t>
  </si>
  <si>
    <t xml:space="preserve">EVT-00450</t>
  </si>
  <si>
    <t xml:space="preserve">EVT-00451</t>
  </si>
  <si>
    <t xml:space="preserve">EVT-00452</t>
  </si>
  <si>
    <t xml:space="preserve">EVT-00453</t>
  </si>
  <si>
    <t xml:space="preserve">EVT-00454</t>
  </si>
  <si>
    <t xml:space="preserve">EVT-00455</t>
  </si>
  <si>
    <t xml:space="preserve">EVT-00456</t>
  </si>
  <si>
    <t xml:space="preserve">EVT-00457</t>
  </si>
  <si>
    <t xml:space="preserve">EVT-00458</t>
  </si>
  <si>
    <t xml:space="preserve">EVT-00459</t>
  </si>
  <si>
    <t xml:space="preserve">EVT-00460</t>
  </si>
  <si>
    <t xml:space="preserve">EVT-00461</t>
  </si>
  <si>
    <t xml:space="preserve">EVT-00462</t>
  </si>
  <si>
    <t xml:space="preserve">EVT-00463</t>
  </si>
  <si>
    <t xml:space="preserve">EVT-00464</t>
  </si>
  <si>
    <t xml:space="preserve">EVT-00465</t>
  </si>
  <si>
    <t xml:space="preserve">EVT-00466</t>
  </si>
  <si>
    <t xml:space="preserve">EVT-00467</t>
  </si>
  <si>
    <t xml:space="preserve">EVT-00468</t>
  </si>
  <si>
    <t xml:space="preserve">EVT-00469</t>
  </si>
  <si>
    <t xml:space="preserve">EVT-00470</t>
  </si>
  <si>
    <t xml:space="preserve">EVT-00471</t>
  </si>
  <si>
    <t xml:space="preserve">EVT-00472</t>
  </si>
  <si>
    <t xml:space="preserve">EVT-00473</t>
  </si>
  <si>
    <t xml:space="preserve">EVT-00474</t>
  </si>
  <si>
    <t xml:space="preserve">EVT-00475</t>
  </si>
  <si>
    <t xml:space="preserve">EVT-00476</t>
  </si>
  <si>
    <t xml:space="preserve">EVT-00477</t>
  </si>
  <si>
    <t xml:space="preserve">EVT-00478</t>
  </si>
  <si>
    <t xml:space="preserve">EVT-00479</t>
  </si>
  <si>
    <t xml:space="preserve">EVT-00480</t>
  </si>
  <si>
    <t xml:space="preserve">EVT-00481</t>
  </si>
  <si>
    <t xml:space="preserve">EVT-00482</t>
  </si>
  <si>
    <t xml:space="preserve">EVT-00483</t>
  </si>
  <si>
    <t xml:space="preserve">EVT-00484</t>
  </si>
  <si>
    <t xml:space="preserve">EVT-00485</t>
  </si>
  <si>
    <t xml:space="preserve">EVT-00486</t>
  </si>
  <si>
    <t xml:space="preserve">EVT-00487</t>
  </si>
  <si>
    <t xml:space="preserve">EVT-00488</t>
  </si>
  <si>
    <t xml:space="preserve">EVT-00489</t>
  </si>
  <si>
    <t xml:space="preserve">EVT-00490</t>
  </si>
  <si>
    <t xml:space="preserve">EVT-00491</t>
  </si>
  <si>
    <t xml:space="preserve">EVT-00492</t>
  </si>
  <si>
    <t xml:space="preserve">EVT-00493</t>
  </si>
  <si>
    <t xml:space="preserve">EVT-00494</t>
  </si>
  <si>
    <t xml:space="preserve">EVT-00495</t>
  </si>
  <si>
    <t xml:space="preserve">EVT-00496</t>
  </si>
  <si>
    <t xml:space="preserve">EVT-00497</t>
  </si>
  <si>
    <t xml:space="preserve">EVT-00498</t>
  </si>
  <si>
    <t xml:space="preserve">EVT-00499</t>
  </si>
  <si>
    <t xml:space="preserve">EVT-00500</t>
  </si>
  <si>
    <t xml:space="preserve">EVT-00501</t>
  </si>
  <si>
    <t xml:space="preserve">EVT-00502</t>
  </si>
  <si>
    <t xml:space="preserve">EVT-00503</t>
  </si>
  <si>
    <t xml:space="preserve">EVT-00504</t>
  </si>
  <si>
    <t xml:space="preserve">EVT-00505</t>
  </si>
  <si>
    <t xml:space="preserve">EVT-00506</t>
  </si>
  <si>
    <t xml:space="preserve">EVT-00507</t>
  </si>
  <si>
    <t xml:space="preserve">EVT-00508</t>
  </si>
  <si>
    <t xml:space="preserve">EVT-00509</t>
  </si>
  <si>
    <t xml:space="preserve">EVT-00510</t>
  </si>
  <si>
    <t xml:space="preserve">EVT-00511</t>
  </si>
  <si>
    <t xml:space="preserve">EVT-00512</t>
  </si>
  <si>
    <t xml:space="preserve">EVT-00513</t>
  </si>
  <si>
    <t xml:space="preserve">EVT-00514</t>
  </si>
  <si>
    <t xml:space="preserve">EVT-00515</t>
  </si>
  <si>
    <t xml:space="preserve">EVT-00516</t>
  </si>
  <si>
    <t xml:space="preserve">EVT-00517</t>
  </si>
  <si>
    <t xml:space="preserve">EVT-00518</t>
  </si>
  <si>
    <t xml:space="preserve">EVT-00519</t>
  </si>
  <si>
    <t xml:space="preserve">EVT-00520</t>
  </si>
  <si>
    <t xml:space="preserve">EVT-00521</t>
  </si>
  <si>
    <t xml:space="preserve">EVT-00522</t>
  </si>
  <si>
    <t xml:space="preserve">EVT-00523</t>
  </si>
  <si>
    <t xml:space="preserve">EVT-00524</t>
  </si>
  <si>
    <t xml:space="preserve">EVT-00525</t>
  </si>
  <si>
    <t xml:space="preserve">EVT-00526</t>
  </si>
  <si>
    <t xml:space="preserve">EVT-00527</t>
  </si>
  <si>
    <t xml:space="preserve">EVT-00528</t>
  </si>
  <si>
    <t xml:space="preserve">EVT-00529</t>
  </si>
  <si>
    <t xml:space="preserve">EVT-00530</t>
  </si>
  <si>
    <t xml:space="preserve">EVT-00531</t>
  </si>
  <si>
    <t xml:space="preserve">EVT-00532</t>
  </si>
  <si>
    <t xml:space="preserve">EVT-00533</t>
  </si>
  <si>
    <t xml:space="preserve">EVT-00534</t>
  </si>
  <si>
    <t xml:space="preserve">EVT-00535</t>
  </si>
  <si>
    <t xml:space="preserve">EVT-00536</t>
  </si>
  <si>
    <t xml:space="preserve">EVT-00537</t>
  </si>
  <si>
    <t xml:space="preserve">EVT-00538</t>
  </si>
  <si>
    <t xml:space="preserve">EVT-00539</t>
  </si>
  <si>
    <t xml:space="preserve">EVT-00540</t>
  </si>
  <si>
    <t xml:space="preserve">EVT-00541</t>
  </si>
  <si>
    <t xml:space="preserve">EVT-00542</t>
  </si>
  <si>
    <t xml:space="preserve">EVT-00543</t>
  </si>
  <si>
    <t xml:space="preserve">EVT-00544</t>
  </si>
  <si>
    <t xml:space="preserve">EVT-00545</t>
  </si>
  <si>
    <t xml:space="preserve">EVT-00546</t>
  </si>
  <si>
    <t xml:space="preserve">EVT-00547</t>
  </si>
  <si>
    <t xml:space="preserve">EVT-00548</t>
  </si>
  <si>
    <t xml:space="preserve">EVT-00549</t>
  </si>
  <si>
    <t xml:space="preserve">EVT-00550</t>
  </si>
  <si>
    <t xml:space="preserve">EVT-00551</t>
  </si>
  <si>
    <t xml:space="preserve">EVT-00552</t>
  </si>
  <si>
    <t xml:space="preserve">EVT-00553</t>
  </si>
  <si>
    <t xml:space="preserve">EVT-00554</t>
  </si>
  <si>
    <t xml:space="preserve">EVT-00555</t>
  </si>
  <si>
    <t xml:space="preserve">EVT-00556</t>
  </si>
  <si>
    <t xml:space="preserve">EVT-00557</t>
  </si>
  <si>
    <t xml:space="preserve">EVT-00558</t>
  </si>
  <si>
    <t xml:space="preserve">EVT-00559</t>
  </si>
  <si>
    <t xml:space="preserve">EVT-00560</t>
  </si>
  <si>
    <t xml:space="preserve">EVT-00561</t>
  </si>
  <si>
    <t xml:space="preserve">EVT-00562</t>
  </si>
  <si>
    <t xml:space="preserve">EVT-00563</t>
  </si>
  <si>
    <t xml:space="preserve">EVT-00564</t>
  </si>
  <si>
    <t xml:space="preserve">EVT-00565</t>
  </si>
  <si>
    <t xml:space="preserve">EVT-00566</t>
  </si>
  <si>
    <t xml:space="preserve">EVT-00567</t>
  </si>
  <si>
    <t xml:space="preserve">EVT-00568</t>
  </si>
  <si>
    <t xml:space="preserve">EVT-00569</t>
  </si>
  <si>
    <t xml:space="preserve">EVT-00570</t>
  </si>
  <si>
    <t xml:space="preserve">EVT-00571</t>
  </si>
  <si>
    <t xml:space="preserve">EVT-00572</t>
  </si>
  <si>
    <t xml:space="preserve">EVT-00573</t>
  </si>
  <si>
    <t xml:space="preserve">EVT-00574</t>
  </si>
  <si>
    <t xml:space="preserve">EVT-00575</t>
  </si>
  <si>
    <t xml:space="preserve">EVT-00576</t>
  </si>
  <si>
    <t xml:space="preserve">EVT-00577</t>
  </si>
  <si>
    <t xml:space="preserve">EVT-00578</t>
  </si>
  <si>
    <t xml:space="preserve">EVT-00579</t>
  </si>
  <si>
    <t xml:space="preserve">EVT-00580</t>
  </si>
  <si>
    <t xml:space="preserve">EVT-00581</t>
  </si>
  <si>
    <t xml:space="preserve">EVT-00582</t>
  </si>
  <si>
    <t xml:space="preserve">EVT-00583</t>
  </si>
  <si>
    <t xml:space="preserve">EVT-00584</t>
  </si>
  <si>
    <t xml:space="preserve">EVT-00585</t>
  </si>
  <si>
    <t xml:space="preserve">EVT-00586</t>
  </si>
  <si>
    <t xml:space="preserve">EVT-00587</t>
  </si>
  <si>
    <t xml:space="preserve">EVT-00588</t>
  </si>
  <si>
    <t xml:space="preserve">EVT-00589</t>
  </si>
  <si>
    <t xml:space="preserve">EVT-00590</t>
  </si>
  <si>
    <t xml:space="preserve">EVT-00591</t>
  </si>
  <si>
    <t xml:space="preserve">EVT-00592</t>
  </si>
  <si>
    <t xml:space="preserve">EVT-00593</t>
  </si>
  <si>
    <t xml:space="preserve">EVT-00594</t>
  </si>
  <si>
    <t xml:space="preserve">EVT-00595</t>
  </si>
  <si>
    <t xml:space="preserve">EVT-00596</t>
  </si>
  <si>
    <t xml:space="preserve">EVT-00597</t>
  </si>
  <si>
    <t xml:space="preserve">EVT-00598</t>
  </si>
  <si>
    <t xml:space="preserve">EVT-00599</t>
  </si>
  <si>
    <t xml:space="preserve">EVT-00600</t>
  </si>
  <si>
    <t xml:space="preserve">EVT-00601</t>
  </si>
  <si>
    <t xml:space="preserve">EVT-00602</t>
  </si>
  <si>
    <t xml:space="preserve">EVT-00603</t>
  </si>
  <si>
    <t xml:space="preserve">EVT-00604</t>
  </si>
  <si>
    <t xml:space="preserve">EVT-00605</t>
  </si>
  <si>
    <t xml:space="preserve">EVT-00606</t>
  </si>
  <si>
    <t xml:space="preserve">EVT-00607</t>
  </si>
  <si>
    <t xml:space="preserve">EVT-00608</t>
  </si>
  <si>
    <t xml:space="preserve">EVT-00609</t>
  </si>
  <si>
    <t xml:space="preserve">EVT-00610</t>
  </si>
  <si>
    <t xml:space="preserve">EVT-00611</t>
  </si>
  <si>
    <t xml:space="preserve">EVT-00612</t>
  </si>
  <si>
    <t xml:space="preserve">EVT-00613</t>
  </si>
  <si>
    <t xml:space="preserve">EVT-00614</t>
  </si>
  <si>
    <t xml:space="preserve">EVT-00615</t>
  </si>
  <si>
    <t xml:space="preserve">EVT-00616</t>
  </si>
  <si>
    <t xml:space="preserve">EVT-00617</t>
  </si>
  <si>
    <t xml:space="preserve">EVT-00618</t>
  </si>
  <si>
    <t xml:space="preserve">EVT-00619</t>
  </si>
  <si>
    <t xml:space="preserve">EVT-00620</t>
  </si>
  <si>
    <t xml:space="preserve">EVT-00621</t>
  </si>
  <si>
    <t xml:space="preserve">EVT-00622</t>
  </si>
  <si>
    <t xml:space="preserve">EVT-00623</t>
  </si>
  <si>
    <t xml:space="preserve">EVT-00624</t>
  </si>
  <si>
    <t xml:space="preserve">EVT-00625</t>
  </si>
  <si>
    <t xml:space="preserve">EVT-00626</t>
  </si>
  <si>
    <t xml:space="preserve">EVT-00627</t>
  </si>
  <si>
    <t xml:space="preserve">EVT-00628</t>
  </si>
  <si>
    <t xml:space="preserve">EVT-00629</t>
  </si>
  <si>
    <t xml:space="preserve">EVT-00630</t>
  </si>
  <si>
    <t xml:space="preserve">EVT-00631</t>
  </si>
  <si>
    <t xml:space="preserve">EVT-00632</t>
  </si>
  <si>
    <t xml:space="preserve">EVT-00633</t>
  </si>
  <si>
    <t xml:space="preserve">EVT-00634</t>
  </si>
  <si>
    <t xml:space="preserve">EVT-00635</t>
  </si>
  <si>
    <t xml:space="preserve">EVT-00636</t>
  </si>
  <si>
    <t xml:space="preserve">EVT-00637</t>
  </si>
  <si>
    <t xml:space="preserve">EVT-00638</t>
  </si>
  <si>
    <t xml:space="preserve">EVT-00639</t>
  </si>
  <si>
    <t xml:space="preserve">EVT-00640</t>
  </si>
  <si>
    <t xml:space="preserve">EVT-00641</t>
  </si>
  <si>
    <t xml:space="preserve">EVT-00642</t>
  </si>
  <si>
    <t xml:space="preserve">EVT-00643</t>
  </si>
  <si>
    <t xml:space="preserve">EVT-00644</t>
  </si>
  <si>
    <t xml:space="preserve">EVT-00645</t>
  </si>
  <si>
    <t xml:space="preserve">EVT-00646</t>
  </si>
  <si>
    <t xml:space="preserve">EVT-00647</t>
  </si>
  <si>
    <t xml:space="preserve">EVT-00648</t>
  </si>
  <si>
    <t xml:space="preserve">EVT-00649</t>
  </si>
  <si>
    <t xml:space="preserve">EVT-00650</t>
  </si>
  <si>
    <t xml:space="preserve">EVT-00651</t>
  </si>
  <si>
    <t xml:space="preserve">EVT-00652</t>
  </si>
  <si>
    <t xml:space="preserve">EVT-00653</t>
  </si>
  <si>
    <t xml:space="preserve">EVT-00654</t>
  </si>
  <si>
    <t xml:space="preserve">EVT-00655</t>
  </si>
  <si>
    <t xml:space="preserve">EVT-00656</t>
  </si>
  <si>
    <t xml:space="preserve">EVT-00657</t>
  </si>
  <si>
    <t xml:space="preserve">EVT-00658</t>
  </si>
  <si>
    <t xml:space="preserve">EVT-00659</t>
  </si>
  <si>
    <t xml:space="preserve">EVT-00660</t>
  </si>
  <si>
    <t xml:space="preserve">EVT-00661</t>
  </si>
  <si>
    <t xml:space="preserve">EVT-00662</t>
  </si>
  <si>
    <t xml:space="preserve">EVT-00663</t>
  </si>
  <si>
    <t xml:space="preserve">EVT-00664</t>
  </si>
  <si>
    <t xml:space="preserve">EVT-00665</t>
  </si>
  <si>
    <t xml:space="preserve">EVT-00666</t>
  </si>
  <si>
    <t xml:space="preserve">EVT-00667</t>
  </si>
  <si>
    <t xml:space="preserve">EVT-00668</t>
  </si>
  <si>
    <t xml:space="preserve">EVT-00669</t>
  </si>
  <si>
    <t xml:space="preserve">EVT-00670</t>
  </si>
  <si>
    <t xml:space="preserve">EVT-00671</t>
  </si>
  <si>
    <t xml:space="preserve">EVT-00672</t>
  </si>
  <si>
    <t xml:space="preserve">EVT-00673</t>
  </si>
  <si>
    <t xml:space="preserve">EVT-00674</t>
  </si>
  <si>
    <t xml:space="preserve">EVT-00675</t>
  </si>
  <si>
    <t xml:space="preserve">EVT-00676</t>
  </si>
  <si>
    <t xml:space="preserve">EVT-00677</t>
  </si>
  <si>
    <t xml:space="preserve">EVT-00678</t>
  </si>
  <si>
    <t xml:space="preserve">EVT-00679</t>
  </si>
  <si>
    <t xml:space="preserve">EVT-00680</t>
  </si>
  <si>
    <t xml:space="preserve">EVT-00681</t>
  </si>
  <si>
    <t xml:space="preserve">EVT-00682</t>
  </si>
  <si>
    <t xml:space="preserve">EVT-00683</t>
  </si>
  <si>
    <t xml:space="preserve">EVT-00684</t>
  </si>
  <si>
    <t xml:space="preserve">EVT-00685</t>
  </si>
  <si>
    <t xml:space="preserve">EVT-00686</t>
  </si>
  <si>
    <t xml:space="preserve">EVT-00687</t>
  </si>
  <si>
    <t xml:space="preserve">EVT-00688</t>
  </si>
  <si>
    <t xml:space="preserve">EVT-00689</t>
  </si>
  <si>
    <t xml:space="preserve">EVT-00690</t>
  </si>
  <si>
    <t xml:space="preserve">EVT-00691</t>
  </si>
  <si>
    <t xml:space="preserve">EVT-00692</t>
  </si>
  <si>
    <t xml:space="preserve">EVT-00693</t>
  </si>
  <si>
    <t xml:space="preserve">EVT-00694</t>
  </si>
  <si>
    <t xml:space="preserve">EVT-00695</t>
  </si>
  <si>
    <t xml:space="preserve">EVT-00696</t>
  </si>
  <si>
    <t xml:space="preserve">EVT-00697</t>
  </si>
  <si>
    <t xml:space="preserve">EVT-00698</t>
  </si>
  <si>
    <t xml:space="preserve">EVT-00699</t>
  </si>
  <si>
    <t xml:space="preserve">EVT-00700</t>
  </si>
  <si>
    <t xml:space="preserve">EVT-00701</t>
  </si>
  <si>
    <t xml:space="preserve">EVT-00702</t>
  </si>
  <si>
    <t xml:space="preserve">EVT-00703</t>
  </si>
  <si>
    <t xml:space="preserve">EVT-00704</t>
  </si>
  <si>
    <t xml:space="preserve">EVT-00705</t>
  </si>
  <si>
    <t xml:space="preserve">EVT-00706</t>
  </si>
  <si>
    <t xml:space="preserve">EVT-00707</t>
  </si>
  <si>
    <t xml:space="preserve">EVT-00708</t>
  </si>
  <si>
    <t xml:space="preserve">EVT-00709</t>
  </si>
  <si>
    <t xml:space="preserve">EVT-00710</t>
  </si>
  <si>
    <t xml:space="preserve">EVT-00711</t>
  </si>
  <si>
    <t xml:space="preserve">EVT-00712</t>
  </si>
  <si>
    <t xml:space="preserve">EVT-00713</t>
  </si>
  <si>
    <t xml:space="preserve">EVT-00714</t>
  </si>
  <si>
    <t xml:space="preserve">EVT-00715</t>
  </si>
  <si>
    <t xml:space="preserve">EVT-00716</t>
  </si>
  <si>
    <t xml:space="preserve">EVT-00717</t>
  </si>
  <si>
    <t xml:space="preserve">EVT-00718</t>
  </si>
  <si>
    <t xml:space="preserve">EVT-00719</t>
  </si>
  <si>
    <t xml:space="preserve">EVT-00720</t>
  </si>
  <si>
    <t xml:space="preserve">EVT-00721</t>
  </si>
  <si>
    <t xml:space="preserve">EVT-00722</t>
  </si>
  <si>
    <t xml:space="preserve">EVT-00723</t>
  </si>
  <si>
    <t xml:space="preserve">EVT-00724</t>
  </si>
  <si>
    <t xml:space="preserve">EVT-00725</t>
  </si>
  <si>
    <t xml:space="preserve">EVT-00726</t>
  </si>
  <si>
    <t xml:space="preserve">EVT-00727</t>
  </si>
  <si>
    <t xml:space="preserve">EVT-00728</t>
  </si>
  <si>
    <t xml:space="preserve">EVT-00729</t>
  </si>
  <si>
    <t xml:space="preserve">EVT-00730</t>
  </si>
  <si>
    <t xml:space="preserve">EVT-00731</t>
  </si>
  <si>
    <t xml:space="preserve">EVT-00732</t>
  </si>
  <si>
    <t xml:space="preserve">EVT-00733</t>
  </si>
  <si>
    <t xml:space="preserve">EVT-00734</t>
  </si>
  <si>
    <t xml:space="preserve">EVT-00735</t>
  </si>
  <si>
    <t xml:space="preserve">EVT-00736</t>
  </si>
  <si>
    <t xml:space="preserve">EVT-00737</t>
  </si>
  <si>
    <t xml:space="preserve">EVT-00738</t>
  </si>
  <si>
    <t xml:space="preserve">EVT-00739</t>
  </si>
  <si>
    <t xml:space="preserve">EVT-00740</t>
  </si>
  <si>
    <t xml:space="preserve">EVT-00741</t>
  </si>
  <si>
    <t xml:space="preserve">EVT-00742</t>
  </si>
  <si>
    <t xml:space="preserve">EVT-00743</t>
  </si>
  <si>
    <t xml:space="preserve">EVT-00744</t>
  </si>
  <si>
    <t xml:space="preserve">EVT-00745</t>
  </si>
  <si>
    <t xml:space="preserve">EVT-00746</t>
  </si>
  <si>
    <t xml:space="preserve">EVT-00747</t>
  </si>
  <si>
    <t xml:space="preserve">EVT-00748</t>
  </si>
  <si>
    <t xml:space="preserve">EVT-00749</t>
  </si>
  <si>
    <t xml:space="preserve">EVT-00750</t>
  </si>
  <si>
    <t xml:space="preserve">EVT-00751</t>
  </si>
  <si>
    <t xml:space="preserve">EVT-00752</t>
  </si>
  <si>
    <t xml:space="preserve">EVT-00753</t>
  </si>
  <si>
    <t xml:space="preserve">EVT-00754</t>
  </si>
  <si>
    <t xml:space="preserve">EVT-00755</t>
  </si>
  <si>
    <t xml:space="preserve">EVT-00756</t>
  </si>
  <si>
    <t xml:space="preserve">EVT-00757</t>
  </si>
  <si>
    <t xml:space="preserve">EVT-00758</t>
  </si>
  <si>
    <t xml:space="preserve">EVT-00759</t>
  </si>
  <si>
    <t xml:space="preserve">EVT-00760</t>
  </si>
  <si>
    <t xml:space="preserve">EVT-00761</t>
  </si>
  <si>
    <t xml:space="preserve">EVT-00762</t>
  </si>
  <si>
    <t xml:space="preserve">EVT-00763</t>
  </si>
  <si>
    <t xml:space="preserve">EVT-00764</t>
  </si>
  <si>
    <t xml:space="preserve">EVT-00765</t>
  </si>
  <si>
    <t xml:space="preserve">EVT-00766</t>
  </si>
  <si>
    <t xml:space="preserve">EVT-00767</t>
  </si>
  <si>
    <t xml:space="preserve">EVT-00768</t>
  </si>
  <si>
    <t xml:space="preserve">EVT-00769</t>
  </si>
  <si>
    <t xml:space="preserve">EVT-00770</t>
  </si>
  <si>
    <t xml:space="preserve">EVT-00771</t>
  </si>
  <si>
    <t xml:space="preserve">EVT-00772</t>
  </si>
  <si>
    <t xml:space="preserve">EVT-00773</t>
  </si>
  <si>
    <t xml:space="preserve">EVT-00774</t>
  </si>
  <si>
    <t xml:space="preserve">EVT-00775</t>
  </si>
  <si>
    <t xml:space="preserve">EVT-00776</t>
  </si>
  <si>
    <t xml:space="preserve">EVT-00777</t>
  </si>
  <si>
    <t xml:space="preserve">EVT-00778</t>
  </si>
  <si>
    <t xml:space="preserve">EVT-00779</t>
  </si>
  <si>
    <t xml:space="preserve">EVT-00780</t>
  </si>
  <si>
    <t xml:space="preserve">EVT-00781</t>
  </si>
  <si>
    <t xml:space="preserve">EVT-00782</t>
  </si>
  <si>
    <t xml:space="preserve">EVT-00783</t>
  </si>
  <si>
    <t xml:space="preserve">EVT-00784</t>
  </si>
  <si>
    <t xml:space="preserve">EVT-00785</t>
  </si>
  <si>
    <t xml:space="preserve">EVT-00786</t>
  </si>
  <si>
    <t xml:space="preserve">EVT-00787</t>
  </si>
  <si>
    <t xml:space="preserve">EVT-00788</t>
  </si>
  <si>
    <t xml:space="preserve">EVT-00789</t>
  </si>
  <si>
    <t xml:space="preserve">EVT-00790</t>
  </si>
  <si>
    <t xml:space="preserve">EVT-00791</t>
  </si>
  <si>
    <t xml:space="preserve">EVT-00792</t>
  </si>
  <si>
    <t xml:space="preserve">EVT-00793</t>
  </si>
  <si>
    <t xml:space="preserve">EVT-00794</t>
  </si>
  <si>
    <t xml:space="preserve">EVT-00795</t>
  </si>
  <si>
    <t xml:space="preserve">EVT-00796</t>
  </si>
  <si>
    <t xml:space="preserve">EVT-00797</t>
  </si>
  <si>
    <t xml:space="preserve">EVT-00798</t>
  </si>
  <si>
    <t xml:space="preserve">EVT-00799</t>
  </si>
  <si>
    <t xml:space="preserve">EVT-00800</t>
  </si>
  <si>
    <t xml:space="preserve">EVT-00801</t>
  </si>
  <si>
    <t xml:space="preserve">EVT-00802</t>
  </si>
  <si>
    <t xml:space="preserve">EVT-00803</t>
  </si>
  <si>
    <t xml:space="preserve">EVT-00804</t>
  </si>
  <si>
    <t xml:space="preserve">EVT-00805</t>
  </si>
  <si>
    <t xml:space="preserve">EVT-00806</t>
  </si>
  <si>
    <t xml:space="preserve">EVT-00807</t>
  </si>
  <si>
    <t xml:space="preserve">EVT-00808</t>
  </si>
  <si>
    <t xml:space="preserve">EVT-00809</t>
  </si>
  <si>
    <t xml:space="preserve">EVT-00810</t>
  </si>
  <si>
    <t xml:space="preserve">EVT-00811</t>
  </si>
  <si>
    <t xml:space="preserve">EVT-00812</t>
  </si>
  <si>
    <t xml:space="preserve">EVT-00813</t>
  </si>
  <si>
    <t xml:space="preserve">EVT-00814</t>
  </si>
  <si>
    <t xml:space="preserve">EVT-00815</t>
  </si>
  <si>
    <t xml:space="preserve">EVT-00816</t>
  </si>
  <si>
    <t xml:space="preserve">EVT-00817</t>
  </si>
  <si>
    <t xml:space="preserve">EVT-00818</t>
  </si>
  <si>
    <t xml:space="preserve">EVT-00819</t>
  </si>
  <si>
    <t xml:space="preserve">EVT-00820</t>
  </si>
  <si>
    <t xml:space="preserve">EVT-00821</t>
  </si>
  <si>
    <t xml:space="preserve">EVT-00822</t>
  </si>
  <si>
    <t xml:space="preserve">EVT-00823</t>
  </si>
  <si>
    <t xml:space="preserve">EVT-00824</t>
  </si>
  <si>
    <t xml:space="preserve">EVT-00825</t>
  </si>
  <si>
    <t xml:space="preserve">EVT-00826</t>
  </si>
  <si>
    <t xml:space="preserve">EVT-00827</t>
  </si>
  <si>
    <t xml:space="preserve">EVT-00828</t>
  </si>
  <si>
    <t xml:space="preserve">EVT-00829</t>
  </si>
  <si>
    <t xml:space="preserve">EVT-00830</t>
  </si>
  <si>
    <t xml:space="preserve">EVT-00831</t>
  </si>
  <si>
    <t xml:space="preserve">EVT-00832</t>
  </si>
  <si>
    <t xml:space="preserve">EVT-00833</t>
  </si>
  <si>
    <t xml:space="preserve">EVT-00834</t>
  </si>
  <si>
    <t xml:space="preserve">EVT-00835</t>
  </si>
  <si>
    <t xml:space="preserve">EVT-00836</t>
  </si>
  <si>
    <t xml:space="preserve">EVT-00837</t>
  </si>
  <si>
    <t xml:space="preserve">EVT-00838</t>
  </si>
  <si>
    <t xml:space="preserve">EVT-00839</t>
  </si>
  <si>
    <t xml:space="preserve">EVT-00840</t>
  </si>
  <si>
    <t xml:space="preserve">EVT-00841</t>
  </si>
  <si>
    <t xml:space="preserve">EVT-00842</t>
  </si>
  <si>
    <t xml:space="preserve">EVT-00843</t>
  </si>
  <si>
    <t xml:space="preserve">EVT-00844</t>
  </si>
  <si>
    <t xml:space="preserve">EVT-00845</t>
  </si>
  <si>
    <t xml:space="preserve">EVT-00846</t>
  </si>
  <si>
    <t xml:space="preserve">EVT-00847</t>
  </si>
  <si>
    <t xml:space="preserve">EVT-00848</t>
  </si>
  <si>
    <t xml:space="preserve">EVT-00849</t>
  </si>
  <si>
    <t xml:space="preserve">EVT-00850</t>
  </si>
  <si>
    <t xml:space="preserve">EVT-00851</t>
  </si>
  <si>
    <t xml:space="preserve">EVT-00852</t>
  </si>
  <si>
    <t xml:space="preserve">EVT-00853</t>
  </si>
  <si>
    <t xml:space="preserve">EVT-00854</t>
  </si>
  <si>
    <t xml:space="preserve">EVT-00855</t>
  </si>
  <si>
    <t xml:space="preserve">EVT-00856</t>
  </si>
  <si>
    <t xml:space="preserve">EVT-00857</t>
  </si>
  <si>
    <t xml:space="preserve">EVT-00858</t>
  </si>
  <si>
    <t xml:space="preserve">EVT-00859</t>
  </si>
  <si>
    <t xml:space="preserve">EVT-00860</t>
  </si>
  <si>
    <t xml:space="preserve">EVT-00861</t>
  </si>
  <si>
    <t xml:space="preserve">EVT-00862</t>
  </si>
  <si>
    <t xml:space="preserve">EVT-00863</t>
  </si>
  <si>
    <t xml:space="preserve">EVT-00864</t>
  </si>
  <si>
    <t xml:space="preserve">EVT-00865</t>
  </si>
  <si>
    <t xml:space="preserve">EVT-00866</t>
  </si>
  <si>
    <t xml:space="preserve">EVT-00867</t>
  </si>
  <si>
    <t xml:space="preserve">EVT-00868</t>
  </si>
  <si>
    <t xml:space="preserve">EVT-00869</t>
  </si>
  <si>
    <t xml:space="preserve">EVT-00870</t>
  </si>
  <si>
    <t xml:space="preserve">EVT-00871</t>
  </si>
  <si>
    <t xml:space="preserve">EVT-00872</t>
  </si>
  <si>
    <t xml:space="preserve">EVT-00873</t>
  </si>
  <si>
    <t xml:space="preserve">EVT-00874</t>
  </si>
  <si>
    <t xml:space="preserve">EVT-00875</t>
  </si>
  <si>
    <t xml:space="preserve">EVT-00876</t>
  </si>
  <si>
    <t xml:space="preserve">EVT-00877</t>
  </si>
  <si>
    <t xml:space="preserve">EVT-00878</t>
  </si>
  <si>
    <t xml:space="preserve">EVT-00879</t>
  </si>
  <si>
    <t xml:space="preserve">EVT-00880</t>
  </si>
  <si>
    <t xml:space="preserve">EVT-00881</t>
  </si>
  <si>
    <t xml:space="preserve">EVT-00882</t>
  </si>
  <si>
    <t xml:space="preserve">EVT-00883</t>
  </si>
  <si>
    <t xml:space="preserve">EVT-00884</t>
  </si>
  <si>
    <t xml:space="preserve">EVT-00885</t>
  </si>
  <si>
    <t xml:space="preserve">EVT-00886</t>
  </si>
  <si>
    <t xml:space="preserve">EVT-00887</t>
  </si>
  <si>
    <t xml:space="preserve">EVT-00888</t>
  </si>
  <si>
    <t xml:space="preserve">EVT-00889</t>
  </si>
  <si>
    <t xml:space="preserve">EVT-00890</t>
  </si>
  <si>
    <t xml:space="preserve">EVT-00891</t>
  </si>
  <si>
    <t xml:space="preserve">EVT-00892</t>
  </si>
  <si>
    <t xml:space="preserve">EVT-00893</t>
  </si>
  <si>
    <t xml:space="preserve">EVT-00894</t>
  </si>
  <si>
    <t xml:space="preserve">EVT-00895</t>
  </si>
  <si>
    <t xml:space="preserve">EVT-00896</t>
  </si>
  <si>
    <t xml:space="preserve">EVT-00897</t>
  </si>
  <si>
    <t xml:space="preserve">EVT-00898</t>
  </si>
  <si>
    <t xml:space="preserve">EVT-00899</t>
  </si>
  <si>
    <t xml:space="preserve">EVT-00900</t>
  </si>
  <si>
    <t xml:space="preserve">EVT-00901</t>
  </si>
  <si>
    <t xml:space="preserve">EVT-00902</t>
  </si>
  <si>
    <t xml:space="preserve">EVT-00903</t>
  </si>
  <si>
    <t xml:space="preserve">EVT-00904</t>
  </si>
  <si>
    <t xml:space="preserve">EVT-00905</t>
  </si>
  <si>
    <t xml:space="preserve">EVT-00906</t>
  </si>
  <si>
    <t xml:space="preserve">EVT-00907</t>
  </si>
  <si>
    <t xml:space="preserve">EVT-00908</t>
  </si>
  <si>
    <t xml:space="preserve">EVT-00909</t>
  </si>
  <si>
    <t xml:space="preserve">EVT-00910</t>
  </si>
  <si>
    <t xml:space="preserve">EVT-00911</t>
  </si>
  <si>
    <t xml:space="preserve">EVT-00912</t>
  </si>
  <si>
    <t xml:space="preserve">EVT-00913</t>
  </si>
  <si>
    <t xml:space="preserve">EVT-00914</t>
  </si>
  <si>
    <t xml:space="preserve">EVT-00915</t>
  </si>
  <si>
    <t xml:space="preserve">EVT-00916</t>
  </si>
  <si>
    <t xml:space="preserve">EVT-00917</t>
  </si>
  <si>
    <t xml:space="preserve">EVT-00918</t>
  </si>
  <si>
    <t xml:space="preserve">EVT-00919</t>
  </si>
  <si>
    <t xml:space="preserve">EVT-00920</t>
  </si>
  <si>
    <t xml:space="preserve">EVT-00921</t>
  </si>
  <si>
    <t xml:space="preserve">EVT-00922</t>
  </si>
  <si>
    <t xml:space="preserve">EVT-00923</t>
  </si>
  <si>
    <t xml:space="preserve">EVT-00924</t>
  </si>
  <si>
    <t xml:space="preserve">EVT-00925</t>
  </si>
  <si>
    <t xml:space="preserve">EVT-00926</t>
  </si>
  <si>
    <t xml:space="preserve">EVT-00927</t>
  </si>
  <si>
    <t xml:space="preserve">EVT-00928</t>
  </si>
  <si>
    <t xml:space="preserve">EVT-00929</t>
  </si>
  <si>
    <t xml:space="preserve">EVT-00930</t>
  </si>
  <si>
    <t xml:space="preserve">EVT-00931</t>
  </si>
  <si>
    <t xml:space="preserve">EVT-00932</t>
  </si>
  <si>
    <t xml:space="preserve">EVT-00933</t>
  </si>
  <si>
    <t xml:space="preserve">EVT-00934</t>
  </si>
  <si>
    <t xml:space="preserve">EVT-00935</t>
  </si>
  <si>
    <t xml:space="preserve">EVT-00936</t>
  </si>
  <si>
    <t xml:space="preserve">EVT-00937</t>
  </si>
  <si>
    <t xml:space="preserve">EVT-00938</t>
  </si>
  <si>
    <t xml:space="preserve">EVT-00939</t>
  </si>
  <si>
    <t xml:space="preserve">EVT-00940</t>
  </si>
  <si>
    <t xml:space="preserve">EVT-00941</t>
  </si>
  <si>
    <t xml:space="preserve">EVT-00942</t>
  </si>
  <si>
    <t xml:space="preserve">EVT-00943</t>
  </si>
  <si>
    <t xml:space="preserve">EVT-00944</t>
  </si>
  <si>
    <t xml:space="preserve">EVT-00945</t>
  </si>
  <si>
    <t xml:space="preserve">EVT-00946</t>
  </si>
  <si>
    <t xml:space="preserve">EVT-00947</t>
  </si>
  <si>
    <t xml:space="preserve">EVT-00948</t>
  </si>
  <si>
    <t xml:space="preserve">EVT-00949</t>
  </si>
  <si>
    <t xml:space="preserve">EVT-00950</t>
  </si>
  <si>
    <t xml:space="preserve">EVT-00951</t>
  </si>
  <si>
    <t xml:space="preserve">EVT-00952</t>
  </si>
  <si>
    <t xml:space="preserve">EVT-00953</t>
  </si>
  <si>
    <t xml:space="preserve">EVT-00954</t>
  </si>
  <si>
    <t xml:space="preserve">EVT-00955</t>
  </si>
  <si>
    <t xml:space="preserve">EVT-00956</t>
  </si>
  <si>
    <t xml:space="preserve">EVT-00957</t>
  </si>
  <si>
    <t xml:space="preserve">EVT-00958</t>
  </si>
  <si>
    <t xml:space="preserve">EVT-00959</t>
  </si>
  <si>
    <t xml:space="preserve">EVT-00960</t>
  </si>
  <si>
    <t xml:space="preserve">EVT-00961</t>
  </si>
  <si>
    <t xml:space="preserve">EVT-00962</t>
  </si>
  <si>
    <t xml:space="preserve">EVT-00963</t>
  </si>
  <si>
    <t xml:space="preserve">EVT-00964</t>
  </si>
  <si>
    <t xml:space="preserve">EVT-00965</t>
  </si>
  <si>
    <t xml:space="preserve">EVT-00966</t>
  </si>
  <si>
    <t xml:space="preserve">EVT-00967</t>
  </si>
  <si>
    <t xml:space="preserve">EVT-00968</t>
  </si>
  <si>
    <t xml:space="preserve">EVT-00969</t>
  </si>
  <si>
    <t xml:space="preserve">EVT-00970</t>
  </si>
  <si>
    <t xml:space="preserve">EVT-00971</t>
  </si>
  <si>
    <t xml:space="preserve">EVT-00972</t>
  </si>
  <si>
    <t xml:space="preserve">EVT-00973</t>
  </si>
  <si>
    <t xml:space="preserve">EVT-00974</t>
  </si>
  <si>
    <t xml:space="preserve">EVT-00975</t>
  </si>
  <si>
    <t xml:space="preserve">EVT-00976</t>
  </si>
  <si>
    <t xml:space="preserve">EVT-00977</t>
  </si>
  <si>
    <t xml:space="preserve">EVT-00978</t>
  </si>
  <si>
    <t xml:space="preserve">EVT-00979</t>
  </si>
  <si>
    <t xml:space="preserve">EVT-00980</t>
  </si>
  <si>
    <t xml:space="preserve">EVT-00981</t>
  </si>
  <si>
    <t xml:space="preserve">EVT-00982</t>
  </si>
  <si>
    <t xml:space="preserve">EVT-00983</t>
  </si>
  <si>
    <t xml:space="preserve">EVT-00984</t>
  </si>
  <si>
    <t xml:space="preserve">EVT-00985</t>
  </si>
  <si>
    <t xml:space="preserve">EVT-00986</t>
  </si>
  <si>
    <t xml:space="preserve">EVT-00987</t>
  </si>
  <si>
    <t xml:space="preserve">EVT-00988</t>
  </si>
  <si>
    <t xml:space="preserve">EVT-00989</t>
  </si>
  <si>
    <t xml:space="preserve">EVT-00990</t>
  </si>
  <si>
    <t xml:space="preserve">EVT-00991</t>
  </si>
  <si>
    <t xml:space="preserve">EVT-00992</t>
  </si>
  <si>
    <t xml:space="preserve">EVT-00993</t>
  </si>
  <si>
    <t xml:space="preserve">EVT-00994</t>
  </si>
  <si>
    <t xml:space="preserve">EVT-00995</t>
  </si>
  <si>
    <t xml:space="preserve">EVT-00996</t>
  </si>
  <si>
    <t xml:space="preserve">EVT-00997</t>
  </si>
  <si>
    <t xml:space="preserve">EVT-00998</t>
  </si>
  <si>
    <t xml:space="preserve">EVT-00999</t>
  </si>
  <si>
    <t xml:space="preserve">EVT-01000</t>
  </si>
  <si>
    <t xml:space="preserve">EVT-01001</t>
  </si>
  <si>
    <t xml:space="preserve">EVT-01002</t>
  </si>
  <si>
    <t xml:space="preserve">EVT-01003</t>
  </si>
  <si>
    <t xml:space="preserve">EVT-01004</t>
  </si>
  <si>
    <t xml:space="preserve">EVT-01005</t>
  </si>
  <si>
    <t xml:space="preserve">EVT-01006</t>
  </si>
  <si>
    <t xml:space="preserve">EVT-01007</t>
  </si>
  <si>
    <t xml:space="preserve">EVT-01008</t>
  </si>
  <si>
    <t xml:space="preserve">EVT-01009</t>
  </si>
  <si>
    <t xml:space="preserve">EVT-01010</t>
  </si>
  <si>
    <t xml:space="preserve">EVT-01011</t>
  </si>
  <si>
    <t xml:space="preserve">EVT-01012</t>
  </si>
  <si>
    <t xml:space="preserve">EVT-01013</t>
  </si>
  <si>
    <t xml:space="preserve">EVT-01014</t>
  </si>
  <si>
    <t xml:space="preserve">EVT-01015</t>
  </si>
  <si>
    <t xml:space="preserve">EVT-01016</t>
  </si>
  <si>
    <t xml:space="preserve">EVT-01017</t>
  </si>
  <si>
    <t xml:space="preserve">EVT-01018</t>
  </si>
  <si>
    <t xml:space="preserve">EVT-01019</t>
  </si>
  <si>
    <t xml:space="preserve">EVT-01020</t>
  </si>
  <si>
    <t xml:space="preserve">EVT-01021</t>
  </si>
  <si>
    <t xml:space="preserve">EVT-01022</t>
  </si>
  <si>
    <t xml:space="preserve">EVT-01023</t>
  </si>
  <si>
    <t xml:space="preserve">EVT-01024</t>
  </si>
  <si>
    <t xml:space="preserve">EVT-01025</t>
  </si>
  <si>
    <t xml:space="preserve">EVT-01026</t>
  </si>
  <si>
    <t xml:space="preserve">EVT-01027</t>
  </si>
  <si>
    <t xml:space="preserve">EVT-01028</t>
  </si>
  <si>
    <t xml:space="preserve">EVT-01029</t>
  </si>
  <si>
    <t xml:space="preserve">EVT-01030</t>
  </si>
  <si>
    <t xml:space="preserve">EVT-01031</t>
  </si>
  <si>
    <t xml:space="preserve">EVT-01032</t>
  </si>
  <si>
    <t xml:space="preserve">EVT-01033</t>
  </si>
  <si>
    <t xml:space="preserve">EVT-01034</t>
  </si>
  <si>
    <t xml:space="preserve">EVT-01035</t>
  </si>
  <si>
    <t xml:space="preserve">EVT-01036</t>
  </si>
  <si>
    <t xml:space="preserve">EVT-01037</t>
  </si>
  <si>
    <t xml:space="preserve">EVT-01038</t>
  </si>
  <si>
    <t xml:space="preserve">EVT-01039</t>
  </si>
  <si>
    <t xml:space="preserve">EVT-01040</t>
  </si>
  <si>
    <t xml:space="preserve">EVT-01041</t>
  </si>
  <si>
    <t xml:space="preserve">EVT-01042</t>
  </si>
  <si>
    <t xml:space="preserve">EVT-01043</t>
  </si>
  <si>
    <t xml:space="preserve">EVT-01044</t>
  </si>
  <si>
    <t xml:space="preserve">EVT-01045</t>
  </si>
  <si>
    <t xml:space="preserve">EVT-01046</t>
  </si>
  <si>
    <t xml:space="preserve">EVT-01047</t>
  </si>
  <si>
    <t xml:space="preserve">EVT-01048</t>
  </si>
  <si>
    <t xml:space="preserve">EVT-01049</t>
  </si>
  <si>
    <t xml:space="preserve">EVT-01050</t>
  </si>
  <si>
    <t xml:space="preserve">EVT-01051</t>
  </si>
  <si>
    <t xml:space="preserve">EVT-01052</t>
  </si>
  <si>
    <t xml:space="preserve">EVT-01053</t>
  </si>
  <si>
    <t xml:space="preserve">EVT-01054</t>
  </si>
  <si>
    <t xml:space="preserve">EVT-01055</t>
  </si>
  <si>
    <t xml:space="preserve">EVT-01056</t>
  </si>
  <si>
    <t xml:space="preserve">EVT-01057</t>
  </si>
  <si>
    <t xml:space="preserve">EVT-01058</t>
  </si>
  <si>
    <t xml:space="preserve">EVT-01059</t>
  </si>
  <si>
    <t xml:space="preserve">EVT-01060</t>
  </si>
  <si>
    <t xml:space="preserve">EVT-01061</t>
  </si>
  <si>
    <t xml:space="preserve">EVT-01062</t>
  </si>
  <si>
    <t xml:space="preserve">EVT-01063</t>
  </si>
  <si>
    <t xml:space="preserve">EVT-01064</t>
  </si>
  <si>
    <t xml:space="preserve">EVT-01065</t>
  </si>
  <si>
    <t xml:space="preserve">EVT-01066</t>
  </si>
  <si>
    <t xml:space="preserve">EVT-01067</t>
  </si>
  <si>
    <t xml:space="preserve">EVT-01068</t>
  </si>
  <si>
    <t xml:space="preserve">EVT-01069</t>
  </si>
  <si>
    <t xml:space="preserve">EVT-01070</t>
  </si>
  <si>
    <t xml:space="preserve">EVT-01071</t>
  </si>
  <si>
    <t xml:space="preserve">EVT-01072</t>
  </si>
  <si>
    <t xml:space="preserve">EVT-01073</t>
  </si>
  <si>
    <t xml:space="preserve">EVT-01074</t>
  </si>
  <si>
    <t xml:space="preserve">EVT-01075</t>
  </si>
  <si>
    <t xml:space="preserve">EVT-01076</t>
  </si>
  <si>
    <t xml:space="preserve">EVT-01077</t>
  </si>
  <si>
    <t xml:space="preserve">EVT-01078</t>
  </si>
  <si>
    <t xml:space="preserve">EVT-01079</t>
  </si>
  <si>
    <t xml:space="preserve">EVT-01080</t>
  </si>
  <si>
    <t xml:space="preserve">EVT-01081</t>
  </si>
  <si>
    <t xml:space="preserve">EVT-01082</t>
  </si>
  <si>
    <t xml:space="preserve">EVT-01083</t>
  </si>
  <si>
    <t xml:space="preserve">EVT-01084</t>
  </si>
  <si>
    <t xml:space="preserve">EVT-01085</t>
  </si>
  <si>
    <t xml:space="preserve">EVT-01086</t>
  </si>
  <si>
    <t xml:space="preserve">EVT-01087</t>
  </si>
  <si>
    <t xml:space="preserve">EVT-01088</t>
  </si>
  <si>
    <t xml:space="preserve">EVT-01089</t>
  </si>
  <si>
    <t xml:space="preserve">EVT-01090</t>
  </si>
  <si>
    <t xml:space="preserve">EVT-01091</t>
  </si>
  <si>
    <t xml:space="preserve">EVT-01092</t>
  </si>
  <si>
    <t xml:space="preserve">EVT-01093</t>
  </si>
  <si>
    <t xml:space="preserve">EVT-01094</t>
  </si>
  <si>
    <t xml:space="preserve">EVT-01095</t>
  </si>
  <si>
    <t xml:space="preserve">EVT-01096</t>
  </si>
  <si>
    <t xml:space="preserve">EVT-01097</t>
  </si>
  <si>
    <t xml:space="preserve">EVT-01098</t>
  </si>
  <si>
    <t xml:space="preserve">EVT-01099</t>
  </si>
  <si>
    <t xml:space="preserve">EVT-01100</t>
  </si>
  <si>
    <t xml:space="preserve">EVT-01101</t>
  </si>
  <si>
    <t xml:space="preserve">EVT-01102</t>
  </si>
  <si>
    <t xml:space="preserve">EVT-01103</t>
  </si>
  <si>
    <t xml:space="preserve">EVT-01104</t>
  </si>
  <si>
    <t xml:space="preserve">EVT-01105</t>
  </si>
  <si>
    <t xml:space="preserve">EVT-01106</t>
  </si>
  <si>
    <t xml:space="preserve">EVT-01107</t>
  </si>
  <si>
    <t xml:space="preserve">EVT-01108</t>
  </si>
  <si>
    <t xml:space="preserve">EVT-01109</t>
  </si>
  <si>
    <t xml:space="preserve">EVT-01110</t>
  </si>
  <si>
    <t xml:space="preserve">EVT-01111</t>
  </si>
  <si>
    <t xml:space="preserve">EVT-01112</t>
  </si>
  <si>
    <t xml:space="preserve">EVT-01113</t>
  </si>
  <si>
    <t xml:space="preserve">EVT-01114</t>
  </si>
  <si>
    <t xml:space="preserve">EVT-01115</t>
  </si>
  <si>
    <t xml:space="preserve">EVT-01116</t>
  </si>
  <si>
    <t xml:space="preserve">EVT-01117</t>
  </si>
  <si>
    <t xml:space="preserve">EVT-01118</t>
  </si>
  <si>
    <t xml:space="preserve">EVT-01119</t>
  </si>
  <si>
    <t xml:space="preserve">EVT-01120</t>
  </si>
  <si>
    <t xml:space="preserve">EVT-01121</t>
  </si>
  <si>
    <t xml:space="preserve">EVT-01122</t>
  </si>
  <si>
    <t xml:space="preserve">EVT-01123</t>
  </si>
  <si>
    <t xml:space="preserve">EVT-01124</t>
  </si>
  <si>
    <t xml:space="preserve">EVT-01125</t>
  </si>
  <si>
    <t xml:space="preserve">EVT-01126</t>
  </si>
  <si>
    <t xml:space="preserve">EVT-01127</t>
  </si>
  <si>
    <t xml:space="preserve">EVT-01128</t>
  </si>
  <si>
    <t xml:space="preserve">EVT-01129</t>
  </si>
  <si>
    <t xml:space="preserve">EVT-01130</t>
  </si>
  <si>
    <t xml:space="preserve">EVT-01131</t>
  </si>
  <si>
    <t xml:space="preserve">EVT-01132</t>
  </si>
  <si>
    <t xml:space="preserve">EVT-01133</t>
  </si>
  <si>
    <t xml:space="preserve">EVT-01134</t>
  </si>
  <si>
    <t xml:space="preserve">EVT-01135</t>
  </si>
  <si>
    <t xml:space="preserve">EVT-01136</t>
  </si>
  <si>
    <t xml:space="preserve">EVT-01137</t>
  </si>
  <si>
    <t xml:space="preserve">EVT-01138</t>
  </si>
  <si>
    <t xml:space="preserve">EVT-01139</t>
  </si>
  <si>
    <t xml:space="preserve">EVT-01140</t>
  </si>
  <si>
    <t xml:space="preserve">EVT-01141</t>
  </si>
  <si>
    <t xml:space="preserve">EVT-01142</t>
  </si>
  <si>
    <t xml:space="preserve">EVT-01143</t>
  </si>
  <si>
    <t xml:space="preserve">EVT-01144</t>
  </si>
  <si>
    <t xml:space="preserve">EVT-01145</t>
  </si>
  <si>
    <t xml:space="preserve">EVT-01146</t>
  </si>
  <si>
    <t xml:space="preserve">EVT-01147</t>
  </si>
  <si>
    <t xml:space="preserve">EVT-01148</t>
  </si>
  <si>
    <t xml:space="preserve">EVT-01149</t>
  </si>
  <si>
    <t xml:space="preserve">EVT-01150</t>
  </si>
  <si>
    <t xml:space="preserve">EVT-01151</t>
  </si>
  <si>
    <t xml:space="preserve">EVT-01152</t>
  </si>
  <si>
    <t xml:space="preserve">EVT-01153</t>
  </si>
  <si>
    <t xml:space="preserve">EVT-01154</t>
  </si>
  <si>
    <t xml:space="preserve">EVT-01155</t>
  </si>
  <si>
    <t xml:space="preserve">EVT-01156</t>
  </si>
  <si>
    <t xml:space="preserve">EVT-01157</t>
  </si>
  <si>
    <t xml:space="preserve">EVT-01158</t>
  </si>
  <si>
    <t xml:space="preserve">EVT-01159</t>
  </si>
  <si>
    <t xml:space="preserve">EVT-01160</t>
  </si>
  <si>
    <t xml:space="preserve">EVT-01161</t>
  </si>
  <si>
    <t xml:space="preserve">EVT-01162</t>
  </si>
  <si>
    <t xml:space="preserve">EVT-01163</t>
  </si>
  <si>
    <t xml:space="preserve">EVT-01164</t>
  </si>
  <si>
    <t xml:space="preserve">EVT-01165</t>
  </si>
  <si>
    <t xml:space="preserve">EVT-01166</t>
  </si>
  <si>
    <t xml:space="preserve">EVT-01167</t>
  </si>
  <si>
    <t xml:space="preserve">EVT-01168</t>
  </si>
  <si>
    <t xml:space="preserve">EVT-01169</t>
  </si>
  <si>
    <t xml:space="preserve">EVT-01170</t>
  </si>
  <si>
    <t xml:space="preserve">EVT-01171</t>
  </si>
  <si>
    <t xml:space="preserve">EVT-01172</t>
  </si>
  <si>
    <t xml:space="preserve">EVT-01173</t>
  </si>
  <si>
    <t xml:space="preserve">EVT-01174</t>
  </si>
  <si>
    <t xml:space="preserve">EVT-01175</t>
  </si>
  <si>
    <t xml:space="preserve">EVT-01176</t>
  </si>
  <si>
    <t xml:space="preserve">EVT-01177</t>
  </si>
  <si>
    <t xml:space="preserve">EVT-01178</t>
  </si>
  <si>
    <t xml:space="preserve">EVT-01179</t>
  </si>
  <si>
    <t xml:space="preserve">EVT-01180</t>
  </si>
  <si>
    <t xml:space="preserve">EVT-01181</t>
  </si>
  <si>
    <t xml:space="preserve">EVT-01182</t>
  </si>
  <si>
    <t xml:space="preserve">EVT-01183</t>
  </si>
  <si>
    <t xml:space="preserve">EVT-01184</t>
  </si>
  <si>
    <t xml:space="preserve">EVT-01185</t>
  </si>
  <si>
    <t xml:space="preserve">EVT-01186</t>
  </si>
  <si>
    <t xml:space="preserve">EVT-01187</t>
  </si>
  <si>
    <t xml:space="preserve">EVT-01188</t>
  </si>
  <si>
    <t xml:space="preserve">EVT-01189</t>
  </si>
  <si>
    <t xml:space="preserve">EVT-01190</t>
  </si>
  <si>
    <t xml:space="preserve">EVT-01191</t>
  </si>
  <si>
    <t xml:space="preserve">EVT-01192</t>
  </si>
  <si>
    <t xml:space="preserve">EVT-01193</t>
  </si>
  <si>
    <t xml:space="preserve">EVT-01194</t>
  </si>
  <si>
    <t xml:space="preserve">EVT-01195</t>
  </si>
  <si>
    <t xml:space="preserve">EVT-01196</t>
  </si>
  <si>
    <t xml:space="preserve">EVT-01197</t>
  </si>
  <si>
    <t xml:space="preserve">EVT-01198</t>
  </si>
  <si>
    <t xml:space="preserve">EVT-01199</t>
  </si>
  <si>
    <t xml:space="preserve">EVT-01200</t>
  </si>
  <si>
    <t xml:space="preserve">EVT-01201</t>
  </si>
  <si>
    <t xml:space="preserve">EVT-01202</t>
  </si>
  <si>
    <t xml:space="preserve">EVT-01203</t>
  </si>
  <si>
    <t xml:space="preserve">EVT-01204</t>
  </si>
  <si>
    <t xml:space="preserve">EVT-01205</t>
  </si>
  <si>
    <t xml:space="preserve">EVT-01206</t>
  </si>
  <si>
    <t xml:space="preserve">EVT-01207</t>
  </si>
  <si>
    <t xml:space="preserve">EVT-01208</t>
  </si>
  <si>
    <t xml:space="preserve">EVT-01209</t>
  </si>
  <si>
    <t xml:space="preserve">EVT-01210</t>
  </si>
  <si>
    <t xml:space="preserve">EVT-01211</t>
  </si>
  <si>
    <t xml:space="preserve">EVT-01212</t>
  </si>
  <si>
    <t xml:space="preserve">EVT-01213</t>
  </si>
  <si>
    <t xml:space="preserve">EVT-01214</t>
  </si>
  <si>
    <t xml:space="preserve">EVT-01215</t>
  </si>
  <si>
    <t xml:space="preserve">EVT-01216</t>
  </si>
  <si>
    <t xml:space="preserve">EVT-01217</t>
  </si>
  <si>
    <t xml:space="preserve">EVT-01218</t>
  </si>
  <si>
    <t xml:space="preserve">EVT-01219</t>
  </si>
  <si>
    <t xml:space="preserve">EVT-01220</t>
  </si>
  <si>
    <t xml:space="preserve">EVT-01221</t>
  </si>
  <si>
    <t xml:space="preserve">EVT-01222</t>
  </si>
  <si>
    <t xml:space="preserve">EVT-01223</t>
  </si>
  <si>
    <t xml:space="preserve">EVT-01224</t>
  </si>
  <si>
    <t xml:space="preserve">EVT-01225</t>
  </si>
  <si>
    <t xml:space="preserve">EVT-01226</t>
  </si>
  <si>
    <t xml:space="preserve">EVT-01227</t>
  </si>
  <si>
    <t xml:space="preserve">EVT-01228</t>
  </si>
  <si>
    <t xml:space="preserve">EVT-01229</t>
  </si>
  <si>
    <t xml:space="preserve">EVT-01230</t>
  </si>
  <si>
    <t xml:space="preserve">EVT-01231</t>
  </si>
  <si>
    <t xml:space="preserve">EVT-01232</t>
  </si>
  <si>
    <t xml:space="preserve">EVT-01233</t>
  </si>
  <si>
    <t xml:space="preserve">EVT-01234</t>
  </si>
  <si>
    <t xml:space="preserve">EVT-01235</t>
  </si>
  <si>
    <t xml:space="preserve">EVT-01236</t>
  </si>
  <si>
    <t xml:space="preserve">EVT-01237</t>
  </si>
  <si>
    <t xml:space="preserve">EVT-01238</t>
  </si>
  <si>
    <t xml:space="preserve">EVT-01239</t>
  </si>
  <si>
    <t xml:space="preserve">EVT-01240</t>
  </si>
  <si>
    <t xml:space="preserve">EVT-01241</t>
  </si>
  <si>
    <t xml:space="preserve">EVT-01242</t>
  </si>
  <si>
    <t xml:space="preserve">EVT-01243</t>
  </si>
  <si>
    <t xml:space="preserve">EVT-01244</t>
  </si>
  <si>
    <t xml:space="preserve">EVT-01245</t>
  </si>
  <si>
    <t xml:space="preserve">EVT-01246</t>
  </si>
  <si>
    <t xml:space="preserve">EVT-01247</t>
  </si>
  <si>
    <t xml:space="preserve">EVT-01248</t>
  </si>
  <si>
    <t xml:space="preserve">EVT-01249</t>
  </si>
  <si>
    <t xml:space="preserve">EVT-01250</t>
  </si>
  <si>
    <t xml:space="preserve">EVT-01251</t>
  </si>
  <si>
    <t xml:space="preserve">EVT-01252</t>
  </si>
  <si>
    <t xml:space="preserve">EVT-01253</t>
  </si>
  <si>
    <t xml:space="preserve">EVT-01254</t>
  </si>
  <si>
    <t xml:space="preserve">EVT-01255</t>
  </si>
  <si>
    <t xml:space="preserve">EVT-01256</t>
  </si>
  <si>
    <t xml:space="preserve">EVT-01257</t>
  </si>
  <si>
    <t xml:space="preserve">EVT-01258</t>
  </si>
  <si>
    <t xml:space="preserve">EVT-01259</t>
  </si>
  <si>
    <t xml:space="preserve">EVT-01260</t>
  </si>
  <si>
    <t xml:space="preserve">EVT-01261</t>
  </si>
  <si>
    <t xml:space="preserve">EVT-01262</t>
  </si>
  <si>
    <t xml:space="preserve">EVT-01263</t>
  </si>
  <si>
    <t xml:space="preserve">EVT-01264</t>
  </si>
  <si>
    <t xml:space="preserve">EVT-01265</t>
  </si>
  <si>
    <t xml:space="preserve">EVT-01266</t>
  </si>
  <si>
    <t xml:space="preserve">EVT-01267</t>
  </si>
  <si>
    <t xml:space="preserve">EVT-01268</t>
  </si>
  <si>
    <t xml:space="preserve">EVT-01269</t>
  </si>
  <si>
    <t xml:space="preserve">EVT-01270</t>
  </si>
  <si>
    <t xml:space="preserve">EVT-01271</t>
  </si>
  <si>
    <t xml:space="preserve">EVT-01272</t>
  </si>
  <si>
    <t xml:space="preserve">EVT-01273</t>
  </si>
  <si>
    <t xml:space="preserve">EVT-01274</t>
  </si>
  <si>
    <t xml:space="preserve">EVT-01275</t>
  </si>
  <si>
    <t xml:space="preserve">EVT-01276</t>
  </si>
  <si>
    <t xml:space="preserve">EVT-01277</t>
  </si>
  <si>
    <t xml:space="preserve">EVT-01278</t>
  </si>
  <si>
    <t xml:space="preserve">EVT-01279</t>
  </si>
  <si>
    <t xml:space="preserve">EVT-01280</t>
  </si>
  <si>
    <t xml:space="preserve">EVT-01281</t>
  </si>
  <si>
    <t xml:space="preserve">EVT-01282</t>
  </si>
  <si>
    <t xml:space="preserve">EVT-01283</t>
  </si>
  <si>
    <t xml:space="preserve">EVT-01284</t>
  </si>
  <si>
    <t xml:space="preserve">EVT-01285</t>
  </si>
  <si>
    <t xml:space="preserve">EVT-01286</t>
  </si>
  <si>
    <t xml:space="preserve">EVT-01287</t>
  </si>
  <si>
    <t xml:space="preserve">EVT-01288</t>
  </si>
  <si>
    <t xml:space="preserve">EVT-01289</t>
  </si>
  <si>
    <t xml:space="preserve">EVT-01290</t>
  </si>
  <si>
    <t xml:space="preserve">EVT-01291</t>
  </si>
  <si>
    <t xml:space="preserve">EVT-01292</t>
  </si>
  <si>
    <t xml:space="preserve">EVT-01293</t>
  </si>
  <si>
    <t xml:space="preserve">EVT-01294</t>
  </si>
  <si>
    <t xml:space="preserve">EVT-01295</t>
  </si>
  <si>
    <t xml:space="preserve">EVT-01296</t>
  </si>
  <si>
    <t xml:space="preserve">EVT-01297</t>
  </si>
  <si>
    <t xml:space="preserve">EVT-01298</t>
  </si>
  <si>
    <t xml:space="preserve">EVT-01299</t>
  </si>
  <si>
    <t xml:space="preserve">EVT-01300</t>
  </si>
  <si>
    <t xml:space="preserve">EVT-01301</t>
  </si>
  <si>
    <t xml:space="preserve">EVT-01302</t>
  </si>
  <si>
    <t xml:space="preserve">EVT-01303</t>
  </si>
  <si>
    <t xml:space="preserve">EVT-01304</t>
  </si>
  <si>
    <t xml:space="preserve">EVT-01305</t>
  </si>
  <si>
    <t xml:space="preserve">EVT-01306</t>
  </si>
  <si>
    <t xml:space="preserve">EVT-01307</t>
  </si>
  <si>
    <t xml:space="preserve">EVT-01308</t>
  </si>
  <si>
    <t xml:space="preserve">EVT-01309</t>
  </si>
  <si>
    <t xml:space="preserve">EVT-01310</t>
  </si>
  <si>
    <t xml:space="preserve">EVT-01311</t>
  </si>
  <si>
    <t xml:space="preserve">EVT-01312</t>
  </si>
  <si>
    <t xml:space="preserve">EVT-01313</t>
  </si>
  <si>
    <t xml:space="preserve">EVT-01314</t>
  </si>
  <si>
    <t xml:space="preserve">EVT-01315</t>
  </si>
  <si>
    <t xml:space="preserve">EVT-01316</t>
  </si>
  <si>
    <t xml:space="preserve">EVT-01317</t>
  </si>
  <si>
    <t xml:space="preserve">EVT-01318</t>
  </si>
  <si>
    <t xml:space="preserve">EVT-01319</t>
  </si>
  <si>
    <t xml:space="preserve">EVT-01320</t>
  </si>
  <si>
    <t xml:space="preserve">EVT-01321</t>
  </si>
  <si>
    <t xml:space="preserve">EVT-01322</t>
  </si>
  <si>
    <t xml:space="preserve">EVT-01323</t>
  </si>
  <si>
    <t xml:space="preserve">EVT-01324</t>
  </si>
  <si>
    <t xml:space="preserve">EVT-01325</t>
  </si>
  <si>
    <t xml:space="preserve">EVT-01326</t>
  </si>
  <si>
    <t xml:space="preserve">EVT-01327</t>
  </si>
  <si>
    <t xml:space="preserve">EVT-01328</t>
  </si>
  <si>
    <t xml:space="preserve">EVT-01329</t>
  </si>
  <si>
    <t xml:space="preserve">EVT-01330</t>
  </si>
  <si>
    <t xml:space="preserve">EVT-01331</t>
  </si>
  <si>
    <t xml:space="preserve">EVT-01332</t>
  </si>
  <si>
    <t xml:space="preserve">EVT-01333</t>
  </si>
  <si>
    <t xml:space="preserve">EVT-01334</t>
  </si>
  <si>
    <t xml:space="preserve">EVT-01335</t>
  </si>
  <si>
    <t xml:space="preserve">EVT-01336</t>
  </si>
  <si>
    <t xml:space="preserve">EVT-01337</t>
  </si>
  <si>
    <t xml:space="preserve">EVT-01338</t>
  </si>
  <si>
    <t xml:space="preserve">EVT-01339</t>
  </si>
  <si>
    <t xml:space="preserve">EVT-01340</t>
  </si>
  <si>
    <t xml:space="preserve">EVT-01341</t>
  </si>
  <si>
    <t xml:space="preserve">EVT-01342</t>
  </si>
  <si>
    <t xml:space="preserve">EVT-01343</t>
  </si>
  <si>
    <t xml:space="preserve">EVT-01344</t>
  </si>
  <si>
    <t xml:space="preserve">EVT-01345</t>
  </si>
  <si>
    <t xml:space="preserve">EVT-01346</t>
  </si>
  <si>
    <t xml:space="preserve">EVT-01347</t>
  </si>
  <si>
    <t xml:space="preserve">EVT-01348</t>
  </si>
  <si>
    <t xml:space="preserve">EVT-01349</t>
  </si>
  <si>
    <t xml:space="preserve">EVT-01350</t>
  </si>
  <si>
    <t xml:space="preserve">EVT-01351</t>
  </si>
  <si>
    <t xml:space="preserve">EVT-01352</t>
  </si>
  <si>
    <t xml:space="preserve">EVT-01353</t>
  </si>
  <si>
    <t xml:space="preserve">EVT-01354</t>
  </si>
  <si>
    <t xml:space="preserve">EVT-01355</t>
  </si>
  <si>
    <t xml:space="preserve">EVT-01356</t>
  </si>
  <si>
    <t xml:space="preserve">EVT-01357</t>
  </si>
  <si>
    <t xml:space="preserve">EVT-01358</t>
  </si>
  <si>
    <t xml:space="preserve">EVT-01359</t>
  </si>
  <si>
    <t xml:space="preserve">EVT-01360</t>
  </si>
  <si>
    <t xml:space="preserve">EVT-01361</t>
  </si>
  <si>
    <t xml:space="preserve">EVT-01362</t>
  </si>
  <si>
    <t xml:space="preserve">EVT-01363</t>
  </si>
  <si>
    <t xml:space="preserve">EVT-01364</t>
  </si>
  <si>
    <t xml:space="preserve">EVT-01365</t>
  </si>
  <si>
    <t xml:space="preserve">EVT-01366</t>
  </si>
  <si>
    <t xml:space="preserve">EVT-01367</t>
  </si>
  <si>
    <t xml:space="preserve">EVT-01368</t>
  </si>
  <si>
    <t xml:space="preserve">EVT-01369</t>
  </si>
  <si>
    <t xml:space="preserve">EVT-01370</t>
  </si>
  <si>
    <t xml:space="preserve">EVT-01371</t>
  </si>
  <si>
    <t xml:space="preserve">EVT-01372</t>
  </si>
  <si>
    <t xml:space="preserve">EVT-01373</t>
  </si>
  <si>
    <t xml:space="preserve">EVT-01374</t>
  </si>
  <si>
    <t xml:space="preserve">EVT-01375</t>
  </si>
  <si>
    <t xml:space="preserve">EVT-01376</t>
  </si>
  <si>
    <t xml:space="preserve">EVT-01377</t>
  </si>
  <si>
    <t xml:space="preserve">EVT-01378</t>
  </si>
  <si>
    <t xml:space="preserve">EVT-01379</t>
  </si>
  <si>
    <t xml:space="preserve">EVT-01380</t>
  </si>
  <si>
    <t xml:space="preserve">EVT-01381</t>
  </si>
  <si>
    <t xml:space="preserve">EVT-01382</t>
  </si>
  <si>
    <t xml:space="preserve">EVT-01383</t>
  </si>
  <si>
    <t xml:space="preserve">EVT-01384</t>
  </si>
  <si>
    <t xml:space="preserve">EVT-01385</t>
  </si>
  <si>
    <t xml:space="preserve">EVT-01386</t>
  </si>
  <si>
    <t xml:space="preserve">EVT-01387</t>
  </si>
  <si>
    <t xml:space="preserve">EVT-01388</t>
  </si>
  <si>
    <t xml:space="preserve">EVT-01389</t>
  </si>
  <si>
    <t xml:space="preserve">EVT-01390</t>
  </si>
  <si>
    <t xml:space="preserve">EVT-01391</t>
  </si>
  <si>
    <t xml:space="preserve">EVT-01392</t>
  </si>
  <si>
    <t xml:space="preserve">EVT-01393</t>
  </si>
  <si>
    <t xml:space="preserve">EVT-01394</t>
  </si>
  <si>
    <t xml:space="preserve">EVT-01395</t>
  </si>
  <si>
    <t xml:space="preserve">EVT-01396</t>
  </si>
  <si>
    <t xml:space="preserve">EVT-01397</t>
  </si>
  <si>
    <t xml:space="preserve">EVT-01398</t>
  </si>
  <si>
    <t xml:space="preserve">EVT-01399</t>
  </si>
  <si>
    <t xml:space="preserve">EVT-01400</t>
  </si>
  <si>
    <t xml:space="preserve">EVT-01401</t>
  </si>
  <si>
    <t xml:space="preserve">EVT-01402</t>
  </si>
  <si>
    <t xml:space="preserve">EVT-01403</t>
  </si>
  <si>
    <t xml:space="preserve">EVT-01404</t>
  </si>
  <si>
    <t xml:space="preserve">EVT-01405</t>
  </si>
  <si>
    <t xml:space="preserve">EVT-01406</t>
  </si>
  <si>
    <t xml:space="preserve">EVT-01407</t>
  </si>
  <si>
    <t xml:space="preserve">EVT-01408</t>
  </si>
  <si>
    <t xml:space="preserve">EVT-01409</t>
  </si>
  <si>
    <t xml:space="preserve">EVT-01410</t>
  </si>
  <si>
    <t xml:space="preserve">EVT-01411</t>
  </si>
  <si>
    <t xml:space="preserve">EVT-01412</t>
  </si>
  <si>
    <t xml:space="preserve">EVT-01413</t>
  </si>
  <si>
    <t xml:space="preserve">EVT-01414</t>
  </si>
  <si>
    <t xml:space="preserve">EVT-01415</t>
  </si>
  <si>
    <t xml:space="preserve">EVT-01416</t>
  </si>
  <si>
    <t xml:space="preserve">EVT-01417</t>
  </si>
  <si>
    <t xml:space="preserve">EVT-01418</t>
  </si>
  <si>
    <t xml:space="preserve">EVT-01419</t>
  </si>
  <si>
    <t xml:space="preserve">EVT-01420</t>
  </si>
  <si>
    <t xml:space="preserve">EVT-01421</t>
  </si>
  <si>
    <t xml:space="preserve">EVT-01422</t>
  </si>
  <si>
    <t xml:space="preserve">EVT-01423</t>
  </si>
  <si>
    <t xml:space="preserve">EVT-01424</t>
  </si>
  <si>
    <t xml:space="preserve">EVT-01425</t>
  </si>
  <si>
    <t xml:space="preserve">EVT-01426</t>
  </si>
  <si>
    <t xml:space="preserve">EVT-01427</t>
  </si>
  <si>
    <t xml:space="preserve">EVT-01428</t>
  </si>
  <si>
    <t xml:space="preserve">EVT-01429</t>
  </si>
  <si>
    <t xml:space="preserve">EVT-01430</t>
  </si>
  <si>
    <t xml:space="preserve">EVT-01431</t>
  </si>
  <si>
    <t xml:space="preserve">EVT-01432</t>
  </si>
  <si>
    <t xml:space="preserve">EVT-01433</t>
  </si>
  <si>
    <t xml:space="preserve">EVT-01434</t>
  </si>
  <si>
    <t xml:space="preserve">EVT-01435</t>
  </si>
  <si>
    <t xml:space="preserve">EVT-01436</t>
  </si>
  <si>
    <t xml:space="preserve">EVT-01437</t>
  </si>
  <si>
    <t xml:space="preserve">EVT-01438</t>
  </si>
  <si>
    <t xml:space="preserve">EVT-01439</t>
  </si>
  <si>
    <t xml:space="preserve">EVT-01440</t>
  </si>
  <si>
    <t xml:space="preserve">EVT-01441</t>
  </si>
  <si>
    <t xml:space="preserve">EVT-01442</t>
  </si>
  <si>
    <t xml:space="preserve">EVT-01443</t>
  </si>
  <si>
    <t xml:space="preserve">EVT-01444</t>
  </si>
  <si>
    <t xml:space="preserve">EVT-01445</t>
  </si>
  <si>
    <t xml:space="preserve">EVT-01446</t>
  </si>
  <si>
    <t xml:space="preserve">EVT-01447</t>
  </si>
  <si>
    <t xml:space="preserve">EVT-01448</t>
  </si>
  <si>
    <t xml:space="preserve">EVT-01449</t>
  </si>
  <si>
    <t xml:space="preserve">EVT-01450</t>
  </si>
  <si>
    <t xml:space="preserve">EVT-01451</t>
  </si>
  <si>
    <t xml:space="preserve">EVT-01452</t>
  </si>
  <si>
    <t xml:space="preserve">EVT-01453</t>
  </si>
  <si>
    <t xml:space="preserve">EVT-01454</t>
  </si>
  <si>
    <t xml:space="preserve">EVT-01455</t>
  </si>
  <si>
    <t xml:space="preserve">EVT-01456</t>
  </si>
  <si>
    <t xml:space="preserve">EVT-01457</t>
  </si>
  <si>
    <t xml:space="preserve">EVT-01458</t>
  </si>
  <si>
    <t xml:space="preserve">EVT-01459</t>
  </si>
  <si>
    <t xml:space="preserve">EVT-01460</t>
  </si>
  <si>
    <t xml:space="preserve">EVT-01461</t>
  </si>
  <si>
    <t xml:space="preserve">EVT-01462</t>
  </si>
  <si>
    <t xml:space="preserve">EVT-01463</t>
  </si>
  <si>
    <t xml:space="preserve">EVT-01464</t>
  </si>
  <si>
    <t xml:space="preserve">EVT-01465</t>
  </si>
  <si>
    <t xml:space="preserve">EVT-01466</t>
  </si>
  <si>
    <t xml:space="preserve">EVT-01467</t>
  </si>
  <si>
    <t xml:space="preserve">EVT-01468</t>
  </si>
  <si>
    <t xml:space="preserve">EVT-01469</t>
  </si>
  <si>
    <t xml:space="preserve">EVT-01470</t>
  </si>
  <si>
    <t xml:space="preserve">EVT-01471</t>
  </si>
  <si>
    <t xml:space="preserve">EVT-01472</t>
  </si>
  <si>
    <t xml:space="preserve">EVT-01473</t>
  </si>
  <si>
    <t xml:space="preserve">EVT-01474</t>
  </si>
  <si>
    <t xml:space="preserve">EVT-01475</t>
  </si>
  <si>
    <t xml:space="preserve">EVT-01476</t>
  </si>
  <si>
    <t xml:space="preserve">EVT-01477</t>
  </si>
  <si>
    <t xml:space="preserve">EVT-01478</t>
  </si>
  <si>
    <t xml:space="preserve">EVT-01479</t>
  </si>
  <si>
    <t xml:space="preserve">EVT-01480</t>
  </si>
  <si>
    <t xml:space="preserve">EVT-01481</t>
  </si>
  <si>
    <t xml:space="preserve">EVT-01482</t>
  </si>
  <si>
    <t xml:space="preserve">EVT-01483</t>
  </si>
  <si>
    <t xml:space="preserve">EVT-01484</t>
  </si>
  <si>
    <t xml:space="preserve">EVT-01485</t>
  </si>
  <si>
    <t xml:space="preserve">EVT-01486</t>
  </si>
  <si>
    <t xml:space="preserve">EVT-01487</t>
  </si>
  <si>
    <t xml:space="preserve">EVT-01488</t>
  </si>
  <si>
    <t xml:space="preserve">EVT-01489</t>
  </si>
  <si>
    <t xml:space="preserve">EVT-01490</t>
  </si>
  <si>
    <t xml:space="preserve">EVT-01491</t>
  </si>
  <si>
    <t xml:space="preserve">EVT-01492</t>
  </si>
  <si>
    <t xml:space="preserve">EVT-01493</t>
  </si>
  <si>
    <t xml:space="preserve">EVT-01494</t>
  </si>
  <si>
    <t xml:space="preserve">EVT-01495</t>
  </si>
  <si>
    <t xml:space="preserve">EVT-01496</t>
  </si>
  <si>
    <t xml:space="preserve">EVT-01497</t>
  </si>
  <si>
    <t xml:space="preserve">EVT-01498</t>
  </si>
  <si>
    <t xml:space="preserve">EVT-01499</t>
  </si>
  <si>
    <t xml:space="preserve">EVT-01500</t>
  </si>
  <si>
    <t xml:space="preserve">EVT-01501</t>
  </si>
  <si>
    <t xml:space="preserve">EVT-01502</t>
  </si>
  <si>
    <t xml:space="preserve">EVT-01503</t>
  </si>
  <si>
    <t xml:space="preserve">EVT-01504</t>
  </si>
  <si>
    <t xml:space="preserve">EVT-01505</t>
  </si>
  <si>
    <t xml:space="preserve">EVT-01506</t>
  </si>
  <si>
    <t xml:space="preserve">EVT-01507</t>
  </si>
  <si>
    <t xml:space="preserve">EVT-01508</t>
  </si>
  <si>
    <t xml:space="preserve">EVT-01509</t>
  </si>
  <si>
    <t xml:space="preserve">EVT-01510</t>
  </si>
  <si>
    <t xml:space="preserve">EVT-01511</t>
  </si>
  <si>
    <t xml:space="preserve">EVT-01512</t>
  </si>
  <si>
    <t xml:space="preserve">EVT-01513</t>
  </si>
  <si>
    <t xml:space="preserve">EVT-01514</t>
  </si>
  <si>
    <t xml:space="preserve">EVT-01515</t>
  </si>
  <si>
    <t xml:space="preserve">EVT-01516</t>
  </si>
  <si>
    <t xml:space="preserve">EVT-01517</t>
  </si>
  <si>
    <t xml:space="preserve">EVT-01518</t>
  </si>
  <si>
    <t xml:space="preserve">EVT-01519</t>
  </si>
  <si>
    <t xml:space="preserve">EVT-01520</t>
  </si>
  <si>
    <t xml:space="preserve">EVT-01521</t>
  </si>
  <si>
    <t xml:space="preserve">EVT-01522</t>
  </si>
  <si>
    <t xml:space="preserve">EVT-01523</t>
  </si>
  <si>
    <t xml:space="preserve">EVT-01524</t>
  </si>
  <si>
    <t xml:space="preserve">EVT-01525</t>
  </si>
  <si>
    <t xml:space="preserve">EVT-01526</t>
  </si>
  <si>
    <t xml:space="preserve">EVT-01527</t>
  </si>
  <si>
    <t xml:space="preserve">EVT-01528</t>
  </si>
  <si>
    <t xml:space="preserve">EVT-01529</t>
  </si>
  <si>
    <t xml:space="preserve">EVT-01530</t>
  </si>
  <si>
    <t xml:space="preserve">EVT-01531</t>
  </si>
  <si>
    <t xml:space="preserve">EVT-01532</t>
  </si>
  <si>
    <t xml:space="preserve">EVT-01533</t>
  </si>
  <si>
    <t xml:space="preserve">EVT-01534</t>
  </si>
  <si>
    <t xml:space="preserve">EVT-01535</t>
  </si>
  <si>
    <t xml:space="preserve">EVT-01536</t>
  </si>
  <si>
    <t xml:space="preserve">EVT-01537</t>
  </si>
  <si>
    <t xml:space="preserve">EVT-01538</t>
  </si>
  <si>
    <t xml:space="preserve">EVT-01539</t>
  </si>
  <si>
    <t xml:space="preserve">EVT-01540</t>
  </si>
  <si>
    <t xml:space="preserve">EVT-01541</t>
  </si>
  <si>
    <t xml:space="preserve">EVT-01542</t>
  </si>
  <si>
    <t xml:space="preserve">EVT-01543</t>
  </si>
  <si>
    <t xml:space="preserve">EVT-01544</t>
  </si>
  <si>
    <t xml:space="preserve">EVT-01545</t>
  </si>
  <si>
    <t xml:space="preserve">EVT-01546</t>
  </si>
  <si>
    <t xml:space="preserve">EVT-01547</t>
  </si>
  <si>
    <t xml:space="preserve">EVT-01548</t>
  </si>
  <si>
    <t xml:space="preserve">EVT-01549</t>
  </si>
  <si>
    <t xml:space="preserve">EVT-01550</t>
  </si>
  <si>
    <t xml:space="preserve">EVT-01551</t>
  </si>
  <si>
    <t xml:space="preserve">EVT-01552</t>
  </si>
  <si>
    <t xml:space="preserve">EVT-01553</t>
  </si>
  <si>
    <t xml:space="preserve">EVT-01554</t>
  </si>
  <si>
    <t xml:space="preserve">EVT-01555</t>
  </si>
  <si>
    <t xml:space="preserve">EVT-01556</t>
  </si>
  <si>
    <t xml:space="preserve">EVT-01557</t>
  </si>
  <si>
    <t xml:space="preserve">EVT-01558</t>
  </si>
  <si>
    <t xml:space="preserve">EVT-01559</t>
  </si>
  <si>
    <t xml:space="preserve">EVT-01560</t>
  </si>
  <si>
    <t xml:space="preserve">EVT-01561</t>
  </si>
  <si>
    <t xml:space="preserve">EVT-01562</t>
  </si>
  <si>
    <t xml:space="preserve">EVT-01563</t>
  </si>
  <si>
    <t xml:space="preserve">EVT-01564</t>
  </si>
  <si>
    <t xml:space="preserve">EVT-01565</t>
  </si>
  <si>
    <t xml:space="preserve">EVT-01566</t>
  </si>
  <si>
    <t xml:space="preserve">EVT-01567</t>
  </si>
  <si>
    <t xml:space="preserve">EVT-01568</t>
  </si>
  <si>
    <t xml:space="preserve">EVT-01569</t>
  </si>
  <si>
    <t xml:space="preserve">EVT-01570</t>
  </si>
  <si>
    <t xml:space="preserve">EVT-01571</t>
  </si>
  <si>
    <t xml:space="preserve">EVT-01572</t>
  </si>
  <si>
    <t xml:space="preserve">EVT-01573</t>
  </si>
  <si>
    <t xml:space="preserve">EVT-01574</t>
  </si>
  <si>
    <t xml:space="preserve">EVT-01575</t>
  </si>
  <si>
    <t xml:space="preserve">EVT-01576</t>
  </si>
  <si>
    <t xml:space="preserve">EVT-01577</t>
  </si>
  <si>
    <t xml:space="preserve">EVT-01578</t>
  </si>
  <si>
    <t xml:space="preserve">EVT-01579</t>
  </si>
  <si>
    <t xml:space="preserve">EVT-01580</t>
  </si>
  <si>
    <t xml:space="preserve">EVT-01581</t>
  </si>
  <si>
    <t xml:space="preserve">EVT-01582</t>
  </si>
  <si>
    <t xml:space="preserve">EVT-01583</t>
  </si>
  <si>
    <t xml:space="preserve">EVT-01584</t>
  </si>
  <si>
    <t xml:space="preserve">EVT-01585</t>
  </si>
  <si>
    <t xml:space="preserve">EVT-01586</t>
  </si>
  <si>
    <t xml:space="preserve">EVT-01587</t>
  </si>
  <si>
    <t xml:space="preserve">EVT-01588</t>
  </si>
  <si>
    <t xml:space="preserve">EVT-01589</t>
  </si>
  <si>
    <t xml:space="preserve">EVT-01590</t>
  </si>
  <si>
    <t xml:space="preserve">EVT-01591</t>
  </si>
  <si>
    <t xml:space="preserve">EVT-01592</t>
  </si>
  <si>
    <t xml:space="preserve">EVT-01593</t>
  </si>
  <si>
    <t xml:space="preserve">EVT-01594</t>
  </si>
  <si>
    <t xml:space="preserve">EVT-01595</t>
  </si>
  <si>
    <t xml:space="preserve">EVT-01596</t>
  </si>
  <si>
    <t xml:space="preserve">EVT-01597</t>
  </si>
  <si>
    <t xml:space="preserve">EVT-01598</t>
  </si>
  <si>
    <t xml:space="preserve">EVT-01599</t>
  </si>
  <si>
    <t xml:space="preserve">EVT-01600</t>
  </si>
  <si>
    <t xml:space="preserve">EVT-01601</t>
  </si>
  <si>
    <t xml:space="preserve">EVT-01602</t>
  </si>
  <si>
    <t xml:space="preserve">EVT-01603</t>
  </si>
  <si>
    <t xml:space="preserve">EVT-01604</t>
  </si>
  <si>
    <t xml:space="preserve">EVT-01605</t>
  </si>
  <si>
    <t xml:space="preserve">EVT-01606</t>
  </si>
  <si>
    <t xml:space="preserve">EVT-01607</t>
  </si>
  <si>
    <t xml:space="preserve">EVT-01608</t>
  </si>
  <si>
    <t xml:space="preserve">EVT-01609</t>
  </si>
  <si>
    <t xml:space="preserve">EVT-01610</t>
  </si>
  <si>
    <t xml:space="preserve">EVT-01611</t>
  </si>
  <si>
    <t xml:space="preserve">EVT-01612</t>
  </si>
  <si>
    <t xml:space="preserve">EVT-01613</t>
  </si>
  <si>
    <t xml:space="preserve">EVT-01614</t>
  </si>
  <si>
    <t xml:space="preserve">EVT-01615</t>
  </si>
  <si>
    <t xml:space="preserve">EVT-01616</t>
  </si>
  <si>
    <t xml:space="preserve">EVT-01617</t>
  </si>
  <si>
    <t xml:space="preserve">EVT-01618</t>
  </si>
  <si>
    <t xml:space="preserve">EVT-01619</t>
  </si>
  <si>
    <t xml:space="preserve">EVT-01620</t>
  </si>
  <si>
    <t xml:space="preserve">EVT-01621</t>
  </si>
  <si>
    <t xml:space="preserve">EVT-01622</t>
  </si>
  <si>
    <t xml:space="preserve">EVT-01623</t>
  </si>
  <si>
    <t xml:space="preserve">EVT-01624</t>
  </si>
  <si>
    <t xml:space="preserve">EVT-01625</t>
  </si>
  <si>
    <t xml:space="preserve">EVT-01626</t>
  </si>
  <si>
    <t xml:space="preserve">EVT-01627</t>
  </si>
  <si>
    <t xml:space="preserve">EVT-01628</t>
  </si>
  <si>
    <t xml:space="preserve">EVT-01629</t>
  </si>
  <si>
    <t xml:space="preserve">EVT-01630</t>
  </si>
  <si>
    <t xml:space="preserve">EVT-01631</t>
  </si>
  <si>
    <t xml:space="preserve">Daily Activity &amp; Daily Referral Funnel</t>
  </si>
  <si>
    <t xml:space="preserve">All cells are formulas driven by Referral_Data, Engagement_Events and Settings. Add rows (copy last row down) if the reporting period grows.</t>
  </si>
  <si>
    <t xml:space="preserve">Date</t>
  </si>
  <si>
    <t xml:space="preserve">Referrals Created</t>
  </si>
  <si>
    <t xml:space="preserve">Users Registered</t>
  </si>
  <si>
    <t xml:space="preserve">Users Activated</t>
  </si>
  <si>
    <t xml:space="preserve">Referrals Converted</t>
  </si>
  <si>
    <t xml:space="preserve">DAU (Active Users)</t>
  </si>
  <si>
    <t xml:space="preserve">New Users (first-ever activity)</t>
  </si>
  <si>
    <t xml:space="preserve">Returning Users</t>
  </si>
  <si>
    <t xml:space="preserve">Logins</t>
  </si>
  <si>
    <t xml:space="preserve">Feature Uses</t>
  </si>
  <si>
    <t xml:space="preserve">Cumulative Created</t>
  </si>
  <si>
    <t xml:space="preserve">Cumulative Converted</t>
  </si>
  <si>
    <t xml:space="preserve">Cumulative Conversion Rate</t>
  </si>
  <si>
    <t xml:space="preserve">Note: referral stage counts use the date each stage timestamp occurred (cohort-by-event-date, not cohort-by-creation-date).</t>
  </si>
  <si>
    <t xml:space="preserve">Feature Adoption, Frequency &amp; Repeat Usage</t>
  </si>
  <si>
    <t xml:space="preserve">Adoption = distinct users who used the feature / all distinct active users. Counts are not additive across features (a user can adopt several).</t>
  </si>
  <si>
    <t xml:space="preserve">Adopters (distinct users)</t>
  </si>
  <si>
    <t xml:space="preserve">Adoption Rate</t>
  </si>
  <si>
    <t xml:space="preserve">Total Uses</t>
  </si>
  <si>
    <t xml:space="preserve">Feature Frequency (uses per adopter)</t>
  </si>
  <si>
    <t xml:space="preserve">Repeat Users (used 2+ times)</t>
  </si>
  <si>
    <t xml:space="preserve">Repeat Usage Rate</t>
  </si>
  <si>
    <t xml:space="preserve">Tasks Completed in Feature</t>
  </si>
  <si>
    <t xml:space="preserve">Settings, Assumptions &amp; Targets</t>
  </si>
  <si>
    <t xml:space="preserve">Yellow cells are assumptions you should confirm/edit. All formulas in the workbook read from here.</t>
  </si>
  <si>
    <t xml:space="preserve">Parameter</t>
  </si>
  <si>
    <t xml:space="preserve">Notes</t>
  </si>
  <si>
    <t xml:space="preserve">Reporting Start Date</t>
  </si>
  <si>
    <t xml:space="preserve">First date shown on Daily_Activity.</t>
  </si>
  <si>
    <t xml:space="preserve">As-of Date</t>
  </si>
  <si>
    <t xml:space="preserve">Date used for DAU / WAU / MAU. Update when you refresh data.</t>
  </si>
  <si>
    <t xml:space="preserve">Activation Window (days after registration)</t>
  </si>
  <si>
    <t xml:space="preserve">Assumption: activation counts as 'on time' if it happens within this many days of registration.</t>
  </si>
  <si>
    <t xml:space="preserve">Referral Expiry (days with no registration)</t>
  </si>
  <si>
    <t xml:space="preserve">Assumption: unregistered referrals older than this are set to 'Expired'.</t>
  </si>
  <si>
    <t xml:space="preserve">WAU Window (days)</t>
  </si>
  <si>
    <t xml:space="preserve">Rolling window ending on As-of Date.</t>
  </si>
  <si>
    <t xml:space="preserve">MAU Window (days)</t>
  </si>
  <si>
    <t xml:space="preserve">KPI Target</t>
  </si>
  <si>
    <t xml:space="preserve">Registration Rate (Registered / Created)</t>
  </si>
  <si>
    <t xml:space="preserve">Illustrative placeholder target - not sourced from any benchmark.</t>
  </si>
  <si>
    <t xml:space="preserve">Activation Rate (Activated / Registered)</t>
  </si>
  <si>
    <t xml:space="preserve">Conversion Rate (Converted / Activated)</t>
  </si>
  <si>
    <t xml:space="preserve">Overall Referral Conversion (Converted / Created)</t>
  </si>
  <si>
    <t xml:space="preserve">Returning User Rate (Returning / DAU)</t>
  </si>
  <si>
    <t xml:space="preserve">Feature Repeat Rate (avg across features)</t>
  </si>
  <si>
    <t xml:space="preserve">Business Definitions</t>
  </si>
  <si>
    <t xml:space="preserve">Activation event (what counts as 'Activated')</t>
  </si>
  <si>
    <t xml:space="preserve">First 'Task Completed' event by the referred user</t>
  </si>
  <si>
    <t xml:space="preserve">Edit to match your product's key first-value action.</t>
  </si>
  <si>
    <t xml:space="preserve">Conversion event (what counts as 'Converted')</t>
  </si>
  <si>
    <t xml:space="preserve">Define: e.g. first paid plan / qualifying transaction / verified purchase</t>
  </si>
  <si>
    <t xml:space="preserve">Must be a stronger milestone than Activation. Registration alone is NEVER a conversion.</t>
  </si>
  <si>
    <t xml:space="preserve">E1 - Referral Data Dictionary &amp; Stage Definitions</t>
  </si>
  <si>
    <t xml:space="preserve">Field</t>
  </si>
  <si>
    <t xml:space="preserve">Column (Referral_Data)</t>
  </si>
  <si>
    <t xml:space="preserve">Type</t>
  </si>
  <si>
    <t xml:space="preserve">Required?</t>
  </si>
  <si>
    <t xml:space="preserve">Rule / Example</t>
  </si>
  <si>
    <t xml:space="preserve">A</t>
  </si>
  <si>
    <t xml:space="preserve">Text (unique key)</t>
  </si>
  <si>
    <t xml:space="preserve">Yes</t>
  </si>
  <si>
    <t xml:space="preserve">Unique identifier of one referral (one invitation of one person).</t>
  </si>
  <si>
    <t xml:space="preserve">REF-0001. Never reused.</t>
  </si>
  <si>
    <t xml:space="preserve">B</t>
  </si>
  <si>
    <t xml:space="preserve">Text (FK to user table)</t>
  </si>
  <si>
    <t xml:space="preserve">The existing user who sent the referral.</t>
  </si>
  <si>
    <t xml:space="preserve">U001. One referrer can have many referrals.</t>
  </si>
  <si>
    <t xml:space="preserve">C</t>
  </si>
  <si>
    <t xml:space="preserve">Only after registration</t>
  </si>
  <si>
    <t xml:space="preserve">The new user created by the referral. Blank until the person registers.</t>
  </si>
  <si>
    <t xml:space="preserve">R001. Must be unique per referral.</t>
  </si>
  <si>
    <t xml:space="preserve">D</t>
  </si>
  <si>
    <t xml:space="preserve">List</t>
  </si>
  <si>
    <t xml:space="preserve">Channel / mechanism through which the referral was created or clicked.</t>
  </si>
  <si>
    <t xml:space="preserve">Email, WhatsApp, Social Media, In-App Invite, Referral Link.</t>
  </si>
  <si>
    <t xml:space="preserve">E</t>
  </si>
  <si>
    <t xml:space="preserve">Date-time</t>
  </si>
  <si>
    <t xml:space="preserve">When the referral record was created (invite sent / link generated).</t>
  </si>
  <si>
    <t xml:space="preserve">2026-09-04 10:15. Start of the funnel.</t>
  </si>
  <si>
    <t xml:space="preserve">F</t>
  </si>
  <si>
    <t xml:space="preserve">Blank until it happens</t>
  </si>
  <si>
    <t xml:space="preserve">When the referred user finished sign-up and an account was created.</t>
  </si>
  <si>
    <t xml:space="preserve">Must be &gt;= Created Timestamp.</t>
  </si>
  <si>
    <t xml:space="preserve">G</t>
  </si>
  <si>
    <t xml:space="preserve">When the referred user first completed the activation event (see Settings).</t>
  </si>
  <si>
    <t xml:space="preserve">Must be &gt;= Registered Timestamp. Registration alone is NOT activation.</t>
  </si>
  <si>
    <t xml:space="preserve">Converted Timestamp (added)</t>
  </si>
  <si>
    <t xml:space="preserve">H</t>
  </si>
  <si>
    <t xml:space="preserve">When the referred user met the conversion criterion (see Settings). Added so 'Referral Converted' is measurable separately from registration.</t>
  </si>
  <si>
    <t xml:space="preserve">Must be &gt;= Activated Timestamp.</t>
  </si>
  <si>
    <t xml:space="preserve">I</t>
  </si>
  <si>
    <t xml:space="preserve">Current funnel stage of the referral.</t>
  </si>
  <si>
    <t xml:space="preserve">Created / Registered / Activated / Converted / Expired.</t>
  </si>
  <si>
    <t xml:space="preserve">Stage</t>
  </si>
  <si>
    <t xml:space="preserve">Entry condition</t>
  </si>
  <si>
    <t xml:space="preserve">Evidence field</t>
  </si>
  <si>
    <t xml:space="preserve">Counts as conversion?</t>
  </si>
  <si>
    <t xml:space="preserve">Invitation/link generated</t>
  </si>
  <si>
    <t xml:space="preserve">No</t>
  </si>
  <si>
    <t xml:space="preserve">Top of funnel.</t>
  </si>
  <si>
    <t xml:space="preserve">Denominator for overall conversion.</t>
  </si>
  <si>
    <t xml:space="preserve">Referred person created an account</t>
  </si>
  <si>
    <t xml:space="preserve">Account exists.</t>
  </si>
  <si>
    <t xml:space="preserve">Do not treat as a successful referral.</t>
  </si>
  <si>
    <t xml:space="preserve">Referred user completed the key first-value action</t>
  </si>
  <si>
    <t xml:space="preserve">User experienced product value.</t>
  </si>
  <si>
    <t xml:space="preserve">Activation event is defined in Settings.</t>
  </si>
  <si>
    <t xml:space="preserve">Referred user met the conversion criterion</t>
  </si>
  <si>
    <t xml:space="preserve">YES - only this stage</t>
  </si>
  <si>
    <t xml:space="preserve">Referral counts as successful (e.g. reward-eligible).</t>
  </si>
  <si>
    <t xml:space="preserve">Conversion criterion is defined in Settings.</t>
  </si>
  <si>
    <t xml:space="preserve">No registration within expiry window</t>
  </si>
  <si>
    <t xml:space="preserve">Status = Expired</t>
  </si>
  <si>
    <t xml:space="preserve">Referral lapsed.</t>
  </si>
  <si>
    <t xml:space="preserve">Expiry days are set in Settings.</t>
  </si>
  <si>
    <t xml:space="preserve">E2 - Engagement &amp; Funnel Metric Definitions</t>
  </si>
  <si>
    <t xml:space="preserve">Area</t>
  </si>
  <si>
    <t xml:space="preserve">Metric</t>
  </si>
  <si>
    <t xml:space="preserve">Calculation</t>
  </si>
  <si>
    <t xml:space="preserve">Source in this workbook</t>
  </si>
  <si>
    <t xml:space="preserve">Grain</t>
  </si>
  <si>
    <t xml:space="preserve">Referral funnel</t>
  </si>
  <si>
    <t xml:space="preserve">Referral Created / Registered / Activated / Converted</t>
  </si>
  <si>
    <t xml:space="preserve">Count of referrals that reached each stage.</t>
  </si>
  <si>
    <t xml:space="preserve">COUNTA / COUNT of stage timestamp columns</t>
  </si>
  <si>
    <t xml:space="preserve">KPI_Dashboard section 1</t>
  </si>
  <si>
    <t xml:space="preserve">Per referral</t>
  </si>
  <si>
    <t xml:space="preserve">Step conversion &amp; overall conversion</t>
  </si>
  <si>
    <t xml:space="preserve">Share moving from one stage to the next, and from Created to Converted.</t>
  </si>
  <si>
    <t xml:space="preserve">Stage n / Stage n-1;  Converted / Created</t>
  </si>
  <si>
    <t xml:space="preserve">KPI_Dashboard sections 1-2</t>
  </si>
  <si>
    <t xml:space="preserve">Per period</t>
  </si>
  <si>
    <t xml:space="preserve">Daily referral funnel</t>
  </si>
  <si>
    <t xml:space="preserve">Referrals reaching each stage on each calendar day.</t>
  </si>
  <si>
    <t xml:space="preserve">COUNTIFS of stage timestamp within the day</t>
  </si>
  <si>
    <t xml:space="preserve">Daily_Activity cols B-E</t>
  </si>
  <si>
    <t xml:space="preserve">Per day</t>
  </si>
  <si>
    <t xml:space="preserve">Feature adoption</t>
  </si>
  <si>
    <t xml:space="preserve">Feature adoption rate</t>
  </si>
  <si>
    <t xml:space="preserve">Share of active users who used a feature at least once.</t>
  </si>
  <si>
    <t xml:space="preserve">Distinct users of feature / distinct active users</t>
  </si>
  <si>
    <t xml:space="preserve">Feature_Adoption col C</t>
  </si>
  <si>
    <t xml:space="preserve">Per feature</t>
  </si>
  <si>
    <t xml:space="preserve">Repeat usage</t>
  </si>
  <si>
    <t xml:space="preserve">Repeat usage rate</t>
  </si>
  <si>
    <t xml:space="preserve">Share of adopters who used the same feature 2+ times.</t>
  </si>
  <si>
    <t xml:space="preserve">Users with 2+ uses / adopters</t>
  </si>
  <si>
    <t xml:space="preserve">Feature_Adoption col G</t>
  </si>
  <si>
    <t xml:space="preserve">Feature frequency</t>
  </si>
  <si>
    <t xml:space="preserve">Uses per adopter</t>
  </si>
  <si>
    <t xml:space="preserve">Average number of times an adopter used a feature.</t>
  </si>
  <si>
    <t xml:space="preserve">Total feature uses / adopters</t>
  </si>
  <si>
    <t xml:space="preserve">Feature_Adoption col E</t>
  </si>
  <si>
    <t xml:space="preserve">Task activity</t>
  </si>
  <si>
    <t xml:space="preserve">Task completions</t>
  </si>
  <si>
    <t xml:space="preserve">Number of 'Task Completed' events; also per active user.</t>
  </si>
  <si>
    <t xml:space="preserve">COUNTIF Task Completed;  / distinct active users</t>
  </si>
  <si>
    <t xml:space="preserve">KPI_Dashboard 40-41; Daily_Activity col K</t>
  </si>
  <si>
    <t xml:space="preserve">Per event / user</t>
  </si>
  <si>
    <t xml:space="preserve">Daily activity</t>
  </si>
  <si>
    <t xml:space="preserve">DAU</t>
  </si>
  <si>
    <t xml:space="preserve">Distinct users with at least one event on a day.</t>
  </si>
  <si>
    <t xml:space="preserve">SUMIFS of 'first event of user-day' helper</t>
  </si>
  <si>
    <t xml:space="preserve">Daily_Activity col F; KPI_Dashboard 33</t>
  </si>
  <si>
    <t xml:space="preserve">Active users</t>
  </si>
  <si>
    <t xml:space="preserve">WAU / MAU</t>
  </si>
  <si>
    <t xml:space="preserve">Distinct users active in the trailing 7 / 30 days ending on the as-of date.</t>
  </si>
  <si>
    <t xml:space="preserve">SUM of window helper columns</t>
  </si>
  <si>
    <t xml:space="preserve">KPI_Dashboard 34-35</t>
  </si>
  <si>
    <t xml:space="preserve">Rolling window</t>
  </si>
  <si>
    <t xml:space="preserve">Stickiness</t>
  </si>
  <si>
    <t xml:space="preserve">How habitually monthly users return daily.</t>
  </si>
  <si>
    <t xml:space="preserve">DAU / MAU</t>
  </si>
  <si>
    <t xml:space="preserve">KPI_Dashboard 36</t>
  </si>
  <si>
    <t xml:space="preserve">As-of date</t>
  </si>
  <si>
    <t xml:space="preserve">Returning users</t>
  </si>
  <si>
    <t xml:space="preserve">Returning users &amp; rate</t>
  </si>
  <si>
    <t xml:space="preserve">Users active today who were also active on an earlier day.</t>
  </si>
  <si>
    <t xml:space="preserve">Returning user-days;  / DAU</t>
  </si>
  <si>
    <t xml:space="preserve">Daily_Activity col H; KPI_Dashboard 37-38</t>
  </si>
  <si>
    <t xml:space="preserve">New users</t>
  </si>
  <si>
    <t xml:space="preserve">Users whose first-ever event is on that day.</t>
  </si>
  <si>
    <t xml:space="preserve">SUMIFS of 'first event of user' helper</t>
  </si>
  <si>
    <t xml:space="preserve">Daily_Activity col G</t>
  </si>
  <si>
    <t xml:space="preserve">Group comparison</t>
  </si>
  <si>
    <t xml:space="preserve">Referred vs Referrer vs Organic engagement</t>
  </si>
  <si>
    <t xml:space="preserve">Compares activity depth of referred users against others.</t>
  </si>
  <si>
    <t xml:space="preserve">Events / distinct users by User Group</t>
  </si>
  <si>
    <t xml:space="preserve">KPI_Dashboard section 5</t>
  </si>
  <si>
    <t xml:space="preserve">Per group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</si>
</sst>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0.0%"/>
    <numFmt numFmtId="168" formatCode="0.0"/>
    <numFmt numFmtId="169" formatCode="0.00"/>
    <numFmt numFmtId="170" formatCode="yyyy\-mm\-dd\ 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Referral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KPI_Dashboard!$A$5:$A$8</c:f>
              <c:strCache>
                <c:ptCount val="4"/>
                <c:pt idx="0">
                  <c:v>Referral Created</c:v>
                </c:pt>
                <c:pt idx="1">
                  <c:v>User Registered</c:v>
                </c:pt>
                <c:pt idx="2">
                  <c:v>User Activated</c:v>
                </c:pt>
                <c:pt idx="3">
                  <c:v>Referral Converted</c:v>
                </c:pt>
              </c:strCache>
            </c:strRef>
          </c:cat>
          <c:val>
            <c:numRef>
              <c:f>KPI_Dashboard!$B$5:$B$8</c:f>
              <c:numCache>
                <c:formatCode>#,##0</c:formatCode>
                <c:ptCount val="4"/>
                <c:pt idx="0">
                  <c:v>60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</c:ser>
        <c:gapWidth val="150"/>
        <c:overlap val="0"/>
        <c:axId val="84612894"/>
        <c:axId val="5942552"/>
      </c:barChart>
      <c:catAx>
        <c:axId val="8461289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2552"/>
        <c:crosses val="autoZero"/>
        <c:auto val="1"/>
        <c:lblAlgn val="ctr"/>
        <c:lblOffset val="100"/>
        <c:noMultiLvlLbl val="0"/>
      </c:catAx>
      <c:valAx>
        <c:axId val="5942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128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KPI_Dashboard!$A$53:$A$57</c:f>
              <c:strCache>
                <c:ptCount val="5"/>
                <c:pt idx="0">
                  <c:v>Email</c:v>
                </c:pt>
                <c:pt idx="1">
                  <c:v>WhatsApp</c:v>
                </c:pt>
                <c:pt idx="2">
                  <c:v>Social Media</c:v>
                </c:pt>
                <c:pt idx="3">
                  <c:v>In-App Invite</c:v>
                </c:pt>
                <c:pt idx="4">
                  <c:v>Referral Link</c:v>
                </c:pt>
              </c:strCache>
            </c:strRef>
          </c:cat>
          <c:val>
            <c:numRef>
              <c:f>KPI_Dashboard!$H$53:$H$57</c:f>
              <c:numCache>
                <c:formatCode>0.0%</c:formatCode>
                <c:ptCount val="5"/>
                <c:pt idx="0">
                  <c:v>0.384615384615385</c:v>
                </c:pt>
                <c:pt idx="1">
                  <c:v>0.0588235294117647</c:v>
                </c:pt>
                <c:pt idx="2">
                  <c:v>0.111111111111111</c:v>
                </c:pt>
                <c:pt idx="3">
                  <c:v>0.125</c:v>
                </c:pt>
                <c:pt idx="4">
                  <c:v>0.2</c:v>
                </c:pt>
              </c:numCache>
            </c:numRef>
          </c:val>
        </c:ser>
        <c:gapWidth val="150"/>
        <c:overlap val="0"/>
        <c:axId val="93388779"/>
        <c:axId val="50547653"/>
      </c:barChart>
      <c:catAx>
        <c:axId val="93388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47653"/>
        <c:crosses val="autoZero"/>
        <c:auto val="1"/>
        <c:lblAlgn val="ctr"/>
        <c:lblOffset val="100"/>
        <c:noMultiLvlLbl val="0"/>
      </c:catAx>
      <c:valAx>
        <c:axId val="50547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88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Active vs Returning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Daily_Activity!F4</c:f>
              <c:strCache>
                <c:ptCount val="1"/>
                <c:pt idx="0">
                  <c:v>DAU (Active Users)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Daily_Activity!$A$5:$A$49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Daily_Activity!$F$5:$F$49</c:f>
              <c:numCache>
                <c:formatCode>#,##0</c:formatCode>
                <c:ptCount val="45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9</c:v>
                </c:pt>
                <c:pt idx="10">
                  <c:v>11</c:v>
                </c:pt>
                <c:pt idx="11">
                  <c:v>12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13</c:v>
                </c:pt>
                <c:pt idx="16">
                  <c:v>14</c:v>
                </c:pt>
                <c:pt idx="17">
                  <c:v>8</c:v>
                </c:pt>
                <c:pt idx="18">
                  <c:v>10</c:v>
                </c:pt>
                <c:pt idx="19">
                  <c:v>14</c:v>
                </c:pt>
                <c:pt idx="20">
                  <c:v>9</c:v>
                </c:pt>
                <c:pt idx="21">
                  <c:v>10</c:v>
                </c:pt>
                <c:pt idx="22">
                  <c:v>16</c:v>
                </c:pt>
                <c:pt idx="23">
                  <c:v>11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12</c:v>
                </c:pt>
                <c:pt idx="28">
                  <c:v>8</c:v>
                </c:pt>
                <c:pt idx="29">
                  <c:v>17</c:v>
                </c:pt>
                <c:pt idx="30">
                  <c:v>13</c:v>
                </c:pt>
                <c:pt idx="31">
                  <c:v>12</c:v>
                </c:pt>
                <c:pt idx="32">
                  <c:v>22</c:v>
                </c:pt>
                <c:pt idx="33">
                  <c:v>6</c:v>
                </c:pt>
                <c:pt idx="34">
                  <c:v>15</c:v>
                </c:pt>
                <c:pt idx="35">
                  <c:v>16</c:v>
                </c:pt>
                <c:pt idx="36">
                  <c:v>7</c:v>
                </c:pt>
                <c:pt idx="37">
                  <c:v>18</c:v>
                </c:pt>
                <c:pt idx="38">
                  <c:v>20</c:v>
                </c:pt>
                <c:pt idx="39">
                  <c:v>16</c:v>
                </c:pt>
                <c:pt idx="40">
                  <c:v>21</c:v>
                </c:pt>
                <c:pt idx="41">
                  <c:v>17</c:v>
                </c:pt>
                <c:pt idx="42">
                  <c:v>15</c:v>
                </c:pt>
                <c:pt idx="43">
                  <c:v>17</c:v>
                </c:pt>
                <c:pt idx="44">
                  <c:v>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Daily_Activity!H4</c:f>
              <c:strCache>
                <c:ptCount val="1"/>
                <c:pt idx="0">
                  <c:v>Returning Users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Daily_Activity!$A$5:$A$49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Daily_Activity!$H$5:$H$49</c:f>
              <c:numCache>
                <c:formatCode>#,##0</c:formatCode>
                <c:ptCount val="45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7</c:v>
                </c:pt>
                <c:pt idx="10">
                  <c:v>8</c:v>
                </c:pt>
                <c:pt idx="11">
                  <c:v>12</c:v>
                </c:pt>
                <c:pt idx="12">
                  <c:v>7</c:v>
                </c:pt>
                <c:pt idx="13">
                  <c:v>9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7</c:v>
                </c:pt>
                <c:pt idx="18">
                  <c:v>10</c:v>
                </c:pt>
                <c:pt idx="19">
                  <c:v>14</c:v>
                </c:pt>
                <c:pt idx="20">
                  <c:v>9</c:v>
                </c:pt>
                <c:pt idx="21">
                  <c:v>10</c:v>
                </c:pt>
                <c:pt idx="22">
                  <c:v>16</c:v>
                </c:pt>
                <c:pt idx="23">
                  <c:v>8</c:v>
                </c:pt>
                <c:pt idx="24">
                  <c:v>14</c:v>
                </c:pt>
                <c:pt idx="25">
                  <c:v>13</c:v>
                </c:pt>
                <c:pt idx="26">
                  <c:v>13</c:v>
                </c:pt>
                <c:pt idx="27">
                  <c:v>12</c:v>
                </c:pt>
                <c:pt idx="28">
                  <c:v>8</c:v>
                </c:pt>
                <c:pt idx="29">
                  <c:v>14</c:v>
                </c:pt>
                <c:pt idx="30">
                  <c:v>12</c:v>
                </c:pt>
                <c:pt idx="31">
                  <c:v>12</c:v>
                </c:pt>
                <c:pt idx="32">
                  <c:v>21</c:v>
                </c:pt>
                <c:pt idx="33">
                  <c:v>6</c:v>
                </c:pt>
                <c:pt idx="34">
                  <c:v>14</c:v>
                </c:pt>
                <c:pt idx="35">
                  <c:v>15</c:v>
                </c:pt>
                <c:pt idx="36">
                  <c:v>6</c:v>
                </c:pt>
                <c:pt idx="37">
                  <c:v>17</c:v>
                </c:pt>
                <c:pt idx="38">
                  <c:v>18</c:v>
                </c:pt>
                <c:pt idx="39">
                  <c:v>13</c:v>
                </c:pt>
                <c:pt idx="40">
                  <c:v>20</c:v>
                </c:pt>
                <c:pt idx="41">
                  <c:v>16</c:v>
                </c:pt>
                <c:pt idx="42">
                  <c:v>14</c:v>
                </c:pt>
                <c:pt idx="43">
                  <c:v>16</c:v>
                </c:pt>
                <c:pt idx="44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182437"/>
        <c:axId val="19366206"/>
      </c:lineChart>
      <c:catAx>
        <c:axId val="53182437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66206"/>
        <c:crosses val="autoZero"/>
        <c:auto val="1"/>
        <c:lblAlgn val="ctr"/>
        <c:lblOffset val="100"/>
        <c:noMultiLvlLbl val="0"/>
      </c:catAx>
      <c:valAx>
        <c:axId val="19366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824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Referral Funnel Events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Daily_Activity!B4</c:f>
              <c:strCache>
                <c:ptCount val="1"/>
                <c:pt idx="0">
                  <c:v>Referrals Created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Daily_Activity!$A$5:$A$49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Daily_Activity!$B$5:$B$49</c:f>
              <c:numCache>
                <c:formatCode>#,##0</c:formatCode>
                <c:ptCount val="4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5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3</c:v>
                </c:pt>
                <c:pt idx="33">
                  <c:v>0</c:v>
                </c:pt>
                <c:pt idx="34">
                  <c:v>2</c:v>
                </c:pt>
                <c:pt idx="35">
                  <c:v>5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Daily_Activity!C4</c:f>
              <c:strCache>
                <c:ptCount val="1"/>
                <c:pt idx="0">
                  <c:v>Users Registered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Daily_Activity!$A$5:$A$49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Daily_Activity!$C$5:$C$49</c:f>
              <c:numCache>
                <c:formatCode>#,##0</c:formatCode>
                <c:ptCount val="4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2</c:v>
                </c:pt>
                <c:pt idx="36">
                  <c:v>4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Daily_Activity!D4</c:f>
              <c:strCache>
                <c:ptCount val="1"/>
                <c:pt idx="0">
                  <c:v>Users Activated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Daily_Activity!$A$5:$A$49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Daily_Activity!$D$5:$D$49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Daily_Activity!E4</c:f>
              <c:strCache>
                <c:ptCount val="1"/>
                <c:pt idx="0">
                  <c:v>Referrals Converted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Daily_Activity!$A$5:$A$49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Daily_Activity!$E$5:$E$49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884167"/>
        <c:axId val="32596819"/>
      </c:lineChart>
      <c:catAx>
        <c:axId val="94884167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96819"/>
        <c:crosses val="autoZero"/>
        <c:auto val="1"/>
        <c:lblAlgn val="ctr"/>
        <c:lblOffset val="100"/>
        <c:noMultiLvlLbl val="0"/>
      </c:catAx>
      <c:valAx>
        <c:axId val="32596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841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Feature Adoption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Feature_Adoption!C4</c:f>
              <c:strCache>
                <c:ptCount val="1"/>
                <c:pt idx="0">
                  <c:v>Adoption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Feature_Adoption!$A$5:$A$9</c:f>
              <c:strCache>
                <c:ptCount val="5"/>
                <c:pt idx="0">
                  <c:v>Dashboard</c:v>
                </c:pt>
                <c:pt idx="1">
                  <c:v>Reports</c:v>
                </c:pt>
                <c:pt idx="2">
                  <c:v>Invite &amp; Share</c:v>
                </c:pt>
                <c:pt idx="3">
                  <c:v>Chat</c:v>
                </c:pt>
                <c:pt idx="4">
                  <c:v>Export</c:v>
                </c:pt>
              </c:strCache>
            </c:strRef>
          </c:cat>
          <c:val>
            <c:numRef>
              <c:f>Feature_Adoption!$C$5:$C$9</c:f>
              <c:numCache>
                <c:formatCode>0.0%</c:formatCode>
                <c:ptCount val="5"/>
                <c:pt idx="0">
                  <c:v>0.931034482758621</c:v>
                </c:pt>
                <c:pt idx="1">
                  <c:v>0.758620689655172</c:v>
                </c:pt>
                <c:pt idx="2">
                  <c:v>0.810344827586207</c:v>
                </c:pt>
                <c:pt idx="3">
                  <c:v>0.793103448275862</c:v>
                </c:pt>
                <c:pt idx="4">
                  <c:v>0.586206896551724</c:v>
                </c:pt>
              </c:numCache>
            </c:numRef>
          </c:val>
        </c:ser>
        <c:gapWidth val="150"/>
        <c:overlap val="0"/>
        <c:axId val="7060346"/>
        <c:axId val="46662110"/>
      </c:barChart>
      <c:catAx>
        <c:axId val="7060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62110"/>
        <c:crosses val="autoZero"/>
        <c:auto val="1"/>
        <c:lblAlgn val="ctr"/>
        <c:lblOffset val="100"/>
        <c:noMultiLvlLbl val="0"/>
      </c:catAx>
      <c:valAx>
        <c:axId val="46662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0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17</xdr:col>
      <xdr:colOff>147600</xdr:colOff>
      <xdr:row>10</xdr:row>
      <xdr:rowOff>165960</xdr:rowOff>
    </xdr:to>
    <xdr:graphicFrame>
      <xdr:nvGraphicFramePr>
        <xdr:cNvPr id="0" name="Chart 1"/>
        <xdr:cNvGraphicFramePr/>
      </xdr:nvGraphicFramePr>
      <xdr:xfrm>
        <a:off x="1118412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293760</xdr:rowOff>
    </xdr:from>
    <xdr:to>
      <xdr:col>17</xdr:col>
      <xdr:colOff>147600</xdr:colOff>
      <xdr:row>25</xdr:row>
      <xdr:rowOff>298800</xdr:rowOff>
    </xdr:to>
    <xdr:graphicFrame>
      <xdr:nvGraphicFramePr>
        <xdr:cNvPr id="1" name="Chart 2"/>
        <xdr:cNvGraphicFramePr/>
      </xdr:nvGraphicFramePr>
      <xdr:xfrm>
        <a:off x="11184120" y="54100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160920</xdr:rowOff>
    </xdr:from>
    <xdr:to>
      <xdr:col>25</xdr:col>
      <xdr:colOff>364680</xdr:colOff>
      <xdr:row>16</xdr:row>
      <xdr:rowOff>163800</xdr:rowOff>
    </xdr:to>
    <xdr:graphicFrame>
      <xdr:nvGraphicFramePr>
        <xdr:cNvPr id="2" name="Chart 1"/>
        <xdr:cNvGraphicFramePr/>
      </xdr:nvGraphicFramePr>
      <xdr:xfrm>
        <a:off x="1442664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19</xdr:row>
      <xdr:rowOff>160560</xdr:rowOff>
    </xdr:from>
    <xdr:to>
      <xdr:col>25</xdr:col>
      <xdr:colOff>364680</xdr:colOff>
      <xdr:row>34</xdr:row>
      <xdr:rowOff>182520</xdr:rowOff>
    </xdr:to>
    <xdr:graphicFrame>
      <xdr:nvGraphicFramePr>
        <xdr:cNvPr id="3" name="Chart 2"/>
        <xdr:cNvGraphicFramePr/>
      </xdr:nvGraphicFramePr>
      <xdr:xfrm>
        <a:off x="14426640" y="40194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4</xdr:col>
      <xdr:colOff>669600</xdr:colOff>
      <xdr:row>24</xdr:row>
      <xdr:rowOff>13320</xdr:rowOff>
    </xdr:to>
    <xdr:graphicFrame>
      <xdr:nvGraphicFramePr>
        <xdr:cNvPr id="4" name="Chart 1"/>
        <xdr:cNvGraphicFramePr/>
      </xdr:nvGraphicFramePr>
      <xdr:xfrm>
        <a:off x="0" y="23050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5</v>
      </c>
      <c r="B6" s="5"/>
    </row>
    <row r="7" customFormat="false" ht="15" hidden="false" customHeight="false" outlineLevel="0" collapsed="false">
      <c r="A7" s="2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4" t="s">
        <v>20</v>
      </c>
      <c r="B15" s="5"/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19" customFormat="false" ht="15" hidden="false" customHeight="false" outlineLevel="0" collapsed="false">
      <c r="A19" s="2" t="s">
        <v>27</v>
      </c>
      <c r="B19" s="3" t="s">
        <v>28</v>
      </c>
    </row>
    <row r="20" customFormat="false" ht="15" hidden="false" customHeight="false" outlineLevel="0" collapsed="false">
      <c r="A20" s="2" t="s">
        <v>29</v>
      </c>
      <c r="B20" s="3" t="s">
        <v>30</v>
      </c>
    </row>
    <row r="21" customFormat="false" ht="15" hidden="false" customHeight="false" outlineLevel="0" collapsed="false">
      <c r="A21" s="2"/>
      <c r="B21" s="3"/>
    </row>
    <row r="22" customFormat="false" ht="15" hidden="false" customHeight="false" outlineLevel="0" collapsed="false">
      <c r="A22" s="4" t="s">
        <v>31</v>
      </c>
      <c r="B22" s="5"/>
    </row>
    <row r="23" customFormat="false" ht="15" hidden="false" customHeight="false" outlineLevel="0" collapsed="false">
      <c r="A23" s="2" t="s">
        <v>32</v>
      </c>
      <c r="B23" s="3" t="s">
        <v>33</v>
      </c>
    </row>
    <row r="24" customFormat="false" ht="15" hidden="false" customHeight="false" outlineLevel="0" collapsed="false">
      <c r="A24" s="2" t="s">
        <v>34</v>
      </c>
      <c r="B24" s="3" t="s">
        <v>35</v>
      </c>
    </row>
    <row r="25" customFormat="false" ht="15" hidden="false" customHeight="false" outlineLevel="0" collapsed="false">
      <c r="A25" s="6" t="s">
        <v>36</v>
      </c>
      <c r="B25" s="3" t="s">
        <v>37</v>
      </c>
    </row>
    <row r="26" customFormat="false" ht="15" hidden="false" customHeight="false" outlineLevel="0" collapsed="false">
      <c r="A26" s="2" t="s">
        <v>38</v>
      </c>
      <c r="B26" s="3" t="s">
        <v>39</v>
      </c>
    </row>
    <row r="27" customFormat="false" ht="15" hidden="false" customHeight="false" outlineLevel="0" collapsed="false">
      <c r="A27" s="7"/>
    </row>
    <row r="28" customFormat="false" ht="15" hidden="false" customHeight="false" outlineLevel="0" collapsed="false">
      <c r="A2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8" min="5" style="0" width="16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9" t="s">
        <v>41</v>
      </c>
      <c r="B2" s="10" t="n">
        <f aca="false">Settings!B5</f>
        <v>46310</v>
      </c>
    </row>
    <row r="4" customFormat="false" ht="30" hidden="false" customHeight="true" outlineLevel="0" collapsed="false">
      <c r="A4" s="11" t="s">
        <v>42</v>
      </c>
      <c r="B4" s="11" t="s">
        <v>43</v>
      </c>
      <c r="C4" s="11" t="s">
        <v>44</v>
      </c>
      <c r="D4" s="11" t="s">
        <v>45</v>
      </c>
      <c r="E4" s="11" t="s">
        <v>46</v>
      </c>
      <c r="F4" s="11"/>
      <c r="G4" s="11"/>
      <c r="H4" s="11"/>
    </row>
    <row r="5" customFormat="false" ht="25.5" hidden="false" customHeight="true" outlineLevel="0" collapsed="false">
      <c r="A5" s="12" t="s">
        <v>47</v>
      </c>
      <c r="B5" s="13" t="n">
        <f aca="false">COUNTA(Referral_Data!$A$5:$A$1000)</f>
        <v>60</v>
      </c>
      <c r="C5" s="14" t="n">
        <f aca="false">IFERROR(B5/$B$5,0)</f>
        <v>1</v>
      </c>
      <c r="D5" s="15" t="s">
        <v>48</v>
      </c>
      <c r="E5" s="16" t="s">
        <v>49</v>
      </c>
      <c r="F5" s="16"/>
      <c r="G5" s="16"/>
      <c r="H5" s="16"/>
    </row>
    <row r="6" customFormat="false" ht="25.5" hidden="false" customHeight="true" outlineLevel="0" collapsed="false">
      <c r="A6" s="12" t="s">
        <v>50</v>
      </c>
      <c r="B6" s="13" t="n">
        <f aca="false">COUNT(Referral_Data!$F$5:$F$1000)</f>
        <v>40</v>
      </c>
      <c r="C6" s="14" t="n">
        <f aca="false">IFERROR(B6/$B$5,0)</f>
        <v>0.666666666666667</v>
      </c>
      <c r="D6" s="15" t="n">
        <f aca="false">IFERROR(B6/B5,0)</f>
        <v>0.666666666666667</v>
      </c>
      <c r="E6" s="16" t="s">
        <v>51</v>
      </c>
      <c r="F6" s="16"/>
      <c r="G6" s="16"/>
      <c r="H6" s="16"/>
    </row>
    <row r="7" customFormat="false" ht="25.5" hidden="false" customHeight="true" outlineLevel="0" collapsed="false">
      <c r="A7" s="12" t="s">
        <v>52</v>
      </c>
      <c r="B7" s="13" t="n">
        <f aca="false">COUNT(Referral_Data!$G$5:$G$1000)</f>
        <v>20</v>
      </c>
      <c r="C7" s="14" t="n">
        <f aca="false">IFERROR(B7/$B$5,0)</f>
        <v>0.333333333333333</v>
      </c>
      <c r="D7" s="15" t="n">
        <f aca="false">IFERROR(B7/B6,0)</f>
        <v>0.5</v>
      </c>
      <c r="E7" s="16" t="s">
        <v>53</v>
      </c>
      <c r="F7" s="16"/>
      <c r="G7" s="16"/>
      <c r="H7" s="16"/>
    </row>
    <row r="8" customFormat="false" ht="25.5" hidden="false" customHeight="true" outlineLevel="0" collapsed="false">
      <c r="A8" s="12" t="s">
        <v>54</v>
      </c>
      <c r="B8" s="13" t="n">
        <f aca="false">COUNT(Referral_Data!$H$5:$H$1000)</f>
        <v>10</v>
      </c>
      <c r="C8" s="14" t="n">
        <f aca="false">IFERROR(B8/$B$5,0)</f>
        <v>0.166666666666667</v>
      </c>
      <c r="D8" s="15" t="n">
        <f aca="false">IFERROR(B8/B7,0)</f>
        <v>0.5</v>
      </c>
      <c r="E8" s="16" t="s">
        <v>55</v>
      </c>
      <c r="F8" s="16"/>
      <c r="G8" s="16"/>
      <c r="H8" s="16"/>
    </row>
    <row r="9" customFormat="false" ht="25.5" hidden="false" customHeight="true" outlineLevel="0" collapsed="false">
      <c r="A9" s="17" t="s">
        <v>56</v>
      </c>
      <c r="B9" s="13" t="n">
        <f aca="false">COUNTIF(Referral_Data!$I$5:$I$1000,"Expired")</f>
        <v>7</v>
      </c>
      <c r="C9" s="14"/>
      <c r="D9" s="17"/>
      <c r="E9" s="16" t="s">
        <v>57</v>
      </c>
      <c r="F9" s="16"/>
      <c r="G9" s="16"/>
      <c r="H9" s="16"/>
    </row>
    <row r="10" customFormat="false" ht="25.5" hidden="false" customHeight="true" outlineLevel="0" collapsed="false">
      <c r="A10" s="17" t="s">
        <v>58</v>
      </c>
      <c r="B10" s="13" t="n">
        <f aca="false">B6-B8</f>
        <v>30</v>
      </c>
      <c r="C10" s="14"/>
      <c r="D10" s="17"/>
      <c r="E10" s="16" t="s">
        <v>59</v>
      </c>
      <c r="F10" s="16"/>
      <c r="G10" s="16"/>
      <c r="H10" s="16"/>
    </row>
    <row r="11" customFormat="false" ht="25.5" hidden="false" customHeight="true" outlineLevel="0" collapsed="false">
      <c r="A11" s="17" t="s">
        <v>60</v>
      </c>
      <c r="B11" s="13" t="n">
        <f aca="false">B6-B7</f>
        <v>20</v>
      </c>
      <c r="C11" s="14"/>
      <c r="D11" s="17"/>
      <c r="E11" s="16" t="s">
        <v>61</v>
      </c>
      <c r="F11" s="16"/>
      <c r="G11" s="16"/>
      <c r="H11" s="16"/>
    </row>
    <row r="12" customFormat="false" ht="25.5" hidden="false" customHeight="true" outlineLevel="0" collapsed="false">
      <c r="A12" s="17" t="s">
        <v>62</v>
      </c>
      <c r="B12" s="13" t="n">
        <f aca="false">COUNTIF(Referral_Data!$P$5:$P$1000,"Yes")</f>
        <v>20</v>
      </c>
      <c r="C12" s="14" t="n">
        <f aca="false">IFERROR(B12/B7,0)</f>
        <v>1</v>
      </c>
      <c r="D12" s="17"/>
      <c r="E12" s="16" t="s">
        <v>63</v>
      </c>
      <c r="F12" s="16"/>
      <c r="G12" s="16"/>
      <c r="H12" s="16"/>
    </row>
    <row r="13" customFormat="false" ht="25.5" hidden="false" customHeight="true" outlineLevel="0" collapsed="false">
      <c r="A13" s="17" t="s">
        <v>64</v>
      </c>
      <c r="B13" s="13" t="n">
        <f aca="false">COUNTIF(Referral_Data!$K$5:$K$1000,"CHECK*")</f>
        <v>0</v>
      </c>
      <c r="C13" s="14"/>
      <c r="D13" s="17"/>
      <c r="E13" s="16" t="s">
        <v>65</v>
      </c>
      <c r="F13" s="16"/>
      <c r="G13" s="16"/>
      <c r="H13" s="16"/>
    </row>
    <row r="15" customFormat="false" ht="30" hidden="false" customHeight="true" outlineLevel="0" collapsed="false">
      <c r="A15" s="11" t="s">
        <v>66</v>
      </c>
      <c r="B15" s="11" t="s">
        <v>67</v>
      </c>
      <c r="C15" s="11" t="s">
        <v>68</v>
      </c>
      <c r="D15" s="11" t="s">
        <v>69</v>
      </c>
      <c r="E15" s="11" t="s">
        <v>70</v>
      </c>
      <c r="F15" s="11"/>
      <c r="G15" s="11"/>
      <c r="H15" s="11"/>
    </row>
    <row r="16" customFormat="false" ht="25.5" hidden="false" customHeight="true" outlineLevel="0" collapsed="false">
      <c r="A16" s="12" t="s">
        <v>71</v>
      </c>
      <c r="B16" s="14" t="n">
        <f aca="false">IFERROR(B6/B5,0)</f>
        <v>0.666666666666667</v>
      </c>
      <c r="C16" s="18" t="n">
        <f aca="false">Settings!B12</f>
        <v>0.6</v>
      </c>
      <c r="D16" s="19" t="str">
        <f aca="false">IF(B16&gt;=C16,"On track","Below target")</f>
        <v>On track</v>
      </c>
      <c r="E16" s="16" t="s">
        <v>72</v>
      </c>
      <c r="F16" s="16"/>
      <c r="G16" s="16"/>
      <c r="H16" s="16"/>
    </row>
    <row r="17" customFormat="false" ht="25.5" hidden="false" customHeight="true" outlineLevel="0" collapsed="false">
      <c r="A17" s="12" t="s">
        <v>73</v>
      </c>
      <c r="B17" s="14" t="n">
        <f aca="false">IFERROR(B7/B6,0)</f>
        <v>0.5</v>
      </c>
      <c r="C17" s="18" t="n">
        <f aca="false">Settings!B13</f>
        <v>0.5</v>
      </c>
      <c r="D17" s="19" t="str">
        <f aca="false">IF(B17&gt;=C17,"On track","Below target")</f>
        <v>On track</v>
      </c>
      <c r="E17" s="16" t="s">
        <v>74</v>
      </c>
      <c r="F17" s="16"/>
      <c r="G17" s="16"/>
      <c r="H17" s="16"/>
    </row>
    <row r="18" customFormat="false" ht="25.5" hidden="false" customHeight="true" outlineLevel="0" collapsed="false">
      <c r="A18" s="12" t="s">
        <v>75</v>
      </c>
      <c r="B18" s="14" t="n">
        <f aca="false">IFERROR(B8/B7,0)</f>
        <v>0.5</v>
      </c>
      <c r="C18" s="18" t="n">
        <f aca="false">Settings!B14</f>
        <v>0.5</v>
      </c>
      <c r="D18" s="19" t="str">
        <f aca="false">IF(B18&gt;=C18,"On track","Below target")</f>
        <v>On track</v>
      </c>
      <c r="E18" s="16" t="s">
        <v>76</v>
      </c>
      <c r="F18" s="16"/>
      <c r="G18" s="16"/>
      <c r="H18" s="16"/>
    </row>
    <row r="19" customFormat="false" ht="25.5" hidden="false" customHeight="true" outlineLevel="0" collapsed="false">
      <c r="A19" s="12" t="s">
        <v>77</v>
      </c>
      <c r="B19" s="14" t="n">
        <f aca="false">IFERROR(B8/B5,0)</f>
        <v>0.166666666666667</v>
      </c>
      <c r="C19" s="18" t="n">
        <f aca="false">Settings!B15</f>
        <v>0.15</v>
      </c>
      <c r="D19" s="19" t="str">
        <f aca="false">IF(B19&gt;=C19,"On track","Below target")</f>
        <v>On track</v>
      </c>
      <c r="E19" s="16" t="s">
        <v>78</v>
      </c>
      <c r="F19" s="16"/>
      <c r="G19" s="16"/>
      <c r="H19" s="16"/>
    </row>
    <row r="20" customFormat="false" ht="25.5" hidden="false" customHeight="true" outlineLevel="0" collapsed="false">
      <c r="A20" s="12" t="s">
        <v>79</v>
      </c>
      <c r="B20" s="14" t="n">
        <f aca="false">IFERROR(B8/B6,0)</f>
        <v>0.25</v>
      </c>
      <c r="C20" s="17"/>
      <c r="D20" s="17"/>
      <c r="E20" s="16" t="s">
        <v>80</v>
      </c>
      <c r="F20" s="16"/>
      <c r="G20" s="16"/>
      <c r="H20" s="16"/>
    </row>
    <row r="21" customFormat="false" ht="25.5" hidden="false" customHeight="true" outlineLevel="0" collapsed="false">
      <c r="A21" s="17" t="s">
        <v>81</v>
      </c>
      <c r="B21" s="13" t="n">
        <f aca="false">SUM(Referral_Data!$Q$5:$Q$1000)</f>
        <v>12</v>
      </c>
      <c r="C21" s="17"/>
      <c r="D21" s="17"/>
      <c r="E21" s="16" t="s">
        <v>82</v>
      </c>
      <c r="F21" s="16"/>
      <c r="G21" s="16"/>
      <c r="H21" s="16"/>
    </row>
    <row r="22" customFormat="false" ht="25.5" hidden="false" customHeight="true" outlineLevel="0" collapsed="false">
      <c r="A22" s="17" t="s">
        <v>83</v>
      </c>
      <c r="B22" s="13" t="n">
        <f aca="false">SUM(Referral_Data!$R$5:$R$1000)</f>
        <v>7</v>
      </c>
      <c r="C22" s="17"/>
      <c r="D22" s="17"/>
      <c r="E22" s="16" t="s">
        <v>84</v>
      </c>
      <c r="F22" s="16"/>
      <c r="G22" s="16"/>
      <c r="H22" s="16"/>
    </row>
    <row r="23" customFormat="false" ht="25.5" hidden="false" customHeight="true" outlineLevel="0" collapsed="false">
      <c r="A23" s="17" t="s">
        <v>85</v>
      </c>
      <c r="B23" s="14" t="n">
        <f aca="false">IFERROR(B22/B21,0)</f>
        <v>0.583333333333333</v>
      </c>
      <c r="C23" s="17"/>
      <c r="D23" s="17"/>
      <c r="E23" s="16" t="s">
        <v>86</v>
      </c>
      <c r="F23" s="16"/>
      <c r="G23" s="16"/>
      <c r="H23" s="16"/>
    </row>
    <row r="25" customFormat="false" ht="30" hidden="false" customHeight="true" outlineLevel="0" collapsed="false">
      <c r="A25" s="11" t="s">
        <v>87</v>
      </c>
      <c r="B25" s="11" t="s">
        <v>88</v>
      </c>
      <c r="C25" s="11" t="s">
        <v>89</v>
      </c>
      <c r="D25" s="11"/>
      <c r="E25" s="11" t="s">
        <v>70</v>
      </c>
      <c r="F25" s="11"/>
      <c r="G25" s="11"/>
      <c r="H25" s="11"/>
    </row>
    <row r="26" customFormat="false" ht="25.5" hidden="false" customHeight="true" outlineLevel="0" collapsed="false">
      <c r="A26" s="17" t="s">
        <v>90</v>
      </c>
      <c r="B26" s="20" t="n">
        <f aca="false">IFERROR(AVERAGE(Referral_Data!$L$5:$L$1000),0)</f>
        <v>2.03279513888918</v>
      </c>
      <c r="C26" s="20" t="n">
        <f aca="false">IFERROR(MEDIAN(Referral_Data!$L$5:$L$1000),0)</f>
        <v>1.21944444444444</v>
      </c>
      <c r="D26" s="17"/>
      <c r="E26" s="16" t="s">
        <v>91</v>
      </c>
      <c r="F26" s="16"/>
      <c r="G26" s="16"/>
      <c r="H26" s="16"/>
    </row>
    <row r="27" customFormat="false" ht="25.5" hidden="false" customHeight="true" outlineLevel="0" collapsed="false">
      <c r="A27" s="17" t="s">
        <v>92</v>
      </c>
      <c r="B27" s="20" t="n">
        <f aca="false">IFERROR(AVERAGE(Referral_Data!$M$5:$M$1000),0)</f>
        <v>2.91041666666667</v>
      </c>
      <c r="C27" s="20" t="n">
        <f aca="false">IFERROR(MEDIAN(Referral_Data!$M$5:$M$1000),0)</f>
        <v>2.64583333333333</v>
      </c>
      <c r="D27" s="17"/>
      <c r="E27" s="16" t="s">
        <v>91</v>
      </c>
      <c r="F27" s="16"/>
      <c r="G27" s="16"/>
      <c r="H27" s="16"/>
    </row>
    <row r="28" customFormat="false" ht="25.5" hidden="false" customHeight="true" outlineLevel="0" collapsed="false">
      <c r="A28" s="17" t="s">
        <v>93</v>
      </c>
      <c r="B28" s="20" t="n">
        <f aca="false">IFERROR(AVERAGE(Referral_Data!$N$5:$N$1000),0)</f>
        <v>6.19166666666667</v>
      </c>
      <c r="C28" s="20" t="n">
        <f aca="false">IFERROR(MEDIAN(Referral_Data!$N$5:$N$1000),0)</f>
        <v>6</v>
      </c>
      <c r="D28" s="17"/>
      <c r="E28" s="16" t="s">
        <v>91</v>
      </c>
      <c r="F28" s="16"/>
      <c r="G28" s="16"/>
      <c r="H28" s="16"/>
    </row>
    <row r="29" customFormat="false" ht="25.5" hidden="false" customHeight="true" outlineLevel="0" collapsed="false">
      <c r="A29" s="17" t="s">
        <v>94</v>
      </c>
      <c r="B29" s="20" t="n">
        <f aca="false">IFERROR(AVERAGE(Referral_Data!$O$5:$O$1000),0)</f>
        <v>10.4913888888889</v>
      </c>
      <c r="C29" s="20" t="n">
        <f aca="false">IFERROR(MEDIAN(Referral_Data!$O$5:$O$1000),0)</f>
        <v>10.7899305555556</v>
      </c>
      <c r="D29" s="17"/>
      <c r="E29" s="16" t="s">
        <v>91</v>
      </c>
      <c r="F29" s="16"/>
      <c r="G29" s="16"/>
      <c r="H29" s="16"/>
    </row>
    <row r="31" customFormat="false" ht="30" hidden="false" customHeight="true" outlineLevel="0" collapsed="false">
      <c r="A31" s="11" t="s">
        <v>95</v>
      </c>
      <c r="B31" s="11" t="s">
        <v>67</v>
      </c>
      <c r="C31" s="11" t="s">
        <v>68</v>
      </c>
      <c r="D31" s="11" t="s">
        <v>69</v>
      </c>
      <c r="E31" s="11" t="s">
        <v>70</v>
      </c>
      <c r="F31" s="11"/>
      <c r="G31" s="11"/>
      <c r="H31" s="11"/>
    </row>
    <row r="32" customFormat="false" ht="25.5" hidden="false" customHeight="true" outlineLevel="0" collapsed="false">
      <c r="A32" s="17" t="s">
        <v>96</v>
      </c>
      <c r="B32" s="13" t="n">
        <f aca="false">SUM(Engagement_Events!$K$5:$K$3000)</f>
        <v>58</v>
      </c>
      <c r="C32" s="17"/>
      <c r="D32" s="17"/>
      <c r="E32" s="16" t="s">
        <v>97</v>
      </c>
      <c r="F32" s="16"/>
      <c r="G32" s="16"/>
      <c r="H32" s="16"/>
    </row>
    <row r="33" customFormat="false" ht="25.5" hidden="false" customHeight="true" outlineLevel="0" collapsed="false">
      <c r="A33" s="12" t="s">
        <v>98</v>
      </c>
      <c r="B33" s="13" t="n">
        <f aca="false">SUMIFS(Engagement_Events!$G$5:$G$3000,Engagement_Events!$C$5:$C$3000,Settings!B5)</f>
        <v>19</v>
      </c>
      <c r="C33" s="17"/>
      <c r="D33" s="17"/>
      <c r="E33" s="16" t="s">
        <v>99</v>
      </c>
      <c r="F33" s="16"/>
      <c r="G33" s="16"/>
      <c r="H33" s="16"/>
    </row>
    <row r="34" customFormat="false" ht="25.5" hidden="false" customHeight="true" outlineLevel="0" collapsed="false">
      <c r="A34" s="17" t="s">
        <v>100</v>
      </c>
      <c r="B34" s="13" t="n">
        <f aca="false">SUM(Engagement_Events!$L$5:$L$3000)</f>
        <v>53</v>
      </c>
      <c r="C34" s="17"/>
      <c r="D34" s="17"/>
      <c r="E34" s="16" t="s">
        <v>101</v>
      </c>
      <c r="F34" s="16"/>
      <c r="G34" s="16"/>
      <c r="H34" s="16"/>
    </row>
    <row r="35" customFormat="false" ht="25.5" hidden="false" customHeight="true" outlineLevel="0" collapsed="false">
      <c r="A35" s="17" t="s">
        <v>102</v>
      </c>
      <c r="B35" s="13" t="n">
        <f aca="false">SUM(Engagement_Events!$M$5:$M$3000)</f>
        <v>58</v>
      </c>
      <c r="C35" s="17"/>
      <c r="D35" s="17"/>
      <c r="E35" s="16" t="s">
        <v>103</v>
      </c>
      <c r="F35" s="16"/>
      <c r="G35" s="16"/>
      <c r="H35" s="16"/>
    </row>
    <row r="36" customFormat="false" ht="25.5" hidden="false" customHeight="true" outlineLevel="0" collapsed="false">
      <c r="A36" s="12" t="s">
        <v>104</v>
      </c>
      <c r="B36" s="14" t="n">
        <f aca="false">IFERROR(B33/B35,0)</f>
        <v>0.327586206896552</v>
      </c>
      <c r="C36" s="18" t="n">
        <f aca="false">Settings!B16</f>
        <v>0.2</v>
      </c>
      <c r="D36" s="19" t="str">
        <f aca="false">IF(B36&gt;=C36,"On track","Below target")</f>
        <v>On track</v>
      </c>
      <c r="E36" s="16" t="s">
        <v>105</v>
      </c>
      <c r="F36" s="16"/>
      <c r="G36" s="16"/>
      <c r="H36" s="16"/>
    </row>
    <row r="37" customFormat="false" ht="25.5" hidden="false" customHeight="true" outlineLevel="0" collapsed="false">
      <c r="A37" s="17" t="s">
        <v>106</v>
      </c>
      <c r="B37" s="13" t="n">
        <f aca="false">SUMIFS(Engagement_Events!$H$5:$H$3000,Engagement_Events!$C$5:$C$3000,Settings!B5)</f>
        <v>18</v>
      </c>
      <c r="C37" s="17"/>
      <c r="D37" s="17"/>
      <c r="E37" s="16" t="s">
        <v>107</v>
      </c>
      <c r="F37" s="16"/>
      <c r="G37" s="16"/>
      <c r="H37" s="16"/>
    </row>
    <row r="38" customFormat="false" ht="25.5" hidden="false" customHeight="true" outlineLevel="0" collapsed="false">
      <c r="A38" s="12" t="s">
        <v>108</v>
      </c>
      <c r="B38" s="14" t="n">
        <f aca="false">IFERROR(B37/B33,0)</f>
        <v>0.947368421052632</v>
      </c>
      <c r="C38" s="18" t="n">
        <f aca="false">Settings!B17</f>
        <v>0.4</v>
      </c>
      <c r="D38" s="19" t="str">
        <f aca="false">IF(B38&gt;=C38,"On track","Below target")</f>
        <v>On track</v>
      </c>
      <c r="E38" s="16" t="s">
        <v>109</v>
      </c>
      <c r="F38" s="16"/>
      <c r="G38" s="16"/>
      <c r="H38" s="16"/>
    </row>
    <row r="39" customFormat="false" ht="25.5" hidden="false" customHeight="true" outlineLevel="0" collapsed="false">
      <c r="A39" s="17" t="s">
        <v>110</v>
      </c>
      <c r="B39" s="20" t="n">
        <f aca="false">IFERROR(AVERAGE(Daily_Activity!F5:F49),0)</f>
        <v>12</v>
      </c>
      <c r="C39" s="17"/>
      <c r="D39" s="17"/>
      <c r="E39" s="16" t="s">
        <v>111</v>
      </c>
      <c r="F39" s="16"/>
      <c r="G39" s="16"/>
      <c r="H39" s="16"/>
    </row>
    <row r="40" customFormat="false" ht="25.5" hidden="false" customHeight="true" outlineLevel="0" collapsed="false">
      <c r="A40" s="17" t="s">
        <v>112</v>
      </c>
      <c r="B40" s="13" t="n">
        <f aca="false">COUNTIF(Engagement_Events!$D$5:$D$3000,"Task Completed")</f>
        <v>287</v>
      </c>
      <c r="C40" s="17"/>
      <c r="D40" s="17"/>
      <c r="E40" s="16" t="s">
        <v>113</v>
      </c>
      <c r="F40" s="16"/>
      <c r="G40" s="16"/>
      <c r="H40" s="16"/>
    </row>
    <row r="41" customFormat="false" ht="25.5" hidden="false" customHeight="true" outlineLevel="0" collapsed="false">
      <c r="A41" s="17" t="s">
        <v>114</v>
      </c>
      <c r="B41" s="21" t="n">
        <f aca="false">IFERROR(B40/B32,0)</f>
        <v>4.94827586206897</v>
      </c>
      <c r="C41" s="17"/>
      <c r="D41" s="17"/>
      <c r="E41" s="16" t="s">
        <v>115</v>
      </c>
      <c r="F41" s="16"/>
      <c r="G41" s="16"/>
      <c r="H41" s="16"/>
    </row>
    <row r="42" customFormat="false" ht="25.5" hidden="false" customHeight="true" outlineLevel="0" collapsed="false">
      <c r="A42" s="17" t="s">
        <v>116</v>
      </c>
      <c r="B42" s="13" t="n">
        <f aca="false">COUNTIF(Engagement_Events!$D$5:$D$3000,"Feature Use")</f>
        <v>804</v>
      </c>
      <c r="C42" s="17"/>
      <c r="D42" s="17"/>
      <c r="E42" s="16" t="s">
        <v>117</v>
      </c>
      <c r="F42" s="16"/>
      <c r="G42" s="16"/>
      <c r="H42" s="16"/>
    </row>
    <row r="43" customFormat="false" ht="25.5" hidden="false" customHeight="true" outlineLevel="0" collapsed="false">
      <c r="A43" s="17" t="s">
        <v>118</v>
      </c>
      <c r="B43" s="21" t="n">
        <f aca="false">IFERROR(B42/B32,0)</f>
        <v>13.8620689655172</v>
      </c>
      <c r="C43" s="17"/>
      <c r="D43" s="17"/>
      <c r="E43" s="16" t="s">
        <v>119</v>
      </c>
      <c r="F43" s="16"/>
      <c r="G43" s="16"/>
      <c r="H43" s="16"/>
    </row>
    <row r="44" customFormat="false" ht="25.5" hidden="false" customHeight="true" outlineLevel="0" collapsed="false">
      <c r="A44" s="17" t="s">
        <v>120</v>
      </c>
      <c r="B44" s="14" t="n">
        <f aca="false">IFERROR(SUM(Engagement_Events!$N$5:$N$3000)/B32,0)</f>
        <v>1</v>
      </c>
      <c r="C44" s="17"/>
      <c r="D44" s="17"/>
      <c r="E44" s="16" t="s">
        <v>121</v>
      </c>
      <c r="F44" s="16"/>
      <c r="G44" s="16"/>
      <c r="H44" s="16"/>
    </row>
    <row r="45" customFormat="false" ht="25.5" hidden="false" customHeight="true" outlineLevel="0" collapsed="false">
      <c r="A45" s="17" t="s">
        <v>122</v>
      </c>
      <c r="B45" s="14" t="n">
        <f aca="false">IFERROR(AVERAGE(Feature_Adoption!G5:G9),0)</f>
        <v>0.733396223027284</v>
      </c>
      <c r="C45" s="18" t="n">
        <f aca="false">Settings!B18</f>
        <v>0.5</v>
      </c>
      <c r="D45" s="19" t="str">
        <f aca="false">IF(B45&gt;=C45,"On track","Below target")</f>
        <v>On track</v>
      </c>
      <c r="E45" s="16" t="s">
        <v>123</v>
      </c>
      <c r="F45" s="16"/>
      <c r="G45" s="16"/>
      <c r="H45" s="16"/>
    </row>
    <row r="47" customFormat="false" ht="30" hidden="false" customHeight="true" outlineLevel="0" collapsed="false">
      <c r="A47" s="11" t="s">
        <v>124</v>
      </c>
      <c r="B47" s="11" t="s">
        <v>125</v>
      </c>
      <c r="C47" s="11" t="s">
        <v>126</v>
      </c>
      <c r="D47" s="11" t="s">
        <v>127</v>
      </c>
      <c r="E47" s="11" t="s">
        <v>128</v>
      </c>
      <c r="F47" s="11" t="s">
        <v>129</v>
      </c>
      <c r="G47" s="11"/>
      <c r="H47" s="11"/>
    </row>
    <row r="48" customFormat="false" ht="15" hidden="false" customHeight="false" outlineLevel="0" collapsed="false">
      <c r="A48" s="22" t="s">
        <v>130</v>
      </c>
      <c r="B48" s="13" t="n">
        <f aca="false">SUMIFS(Engagement_Events!$K$5:$K$3000,Engagement_Events!$F$5:$F$3000,$A48)</f>
        <v>38</v>
      </c>
      <c r="C48" s="13" t="n">
        <f aca="false">COUNTIFS(Engagement_Events!$D$5:$D$3000,"Task Completed",Engagement_Events!$F$5:$F$3000,$A48)</f>
        <v>152</v>
      </c>
      <c r="D48" s="21" t="n">
        <f aca="false">IFERROR(C48/B48,0)</f>
        <v>4</v>
      </c>
      <c r="E48" s="21" t="n">
        <f aca="false">IFERROR(COUNTIFS(Engagement_Events!$D$5:$D$3000,"Feature Use",Engagement_Events!$F$5:$F$3000,$A48)/B48,0)</f>
        <v>11.2631578947368</v>
      </c>
      <c r="F48" s="21" t="n">
        <f aca="false">IFERROR(COUNTIFS(Engagement_Events!$D$5:$D$3000,"Login",Engagement_Events!$F$5:$F$3000,$A48)/B48,0)</f>
        <v>7.42105263157895</v>
      </c>
    </row>
    <row r="49" customFormat="false" ht="15" hidden="false" customHeight="false" outlineLevel="0" collapsed="false">
      <c r="A49" s="22" t="s">
        <v>131</v>
      </c>
      <c r="B49" s="13" t="n">
        <f aca="false">SUMIFS(Engagement_Events!$K$5:$K$3000,Engagement_Events!$F$5:$F$3000,$A49)</f>
        <v>12</v>
      </c>
      <c r="C49" s="13" t="n">
        <f aca="false">COUNTIFS(Engagement_Events!$D$5:$D$3000,"Task Completed",Engagement_Events!$F$5:$F$3000,$A49)</f>
        <v>92</v>
      </c>
      <c r="D49" s="21" t="n">
        <f aca="false">IFERROR(C49/B49,0)</f>
        <v>7.66666666666667</v>
      </c>
      <c r="E49" s="21" t="n">
        <f aca="false">IFERROR(COUNTIFS(Engagement_Events!$D$5:$D$3000,"Feature Use",Engagement_Events!$F$5:$F$3000,$A49)/B49,0)</f>
        <v>20.5833333333333</v>
      </c>
      <c r="F49" s="21" t="n">
        <f aca="false">IFERROR(COUNTIFS(Engagement_Events!$D$5:$D$3000,"Login",Engagement_Events!$F$5:$F$3000,$A49)/B49,0)</f>
        <v>14.0833333333333</v>
      </c>
    </row>
    <row r="50" customFormat="false" ht="15" hidden="false" customHeight="false" outlineLevel="0" collapsed="false">
      <c r="A50" s="22" t="s">
        <v>132</v>
      </c>
      <c r="B50" s="13" t="n">
        <f aca="false">SUMIFS(Engagement_Events!$K$5:$K$3000,Engagement_Events!$F$5:$F$3000,$A50)</f>
        <v>8</v>
      </c>
      <c r="C50" s="13" t="n">
        <f aca="false">COUNTIFS(Engagement_Events!$D$5:$D$3000,"Task Completed",Engagement_Events!$F$5:$F$3000,$A50)</f>
        <v>43</v>
      </c>
      <c r="D50" s="21" t="n">
        <f aca="false">IFERROR(C50/B50,0)</f>
        <v>5.375</v>
      </c>
      <c r="E50" s="21" t="n">
        <f aca="false">IFERROR(COUNTIFS(Engagement_Events!$D$5:$D$3000,"Feature Use",Engagement_Events!$F$5:$F$3000,$A50)/B50,0)</f>
        <v>16.125</v>
      </c>
      <c r="F50" s="21" t="n">
        <f aca="false">IFERROR(COUNTIFS(Engagement_Events!$D$5:$D$3000,"Login",Engagement_Events!$F$5:$F$3000,$A50)/B50,0)</f>
        <v>11.125</v>
      </c>
    </row>
    <row r="52" customFormat="false" ht="42" hidden="false" customHeight="true" outlineLevel="0" collapsed="false">
      <c r="A52" s="11" t="s">
        <v>133</v>
      </c>
      <c r="B52" s="11" t="s">
        <v>134</v>
      </c>
      <c r="C52" s="11" t="s">
        <v>135</v>
      </c>
      <c r="D52" s="11" t="s">
        <v>136</v>
      </c>
      <c r="E52" s="11" t="s">
        <v>137</v>
      </c>
      <c r="F52" s="11" t="s">
        <v>71</v>
      </c>
      <c r="G52" s="11" t="s">
        <v>138</v>
      </c>
      <c r="H52" s="11" t="s">
        <v>139</v>
      </c>
    </row>
    <row r="53" customFormat="false" ht="15" hidden="false" customHeight="false" outlineLevel="0" collapsed="false">
      <c r="A53" s="22" t="s">
        <v>140</v>
      </c>
      <c r="B53" s="13" t="n">
        <f aca="false">COUNTIFS(Referral_Data!$D$5:$D$1000,$A53)</f>
        <v>13</v>
      </c>
      <c r="C53" s="13" t="n">
        <f aca="false">COUNTIFS(Referral_Data!$D$5:$D$1000,$A53,Referral_Data!$F$5:$F$1000,"&lt;&gt;")</f>
        <v>9</v>
      </c>
      <c r="D53" s="13" t="n">
        <f aca="false">COUNTIFS(Referral_Data!$D$5:$D$1000,$A53,Referral_Data!$G$5:$G$1000,"&lt;&gt;")</f>
        <v>5</v>
      </c>
      <c r="E53" s="13" t="n">
        <f aca="false">COUNTIFS(Referral_Data!$D$5:$D$1000,$A53,Referral_Data!$H$5:$H$1000,"&lt;&gt;")</f>
        <v>5</v>
      </c>
      <c r="F53" s="14" t="n">
        <f aca="false">IFERROR(C53/B53,0)</f>
        <v>0.692307692307692</v>
      </c>
      <c r="G53" s="14" t="n">
        <f aca="false">IFERROR(D53/C53,0)</f>
        <v>0.555555555555556</v>
      </c>
      <c r="H53" s="14" t="n">
        <f aca="false">IFERROR(E53/B53,0)</f>
        <v>0.384615384615385</v>
      </c>
    </row>
    <row r="54" customFormat="false" ht="15" hidden="false" customHeight="false" outlineLevel="0" collapsed="false">
      <c r="A54" s="22" t="s">
        <v>141</v>
      </c>
      <c r="B54" s="13" t="n">
        <f aca="false">COUNTIFS(Referral_Data!$D$5:$D$1000,$A54)</f>
        <v>17</v>
      </c>
      <c r="C54" s="13" t="n">
        <f aca="false">COUNTIFS(Referral_Data!$D$5:$D$1000,$A54,Referral_Data!$F$5:$F$1000,"&lt;&gt;")</f>
        <v>9</v>
      </c>
      <c r="D54" s="13" t="n">
        <f aca="false">COUNTIFS(Referral_Data!$D$5:$D$1000,$A54,Referral_Data!$G$5:$G$1000,"&lt;&gt;")</f>
        <v>4</v>
      </c>
      <c r="E54" s="13" t="n">
        <f aca="false">COUNTIFS(Referral_Data!$D$5:$D$1000,$A54,Referral_Data!$H$5:$H$1000,"&lt;&gt;")</f>
        <v>1</v>
      </c>
      <c r="F54" s="14" t="n">
        <f aca="false">IFERROR(C54/B54,0)</f>
        <v>0.529411764705882</v>
      </c>
      <c r="G54" s="14" t="n">
        <f aca="false">IFERROR(D54/C54,0)</f>
        <v>0.444444444444444</v>
      </c>
      <c r="H54" s="14" t="n">
        <f aca="false">IFERROR(E54/B54,0)</f>
        <v>0.0588235294117647</v>
      </c>
    </row>
    <row r="55" customFormat="false" ht="15" hidden="false" customHeight="false" outlineLevel="0" collapsed="false">
      <c r="A55" s="22" t="s">
        <v>142</v>
      </c>
      <c r="B55" s="13" t="n">
        <f aca="false">COUNTIFS(Referral_Data!$D$5:$D$1000,$A55)</f>
        <v>9</v>
      </c>
      <c r="C55" s="13" t="n">
        <f aca="false">COUNTIFS(Referral_Data!$D$5:$D$1000,$A55,Referral_Data!$F$5:$F$1000,"&lt;&gt;")</f>
        <v>7</v>
      </c>
      <c r="D55" s="13" t="n">
        <f aca="false">COUNTIFS(Referral_Data!$D$5:$D$1000,$A55,Referral_Data!$G$5:$G$1000,"&lt;&gt;")</f>
        <v>5</v>
      </c>
      <c r="E55" s="13" t="n">
        <f aca="false">COUNTIFS(Referral_Data!$D$5:$D$1000,$A55,Referral_Data!$H$5:$H$1000,"&lt;&gt;")</f>
        <v>1</v>
      </c>
      <c r="F55" s="14" t="n">
        <f aca="false">IFERROR(C55/B55,0)</f>
        <v>0.777777777777778</v>
      </c>
      <c r="G55" s="14" t="n">
        <f aca="false">IFERROR(D55/C55,0)</f>
        <v>0.714285714285714</v>
      </c>
      <c r="H55" s="14" t="n">
        <f aca="false">IFERROR(E55/B55,0)</f>
        <v>0.111111111111111</v>
      </c>
    </row>
    <row r="56" customFormat="false" ht="15" hidden="false" customHeight="false" outlineLevel="0" collapsed="false">
      <c r="A56" s="22" t="s">
        <v>143</v>
      </c>
      <c r="B56" s="13" t="n">
        <f aca="false">COUNTIFS(Referral_Data!$D$5:$D$1000,$A56)</f>
        <v>16</v>
      </c>
      <c r="C56" s="13" t="n">
        <f aca="false">COUNTIFS(Referral_Data!$D$5:$D$1000,$A56,Referral_Data!$F$5:$F$1000,"&lt;&gt;")</f>
        <v>11</v>
      </c>
      <c r="D56" s="13" t="n">
        <f aca="false">COUNTIFS(Referral_Data!$D$5:$D$1000,$A56,Referral_Data!$G$5:$G$1000,"&lt;&gt;")</f>
        <v>4</v>
      </c>
      <c r="E56" s="13" t="n">
        <f aca="false">COUNTIFS(Referral_Data!$D$5:$D$1000,$A56,Referral_Data!$H$5:$H$1000,"&lt;&gt;")</f>
        <v>2</v>
      </c>
      <c r="F56" s="14" t="n">
        <f aca="false">IFERROR(C56/B56,0)</f>
        <v>0.6875</v>
      </c>
      <c r="G56" s="14" t="n">
        <f aca="false">IFERROR(D56/C56,0)</f>
        <v>0.363636363636364</v>
      </c>
      <c r="H56" s="14" t="n">
        <f aca="false">IFERROR(E56/B56,0)</f>
        <v>0.125</v>
      </c>
    </row>
    <row r="57" customFormat="false" ht="15" hidden="false" customHeight="false" outlineLevel="0" collapsed="false">
      <c r="A57" s="22" t="s">
        <v>144</v>
      </c>
      <c r="B57" s="13" t="n">
        <f aca="false">COUNTIFS(Referral_Data!$D$5:$D$1000,$A57)</f>
        <v>5</v>
      </c>
      <c r="C57" s="13" t="n">
        <f aca="false">COUNTIFS(Referral_Data!$D$5:$D$1000,$A57,Referral_Data!$F$5:$F$1000,"&lt;&gt;")</f>
        <v>4</v>
      </c>
      <c r="D57" s="13" t="n">
        <f aca="false">COUNTIFS(Referral_Data!$D$5:$D$1000,$A57,Referral_Data!$G$5:$G$1000,"&lt;&gt;")</f>
        <v>2</v>
      </c>
      <c r="E57" s="13" t="n">
        <f aca="false">COUNTIFS(Referral_Data!$D$5:$D$1000,$A57,Referral_Data!$H$5:$H$1000,"&lt;&gt;")</f>
        <v>1</v>
      </c>
      <c r="F57" s="14" t="n">
        <f aca="false">IFERROR(C57/B57,0)</f>
        <v>0.8</v>
      </c>
      <c r="G57" s="14" t="n">
        <f aca="false">IFERROR(D57/C57,0)</f>
        <v>0.5</v>
      </c>
      <c r="H57" s="14" t="n">
        <f aca="false">IFERROR(E57/B57,0)</f>
        <v>0.2</v>
      </c>
    </row>
    <row r="58" customFormat="false" ht="15" hidden="false" customHeight="false" outlineLevel="0" collapsed="false">
      <c r="A58" s="12" t="s">
        <v>145</v>
      </c>
      <c r="B58" s="23" t="n">
        <f aca="false">SUM(B53:B57)</f>
        <v>60</v>
      </c>
      <c r="C58" s="23" t="n">
        <f aca="false">SUM(C53:C57)</f>
        <v>40</v>
      </c>
      <c r="D58" s="23" t="n">
        <f aca="false">SUM(D53:D57)</f>
        <v>20</v>
      </c>
      <c r="E58" s="23" t="n">
        <f aca="false">SUM(E53:E57)</f>
        <v>10</v>
      </c>
      <c r="F58" s="24" t="n">
        <f aca="false">IFERROR(C58/B58,0)</f>
        <v>0.666666666666667</v>
      </c>
      <c r="G58" s="24" t="n">
        <f aca="false">IFERROR(D58/C58,0)</f>
        <v>0.5</v>
      </c>
      <c r="H58" s="24" t="n">
        <f aca="false">IFERROR(E58/B58,0)</f>
        <v>0.166666666666667</v>
      </c>
    </row>
    <row r="59" customFormat="false" ht="15" hidden="false" customHeight="false" outlineLevel="0" collapsed="false">
      <c r="A59" s="25" t="s">
        <v>146</v>
      </c>
      <c r="B59" s="26" t="n">
        <f aca="false">B58-B5</f>
        <v>0</v>
      </c>
    </row>
  </sheetData>
  <mergeCells count="39"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5:H25"/>
    <mergeCell ref="E26:H26"/>
    <mergeCell ref="E27:H27"/>
    <mergeCell ref="E28:H28"/>
    <mergeCell ref="E29:H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8" min="5" style="0" width="18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6" min="11" style="0" width="14"/>
    <col collapsed="false" customWidth="true" hidden="false" outlineLevel="0" max="17" min="17" style="0" width="16"/>
    <col collapsed="false" customWidth="true" hidden="false" outlineLevel="0" max="18" min="18" style="0" width="18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7" t="s">
        <v>148</v>
      </c>
    </row>
    <row r="4" customFormat="false" ht="31.5" hidden="false" customHeight="true" outlineLevel="0" collapsed="false">
      <c r="A4" s="11" t="s">
        <v>149</v>
      </c>
      <c r="B4" s="11" t="s">
        <v>150</v>
      </c>
      <c r="C4" s="11" t="s">
        <v>151</v>
      </c>
      <c r="D4" s="11" t="s">
        <v>152</v>
      </c>
      <c r="E4" s="11" t="s">
        <v>153</v>
      </c>
      <c r="F4" s="11" t="s">
        <v>154</v>
      </c>
      <c r="G4" s="11" t="s">
        <v>155</v>
      </c>
      <c r="H4" s="11" t="s">
        <v>156</v>
      </c>
      <c r="I4" s="11" t="s">
        <v>69</v>
      </c>
      <c r="J4" s="11" t="s">
        <v>157</v>
      </c>
      <c r="K4" s="11" t="s">
        <v>158</v>
      </c>
      <c r="L4" s="11" t="s">
        <v>159</v>
      </c>
      <c r="M4" s="11" t="s">
        <v>160</v>
      </c>
      <c r="N4" s="11" t="s">
        <v>161</v>
      </c>
      <c r="O4" s="11" t="s">
        <v>162</v>
      </c>
      <c r="P4" s="11" t="s">
        <v>163</v>
      </c>
      <c r="Q4" s="11" t="s">
        <v>164</v>
      </c>
      <c r="R4" s="11" t="s">
        <v>165</v>
      </c>
    </row>
    <row r="5" customFormat="false" ht="15" hidden="false" customHeight="false" outlineLevel="0" collapsed="false">
      <c r="A5" s="22" t="s">
        <v>166</v>
      </c>
      <c r="B5" s="22" t="s">
        <v>167</v>
      </c>
      <c r="C5" s="22" t="s">
        <v>168</v>
      </c>
      <c r="D5" s="22" t="s">
        <v>140</v>
      </c>
      <c r="E5" s="28" t="n">
        <v>46273.3243055556</v>
      </c>
      <c r="F5" s="28" t="n">
        <v>46274.3986111111</v>
      </c>
      <c r="G5" s="28" t="n">
        <v>46279.5652777778</v>
      </c>
      <c r="H5" s="28" t="n">
        <v>46286.5652777778</v>
      </c>
      <c r="I5" s="22" t="s">
        <v>137</v>
      </c>
      <c r="J5" s="29" t="str">
        <f aca="false">IF(H5&lt;&gt;"","Converted",IF(G5&lt;&gt;"","Activated",IF(F5&lt;&gt;"","Registered","Created")))</f>
        <v>Converted</v>
      </c>
      <c r="K5" s="29" t="str">
        <f aca="false">IF(AND(I5="Expired",J5="Created"),"OK",IF(I5&lt;&gt;J5,"CHECK status",IF(OR(AND(G5&lt;&gt;"",F5=""),AND(H5&lt;&gt;"",G5="")),"CHECK gap",IF(OR(AND(F5&lt;&gt;"",F5&lt;E5),AND(G5&lt;&gt;"",G5&lt;F5),AND(H5&lt;&gt;"",H5&lt;G5)),"CHECK order","OK"))))</f>
        <v>OK</v>
      </c>
      <c r="L5" s="30" t="n">
        <f aca="false">IF(F5="","",F5-E5)</f>
        <v>1.07430555555556</v>
      </c>
      <c r="M5" s="30" t="n">
        <f aca="false">IF(G5="","",G5-F5)</f>
        <v>5.16666666666667</v>
      </c>
      <c r="N5" s="30" t="n">
        <f aca="false">IF(H5="","",H5-G5)</f>
        <v>7</v>
      </c>
      <c r="O5" s="30" t="n">
        <f aca="false">IF(H5="","",H5-E5)</f>
        <v>13.2409722222222</v>
      </c>
      <c r="P5" s="29" t="str">
        <f aca="false">IF(G5="","",IF(G5-F5&lt;=Settings!$B$6,"Yes","No"))</f>
        <v>Yes</v>
      </c>
      <c r="Q5" s="29" t="n">
        <f aca="false">IF(COUNTIF($B$5:B5,B5)=1,1,0)</f>
        <v>1</v>
      </c>
      <c r="R5" s="29" t="n">
        <f aca="false">IF(H5="",0,IF(COUNTIFS($B$5:B5,B5,$H$5:H5,"&lt;&gt;")=1,1,0))</f>
        <v>1</v>
      </c>
    </row>
    <row r="6" customFormat="false" ht="15" hidden="false" customHeight="false" outlineLevel="0" collapsed="false">
      <c r="A6" s="22" t="s">
        <v>169</v>
      </c>
      <c r="B6" s="22" t="s">
        <v>170</v>
      </c>
      <c r="C6" s="22" t="s">
        <v>171</v>
      </c>
      <c r="D6" s="22" t="s">
        <v>141</v>
      </c>
      <c r="E6" s="28" t="n">
        <v>46280.6513888889</v>
      </c>
      <c r="F6" s="28" t="n">
        <v>46281.8881944444</v>
      </c>
      <c r="G6" s="28"/>
      <c r="H6" s="28"/>
      <c r="I6" s="22" t="s">
        <v>135</v>
      </c>
      <c r="J6" s="29" t="str">
        <f aca="false">IF(H6&lt;&gt;"","Converted",IF(G6&lt;&gt;"","Activated",IF(F6&lt;&gt;"","Registered","Created")))</f>
        <v>Registered</v>
      </c>
      <c r="K6" s="29" t="str">
        <f aca="false">IF(AND(I6="Expired",J6="Created"),"OK",IF(I6&lt;&gt;J6,"CHECK status",IF(OR(AND(G6&lt;&gt;"",F6=""),AND(H6&lt;&gt;"",G6="")),"CHECK gap",IF(OR(AND(F6&lt;&gt;"",F6&lt;E6),AND(G6&lt;&gt;"",G6&lt;F6),AND(H6&lt;&gt;"",H6&lt;G6)),"CHECK order","OK"))))</f>
        <v>OK</v>
      </c>
      <c r="L6" s="30" t="n">
        <f aca="false">IF(F6="","",F6-E6)</f>
        <v>1.23680555555556</v>
      </c>
      <c r="M6" s="30" t="str">
        <f aca="false">IF(G6="","",G6-F6)</f>
        <v/>
      </c>
      <c r="N6" s="30" t="str">
        <f aca="false">IF(H6="","",H6-G6)</f>
        <v/>
      </c>
      <c r="O6" s="30" t="str">
        <f aca="false">IF(H6="","",H6-E6)</f>
        <v/>
      </c>
      <c r="P6" s="29" t="str">
        <f aca="false">IF(G6="","",IF(G6-F6&lt;=Settings!$B$6,"Yes","No"))</f>
        <v/>
      </c>
      <c r="Q6" s="29" t="n">
        <f aca="false">IF(COUNTIF($B$5:B6,B6)=1,1,0)</f>
        <v>1</v>
      </c>
      <c r="R6" s="29" t="n">
        <f aca="false">IF(H6="",0,IF(COUNTIFS($B$5:B6,B6,$H$5:H6,"&lt;&gt;")=1,1,0))</f>
        <v>0</v>
      </c>
    </row>
    <row r="7" customFormat="false" ht="15" hidden="false" customHeight="false" outlineLevel="0" collapsed="false">
      <c r="A7" s="22" t="s">
        <v>172</v>
      </c>
      <c r="B7" s="22" t="s">
        <v>173</v>
      </c>
      <c r="C7" s="22"/>
      <c r="D7" s="22" t="s">
        <v>143</v>
      </c>
      <c r="E7" s="28" t="n">
        <v>46303.49375</v>
      </c>
      <c r="F7" s="28"/>
      <c r="G7" s="28"/>
      <c r="H7" s="28"/>
      <c r="I7" s="22" t="s">
        <v>134</v>
      </c>
      <c r="J7" s="29" t="str">
        <f aca="false">IF(H7&lt;&gt;"","Converted",IF(G7&lt;&gt;"","Activated",IF(F7&lt;&gt;"","Registered","Created")))</f>
        <v>Created</v>
      </c>
      <c r="K7" s="29" t="str">
        <f aca="false">IF(AND(I7="Expired",J7="Created"),"OK",IF(I7&lt;&gt;J7,"CHECK status",IF(OR(AND(G7&lt;&gt;"",F7=""),AND(H7&lt;&gt;"",G7="")),"CHECK gap",IF(OR(AND(F7&lt;&gt;"",F7&lt;E7),AND(G7&lt;&gt;"",G7&lt;F7),AND(H7&lt;&gt;"",H7&lt;G7)),"CHECK order","OK"))))</f>
        <v>OK</v>
      </c>
      <c r="L7" s="30" t="str">
        <f aca="false">IF(F7="","",F7-E7)</f>
        <v/>
      </c>
      <c r="M7" s="30" t="str">
        <f aca="false">IF(G7="","",G7-F7)</f>
        <v/>
      </c>
      <c r="N7" s="30" t="str">
        <f aca="false">IF(H7="","",H7-G7)</f>
        <v/>
      </c>
      <c r="O7" s="30" t="str">
        <f aca="false">IF(H7="","",H7-E7)</f>
        <v/>
      </c>
      <c r="P7" s="29" t="str">
        <f aca="false">IF(G7="","",IF(G7-F7&lt;=Settings!$B$6,"Yes","No"))</f>
        <v/>
      </c>
      <c r="Q7" s="29" t="n">
        <f aca="false">IF(COUNTIF($B$5:B7,B7)=1,1,0)</f>
        <v>1</v>
      </c>
      <c r="R7" s="29" t="n">
        <f aca="false">IF(H7="",0,IF(COUNTIFS($B$5:B7,B7,$H$5:H7,"&lt;&gt;")=1,1,0))</f>
        <v>0</v>
      </c>
    </row>
    <row r="8" customFormat="false" ht="15" hidden="false" customHeight="false" outlineLevel="0" collapsed="false">
      <c r="A8" s="22" t="s">
        <v>174</v>
      </c>
      <c r="B8" s="22" t="s">
        <v>175</v>
      </c>
      <c r="C8" s="22" t="s">
        <v>176</v>
      </c>
      <c r="D8" s="22" t="s">
        <v>142</v>
      </c>
      <c r="E8" s="28" t="n">
        <v>46287.4645833333</v>
      </c>
      <c r="F8" s="28" t="n">
        <v>46290.4680555556</v>
      </c>
      <c r="G8" s="28" t="n">
        <v>46292.7180555556</v>
      </c>
      <c r="H8" s="28" t="n">
        <v>46297.7180555556</v>
      </c>
      <c r="I8" s="22" t="s">
        <v>137</v>
      </c>
      <c r="J8" s="29" t="str">
        <f aca="false">IF(H8&lt;&gt;"","Converted",IF(G8&lt;&gt;"","Activated",IF(F8&lt;&gt;"","Registered","Created")))</f>
        <v>Converted</v>
      </c>
      <c r="K8" s="29" t="str">
        <f aca="false">IF(AND(I8="Expired",J8="Created"),"OK",IF(I8&lt;&gt;J8,"CHECK status",IF(OR(AND(G8&lt;&gt;"",F8=""),AND(H8&lt;&gt;"",G8="")),"CHECK gap",IF(OR(AND(F8&lt;&gt;"",F8&lt;E8),AND(G8&lt;&gt;"",G8&lt;F8),AND(H8&lt;&gt;"",H8&lt;G8)),"CHECK order","OK"))))</f>
        <v>OK</v>
      </c>
      <c r="L8" s="30" t="n">
        <f aca="false">IF(F8="","",F8-E8)</f>
        <v>3.00347222222222</v>
      </c>
      <c r="M8" s="30" t="n">
        <f aca="false">IF(G8="","",G8-F8)</f>
        <v>2.25</v>
      </c>
      <c r="N8" s="30" t="n">
        <f aca="false">IF(H8="","",H8-G8)</f>
        <v>5</v>
      </c>
      <c r="O8" s="30" t="n">
        <f aca="false">IF(H8="","",H8-E8)</f>
        <v>10.2534722222222</v>
      </c>
      <c r="P8" s="29" t="str">
        <f aca="false">IF(G8="","",IF(G8-F8&lt;=Settings!$B$6,"Yes","No"))</f>
        <v>Yes</v>
      </c>
      <c r="Q8" s="29" t="n">
        <f aca="false">IF(COUNTIF($B$5:B8,B8)=1,1,0)</f>
        <v>1</v>
      </c>
      <c r="R8" s="29" t="n">
        <f aca="false">IF(H8="",0,IF(COUNTIFS($B$5:B8,B8,$H$5:H8,"&lt;&gt;")=1,1,0))</f>
        <v>1</v>
      </c>
    </row>
    <row r="9" customFormat="false" ht="15" hidden="false" customHeight="false" outlineLevel="0" collapsed="false">
      <c r="A9" s="22" t="s">
        <v>177</v>
      </c>
      <c r="B9" s="22" t="s">
        <v>178</v>
      </c>
      <c r="C9" s="22" t="s">
        <v>179</v>
      </c>
      <c r="D9" s="22" t="s">
        <v>142</v>
      </c>
      <c r="E9" s="28" t="n">
        <v>46273.8916666667</v>
      </c>
      <c r="F9" s="28" t="n">
        <v>46276.1270833333</v>
      </c>
      <c r="G9" s="28"/>
      <c r="H9" s="28"/>
      <c r="I9" s="22" t="s">
        <v>135</v>
      </c>
      <c r="J9" s="29" t="str">
        <f aca="false">IF(H9&lt;&gt;"","Converted",IF(G9&lt;&gt;"","Activated",IF(F9&lt;&gt;"","Registered","Created")))</f>
        <v>Registered</v>
      </c>
      <c r="K9" s="29" t="str">
        <f aca="false">IF(AND(I9="Expired",J9="Created"),"OK",IF(I9&lt;&gt;J9,"CHECK status",IF(OR(AND(G9&lt;&gt;"",F9=""),AND(H9&lt;&gt;"",G9="")),"CHECK gap",IF(OR(AND(F9&lt;&gt;"",F9&lt;E9),AND(G9&lt;&gt;"",G9&lt;F9),AND(H9&lt;&gt;"",H9&lt;G9)),"CHECK order","OK"))))</f>
        <v>OK</v>
      </c>
      <c r="L9" s="30" t="n">
        <f aca="false">IF(F9="","",F9-E9)</f>
        <v>2.23541666666667</v>
      </c>
      <c r="M9" s="30" t="str">
        <f aca="false">IF(G9="","",G9-F9)</f>
        <v/>
      </c>
      <c r="N9" s="30" t="str">
        <f aca="false">IF(H9="","",H9-G9)</f>
        <v/>
      </c>
      <c r="O9" s="30" t="str">
        <f aca="false">IF(H9="","",H9-E9)</f>
        <v/>
      </c>
      <c r="P9" s="29" t="str">
        <f aca="false">IF(G9="","",IF(G9-F9&lt;=Settings!$B$6,"Yes","No"))</f>
        <v/>
      </c>
      <c r="Q9" s="29" t="n">
        <f aca="false">IF(COUNTIF($B$5:B9,B9)=1,1,0)</f>
        <v>1</v>
      </c>
      <c r="R9" s="29" t="n">
        <f aca="false">IF(H9="",0,IF(COUNTIFS($B$5:B9,B9,$H$5:H9,"&lt;&gt;")=1,1,0))</f>
        <v>0</v>
      </c>
    </row>
    <row r="10" customFormat="false" ht="15" hidden="false" customHeight="false" outlineLevel="0" collapsed="false">
      <c r="A10" s="22" t="s">
        <v>180</v>
      </c>
      <c r="B10" s="22" t="s">
        <v>173</v>
      </c>
      <c r="C10" s="22" t="s">
        <v>181</v>
      </c>
      <c r="D10" s="22" t="s">
        <v>141</v>
      </c>
      <c r="E10" s="28" t="n">
        <v>46270.3208333333</v>
      </c>
      <c r="F10" s="28" t="n">
        <v>46272.3583333333</v>
      </c>
      <c r="G10" s="28" t="n">
        <v>46272.4833333333</v>
      </c>
      <c r="H10" s="28" t="n">
        <v>46283.5666666667</v>
      </c>
      <c r="I10" s="22" t="s">
        <v>137</v>
      </c>
      <c r="J10" s="29" t="str">
        <f aca="false">IF(H10&lt;&gt;"","Converted",IF(G10&lt;&gt;"","Activated",IF(F10&lt;&gt;"","Registered","Created")))</f>
        <v>Converted</v>
      </c>
      <c r="K10" s="29" t="str">
        <f aca="false">IF(AND(I10="Expired",J10="Created"),"OK",IF(I10&lt;&gt;J10,"CHECK status",IF(OR(AND(G10&lt;&gt;"",F10=""),AND(H10&lt;&gt;"",G10="")),"CHECK gap",IF(OR(AND(F10&lt;&gt;"",F10&lt;E10),AND(G10&lt;&gt;"",G10&lt;F10),AND(H10&lt;&gt;"",H10&lt;G10)),"CHECK order","OK"))))</f>
        <v>OK</v>
      </c>
      <c r="L10" s="30" t="n">
        <f aca="false">IF(F10="","",F10-E10)</f>
        <v>2.0375</v>
      </c>
      <c r="M10" s="30" t="n">
        <f aca="false">IF(G10="","",G10-F10)</f>
        <v>0.125</v>
      </c>
      <c r="N10" s="30" t="n">
        <f aca="false">IF(H10="","",H10-G10)</f>
        <v>11.0833333333333</v>
      </c>
      <c r="O10" s="30" t="n">
        <f aca="false">IF(H10="","",H10-E10)</f>
        <v>13.2458333333333</v>
      </c>
      <c r="P10" s="29" t="str">
        <f aca="false">IF(G10="","",IF(G10-F10&lt;=Settings!$B$6,"Yes","No"))</f>
        <v>Yes</v>
      </c>
      <c r="Q10" s="29" t="n">
        <f aca="false">IF(COUNTIF($B$5:B10,B10)=1,1,0)</f>
        <v>0</v>
      </c>
      <c r="R10" s="29" t="n">
        <f aca="false">IF(H10="",0,IF(COUNTIFS($B$5:B10,B10,$H$5:H10,"&lt;&gt;")=1,1,0))</f>
        <v>1</v>
      </c>
    </row>
    <row r="11" customFormat="false" ht="15" hidden="false" customHeight="false" outlineLevel="0" collapsed="false">
      <c r="A11" s="22" t="s">
        <v>182</v>
      </c>
      <c r="B11" s="22" t="s">
        <v>183</v>
      </c>
      <c r="C11" s="22" t="s">
        <v>184</v>
      </c>
      <c r="D11" s="22" t="s">
        <v>143</v>
      </c>
      <c r="E11" s="28" t="n">
        <v>46279.7201388889</v>
      </c>
      <c r="F11" s="28" t="n">
        <v>46279.9145833333</v>
      </c>
      <c r="G11" s="28" t="n">
        <v>46284.95625</v>
      </c>
      <c r="H11" s="28" t="n">
        <v>46292.0395833333</v>
      </c>
      <c r="I11" s="22" t="s">
        <v>137</v>
      </c>
      <c r="J11" s="29" t="str">
        <f aca="false">IF(H11&lt;&gt;"","Converted",IF(G11&lt;&gt;"","Activated",IF(F11&lt;&gt;"","Registered","Created")))</f>
        <v>Converted</v>
      </c>
      <c r="K11" s="29" t="str">
        <f aca="false">IF(AND(I11="Expired",J11="Created"),"OK",IF(I11&lt;&gt;J11,"CHECK status",IF(OR(AND(G11&lt;&gt;"",F11=""),AND(H11&lt;&gt;"",G11="")),"CHECK gap",IF(OR(AND(F11&lt;&gt;"",F11&lt;E11),AND(G11&lt;&gt;"",G11&lt;F11),AND(H11&lt;&gt;"",H11&lt;G11)),"CHECK order","OK"))))</f>
        <v>OK</v>
      </c>
      <c r="L11" s="30" t="n">
        <f aca="false">IF(F11="","",F11-E11)</f>
        <v>0.194444444444444</v>
      </c>
      <c r="M11" s="30" t="n">
        <f aca="false">IF(G11="","",G11-F11)</f>
        <v>5.04166666666667</v>
      </c>
      <c r="N11" s="30" t="n">
        <f aca="false">IF(H11="","",H11-G11)</f>
        <v>7.08333333333333</v>
      </c>
      <c r="O11" s="30" t="n">
        <f aca="false">IF(H11="","",H11-E11)</f>
        <v>12.3194444444444</v>
      </c>
      <c r="P11" s="29" t="str">
        <f aca="false">IF(G11="","",IF(G11-F11&lt;=Settings!$B$6,"Yes","No"))</f>
        <v>Yes</v>
      </c>
      <c r="Q11" s="29" t="n">
        <f aca="false">IF(COUNTIF($B$5:B11,B11)=1,1,0)</f>
        <v>1</v>
      </c>
      <c r="R11" s="29" t="n">
        <f aca="false">IF(H11="",0,IF(COUNTIFS($B$5:B11,B11,$H$5:H11,"&lt;&gt;")=1,1,0))</f>
        <v>1</v>
      </c>
    </row>
    <row r="12" customFormat="false" ht="15" hidden="false" customHeight="false" outlineLevel="0" collapsed="false">
      <c r="A12" s="22" t="s">
        <v>185</v>
      </c>
      <c r="B12" s="22" t="s">
        <v>167</v>
      </c>
      <c r="C12" s="22"/>
      <c r="D12" s="22" t="s">
        <v>141</v>
      </c>
      <c r="E12" s="28" t="n">
        <v>46280.7222222222</v>
      </c>
      <c r="F12" s="28"/>
      <c r="G12" s="28"/>
      <c r="H12" s="28"/>
      <c r="I12" s="22" t="s">
        <v>186</v>
      </c>
      <c r="J12" s="29" t="str">
        <f aca="false">IF(H12&lt;&gt;"","Converted",IF(G12&lt;&gt;"","Activated",IF(F12&lt;&gt;"","Registered","Created")))</f>
        <v>Created</v>
      </c>
      <c r="K12" s="29" t="str">
        <f aca="false">IF(AND(I12="Expired",J12="Created"),"OK",IF(I12&lt;&gt;J12,"CHECK status",IF(OR(AND(G12&lt;&gt;"",F12=""),AND(H12&lt;&gt;"",G12="")),"CHECK gap",IF(OR(AND(F12&lt;&gt;"",F12&lt;E12),AND(G12&lt;&gt;"",G12&lt;F12),AND(H12&lt;&gt;"",H12&lt;G12)),"CHECK order","OK"))))</f>
        <v>OK</v>
      </c>
      <c r="L12" s="30" t="str">
        <f aca="false">IF(F12="","",F12-E12)</f>
        <v/>
      </c>
      <c r="M12" s="30" t="str">
        <f aca="false">IF(G12="","",G12-F12)</f>
        <v/>
      </c>
      <c r="N12" s="30" t="str">
        <f aca="false">IF(H12="","",H12-G12)</f>
        <v/>
      </c>
      <c r="O12" s="30" t="str">
        <f aca="false">IF(H12="","",H12-E12)</f>
        <v/>
      </c>
      <c r="P12" s="29" t="str">
        <f aca="false">IF(G12="","",IF(G12-F12&lt;=Settings!$B$6,"Yes","No"))</f>
        <v/>
      </c>
      <c r="Q12" s="29" t="n">
        <f aca="false">IF(COUNTIF($B$5:B12,B12)=1,1,0)</f>
        <v>0</v>
      </c>
      <c r="R12" s="29" t="n">
        <f aca="false">IF(H12="",0,IF(COUNTIFS($B$5:B12,B12,$H$5:H12,"&lt;&gt;")=1,1,0))</f>
        <v>0</v>
      </c>
    </row>
    <row r="13" customFormat="false" ht="15" hidden="false" customHeight="false" outlineLevel="0" collapsed="false">
      <c r="A13" s="22" t="s">
        <v>187</v>
      </c>
      <c r="B13" s="22" t="s">
        <v>175</v>
      </c>
      <c r="C13" s="22" t="s">
        <v>188</v>
      </c>
      <c r="D13" s="22" t="s">
        <v>141</v>
      </c>
      <c r="E13" s="28" t="n">
        <v>46268.8055555556</v>
      </c>
      <c r="F13" s="28" t="n">
        <v>46268.8875</v>
      </c>
      <c r="G13" s="28"/>
      <c r="H13" s="28"/>
      <c r="I13" s="22" t="s">
        <v>135</v>
      </c>
      <c r="J13" s="29" t="str">
        <f aca="false">IF(H13&lt;&gt;"","Converted",IF(G13&lt;&gt;"","Activated",IF(F13&lt;&gt;"","Registered","Created")))</f>
        <v>Registered</v>
      </c>
      <c r="K13" s="29" t="str">
        <f aca="false">IF(AND(I13="Expired",J13="Created"),"OK",IF(I13&lt;&gt;J13,"CHECK status",IF(OR(AND(G13&lt;&gt;"",F13=""),AND(H13&lt;&gt;"",G13="")),"CHECK gap",IF(OR(AND(F13&lt;&gt;"",F13&lt;E13),AND(G13&lt;&gt;"",G13&lt;F13),AND(H13&lt;&gt;"",H13&lt;G13)),"CHECK order","OK"))))</f>
        <v>OK</v>
      </c>
      <c r="L13" s="30" t="n">
        <f aca="false">IF(F13="","",F13-E13)</f>
        <v>0.0819444444444444</v>
      </c>
      <c r="M13" s="30" t="str">
        <f aca="false">IF(G13="","",G13-F13)</f>
        <v/>
      </c>
      <c r="N13" s="30" t="str">
        <f aca="false">IF(H13="","",H13-G13)</f>
        <v/>
      </c>
      <c r="O13" s="30" t="str">
        <f aca="false">IF(H13="","",H13-E13)</f>
        <v/>
      </c>
      <c r="P13" s="29" t="str">
        <f aca="false">IF(G13="","",IF(G13-F13&lt;=Settings!$B$6,"Yes","No"))</f>
        <v/>
      </c>
      <c r="Q13" s="29" t="n">
        <f aca="false">IF(COUNTIF($B$5:B13,B13)=1,1,0)</f>
        <v>0</v>
      </c>
      <c r="R13" s="29" t="n">
        <f aca="false">IF(H13="",0,IF(COUNTIFS($B$5:B13,B13,$H$5:H13,"&lt;&gt;")=1,1,0))</f>
        <v>0</v>
      </c>
    </row>
    <row r="14" customFormat="false" ht="15" hidden="false" customHeight="false" outlineLevel="0" collapsed="false">
      <c r="A14" s="22" t="s">
        <v>189</v>
      </c>
      <c r="B14" s="22" t="s">
        <v>190</v>
      </c>
      <c r="C14" s="22"/>
      <c r="D14" s="22" t="s">
        <v>140</v>
      </c>
      <c r="E14" s="28" t="n">
        <v>46297.5805555556</v>
      </c>
      <c r="F14" s="28"/>
      <c r="G14" s="28"/>
      <c r="H14" s="28"/>
      <c r="I14" s="22" t="s">
        <v>134</v>
      </c>
      <c r="J14" s="29" t="str">
        <f aca="false">IF(H14&lt;&gt;"","Converted",IF(G14&lt;&gt;"","Activated",IF(F14&lt;&gt;"","Registered","Created")))</f>
        <v>Created</v>
      </c>
      <c r="K14" s="29" t="str">
        <f aca="false">IF(AND(I14="Expired",J14="Created"),"OK",IF(I14&lt;&gt;J14,"CHECK status",IF(OR(AND(G14&lt;&gt;"",F14=""),AND(H14&lt;&gt;"",G14="")),"CHECK gap",IF(OR(AND(F14&lt;&gt;"",F14&lt;E14),AND(G14&lt;&gt;"",G14&lt;F14),AND(H14&lt;&gt;"",H14&lt;G14)),"CHECK order","OK"))))</f>
        <v>OK</v>
      </c>
      <c r="L14" s="30" t="str">
        <f aca="false">IF(F14="","",F14-E14)</f>
        <v/>
      </c>
      <c r="M14" s="30" t="str">
        <f aca="false">IF(G14="","",G14-F14)</f>
        <v/>
      </c>
      <c r="N14" s="30" t="str">
        <f aca="false">IF(H14="","",H14-G14)</f>
        <v/>
      </c>
      <c r="O14" s="30" t="str">
        <f aca="false">IF(H14="","",H14-E14)</f>
        <v/>
      </c>
      <c r="P14" s="29" t="str">
        <f aca="false">IF(G14="","",IF(G14-F14&lt;=Settings!$B$6,"Yes","No"))</f>
        <v/>
      </c>
      <c r="Q14" s="29" t="n">
        <f aca="false">IF(COUNTIF($B$5:B14,B14)=1,1,0)</f>
        <v>1</v>
      </c>
      <c r="R14" s="29" t="n">
        <f aca="false">IF(H14="",0,IF(COUNTIFS($B$5:B14,B14,$H$5:H14,"&lt;&gt;")=1,1,0))</f>
        <v>0</v>
      </c>
    </row>
    <row r="15" customFormat="false" ht="15" hidden="false" customHeight="false" outlineLevel="0" collapsed="false">
      <c r="A15" s="22" t="s">
        <v>191</v>
      </c>
      <c r="B15" s="22" t="s">
        <v>190</v>
      </c>
      <c r="C15" s="22" t="s">
        <v>192</v>
      </c>
      <c r="D15" s="22" t="s">
        <v>140</v>
      </c>
      <c r="E15" s="28" t="n">
        <v>46274.4493055556</v>
      </c>
      <c r="F15" s="28" t="n">
        <v>46276.6833333333</v>
      </c>
      <c r="G15" s="28" t="n">
        <v>46280.8083333333</v>
      </c>
      <c r="H15" s="28" t="n">
        <v>46283.975</v>
      </c>
      <c r="I15" s="22" t="s">
        <v>137</v>
      </c>
      <c r="J15" s="29" t="str">
        <f aca="false">IF(H15&lt;&gt;"","Converted",IF(G15&lt;&gt;"","Activated",IF(F15&lt;&gt;"","Registered","Created")))</f>
        <v>Converted</v>
      </c>
      <c r="K15" s="29" t="str">
        <f aca="false">IF(AND(I15="Expired",J15="Created"),"OK",IF(I15&lt;&gt;J15,"CHECK status",IF(OR(AND(G15&lt;&gt;"",F15=""),AND(H15&lt;&gt;"",G15="")),"CHECK gap",IF(OR(AND(F15&lt;&gt;"",F15&lt;E15),AND(G15&lt;&gt;"",G15&lt;F15),AND(H15&lt;&gt;"",H15&lt;G15)),"CHECK order","OK"))))</f>
        <v>OK</v>
      </c>
      <c r="L15" s="30" t="n">
        <f aca="false">IF(F15="","",F15-E15)</f>
        <v>2.23402777777778</v>
      </c>
      <c r="M15" s="30" t="n">
        <f aca="false">IF(G15="","",G15-F15)</f>
        <v>4.125</v>
      </c>
      <c r="N15" s="30" t="n">
        <f aca="false">IF(H15="","",H15-G15)</f>
        <v>3.16666666666667</v>
      </c>
      <c r="O15" s="30" t="n">
        <f aca="false">IF(H15="","",H15-E15)</f>
        <v>9.52569444444444</v>
      </c>
      <c r="P15" s="29" t="str">
        <f aca="false">IF(G15="","",IF(G15-F15&lt;=Settings!$B$6,"Yes","No"))</f>
        <v>Yes</v>
      </c>
      <c r="Q15" s="29" t="n">
        <f aca="false">IF(COUNTIF($B$5:B15,B15)=1,1,0)</f>
        <v>0</v>
      </c>
      <c r="R15" s="29" t="n">
        <f aca="false">IF(H15="",0,IF(COUNTIFS($B$5:B15,B15,$H$5:H15,"&lt;&gt;")=1,1,0))</f>
        <v>1</v>
      </c>
    </row>
    <row r="16" customFormat="false" ht="15" hidden="false" customHeight="false" outlineLevel="0" collapsed="false">
      <c r="A16" s="22" t="s">
        <v>193</v>
      </c>
      <c r="B16" s="22" t="s">
        <v>190</v>
      </c>
      <c r="C16" s="22" t="s">
        <v>194</v>
      </c>
      <c r="D16" s="22" t="s">
        <v>142</v>
      </c>
      <c r="E16" s="28" t="n">
        <v>46269.8381944444</v>
      </c>
      <c r="F16" s="28" t="n">
        <v>46271.0652777778</v>
      </c>
      <c r="G16" s="28" t="n">
        <v>46274.1902777778</v>
      </c>
      <c r="H16" s="28"/>
      <c r="I16" s="22" t="s">
        <v>136</v>
      </c>
      <c r="J16" s="29" t="str">
        <f aca="false">IF(H16&lt;&gt;"","Converted",IF(G16&lt;&gt;"","Activated",IF(F16&lt;&gt;"","Registered","Created")))</f>
        <v>Activated</v>
      </c>
      <c r="K16" s="29" t="str">
        <f aca="false">IF(AND(I16="Expired",J16="Created"),"OK",IF(I16&lt;&gt;J16,"CHECK status",IF(OR(AND(G16&lt;&gt;"",F16=""),AND(H16&lt;&gt;"",G16="")),"CHECK gap",IF(OR(AND(F16&lt;&gt;"",F16&lt;E16),AND(G16&lt;&gt;"",G16&lt;F16),AND(H16&lt;&gt;"",H16&lt;G16)),"CHECK order","OK"))))</f>
        <v>OK</v>
      </c>
      <c r="L16" s="30" t="n">
        <f aca="false">IF(F16="","",F16-E16)</f>
        <v>1.22708333333333</v>
      </c>
      <c r="M16" s="30" t="n">
        <f aca="false">IF(G16="","",G16-F16)</f>
        <v>3.125</v>
      </c>
      <c r="N16" s="30" t="str">
        <f aca="false">IF(H16="","",H16-G16)</f>
        <v/>
      </c>
      <c r="O16" s="30" t="str">
        <f aca="false">IF(H16="","",H16-E16)</f>
        <v/>
      </c>
      <c r="P16" s="29" t="str">
        <f aca="false">IF(G16="","",IF(G16-F16&lt;=Settings!$B$6,"Yes","No"))</f>
        <v>Yes</v>
      </c>
      <c r="Q16" s="29" t="n">
        <f aca="false">IF(COUNTIF($B$5:B16,B16)=1,1,0)</f>
        <v>0</v>
      </c>
      <c r="R16" s="29" t="n">
        <f aca="false">IF(H16="",0,IF(COUNTIFS($B$5:B16,B16,$H$5:H16,"&lt;&gt;")=1,1,0))</f>
        <v>0</v>
      </c>
    </row>
    <row r="17" customFormat="false" ht="15" hidden="false" customHeight="false" outlineLevel="0" collapsed="false">
      <c r="A17" s="22" t="s">
        <v>195</v>
      </c>
      <c r="B17" s="22" t="s">
        <v>196</v>
      </c>
      <c r="C17" s="22" t="s">
        <v>197</v>
      </c>
      <c r="D17" s="22" t="s">
        <v>141</v>
      </c>
      <c r="E17" s="28" t="n">
        <v>46301.8333333333</v>
      </c>
      <c r="F17" s="28" t="n">
        <v>46302.0805555556</v>
      </c>
      <c r="G17" s="28" t="n">
        <v>46304.3305555556</v>
      </c>
      <c r="H17" s="28"/>
      <c r="I17" s="22" t="s">
        <v>136</v>
      </c>
      <c r="J17" s="29" t="str">
        <f aca="false">IF(H17&lt;&gt;"","Converted",IF(G17&lt;&gt;"","Activated",IF(F17&lt;&gt;"","Registered","Created")))</f>
        <v>Activated</v>
      </c>
      <c r="K17" s="29" t="str">
        <f aca="false">IF(AND(I17="Expired",J17="Created"),"OK",IF(I17&lt;&gt;J17,"CHECK status",IF(OR(AND(G17&lt;&gt;"",F17=""),AND(H17&lt;&gt;"",G17="")),"CHECK gap",IF(OR(AND(F17&lt;&gt;"",F17&lt;E17),AND(G17&lt;&gt;"",G17&lt;F17),AND(H17&lt;&gt;"",H17&lt;G17)),"CHECK order","OK"))))</f>
        <v>OK</v>
      </c>
      <c r="L17" s="30" t="n">
        <f aca="false">IF(F17="","",F17-E17)</f>
        <v>0.247222222222222</v>
      </c>
      <c r="M17" s="30" t="n">
        <f aca="false">IF(G17="","",G17-F17)</f>
        <v>2.25</v>
      </c>
      <c r="N17" s="30" t="str">
        <f aca="false">IF(H17="","",H17-G17)</f>
        <v/>
      </c>
      <c r="O17" s="30" t="str">
        <f aca="false">IF(H17="","",H17-E17)</f>
        <v/>
      </c>
      <c r="P17" s="29" t="str">
        <f aca="false">IF(G17="","",IF(G17-F17&lt;=Settings!$B$6,"Yes","No"))</f>
        <v>Yes</v>
      </c>
      <c r="Q17" s="29" t="n">
        <f aca="false">IF(COUNTIF($B$5:B17,B17)=1,1,0)</f>
        <v>1</v>
      </c>
      <c r="R17" s="29" t="n">
        <f aca="false">IF(H17="",0,IF(COUNTIFS($B$5:B17,B17,$H$5:H17,"&lt;&gt;")=1,1,0))</f>
        <v>0</v>
      </c>
    </row>
    <row r="18" customFormat="false" ht="15" hidden="false" customHeight="false" outlineLevel="0" collapsed="false">
      <c r="A18" s="22" t="s">
        <v>198</v>
      </c>
      <c r="B18" s="22" t="s">
        <v>175</v>
      </c>
      <c r="C18" s="22"/>
      <c r="D18" s="22" t="s">
        <v>141</v>
      </c>
      <c r="E18" s="28" t="n">
        <v>46276.5833333333</v>
      </c>
      <c r="F18" s="28"/>
      <c r="G18" s="28"/>
      <c r="H18" s="28"/>
      <c r="I18" s="22" t="s">
        <v>186</v>
      </c>
      <c r="J18" s="29" t="str">
        <f aca="false">IF(H18&lt;&gt;"","Converted",IF(G18&lt;&gt;"","Activated",IF(F18&lt;&gt;"","Registered","Created")))</f>
        <v>Created</v>
      </c>
      <c r="K18" s="29" t="str">
        <f aca="false">IF(AND(I18="Expired",J18="Created"),"OK",IF(I18&lt;&gt;J18,"CHECK status",IF(OR(AND(G18&lt;&gt;"",F18=""),AND(H18&lt;&gt;"",G18="")),"CHECK gap",IF(OR(AND(F18&lt;&gt;"",F18&lt;E18),AND(G18&lt;&gt;"",G18&lt;F18),AND(H18&lt;&gt;"",H18&lt;G18)),"CHECK order","OK"))))</f>
        <v>OK</v>
      </c>
      <c r="L18" s="30" t="str">
        <f aca="false">IF(F18="","",F18-E18)</f>
        <v/>
      </c>
      <c r="M18" s="30" t="str">
        <f aca="false">IF(G18="","",G18-F18)</f>
        <v/>
      </c>
      <c r="N18" s="30" t="str">
        <f aca="false">IF(H18="","",H18-G18)</f>
        <v/>
      </c>
      <c r="O18" s="30" t="str">
        <f aca="false">IF(H18="","",H18-E18)</f>
        <v/>
      </c>
      <c r="P18" s="29" t="str">
        <f aca="false">IF(G18="","",IF(G18-F18&lt;=Settings!$B$6,"Yes","No"))</f>
        <v/>
      </c>
      <c r="Q18" s="29" t="n">
        <f aca="false">IF(COUNTIF($B$5:B18,B18)=1,1,0)</f>
        <v>0</v>
      </c>
      <c r="R18" s="29" t="n">
        <f aca="false">IF(H18="",0,IF(COUNTIFS($B$5:B18,B18,$H$5:H18,"&lt;&gt;")=1,1,0))</f>
        <v>0</v>
      </c>
    </row>
    <row r="19" customFormat="false" ht="15" hidden="false" customHeight="false" outlineLevel="0" collapsed="false">
      <c r="A19" s="22" t="s">
        <v>199</v>
      </c>
      <c r="B19" s="22" t="s">
        <v>200</v>
      </c>
      <c r="C19" s="22" t="s">
        <v>201</v>
      </c>
      <c r="D19" s="22" t="s">
        <v>142</v>
      </c>
      <c r="E19" s="28" t="n">
        <v>46298.7993055556</v>
      </c>
      <c r="F19" s="28" t="n">
        <v>46299.0208333333</v>
      </c>
      <c r="G19" s="28"/>
      <c r="H19" s="28"/>
      <c r="I19" s="22" t="s">
        <v>135</v>
      </c>
      <c r="J19" s="29" t="str">
        <f aca="false">IF(H19&lt;&gt;"","Converted",IF(G19&lt;&gt;"","Activated",IF(F19&lt;&gt;"","Registered","Created")))</f>
        <v>Registered</v>
      </c>
      <c r="K19" s="29" t="str">
        <f aca="false">IF(AND(I19="Expired",J19="Created"),"OK",IF(I19&lt;&gt;J19,"CHECK status",IF(OR(AND(G19&lt;&gt;"",F19=""),AND(H19&lt;&gt;"",G19="")),"CHECK gap",IF(OR(AND(F19&lt;&gt;"",F19&lt;E19),AND(G19&lt;&gt;"",G19&lt;F19),AND(H19&lt;&gt;"",H19&lt;G19)),"CHECK order","OK"))))</f>
        <v>OK</v>
      </c>
      <c r="L19" s="30" t="n">
        <f aca="false">IF(F19="","",F19-E19)</f>
        <v>0.221527777777778</v>
      </c>
      <c r="M19" s="30" t="str">
        <f aca="false">IF(G19="","",G19-F19)</f>
        <v/>
      </c>
      <c r="N19" s="30" t="str">
        <f aca="false">IF(H19="","",H19-G19)</f>
        <v/>
      </c>
      <c r="O19" s="30" t="str">
        <f aca="false">IF(H19="","",H19-E19)</f>
        <v/>
      </c>
      <c r="P19" s="29" t="str">
        <f aca="false">IF(G19="","",IF(G19-F19&lt;=Settings!$B$6,"Yes","No"))</f>
        <v/>
      </c>
      <c r="Q19" s="29" t="n">
        <f aca="false">IF(COUNTIF($B$5:B19,B19)=1,1,0)</f>
        <v>1</v>
      </c>
      <c r="R19" s="29" t="n">
        <f aca="false">IF(H19="",0,IF(COUNTIFS($B$5:B19,B19,$H$5:H19,"&lt;&gt;")=1,1,0))</f>
        <v>0</v>
      </c>
    </row>
    <row r="20" customFormat="false" ht="15" hidden="false" customHeight="false" outlineLevel="0" collapsed="false">
      <c r="A20" s="22" t="s">
        <v>202</v>
      </c>
      <c r="B20" s="22" t="s">
        <v>203</v>
      </c>
      <c r="C20" s="22" t="s">
        <v>204</v>
      </c>
      <c r="D20" s="22" t="s">
        <v>141</v>
      </c>
      <c r="E20" s="28" t="n">
        <v>46275.5333333333</v>
      </c>
      <c r="F20" s="28" t="n">
        <v>46275.7138888889</v>
      </c>
      <c r="G20" s="28" t="n">
        <v>46275.7972222222</v>
      </c>
      <c r="H20" s="28"/>
      <c r="I20" s="22" t="s">
        <v>136</v>
      </c>
      <c r="J20" s="29" t="str">
        <f aca="false">IF(H20&lt;&gt;"","Converted",IF(G20&lt;&gt;"","Activated",IF(F20&lt;&gt;"","Registered","Created")))</f>
        <v>Activated</v>
      </c>
      <c r="K20" s="29" t="str">
        <f aca="false">IF(AND(I20="Expired",J20="Created"),"OK",IF(I20&lt;&gt;J20,"CHECK status",IF(OR(AND(G20&lt;&gt;"",F20=""),AND(H20&lt;&gt;"",G20="")),"CHECK gap",IF(OR(AND(F20&lt;&gt;"",F20&lt;E20),AND(G20&lt;&gt;"",G20&lt;F20),AND(H20&lt;&gt;"",H20&lt;G20)),"CHECK order","OK"))))</f>
        <v>OK</v>
      </c>
      <c r="L20" s="30" t="n">
        <f aca="false">IF(F20="","",F20-E20)</f>
        <v>0.180555555555556</v>
      </c>
      <c r="M20" s="30" t="n">
        <f aca="false">IF(G20="","",G20-F20)</f>
        <v>0.0833333333333333</v>
      </c>
      <c r="N20" s="30" t="str">
        <f aca="false">IF(H20="","",H20-G20)</f>
        <v/>
      </c>
      <c r="O20" s="30" t="str">
        <f aca="false">IF(H20="","",H20-E20)</f>
        <v/>
      </c>
      <c r="P20" s="29" t="str">
        <f aca="false">IF(G20="","",IF(G20-F20&lt;=Settings!$B$6,"Yes","No"))</f>
        <v>Yes</v>
      </c>
      <c r="Q20" s="29" t="n">
        <f aca="false">IF(COUNTIF($B$5:B20,B20)=1,1,0)</f>
        <v>1</v>
      </c>
      <c r="R20" s="29" t="n">
        <f aca="false">IF(H20="",0,IF(COUNTIFS($B$5:B20,B20,$H$5:H20,"&lt;&gt;")=1,1,0))</f>
        <v>0</v>
      </c>
    </row>
    <row r="21" customFormat="false" ht="15" hidden="false" customHeight="false" outlineLevel="0" collapsed="false">
      <c r="A21" s="22" t="s">
        <v>205</v>
      </c>
      <c r="B21" s="22" t="s">
        <v>196</v>
      </c>
      <c r="C21" s="22"/>
      <c r="D21" s="22" t="s">
        <v>143</v>
      </c>
      <c r="E21" s="28" t="n">
        <v>46281.9</v>
      </c>
      <c r="F21" s="28"/>
      <c r="G21" s="28"/>
      <c r="H21" s="28"/>
      <c r="I21" s="22" t="s">
        <v>134</v>
      </c>
      <c r="J21" s="29" t="str">
        <f aca="false">IF(H21&lt;&gt;"","Converted",IF(G21&lt;&gt;"","Activated",IF(F21&lt;&gt;"","Registered","Created")))</f>
        <v>Created</v>
      </c>
      <c r="K21" s="29" t="str">
        <f aca="false">IF(AND(I21="Expired",J21="Created"),"OK",IF(I21&lt;&gt;J21,"CHECK status",IF(OR(AND(G21&lt;&gt;"",F21=""),AND(H21&lt;&gt;"",G21="")),"CHECK gap",IF(OR(AND(F21&lt;&gt;"",F21&lt;E21),AND(G21&lt;&gt;"",G21&lt;F21),AND(H21&lt;&gt;"",H21&lt;G21)),"CHECK order","OK"))))</f>
        <v>OK</v>
      </c>
      <c r="L21" s="30" t="str">
        <f aca="false">IF(F21="","",F21-E21)</f>
        <v/>
      </c>
      <c r="M21" s="30" t="str">
        <f aca="false">IF(G21="","",G21-F21)</f>
        <v/>
      </c>
      <c r="N21" s="30" t="str">
        <f aca="false">IF(H21="","",H21-G21)</f>
        <v/>
      </c>
      <c r="O21" s="30" t="str">
        <f aca="false">IF(H21="","",H21-E21)</f>
        <v/>
      </c>
      <c r="P21" s="29" t="str">
        <f aca="false">IF(G21="","",IF(G21-F21&lt;=Settings!$B$6,"Yes","No"))</f>
        <v/>
      </c>
      <c r="Q21" s="29" t="n">
        <f aca="false">IF(COUNTIF($B$5:B21,B21)=1,1,0)</f>
        <v>0</v>
      </c>
      <c r="R21" s="29" t="n">
        <f aca="false">IF(H21="",0,IF(COUNTIFS($B$5:B21,B21,$H$5:H21,"&lt;&gt;")=1,1,0))</f>
        <v>0</v>
      </c>
    </row>
    <row r="22" customFormat="false" ht="15" hidden="false" customHeight="false" outlineLevel="0" collapsed="false">
      <c r="A22" s="22" t="s">
        <v>206</v>
      </c>
      <c r="B22" s="22" t="s">
        <v>173</v>
      </c>
      <c r="C22" s="22"/>
      <c r="D22" s="22" t="s">
        <v>143</v>
      </c>
      <c r="E22" s="28" t="n">
        <v>46270.8152777778</v>
      </c>
      <c r="F22" s="28"/>
      <c r="G22" s="28"/>
      <c r="H22" s="28"/>
      <c r="I22" s="22" t="s">
        <v>186</v>
      </c>
      <c r="J22" s="29" t="str">
        <f aca="false">IF(H22&lt;&gt;"","Converted",IF(G22&lt;&gt;"","Activated",IF(F22&lt;&gt;"","Registered","Created")))</f>
        <v>Created</v>
      </c>
      <c r="K22" s="29" t="str">
        <f aca="false">IF(AND(I22="Expired",J22="Created"),"OK",IF(I22&lt;&gt;J22,"CHECK status",IF(OR(AND(G22&lt;&gt;"",F22=""),AND(H22&lt;&gt;"",G22="")),"CHECK gap",IF(OR(AND(F22&lt;&gt;"",F22&lt;E22),AND(G22&lt;&gt;"",G22&lt;F22),AND(H22&lt;&gt;"",H22&lt;G22)),"CHECK order","OK"))))</f>
        <v>OK</v>
      </c>
      <c r="L22" s="30" t="str">
        <f aca="false">IF(F22="","",F22-E22)</f>
        <v/>
      </c>
      <c r="M22" s="30" t="str">
        <f aca="false">IF(G22="","",G22-F22)</f>
        <v/>
      </c>
      <c r="N22" s="30" t="str">
        <f aca="false">IF(H22="","",H22-G22)</f>
        <v/>
      </c>
      <c r="O22" s="30" t="str">
        <f aca="false">IF(H22="","",H22-E22)</f>
        <v/>
      </c>
      <c r="P22" s="29" t="str">
        <f aca="false">IF(G22="","",IF(G22-F22&lt;=Settings!$B$6,"Yes","No"))</f>
        <v/>
      </c>
      <c r="Q22" s="29" t="n">
        <f aca="false">IF(COUNTIF($B$5:B22,B22)=1,1,0)</f>
        <v>0</v>
      </c>
      <c r="R22" s="29" t="n">
        <f aca="false">IF(H22="",0,IF(COUNTIFS($B$5:B22,B22,$H$5:H22,"&lt;&gt;")=1,1,0))</f>
        <v>0</v>
      </c>
    </row>
    <row r="23" customFormat="false" ht="15" hidden="false" customHeight="false" outlineLevel="0" collapsed="false">
      <c r="A23" s="22" t="s">
        <v>207</v>
      </c>
      <c r="B23" s="22" t="s">
        <v>208</v>
      </c>
      <c r="C23" s="22" t="s">
        <v>209</v>
      </c>
      <c r="D23" s="22" t="s">
        <v>143</v>
      </c>
      <c r="E23" s="28" t="n">
        <v>46301.3861111111</v>
      </c>
      <c r="F23" s="28" t="n">
        <v>46306.46875</v>
      </c>
      <c r="G23" s="28"/>
      <c r="H23" s="28"/>
      <c r="I23" s="22" t="s">
        <v>135</v>
      </c>
      <c r="J23" s="29" t="str">
        <f aca="false">IF(H23&lt;&gt;"","Converted",IF(G23&lt;&gt;"","Activated",IF(F23&lt;&gt;"","Registered","Created")))</f>
        <v>Registered</v>
      </c>
      <c r="K23" s="29" t="str">
        <f aca="false">IF(AND(I23="Expired",J23="Created"),"OK",IF(I23&lt;&gt;J23,"CHECK status",IF(OR(AND(G23&lt;&gt;"",F23=""),AND(H23&lt;&gt;"",G23="")),"CHECK gap",IF(OR(AND(F23&lt;&gt;"",F23&lt;E23),AND(G23&lt;&gt;"",G23&lt;F23),AND(H23&lt;&gt;"",H23&lt;G23)),"CHECK order","OK"))))</f>
        <v>OK</v>
      </c>
      <c r="L23" s="30" t="n">
        <f aca="false">IF(F23="","",F23-E23)</f>
        <v>5.08263888888889</v>
      </c>
      <c r="M23" s="30" t="str">
        <f aca="false">IF(G23="","",G23-F23)</f>
        <v/>
      </c>
      <c r="N23" s="30" t="str">
        <f aca="false">IF(H23="","",H23-G23)</f>
        <v/>
      </c>
      <c r="O23" s="30" t="str">
        <f aca="false">IF(H23="","",H23-E23)</f>
        <v/>
      </c>
      <c r="P23" s="29" t="str">
        <f aca="false">IF(G23="","",IF(G23-F23&lt;=Settings!$B$6,"Yes","No"))</f>
        <v/>
      </c>
      <c r="Q23" s="29" t="n">
        <f aca="false">IF(COUNTIF($B$5:B23,B23)=1,1,0)</f>
        <v>1</v>
      </c>
      <c r="R23" s="29" t="n">
        <f aca="false">IF(H23="",0,IF(COUNTIFS($B$5:B23,B23,$H$5:H23,"&lt;&gt;")=1,1,0))</f>
        <v>0</v>
      </c>
    </row>
    <row r="24" customFormat="false" ht="15" hidden="false" customHeight="false" outlineLevel="0" collapsed="false">
      <c r="A24" s="22" t="s">
        <v>210</v>
      </c>
      <c r="B24" s="22" t="s">
        <v>208</v>
      </c>
      <c r="C24" s="22" t="s">
        <v>211</v>
      </c>
      <c r="D24" s="22" t="s">
        <v>142</v>
      </c>
      <c r="E24" s="28" t="n">
        <v>46291.7368055556</v>
      </c>
      <c r="F24" s="28" t="n">
        <v>46298.7472222222</v>
      </c>
      <c r="G24" s="28" t="n">
        <v>46300.7472222222</v>
      </c>
      <c r="H24" s="28"/>
      <c r="I24" s="22" t="s">
        <v>136</v>
      </c>
      <c r="J24" s="29" t="str">
        <f aca="false">IF(H24&lt;&gt;"","Converted",IF(G24&lt;&gt;"","Activated",IF(F24&lt;&gt;"","Registered","Created")))</f>
        <v>Activated</v>
      </c>
      <c r="K24" s="29" t="str">
        <f aca="false">IF(AND(I24="Expired",J24="Created"),"OK",IF(I24&lt;&gt;J24,"CHECK status",IF(OR(AND(G24&lt;&gt;"",F24=""),AND(H24&lt;&gt;"",G24="")),"CHECK gap",IF(OR(AND(F24&lt;&gt;"",F24&lt;E24),AND(G24&lt;&gt;"",G24&lt;F24),AND(H24&lt;&gt;"",H24&lt;G24)),"CHECK order","OK"))))</f>
        <v>OK</v>
      </c>
      <c r="L24" s="30" t="n">
        <f aca="false">IF(F24="","",F24-E24)</f>
        <v>7.01041666666667</v>
      </c>
      <c r="M24" s="30" t="n">
        <f aca="false">IF(G24="","",G24-F24)</f>
        <v>2</v>
      </c>
      <c r="N24" s="30" t="str">
        <f aca="false">IF(H24="","",H24-G24)</f>
        <v/>
      </c>
      <c r="O24" s="30" t="str">
        <f aca="false">IF(H24="","",H24-E24)</f>
        <v/>
      </c>
      <c r="P24" s="29" t="str">
        <f aca="false">IF(G24="","",IF(G24-F24&lt;=Settings!$B$6,"Yes","No"))</f>
        <v>Yes</v>
      </c>
      <c r="Q24" s="29" t="n">
        <f aca="false">IF(COUNTIF($B$5:B24,B24)=1,1,0)</f>
        <v>0</v>
      </c>
      <c r="R24" s="29" t="n">
        <f aca="false">IF(H24="",0,IF(COUNTIFS($B$5:B24,B24,$H$5:H24,"&lt;&gt;")=1,1,0))</f>
        <v>0</v>
      </c>
    </row>
    <row r="25" customFormat="false" ht="15" hidden="false" customHeight="false" outlineLevel="0" collapsed="false">
      <c r="A25" s="22" t="s">
        <v>212</v>
      </c>
      <c r="B25" s="22" t="s">
        <v>203</v>
      </c>
      <c r="C25" s="22" t="s">
        <v>213</v>
      </c>
      <c r="D25" s="22" t="s">
        <v>143</v>
      </c>
      <c r="E25" s="28" t="n">
        <v>46266.3645833333</v>
      </c>
      <c r="F25" s="28" t="n">
        <v>46267.4041666667</v>
      </c>
      <c r="G25" s="28" t="n">
        <v>46269.4041666667</v>
      </c>
      <c r="H25" s="28"/>
      <c r="I25" s="22" t="s">
        <v>136</v>
      </c>
      <c r="J25" s="29" t="str">
        <f aca="false">IF(H25&lt;&gt;"","Converted",IF(G25&lt;&gt;"","Activated",IF(F25&lt;&gt;"","Registered","Created")))</f>
        <v>Activated</v>
      </c>
      <c r="K25" s="29" t="str">
        <f aca="false">IF(AND(I25="Expired",J25="Created"),"OK",IF(I25&lt;&gt;J25,"CHECK status",IF(OR(AND(G25&lt;&gt;"",F25=""),AND(H25&lt;&gt;"",G25="")),"CHECK gap",IF(OR(AND(F25&lt;&gt;"",F25&lt;E25),AND(G25&lt;&gt;"",G25&lt;F25),AND(H25&lt;&gt;"",H25&lt;G25)),"CHECK order","OK"))))</f>
        <v>OK</v>
      </c>
      <c r="L25" s="30" t="n">
        <f aca="false">IF(F25="","",F25-E25)</f>
        <v>1.03958333333333</v>
      </c>
      <c r="M25" s="30" t="n">
        <f aca="false">IF(G25="","",G25-F25)</f>
        <v>2</v>
      </c>
      <c r="N25" s="30" t="str">
        <f aca="false">IF(H25="","",H25-G25)</f>
        <v/>
      </c>
      <c r="O25" s="30" t="str">
        <f aca="false">IF(H25="","",H25-E25)</f>
        <v/>
      </c>
      <c r="P25" s="29" t="str">
        <f aca="false">IF(G25="","",IF(G25-F25&lt;=Settings!$B$6,"Yes","No"))</f>
        <v>Yes</v>
      </c>
      <c r="Q25" s="29" t="n">
        <f aca="false">IF(COUNTIF($B$5:B25,B25)=1,1,0)</f>
        <v>0</v>
      </c>
      <c r="R25" s="29" t="n">
        <f aca="false">IF(H25="",0,IF(COUNTIFS($B$5:B25,B25,$H$5:H25,"&lt;&gt;")=1,1,0))</f>
        <v>0</v>
      </c>
    </row>
    <row r="26" customFormat="false" ht="15" hidden="false" customHeight="false" outlineLevel="0" collapsed="false">
      <c r="A26" s="22" t="s">
        <v>214</v>
      </c>
      <c r="B26" s="22" t="s">
        <v>215</v>
      </c>
      <c r="C26" s="22"/>
      <c r="D26" s="22" t="s">
        <v>142</v>
      </c>
      <c r="E26" s="28" t="n">
        <v>46279.6305555556</v>
      </c>
      <c r="F26" s="28"/>
      <c r="G26" s="28"/>
      <c r="H26" s="28"/>
      <c r="I26" s="22" t="s">
        <v>186</v>
      </c>
      <c r="J26" s="29" t="str">
        <f aca="false">IF(H26&lt;&gt;"","Converted",IF(G26&lt;&gt;"","Activated",IF(F26&lt;&gt;"","Registered","Created")))</f>
        <v>Created</v>
      </c>
      <c r="K26" s="29" t="str">
        <f aca="false">IF(AND(I26="Expired",J26="Created"),"OK",IF(I26&lt;&gt;J26,"CHECK status",IF(OR(AND(G26&lt;&gt;"",F26=""),AND(H26&lt;&gt;"",G26="")),"CHECK gap",IF(OR(AND(F26&lt;&gt;"",F26&lt;E26),AND(G26&lt;&gt;"",G26&lt;F26),AND(H26&lt;&gt;"",H26&lt;G26)),"CHECK order","OK"))))</f>
        <v>OK</v>
      </c>
      <c r="L26" s="30" t="str">
        <f aca="false">IF(F26="","",F26-E26)</f>
        <v/>
      </c>
      <c r="M26" s="30" t="str">
        <f aca="false">IF(G26="","",G26-F26)</f>
        <v/>
      </c>
      <c r="N26" s="30" t="str">
        <f aca="false">IF(H26="","",H26-G26)</f>
        <v/>
      </c>
      <c r="O26" s="30" t="str">
        <f aca="false">IF(H26="","",H26-E26)</f>
        <v/>
      </c>
      <c r="P26" s="29" t="str">
        <f aca="false">IF(G26="","",IF(G26-F26&lt;=Settings!$B$6,"Yes","No"))</f>
        <v/>
      </c>
      <c r="Q26" s="29" t="n">
        <f aca="false">IF(COUNTIF($B$5:B26,B26)=1,1,0)</f>
        <v>1</v>
      </c>
      <c r="R26" s="29" t="n">
        <f aca="false">IF(H26="",0,IF(COUNTIFS($B$5:B26,B26,$H$5:H26,"&lt;&gt;")=1,1,0))</f>
        <v>0</v>
      </c>
    </row>
    <row r="27" customFormat="false" ht="15" hidden="false" customHeight="false" outlineLevel="0" collapsed="false">
      <c r="A27" s="22" t="s">
        <v>216</v>
      </c>
      <c r="B27" s="22" t="s">
        <v>208</v>
      </c>
      <c r="C27" s="22"/>
      <c r="D27" s="22" t="s">
        <v>140</v>
      </c>
      <c r="E27" s="28" t="n">
        <v>46281.8125</v>
      </c>
      <c r="F27" s="28"/>
      <c r="G27" s="28"/>
      <c r="H27" s="28"/>
      <c r="I27" s="22" t="s">
        <v>134</v>
      </c>
      <c r="J27" s="29" t="str">
        <f aca="false">IF(H27&lt;&gt;"","Converted",IF(G27&lt;&gt;"","Activated",IF(F27&lt;&gt;"","Registered","Created")))</f>
        <v>Created</v>
      </c>
      <c r="K27" s="29" t="str">
        <f aca="false">IF(AND(I27="Expired",J27="Created"),"OK",IF(I27&lt;&gt;J27,"CHECK status",IF(OR(AND(G27&lt;&gt;"",F27=""),AND(H27&lt;&gt;"",G27="")),"CHECK gap",IF(OR(AND(F27&lt;&gt;"",F27&lt;E27),AND(G27&lt;&gt;"",G27&lt;F27),AND(H27&lt;&gt;"",H27&lt;G27)),"CHECK order","OK"))))</f>
        <v>OK</v>
      </c>
      <c r="L27" s="30" t="str">
        <f aca="false">IF(F27="","",F27-E27)</f>
        <v/>
      </c>
      <c r="M27" s="30" t="str">
        <f aca="false">IF(G27="","",G27-F27)</f>
        <v/>
      </c>
      <c r="N27" s="30" t="str">
        <f aca="false">IF(H27="","",H27-G27)</f>
        <v/>
      </c>
      <c r="O27" s="30" t="str">
        <f aca="false">IF(H27="","",H27-E27)</f>
        <v/>
      </c>
      <c r="P27" s="29" t="str">
        <f aca="false">IF(G27="","",IF(G27-F27&lt;=Settings!$B$6,"Yes","No"))</f>
        <v/>
      </c>
      <c r="Q27" s="29" t="n">
        <f aca="false">IF(COUNTIF($B$5:B27,B27)=1,1,0)</f>
        <v>0</v>
      </c>
      <c r="R27" s="29" t="n">
        <f aca="false">IF(H27="",0,IF(COUNTIFS($B$5:B27,B27,$H$5:H27,"&lt;&gt;")=1,1,0))</f>
        <v>0</v>
      </c>
    </row>
    <row r="28" customFormat="false" ht="15" hidden="false" customHeight="false" outlineLevel="0" collapsed="false">
      <c r="A28" s="22" t="s">
        <v>217</v>
      </c>
      <c r="B28" s="22" t="s">
        <v>196</v>
      </c>
      <c r="C28" s="22" t="s">
        <v>218</v>
      </c>
      <c r="D28" s="22" t="s">
        <v>140</v>
      </c>
      <c r="E28" s="28" t="n">
        <v>46293.51875</v>
      </c>
      <c r="F28" s="28" t="n">
        <v>46293.7555555556</v>
      </c>
      <c r="G28" s="28"/>
      <c r="H28" s="28"/>
      <c r="I28" s="22" t="s">
        <v>135</v>
      </c>
      <c r="J28" s="29" t="str">
        <f aca="false">IF(H28&lt;&gt;"","Converted",IF(G28&lt;&gt;"","Activated",IF(F28&lt;&gt;"","Registered","Created")))</f>
        <v>Registered</v>
      </c>
      <c r="K28" s="29" t="str">
        <f aca="false">IF(AND(I28="Expired",J28="Created"),"OK",IF(I28&lt;&gt;J28,"CHECK status",IF(OR(AND(G28&lt;&gt;"",F28=""),AND(H28&lt;&gt;"",G28="")),"CHECK gap",IF(OR(AND(F28&lt;&gt;"",F28&lt;E28),AND(G28&lt;&gt;"",G28&lt;F28),AND(H28&lt;&gt;"",H28&lt;G28)),"CHECK order","OK"))))</f>
        <v>OK</v>
      </c>
      <c r="L28" s="30" t="n">
        <f aca="false">IF(F28="","",F28-E28)</f>
        <v>0.236805555555556</v>
      </c>
      <c r="M28" s="30" t="str">
        <f aca="false">IF(G28="","",G28-F28)</f>
        <v/>
      </c>
      <c r="N28" s="30" t="str">
        <f aca="false">IF(H28="","",H28-G28)</f>
        <v/>
      </c>
      <c r="O28" s="30" t="str">
        <f aca="false">IF(H28="","",H28-E28)</f>
        <v/>
      </c>
      <c r="P28" s="29" t="str">
        <f aca="false">IF(G28="","",IF(G28-F28&lt;=Settings!$B$6,"Yes","No"))</f>
        <v/>
      </c>
      <c r="Q28" s="29" t="n">
        <f aca="false">IF(COUNTIF($B$5:B28,B28)=1,1,0)</f>
        <v>0</v>
      </c>
      <c r="R28" s="29" t="n">
        <f aca="false">IF(H28="",0,IF(COUNTIFS($B$5:B28,B28,$H$5:H28,"&lt;&gt;")=1,1,0))</f>
        <v>0</v>
      </c>
    </row>
    <row r="29" customFormat="false" ht="15" hidden="false" customHeight="false" outlineLevel="0" collapsed="false">
      <c r="A29" s="22" t="s">
        <v>219</v>
      </c>
      <c r="B29" s="22" t="s">
        <v>190</v>
      </c>
      <c r="C29" s="22" t="s">
        <v>220</v>
      </c>
      <c r="D29" s="22" t="s">
        <v>143</v>
      </c>
      <c r="E29" s="28" t="n">
        <v>46287.8298611111</v>
      </c>
      <c r="F29" s="28" t="n">
        <v>46288.8951388889</v>
      </c>
      <c r="G29" s="28" t="n">
        <v>46291.9368055556</v>
      </c>
      <c r="H29" s="28" t="n">
        <v>46295.9368055556</v>
      </c>
      <c r="I29" s="22" t="s">
        <v>137</v>
      </c>
      <c r="J29" s="29" t="str">
        <f aca="false">IF(H29&lt;&gt;"","Converted",IF(G29&lt;&gt;"","Activated",IF(F29&lt;&gt;"","Registered","Created")))</f>
        <v>Converted</v>
      </c>
      <c r="K29" s="29" t="str">
        <f aca="false">IF(AND(I29="Expired",J29="Created"),"OK",IF(I29&lt;&gt;J29,"CHECK status",IF(OR(AND(G29&lt;&gt;"",F29=""),AND(H29&lt;&gt;"",G29="")),"CHECK gap",IF(OR(AND(F29&lt;&gt;"",F29&lt;E29),AND(G29&lt;&gt;"",G29&lt;F29),AND(H29&lt;&gt;"",H29&lt;G29)),"CHECK order","OK"))))</f>
        <v>OK</v>
      </c>
      <c r="L29" s="30" t="n">
        <f aca="false">IF(F29="","",F29-E29)</f>
        <v>1.06527777777778</v>
      </c>
      <c r="M29" s="30" t="n">
        <f aca="false">IF(G29="","",G29-F29)</f>
        <v>3.04166666666667</v>
      </c>
      <c r="N29" s="30" t="n">
        <f aca="false">IF(H29="","",H29-G29)</f>
        <v>4</v>
      </c>
      <c r="O29" s="30" t="n">
        <f aca="false">IF(H29="","",H29-E29)</f>
        <v>8.10694444444444</v>
      </c>
      <c r="P29" s="29" t="str">
        <f aca="false">IF(G29="","",IF(G29-F29&lt;=Settings!$B$6,"Yes","No"))</f>
        <v>Yes</v>
      </c>
      <c r="Q29" s="29" t="n">
        <f aca="false">IF(COUNTIF($B$5:B29,B29)=1,1,0)</f>
        <v>0</v>
      </c>
      <c r="R29" s="29" t="n">
        <f aca="false">IF(H29="",0,IF(COUNTIFS($B$5:B29,B29,$H$5:H29,"&lt;&gt;")=1,1,0))</f>
        <v>0</v>
      </c>
    </row>
    <row r="30" customFormat="false" ht="15" hidden="false" customHeight="false" outlineLevel="0" collapsed="false">
      <c r="A30" s="22" t="s">
        <v>221</v>
      </c>
      <c r="B30" s="22" t="s">
        <v>208</v>
      </c>
      <c r="C30" s="22" t="s">
        <v>222</v>
      </c>
      <c r="D30" s="22" t="s">
        <v>140</v>
      </c>
      <c r="E30" s="28" t="n">
        <v>46301.3354166667</v>
      </c>
      <c r="F30" s="28" t="n">
        <v>46301.3763888889</v>
      </c>
      <c r="G30" s="28"/>
      <c r="H30" s="28"/>
      <c r="I30" s="22" t="s">
        <v>135</v>
      </c>
      <c r="J30" s="29" t="str">
        <f aca="false">IF(H30&lt;&gt;"","Converted",IF(G30&lt;&gt;"","Activated",IF(F30&lt;&gt;"","Registered","Created")))</f>
        <v>Registered</v>
      </c>
      <c r="K30" s="29" t="str">
        <f aca="false">IF(AND(I30="Expired",J30="Created"),"OK",IF(I30&lt;&gt;J30,"CHECK status",IF(OR(AND(G30&lt;&gt;"",F30=""),AND(H30&lt;&gt;"",G30="")),"CHECK gap",IF(OR(AND(F30&lt;&gt;"",F30&lt;E30),AND(G30&lt;&gt;"",G30&lt;F30),AND(H30&lt;&gt;"",H30&lt;G30)),"CHECK order","OK"))))</f>
        <v>OK</v>
      </c>
      <c r="L30" s="30" t="n">
        <f aca="false">IF(F30="","",F30-E30)</f>
        <v>0.0409722222222222</v>
      </c>
      <c r="M30" s="30" t="str">
        <f aca="false">IF(G30="","",G30-F30)</f>
        <v/>
      </c>
      <c r="N30" s="30" t="str">
        <f aca="false">IF(H30="","",H30-G30)</f>
        <v/>
      </c>
      <c r="O30" s="30" t="str">
        <f aca="false">IF(H30="","",H30-E30)</f>
        <v/>
      </c>
      <c r="P30" s="29" t="str">
        <f aca="false">IF(G30="","",IF(G30-F30&lt;=Settings!$B$6,"Yes","No"))</f>
        <v/>
      </c>
      <c r="Q30" s="29" t="n">
        <f aca="false">IF(COUNTIF($B$5:B30,B30)=1,1,0)</f>
        <v>0</v>
      </c>
      <c r="R30" s="29" t="n">
        <f aca="false">IF(H30="",0,IF(COUNTIFS($B$5:B30,B30,$H$5:H30,"&lt;&gt;")=1,1,0))</f>
        <v>0</v>
      </c>
    </row>
    <row r="31" customFormat="false" ht="15" hidden="false" customHeight="false" outlineLevel="0" collapsed="false">
      <c r="A31" s="22" t="s">
        <v>223</v>
      </c>
      <c r="B31" s="22" t="s">
        <v>167</v>
      </c>
      <c r="C31" s="22"/>
      <c r="D31" s="22" t="s">
        <v>140</v>
      </c>
      <c r="E31" s="28" t="n">
        <v>46297.5923611111</v>
      </c>
      <c r="F31" s="28"/>
      <c r="G31" s="28"/>
      <c r="H31" s="28"/>
      <c r="I31" s="22" t="s">
        <v>134</v>
      </c>
      <c r="J31" s="29" t="str">
        <f aca="false">IF(H31&lt;&gt;"","Converted",IF(G31&lt;&gt;"","Activated",IF(F31&lt;&gt;"","Registered","Created")))</f>
        <v>Created</v>
      </c>
      <c r="K31" s="29" t="str">
        <f aca="false">IF(AND(I31="Expired",J31="Created"),"OK",IF(I31&lt;&gt;J31,"CHECK status",IF(OR(AND(G31&lt;&gt;"",F31=""),AND(H31&lt;&gt;"",G31="")),"CHECK gap",IF(OR(AND(F31&lt;&gt;"",F31&lt;E31),AND(G31&lt;&gt;"",G31&lt;F31),AND(H31&lt;&gt;"",H31&lt;G31)),"CHECK order","OK"))))</f>
        <v>OK</v>
      </c>
      <c r="L31" s="30" t="str">
        <f aca="false">IF(F31="","",F31-E31)</f>
        <v/>
      </c>
      <c r="M31" s="30" t="str">
        <f aca="false">IF(G31="","",G31-F31)</f>
        <v/>
      </c>
      <c r="N31" s="30" t="str">
        <f aca="false">IF(H31="","",H31-G31)</f>
        <v/>
      </c>
      <c r="O31" s="30" t="str">
        <f aca="false">IF(H31="","",H31-E31)</f>
        <v/>
      </c>
      <c r="P31" s="29" t="str">
        <f aca="false">IF(G31="","",IF(G31-F31&lt;=Settings!$B$6,"Yes","No"))</f>
        <v/>
      </c>
      <c r="Q31" s="29" t="n">
        <f aca="false">IF(COUNTIF($B$5:B31,B31)=1,1,0)</f>
        <v>0</v>
      </c>
      <c r="R31" s="29" t="n">
        <f aca="false">IF(H31="",0,IF(COUNTIFS($B$5:B31,B31,$H$5:H31,"&lt;&gt;")=1,1,0))</f>
        <v>0</v>
      </c>
    </row>
    <row r="32" customFormat="false" ht="15" hidden="false" customHeight="false" outlineLevel="0" collapsed="false">
      <c r="A32" s="22" t="s">
        <v>224</v>
      </c>
      <c r="B32" s="22" t="s">
        <v>190</v>
      </c>
      <c r="C32" s="22"/>
      <c r="D32" s="22" t="s">
        <v>141</v>
      </c>
      <c r="E32" s="28" t="n">
        <v>46266.5527777778</v>
      </c>
      <c r="F32" s="28"/>
      <c r="G32" s="28"/>
      <c r="H32" s="28"/>
      <c r="I32" s="22" t="s">
        <v>186</v>
      </c>
      <c r="J32" s="29" t="str">
        <f aca="false">IF(H32&lt;&gt;"","Converted",IF(G32&lt;&gt;"","Activated",IF(F32&lt;&gt;"","Registered","Created")))</f>
        <v>Created</v>
      </c>
      <c r="K32" s="29" t="str">
        <f aca="false">IF(AND(I32="Expired",J32="Created"),"OK",IF(I32&lt;&gt;J32,"CHECK status",IF(OR(AND(G32&lt;&gt;"",F32=""),AND(H32&lt;&gt;"",G32="")),"CHECK gap",IF(OR(AND(F32&lt;&gt;"",F32&lt;E32),AND(G32&lt;&gt;"",G32&lt;F32),AND(H32&lt;&gt;"",H32&lt;G32)),"CHECK order","OK"))))</f>
        <v>OK</v>
      </c>
      <c r="L32" s="30" t="str">
        <f aca="false">IF(F32="","",F32-E32)</f>
        <v/>
      </c>
      <c r="M32" s="30" t="str">
        <f aca="false">IF(G32="","",G32-F32)</f>
        <v/>
      </c>
      <c r="N32" s="30" t="str">
        <f aca="false">IF(H32="","",H32-G32)</f>
        <v/>
      </c>
      <c r="O32" s="30" t="str">
        <f aca="false">IF(H32="","",H32-E32)</f>
        <v/>
      </c>
      <c r="P32" s="29" t="str">
        <f aca="false">IF(G32="","",IF(G32-F32&lt;=Settings!$B$6,"Yes","No"))</f>
        <v/>
      </c>
      <c r="Q32" s="29" t="n">
        <f aca="false">IF(COUNTIF($B$5:B32,B32)=1,1,0)</f>
        <v>0</v>
      </c>
      <c r="R32" s="29" t="n">
        <f aca="false">IF(H32="",0,IF(COUNTIFS($B$5:B32,B32,$H$5:H32,"&lt;&gt;")=1,1,0))</f>
        <v>0</v>
      </c>
    </row>
    <row r="33" customFormat="false" ht="15" hidden="false" customHeight="false" outlineLevel="0" collapsed="false">
      <c r="A33" s="22" t="s">
        <v>225</v>
      </c>
      <c r="B33" s="22" t="s">
        <v>215</v>
      </c>
      <c r="C33" s="22" t="s">
        <v>226</v>
      </c>
      <c r="D33" s="22" t="s">
        <v>143</v>
      </c>
      <c r="E33" s="28" t="n">
        <v>46301.7395833333</v>
      </c>
      <c r="F33" s="28" t="n">
        <v>46302.8319444444</v>
      </c>
      <c r="G33" s="28"/>
      <c r="H33" s="28"/>
      <c r="I33" s="22" t="s">
        <v>135</v>
      </c>
      <c r="J33" s="29" t="str">
        <f aca="false">IF(H33&lt;&gt;"","Converted",IF(G33&lt;&gt;"","Activated",IF(F33&lt;&gt;"","Registered","Created")))</f>
        <v>Registered</v>
      </c>
      <c r="K33" s="29" t="str">
        <f aca="false">IF(AND(I33="Expired",J33="Created"),"OK",IF(I33&lt;&gt;J33,"CHECK status",IF(OR(AND(G33&lt;&gt;"",F33=""),AND(H33&lt;&gt;"",G33="")),"CHECK gap",IF(OR(AND(F33&lt;&gt;"",F33&lt;E33),AND(G33&lt;&gt;"",G33&lt;F33),AND(H33&lt;&gt;"",H33&lt;G33)),"CHECK order","OK"))))</f>
        <v>OK</v>
      </c>
      <c r="L33" s="30" t="n">
        <f aca="false">IF(F33="","",F33-E33)</f>
        <v>1.09236111109954</v>
      </c>
      <c r="M33" s="30" t="str">
        <f aca="false">IF(G33="","",G33-F33)</f>
        <v/>
      </c>
      <c r="N33" s="30" t="str">
        <f aca="false">IF(H33="","",H33-G33)</f>
        <v/>
      </c>
      <c r="O33" s="30" t="str">
        <f aca="false">IF(H33="","",H33-E33)</f>
        <v/>
      </c>
      <c r="P33" s="29" t="str">
        <f aca="false">IF(G33="","",IF(G33-F33&lt;=Settings!$B$6,"Yes","No"))</f>
        <v/>
      </c>
      <c r="Q33" s="29" t="n">
        <f aca="false">IF(COUNTIF($B$5:B33,B33)=1,1,0)</f>
        <v>0</v>
      </c>
      <c r="R33" s="29" t="n">
        <f aca="false">IF(H33="",0,IF(COUNTIFS($B$5:B33,B33,$H$5:H33,"&lt;&gt;")=1,1,0))</f>
        <v>0</v>
      </c>
    </row>
    <row r="34" customFormat="false" ht="15" hidden="false" customHeight="false" outlineLevel="0" collapsed="false">
      <c r="A34" s="22" t="s">
        <v>227</v>
      </c>
      <c r="B34" s="22" t="s">
        <v>173</v>
      </c>
      <c r="C34" s="22" t="s">
        <v>228</v>
      </c>
      <c r="D34" s="22" t="s">
        <v>140</v>
      </c>
      <c r="E34" s="28" t="n">
        <v>46269.7638888889</v>
      </c>
      <c r="F34" s="28" t="n">
        <v>46276.9708333333</v>
      </c>
      <c r="G34" s="28"/>
      <c r="H34" s="28"/>
      <c r="I34" s="22" t="s">
        <v>135</v>
      </c>
      <c r="J34" s="29" t="str">
        <f aca="false">IF(H34&lt;&gt;"","Converted",IF(G34&lt;&gt;"","Activated",IF(F34&lt;&gt;"","Registered","Created")))</f>
        <v>Registered</v>
      </c>
      <c r="K34" s="29" t="str">
        <f aca="false">IF(AND(I34="Expired",J34="Created"),"OK",IF(I34&lt;&gt;J34,"CHECK status",IF(OR(AND(G34&lt;&gt;"",F34=""),AND(H34&lt;&gt;"",G34="")),"CHECK gap",IF(OR(AND(F34&lt;&gt;"",F34&lt;E34),AND(G34&lt;&gt;"",G34&lt;F34),AND(H34&lt;&gt;"",H34&lt;G34)),"CHECK order","OK"))))</f>
        <v>OK</v>
      </c>
      <c r="L34" s="30" t="n">
        <f aca="false">IF(F34="","",F34-E34)</f>
        <v>7.20694444444445</v>
      </c>
      <c r="M34" s="30" t="str">
        <f aca="false">IF(G34="","",G34-F34)</f>
        <v/>
      </c>
      <c r="N34" s="30" t="str">
        <f aca="false">IF(H34="","",H34-G34)</f>
        <v/>
      </c>
      <c r="O34" s="30" t="str">
        <f aca="false">IF(H34="","",H34-E34)</f>
        <v/>
      </c>
      <c r="P34" s="29" t="str">
        <f aca="false">IF(G34="","",IF(G34-F34&lt;=Settings!$B$6,"Yes","No"))</f>
        <v/>
      </c>
      <c r="Q34" s="29" t="n">
        <f aca="false">IF(COUNTIF($B$5:B34,B34)=1,1,0)</f>
        <v>0</v>
      </c>
      <c r="R34" s="29" t="n">
        <f aca="false">IF(H34="",0,IF(COUNTIFS($B$5:B34,B34,$H$5:H34,"&lt;&gt;")=1,1,0))</f>
        <v>0</v>
      </c>
    </row>
    <row r="35" customFormat="false" ht="15" hidden="false" customHeight="false" outlineLevel="0" collapsed="false">
      <c r="A35" s="22" t="s">
        <v>229</v>
      </c>
      <c r="B35" s="22" t="s">
        <v>215</v>
      </c>
      <c r="C35" s="22" t="s">
        <v>230</v>
      </c>
      <c r="D35" s="22" t="s">
        <v>140</v>
      </c>
      <c r="E35" s="28" t="n">
        <v>46298.3708333333</v>
      </c>
      <c r="F35" s="28" t="n">
        <v>46298.6173611111</v>
      </c>
      <c r="G35" s="28" t="n">
        <v>46298.7840277778</v>
      </c>
      <c r="H35" s="28" t="n">
        <v>46308.7840277778</v>
      </c>
      <c r="I35" s="22" t="s">
        <v>137</v>
      </c>
      <c r="J35" s="29" t="str">
        <f aca="false">IF(H35&lt;&gt;"","Converted",IF(G35&lt;&gt;"","Activated",IF(F35&lt;&gt;"","Registered","Created")))</f>
        <v>Converted</v>
      </c>
      <c r="K35" s="29" t="str">
        <f aca="false">IF(AND(I35="Expired",J35="Created"),"OK",IF(I35&lt;&gt;J35,"CHECK status",IF(OR(AND(G35&lt;&gt;"",F35=""),AND(H35&lt;&gt;"",G35="")),"CHECK gap",IF(OR(AND(F35&lt;&gt;"",F35&lt;E35),AND(G35&lt;&gt;"",G35&lt;F35),AND(H35&lt;&gt;"",H35&lt;G35)),"CHECK order","OK"))))</f>
        <v>OK</v>
      </c>
      <c r="L35" s="30" t="n">
        <f aca="false">IF(F35="","",F35-E35)</f>
        <v>0.246527777777778</v>
      </c>
      <c r="M35" s="30" t="n">
        <f aca="false">IF(G35="","",G35-F35)</f>
        <v>0.166666666666667</v>
      </c>
      <c r="N35" s="30" t="n">
        <f aca="false">IF(H35="","",H35-G35)</f>
        <v>10</v>
      </c>
      <c r="O35" s="30" t="n">
        <f aca="false">IF(H35="","",H35-E35)</f>
        <v>10.4131944444444</v>
      </c>
      <c r="P35" s="29" t="str">
        <f aca="false">IF(G35="","",IF(G35-F35&lt;=Settings!$B$6,"Yes","No"))</f>
        <v>Yes</v>
      </c>
      <c r="Q35" s="29" t="n">
        <f aca="false">IF(COUNTIF($B$5:B35,B35)=1,1,0)</f>
        <v>0</v>
      </c>
      <c r="R35" s="29" t="n">
        <f aca="false">IF(H35="",0,IF(COUNTIFS($B$5:B35,B35,$H$5:H35,"&lt;&gt;")=1,1,0))</f>
        <v>1</v>
      </c>
    </row>
    <row r="36" customFormat="false" ht="15" hidden="false" customHeight="false" outlineLevel="0" collapsed="false">
      <c r="A36" s="22" t="s">
        <v>231</v>
      </c>
      <c r="B36" s="22" t="s">
        <v>208</v>
      </c>
      <c r="C36" s="22" t="s">
        <v>232</v>
      </c>
      <c r="D36" s="22" t="s">
        <v>141</v>
      </c>
      <c r="E36" s="28" t="n">
        <v>46303.6895833333</v>
      </c>
      <c r="F36" s="28" t="n">
        <v>46305.7604166667</v>
      </c>
      <c r="G36" s="28"/>
      <c r="H36" s="28"/>
      <c r="I36" s="22" t="s">
        <v>135</v>
      </c>
      <c r="J36" s="29" t="str">
        <f aca="false">IF(H36&lt;&gt;"","Converted",IF(G36&lt;&gt;"","Activated",IF(F36&lt;&gt;"","Registered","Created")))</f>
        <v>Registered</v>
      </c>
      <c r="K36" s="29" t="str">
        <f aca="false">IF(AND(I36="Expired",J36="Created"),"OK",IF(I36&lt;&gt;J36,"CHECK status",IF(OR(AND(G36&lt;&gt;"",F36=""),AND(H36&lt;&gt;"",G36="")),"CHECK gap",IF(OR(AND(F36&lt;&gt;"",F36&lt;E36),AND(G36&lt;&gt;"",G36&lt;F36),AND(H36&lt;&gt;"",H36&lt;G36)),"CHECK order","OK"))))</f>
        <v>OK</v>
      </c>
      <c r="L36" s="30" t="n">
        <f aca="false">IF(F36="","",F36-E36)</f>
        <v>2.07083333333333</v>
      </c>
      <c r="M36" s="30" t="str">
        <f aca="false">IF(G36="","",G36-F36)</f>
        <v/>
      </c>
      <c r="N36" s="30" t="str">
        <f aca="false">IF(H36="","",H36-G36)</f>
        <v/>
      </c>
      <c r="O36" s="30" t="str">
        <f aca="false">IF(H36="","",H36-E36)</f>
        <v/>
      </c>
      <c r="P36" s="29" t="str">
        <f aca="false">IF(G36="","",IF(G36-F36&lt;=Settings!$B$6,"Yes","No"))</f>
        <v/>
      </c>
      <c r="Q36" s="29" t="n">
        <f aca="false">IF(COUNTIF($B$5:B36,B36)=1,1,0)</f>
        <v>0</v>
      </c>
      <c r="R36" s="29" t="n">
        <f aca="false">IF(H36="",0,IF(COUNTIFS($B$5:B36,B36,$H$5:H36,"&lt;&gt;")=1,1,0))</f>
        <v>0</v>
      </c>
    </row>
    <row r="37" customFormat="false" ht="15" hidden="false" customHeight="false" outlineLevel="0" collapsed="false">
      <c r="A37" s="22" t="s">
        <v>233</v>
      </c>
      <c r="B37" s="22" t="s">
        <v>203</v>
      </c>
      <c r="C37" s="22" t="s">
        <v>234</v>
      </c>
      <c r="D37" s="22" t="s">
        <v>140</v>
      </c>
      <c r="E37" s="28" t="n">
        <v>46274.7368055556</v>
      </c>
      <c r="F37" s="28" t="n">
        <v>46277.7368055556</v>
      </c>
      <c r="G37" s="28" t="n">
        <v>46281.7368055556</v>
      </c>
      <c r="H37" s="28" t="n">
        <v>46285.9034722222</v>
      </c>
      <c r="I37" s="22" t="s">
        <v>137</v>
      </c>
      <c r="J37" s="29" t="str">
        <f aca="false">IF(H37&lt;&gt;"","Converted",IF(G37&lt;&gt;"","Activated",IF(F37&lt;&gt;"","Registered","Created")))</f>
        <v>Converted</v>
      </c>
      <c r="K37" s="29" t="str">
        <f aca="false">IF(AND(I37="Expired",J37="Created"),"OK",IF(I37&lt;&gt;J37,"CHECK status",IF(OR(AND(G37&lt;&gt;"",F37=""),AND(H37&lt;&gt;"",G37="")),"CHECK gap",IF(OR(AND(F37&lt;&gt;"",F37&lt;E37),AND(G37&lt;&gt;"",G37&lt;F37),AND(H37&lt;&gt;"",H37&lt;G37)),"CHECK order","OK"))))</f>
        <v>OK</v>
      </c>
      <c r="L37" s="30" t="n">
        <f aca="false">IF(F37="","",F37-E37)</f>
        <v>3</v>
      </c>
      <c r="M37" s="30" t="n">
        <f aca="false">IF(G37="","",G37-F37)</f>
        <v>4</v>
      </c>
      <c r="N37" s="30" t="n">
        <f aca="false">IF(H37="","",H37-G37)</f>
        <v>4.16666666666667</v>
      </c>
      <c r="O37" s="30" t="n">
        <f aca="false">IF(H37="","",H37-E37)</f>
        <v>11.1666666666667</v>
      </c>
      <c r="P37" s="29" t="str">
        <f aca="false">IF(G37="","",IF(G37-F37&lt;=Settings!$B$6,"Yes","No"))</f>
        <v>Yes</v>
      </c>
      <c r="Q37" s="29" t="n">
        <f aca="false">IF(COUNTIF($B$5:B37,B37)=1,1,0)</f>
        <v>0</v>
      </c>
      <c r="R37" s="29" t="n">
        <f aca="false">IF(H37="",0,IF(COUNTIFS($B$5:B37,B37,$H$5:H37,"&lt;&gt;")=1,1,0))</f>
        <v>1</v>
      </c>
    </row>
    <row r="38" customFormat="false" ht="15" hidden="false" customHeight="false" outlineLevel="0" collapsed="false">
      <c r="A38" s="22" t="s">
        <v>235</v>
      </c>
      <c r="B38" s="22" t="s">
        <v>178</v>
      </c>
      <c r="C38" s="22"/>
      <c r="D38" s="22" t="s">
        <v>141</v>
      </c>
      <c r="E38" s="28" t="n">
        <v>46288.8777777778</v>
      </c>
      <c r="F38" s="28"/>
      <c r="G38" s="28"/>
      <c r="H38" s="28"/>
      <c r="I38" s="22" t="s">
        <v>134</v>
      </c>
      <c r="J38" s="29" t="str">
        <f aca="false">IF(H38&lt;&gt;"","Converted",IF(G38&lt;&gt;"","Activated",IF(F38&lt;&gt;"","Registered","Created")))</f>
        <v>Created</v>
      </c>
      <c r="K38" s="29" t="str">
        <f aca="false">IF(AND(I38="Expired",J38="Created"),"OK",IF(I38&lt;&gt;J38,"CHECK status",IF(OR(AND(G38&lt;&gt;"",F38=""),AND(H38&lt;&gt;"",G38="")),"CHECK gap",IF(OR(AND(F38&lt;&gt;"",F38&lt;E38),AND(G38&lt;&gt;"",G38&lt;F38),AND(H38&lt;&gt;"",H38&lt;G38)),"CHECK order","OK"))))</f>
        <v>OK</v>
      </c>
      <c r="L38" s="30" t="str">
        <f aca="false">IF(F38="","",F38-E38)</f>
        <v/>
      </c>
      <c r="M38" s="30" t="str">
        <f aca="false">IF(G38="","",G38-F38)</f>
        <v/>
      </c>
      <c r="N38" s="30" t="str">
        <f aca="false">IF(H38="","",H38-G38)</f>
        <v/>
      </c>
      <c r="O38" s="30" t="str">
        <f aca="false">IF(H38="","",H38-E38)</f>
        <v/>
      </c>
      <c r="P38" s="29" t="str">
        <f aca="false">IF(G38="","",IF(G38-F38&lt;=Settings!$B$6,"Yes","No"))</f>
        <v/>
      </c>
      <c r="Q38" s="29" t="n">
        <f aca="false">IF(COUNTIF($B$5:B38,B38)=1,1,0)</f>
        <v>0</v>
      </c>
      <c r="R38" s="29" t="n">
        <f aca="false">IF(H38="",0,IF(COUNTIFS($B$5:B38,B38,$H$5:H38,"&lt;&gt;")=1,1,0))</f>
        <v>0</v>
      </c>
    </row>
    <row r="39" customFormat="false" ht="15" hidden="false" customHeight="false" outlineLevel="0" collapsed="false">
      <c r="A39" s="22" t="s">
        <v>236</v>
      </c>
      <c r="B39" s="22" t="s">
        <v>173</v>
      </c>
      <c r="C39" s="22" t="s">
        <v>237</v>
      </c>
      <c r="D39" s="22" t="s">
        <v>141</v>
      </c>
      <c r="E39" s="28" t="n">
        <v>46294.8569444444</v>
      </c>
      <c r="F39" s="28" t="n">
        <v>46295.1013888889</v>
      </c>
      <c r="G39" s="28" t="n">
        <v>46300.1013888889</v>
      </c>
      <c r="H39" s="28"/>
      <c r="I39" s="22" t="s">
        <v>136</v>
      </c>
      <c r="J39" s="29" t="str">
        <f aca="false">IF(H39&lt;&gt;"","Converted",IF(G39&lt;&gt;"","Activated",IF(F39&lt;&gt;"","Registered","Created")))</f>
        <v>Activated</v>
      </c>
      <c r="K39" s="29" t="str">
        <f aca="false">IF(AND(I39="Expired",J39="Created"),"OK",IF(I39&lt;&gt;J39,"CHECK status",IF(OR(AND(G39&lt;&gt;"",F39=""),AND(H39&lt;&gt;"",G39="")),"CHECK gap",IF(OR(AND(F39&lt;&gt;"",F39&lt;E39),AND(G39&lt;&gt;"",G39&lt;F39),AND(H39&lt;&gt;"",H39&lt;G39)),"CHECK order","OK"))))</f>
        <v>OK</v>
      </c>
      <c r="L39" s="30" t="n">
        <f aca="false">IF(F39="","",F39-E39)</f>
        <v>0.244444444444444</v>
      </c>
      <c r="M39" s="30" t="n">
        <f aca="false">IF(G39="","",G39-F39)</f>
        <v>5</v>
      </c>
      <c r="N39" s="30" t="str">
        <f aca="false">IF(H39="","",H39-G39)</f>
        <v/>
      </c>
      <c r="O39" s="30" t="str">
        <f aca="false">IF(H39="","",H39-E39)</f>
        <v/>
      </c>
      <c r="P39" s="29" t="str">
        <f aca="false">IF(G39="","",IF(G39-F39&lt;=Settings!$B$6,"Yes","No"))</f>
        <v>Yes</v>
      </c>
      <c r="Q39" s="29" t="n">
        <f aca="false">IF(COUNTIF($B$5:B39,B39)=1,1,0)</f>
        <v>0</v>
      </c>
      <c r="R39" s="29" t="n">
        <f aca="false">IF(H39="",0,IF(COUNTIFS($B$5:B39,B39,$H$5:H39,"&lt;&gt;")=1,1,0))</f>
        <v>0</v>
      </c>
    </row>
    <row r="40" customFormat="false" ht="15" hidden="false" customHeight="false" outlineLevel="0" collapsed="false">
      <c r="A40" s="22" t="s">
        <v>238</v>
      </c>
      <c r="B40" s="22" t="s">
        <v>208</v>
      </c>
      <c r="C40" s="22" t="s">
        <v>239</v>
      </c>
      <c r="D40" s="22" t="s">
        <v>143</v>
      </c>
      <c r="E40" s="28" t="n">
        <v>46272.7743055556</v>
      </c>
      <c r="F40" s="28" t="n">
        <v>46274.95</v>
      </c>
      <c r="G40" s="28"/>
      <c r="H40" s="28"/>
      <c r="I40" s="22" t="s">
        <v>135</v>
      </c>
      <c r="J40" s="29" t="str">
        <f aca="false">IF(H40&lt;&gt;"","Converted",IF(G40&lt;&gt;"","Activated",IF(F40&lt;&gt;"","Registered","Created")))</f>
        <v>Registered</v>
      </c>
      <c r="K40" s="29" t="str">
        <f aca="false">IF(AND(I40="Expired",J40="Created"),"OK",IF(I40&lt;&gt;J40,"CHECK status",IF(OR(AND(G40&lt;&gt;"",F40=""),AND(H40&lt;&gt;"",G40="")),"CHECK gap",IF(OR(AND(F40&lt;&gt;"",F40&lt;E40),AND(G40&lt;&gt;"",G40&lt;F40),AND(H40&lt;&gt;"",H40&lt;G40)),"CHECK order","OK"))))</f>
        <v>OK</v>
      </c>
      <c r="L40" s="30" t="n">
        <f aca="false">IF(F40="","",F40-E40)</f>
        <v>2.17569444444444</v>
      </c>
      <c r="M40" s="30" t="str">
        <f aca="false">IF(G40="","",G40-F40)</f>
        <v/>
      </c>
      <c r="N40" s="30" t="str">
        <f aca="false">IF(H40="","",H40-G40)</f>
        <v/>
      </c>
      <c r="O40" s="30" t="str">
        <f aca="false">IF(H40="","",H40-E40)</f>
        <v/>
      </c>
      <c r="P40" s="29" t="str">
        <f aca="false">IF(G40="","",IF(G40-F40&lt;=Settings!$B$6,"Yes","No"))</f>
        <v/>
      </c>
      <c r="Q40" s="29" t="n">
        <f aca="false">IF(COUNTIF($B$5:B40,B40)=1,1,0)</f>
        <v>0</v>
      </c>
      <c r="R40" s="29" t="n">
        <f aca="false">IF(H40="",0,IF(COUNTIFS($B$5:B40,B40,$H$5:H40,"&lt;&gt;")=1,1,0))</f>
        <v>0</v>
      </c>
    </row>
    <row r="41" customFormat="false" ht="15" hidden="false" customHeight="false" outlineLevel="0" collapsed="false">
      <c r="A41" s="22" t="s">
        <v>240</v>
      </c>
      <c r="B41" s="22" t="s">
        <v>203</v>
      </c>
      <c r="C41" s="22" t="s">
        <v>241</v>
      </c>
      <c r="D41" s="22" t="s">
        <v>140</v>
      </c>
      <c r="E41" s="28" t="n">
        <v>46282.6465277778</v>
      </c>
      <c r="F41" s="28" t="n">
        <v>46282.6743055556</v>
      </c>
      <c r="G41" s="28" t="n">
        <v>46284.6743055556</v>
      </c>
      <c r="H41" s="28" t="n">
        <v>46287.8826388889</v>
      </c>
      <c r="I41" s="22" t="s">
        <v>137</v>
      </c>
      <c r="J41" s="29" t="str">
        <f aca="false">IF(H41&lt;&gt;"","Converted",IF(G41&lt;&gt;"","Activated",IF(F41&lt;&gt;"","Registered","Created")))</f>
        <v>Converted</v>
      </c>
      <c r="K41" s="29" t="str">
        <f aca="false">IF(AND(I41="Expired",J41="Created"),"OK",IF(I41&lt;&gt;J41,"CHECK status",IF(OR(AND(G41&lt;&gt;"",F41=""),AND(H41&lt;&gt;"",G41="")),"CHECK gap",IF(OR(AND(F41&lt;&gt;"",F41&lt;E41),AND(G41&lt;&gt;"",G41&lt;F41),AND(H41&lt;&gt;"",H41&lt;G41)),"CHECK order","OK"))))</f>
        <v>OK</v>
      </c>
      <c r="L41" s="30" t="n">
        <f aca="false">IF(F41="","",F41-E41)</f>
        <v>0.0277777777777778</v>
      </c>
      <c r="M41" s="30" t="n">
        <f aca="false">IF(G41="","",G41-F41)</f>
        <v>2</v>
      </c>
      <c r="N41" s="30" t="n">
        <f aca="false">IF(H41="","",H41-G41)</f>
        <v>3.20833333333333</v>
      </c>
      <c r="O41" s="30" t="n">
        <f aca="false">IF(H41="","",H41-E41)</f>
        <v>5.23611111111111</v>
      </c>
      <c r="P41" s="29" t="str">
        <f aca="false">IF(G41="","",IF(G41-F41&lt;=Settings!$B$6,"Yes","No"))</f>
        <v>Yes</v>
      </c>
      <c r="Q41" s="29" t="n">
        <f aca="false">IF(COUNTIF($B$5:B41,B41)=1,1,0)</f>
        <v>0</v>
      </c>
      <c r="R41" s="29" t="n">
        <f aca="false">IF(H41="",0,IF(COUNTIFS($B$5:B41,B41,$H$5:H41,"&lt;&gt;")=1,1,0))</f>
        <v>0</v>
      </c>
    </row>
    <row r="42" customFormat="false" ht="15" hidden="false" customHeight="false" outlineLevel="0" collapsed="false">
      <c r="A42" s="22" t="s">
        <v>242</v>
      </c>
      <c r="B42" s="22" t="s">
        <v>175</v>
      </c>
      <c r="C42" s="22" t="s">
        <v>243</v>
      </c>
      <c r="D42" s="22" t="s">
        <v>144</v>
      </c>
      <c r="E42" s="28" t="n">
        <v>46294.65625</v>
      </c>
      <c r="F42" s="28" t="n">
        <v>46294.6590277778</v>
      </c>
      <c r="G42" s="28"/>
      <c r="H42" s="28"/>
      <c r="I42" s="22" t="s">
        <v>135</v>
      </c>
      <c r="J42" s="29" t="str">
        <f aca="false">IF(H42&lt;&gt;"","Converted",IF(G42&lt;&gt;"","Activated",IF(F42&lt;&gt;"","Registered","Created")))</f>
        <v>Registered</v>
      </c>
      <c r="K42" s="29" t="str">
        <f aca="false">IF(AND(I42="Expired",J42="Created"),"OK",IF(I42&lt;&gt;J42,"CHECK status",IF(OR(AND(G42&lt;&gt;"",F42=""),AND(H42&lt;&gt;"",G42="")),"CHECK gap",IF(OR(AND(F42&lt;&gt;"",F42&lt;E42),AND(G42&lt;&gt;"",G42&lt;F42),AND(H42&lt;&gt;"",H42&lt;G42)),"CHECK order","OK"))))</f>
        <v>OK</v>
      </c>
      <c r="L42" s="30" t="n">
        <f aca="false">IF(F42="","",F42-E42)</f>
        <v>0.00277777777777778</v>
      </c>
      <c r="M42" s="30" t="str">
        <f aca="false">IF(G42="","",G42-F42)</f>
        <v/>
      </c>
      <c r="N42" s="30" t="str">
        <f aca="false">IF(H42="","",H42-G42)</f>
        <v/>
      </c>
      <c r="O42" s="30" t="str">
        <f aca="false">IF(H42="","",H42-E42)</f>
        <v/>
      </c>
      <c r="P42" s="29" t="str">
        <f aca="false">IF(G42="","",IF(G42-F42&lt;=Settings!$B$6,"Yes","No"))</f>
        <v/>
      </c>
      <c r="Q42" s="29" t="n">
        <f aca="false">IF(COUNTIF($B$5:B42,B42)=1,1,0)</f>
        <v>0</v>
      </c>
      <c r="R42" s="29" t="n">
        <f aca="false">IF(H42="",0,IF(COUNTIFS($B$5:B42,B42,$H$5:H42,"&lt;&gt;")=1,1,0))</f>
        <v>0</v>
      </c>
    </row>
    <row r="43" customFormat="false" ht="15" hidden="false" customHeight="false" outlineLevel="0" collapsed="false">
      <c r="A43" s="22" t="s">
        <v>244</v>
      </c>
      <c r="B43" s="22" t="s">
        <v>167</v>
      </c>
      <c r="C43" s="22" t="s">
        <v>245</v>
      </c>
      <c r="D43" s="22" t="s">
        <v>144</v>
      </c>
      <c r="E43" s="28" t="n">
        <v>46300.3284722222</v>
      </c>
      <c r="F43" s="28" t="n">
        <v>46301.4590277778</v>
      </c>
      <c r="G43" s="28" t="n">
        <v>46303.7090277778</v>
      </c>
      <c r="H43" s="28"/>
      <c r="I43" s="22" t="s">
        <v>136</v>
      </c>
      <c r="J43" s="29" t="str">
        <f aca="false">IF(H43&lt;&gt;"","Converted",IF(G43&lt;&gt;"","Activated",IF(F43&lt;&gt;"","Registered","Created")))</f>
        <v>Activated</v>
      </c>
      <c r="K43" s="29" t="str">
        <f aca="false">IF(AND(I43="Expired",J43="Created"),"OK",IF(I43&lt;&gt;J43,"CHECK status",IF(OR(AND(G43&lt;&gt;"",F43=""),AND(H43&lt;&gt;"",G43="")),"CHECK gap",IF(OR(AND(F43&lt;&gt;"",F43&lt;E43),AND(G43&lt;&gt;"",G43&lt;F43),AND(H43&lt;&gt;"",H43&lt;G43)),"CHECK order","OK"))))</f>
        <v>OK</v>
      </c>
      <c r="L43" s="30" t="n">
        <f aca="false">IF(F43="","",F43-E43)</f>
        <v>1.13055555555556</v>
      </c>
      <c r="M43" s="30" t="n">
        <f aca="false">IF(G43="","",G43-F43)</f>
        <v>2.25</v>
      </c>
      <c r="N43" s="30" t="str">
        <f aca="false">IF(H43="","",H43-G43)</f>
        <v/>
      </c>
      <c r="O43" s="30" t="str">
        <f aca="false">IF(H43="","",H43-E43)</f>
        <v/>
      </c>
      <c r="P43" s="29" t="str">
        <f aca="false">IF(G43="","",IF(G43-F43&lt;=Settings!$B$6,"Yes","No"))</f>
        <v>Yes</v>
      </c>
      <c r="Q43" s="29" t="n">
        <f aca="false">IF(COUNTIF($B$5:B43,B43)=1,1,0)</f>
        <v>0</v>
      </c>
      <c r="R43" s="29" t="n">
        <f aca="false">IF(H43="",0,IF(COUNTIFS($B$5:B43,B43,$H$5:H43,"&lt;&gt;")=1,1,0))</f>
        <v>0</v>
      </c>
    </row>
    <row r="44" customFormat="false" ht="15" hidden="false" customHeight="false" outlineLevel="0" collapsed="false">
      <c r="A44" s="22" t="s">
        <v>246</v>
      </c>
      <c r="B44" s="22" t="s">
        <v>215</v>
      </c>
      <c r="C44" s="22" t="s">
        <v>247</v>
      </c>
      <c r="D44" s="22" t="s">
        <v>143</v>
      </c>
      <c r="E44" s="28" t="n">
        <v>46279.71875</v>
      </c>
      <c r="F44" s="28" t="n">
        <v>46282.9243055556</v>
      </c>
      <c r="G44" s="28"/>
      <c r="H44" s="28"/>
      <c r="I44" s="22" t="s">
        <v>135</v>
      </c>
      <c r="J44" s="29" t="str">
        <f aca="false">IF(H44&lt;&gt;"","Converted",IF(G44&lt;&gt;"","Activated",IF(F44&lt;&gt;"","Registered","Created")))</f>
        <v>Registered</v>
      </c>
      <c r="K44" s="29" t="str">
        <f aca="false">IF(AND(I44="Expired",J44="Created"),"OK",IF(I44&lt;&gt;J44,"CHECK status",IF(OR(AND(G44&lt;&gt;"",F44=""),AND(H44&lt;&gt;"",G44="")),"CHECK gap",IF(OR(AND(F44&lt;&gt;"",F44&lt;E44),AND(G44&lt;&gt;"",G44&lt;F44),AND(H44&lt;&gt;"",H44&lt;G44)),"CHECK order","OK"))))</f>
        <v>OK</v>
      </c>
      <c r="L44" s="30" t="n">
        <f aca="false">IF(F44="","",F44-E44)</f>
        <v>3.20555555555556</v>
      </c>
      <c r="M44" s="30" t="str">
        <f aca="false">IF(G44="","",G44-F44)</f>
        <v/>
      </c>
      <c r="N44" s="30" t="str">
        <f aca="false">IF(H44="","",H44-G44)</f>
        <v/>
      </c>
      <c r="O44" s="30" t="str">
        <f aca="false">IF(H44="","",H44-E44)</f>
        <v/>
      </c>
      <c r="P44" s="29" t="str">
        <f aca="false">IF(G44="","",IF(G44-F44&lt;=Settings!$B$6,"Yes","No"))</f>
        <v/>
      </c>
      <c r="Q44" s="29" t="n">
        <f aca="false">IF(COUNTIF($B$5:B44,B44)=1,1,0)</f>
        <v>0</v>
      </c>
      <c r="R44" s="29" t="n">
        <f aca="false">IF(H44="",0,IF(COUNTIFS($B$5:B44,B44,$H$5:H44,"&lt;&gt;")=1,1,0))</f>
        <v>0</v>
      </c>
    </row>
    <row r="45" customFormat="false" ht="15" hidden="false" customHeight="false" outlineLevel="0" collapsed="false">
      <c r="A45" s="22" t="s">
        <v>248</v>
      </c>
      <c r="B45" s="22" t="s">
        <v>173</v>
      </c>
      <c r="C45" s="22"/>
      <c r="D45" s="22" t="s">
        <v>144</v>
      </c>
      <c r="E45" s="28" t="n">
        <v>46281.8402777778</v>
      </c>
      <c r="F45" s="28"/>
      <c r="G45" s="28"/>
      <c r="H45" s="28"/>
      <c r="I45" s="22" t="s">
        <v>134</v>
      </c>
      <c r="J45" s="29" t="str">
        <f aca="false">IF(H45&lt;&gt;"","Converted",IF(G45&lt;&gt;"","Activated",IF(F45&lt;&gt;"","Registered","Created")))</f>
        <v>Created</v>
      </c>
      <c r="K45" s="29" t="str">
        <f aca="false">IF(AND(I45="Expired",J45="Created"),"OK",IF(I45&lt;&gt;J45,"CHECK status",IF(OR(AND(G45&lt;&gt;"",F45=""),AND(H45&lt;&gt;"",G45="")),"CHECK gap",IF(OR(AND(F45&lt;&gt;"",F45&lt;E45),AND(G45&lt;&gt;"",G45&lt;F45),AND(H45&lt;&gt;"",H45&lt;G45)),"CHECK order","OK"))))</f>
        <v>OK</v>
      </c>
      <c r="L45" s="30" t="str">
        <f aca="false">IF(F45="","",F45-E45)</f>
        <v/>
      </c>
      <c r="M45" s="30" t="str">
        <f aca="false">IF(G45="","",G45-F45)</f>
        <v/>
      </c>
      <c r="N45" s="30" t="str">
        <f aca="false">IF(H45="","",H45-G45)</f>
        <v/>
      </c>
      <c r="O45" s="30" t="str">
        <f aca="false">IF(H45="","",H45-E45)</f>
        <v/>
      </c>
      <c r="P45" s="29" t="str">
        <f aca="false">IF(G45="","",IF(G45-F45&lt;=Settings!$B$6,"Yes","No"))</f>
        <v/>
      </c>
      <c r="Q45" s="29" t="n">
        <f aca="false">IF(COUNTIF($B$5:B45,B45)=1,1,0)</f>
        <v>0</v>
      </c>
      <c r="R45" s="29" t="n">
        <f aca="false">IF(H45="",0,IF(COUNTIFS($B$5:B45,B45,$H$5:H45,"&lt;&gt;")=1,1,0))</f>
        <v>0</v>
      </c>
    </row>
    <row r="46" customFormat="false" ht="15" hidden="false" customHeight="false" outlineLevel="0" collapsed="false">
      <c r="A46" s="22" t="s">
        <v>249</v>
      </c>
      <c r="B46" s="22" t="s">
        <v>170</v>
      </c>
      <c r="C46" s="22"/>
      <c r="D46" s="22" t="s">
        <v>143</v>
      </c>
      <c r="E46" s="28" t="n">
        <v>46267.4076388889</v>
      </c>
      <c r="F46" s="28"/>
      <c r="G46" s="28"/>
      <c r="H46" s="28"/>
      <c r="I46" s="22" t="s">
        <v>186</v>
      </c>
      <c r="J46" s="29" t="str">
        <f aca="false">IF(H46&lt;&gt;"","Converted",IF(G46&lt;&gt;"","Activated",IF(F46&lt;&gt;"","Registered","Created")))</f>
        <v>Created</v>
      </c>
      <c r="K46" s="29" t="str">
        <f aca="false">IF(AND(I46="Expired",J46="Created"),"OK",IF(I46&lt;&gt;J46,"CHECK status",IF(OR(AND(G46&lt;&gt;"",F46=""),AND(H46&lt;&gt;"",G46="")),"CHECK gap",IF(OR(AND(F46&lt;&gt;"",F46&lt;E46),AND(G46&lt;&gt;"",G46&lt;F46),AND(H46&lt;&gt;"",H46&lt;G46)),"CHECK order","OK"))))</f>
        <v>OK</v>
      </c>
      <c r="L46" s="30" t="str">
        <f aca="false">IF(F46="","",F46-E46)</f>
        <v/>
      </c>
      <c r="M46" s="30" t="str">
        <f aca="false">IF(G46="","",G46-F46)</f>
        <v/>
      </c>
      <c r="N46" s="30" t="str">
        <f aca="false">IF(H46="","",H46-G46)</f>
        <v/>
      </c>
      <c r="O46" s="30" t="str">
        <f aca="false">IF(H46="","",H46-E46)</f>
        <v/>
      </c>
      <c r="P46" s="29" t="str">
        <f aca="false">IF(G46="","",IF(G46-F46&lt;=Settings!$B$6,"Yes","No"))</f>
        <v/>
      </c>
      <c r="Q46" s="29" t="n">
        <f aca="false">IF(COUNTIF($B$5:B46,B46)=1,1,0)</f>
        <v>0</v>
      </c>
      <c r="R46" s="29" t="n">
        <f aca="false">IF(H46="",0,IF(COUNTIFS($B$5:B46,B46,$H$5:H46,"&lt;&gt;")=1,1,0))</f>
        <v>0</v>
      </c>
    </row>
    <row r="47" customFormat="false" ht="15" hidden="false" customHeight="false" outlineLevel="0" collapsed="false">
      <c r="A47" s="22" t="s">
        <v>250</v>
      </c>
      <c r="B47" s="22" t="s">
        <v>196</v>
      </c>
      <c r="C47" s="22"/>
      <c r="D47" s="22" t="s">
        <v>141</v>
      </c>
      <c r="E47" s="28" t="n">
        <v>46281.4652777778</v>
      </c>
      <c r="F47" s="28"/>
      <c r="G47" s="28"/>
      <c r="H47" s="28"/>
      <c r="I47" s="22" t="s">
        <v>134</v>
      </c>
      <c r="J47" s="29" t="str">
        <f aca="false">IF(H47&lt;&gt;"","Converted",IF(G47&lt;&gt;"","Activated",IF(F47&lt;&gt;"","Registered","Created")))</f>
        <v>Created</v>
      </c>
      <c r="K47" s="29" t="str">
        <f aca="false">IF(AND(I47="Expired",J47="Created"),"OK",IF(I47&lt;&gt;J47,"CHECK status",IF(OR(AND(G47&lt;&gt;"",F47=""),AND(H47&lt;&gt;"",G47="")),"CHECK gap",IF(OR(AND(F47&lt;&gt;"",F47&lt;E47),AND(G47&lt;&gt;"",G47&lt;F47),AND(H47&lt;&gt;"",H47&lt;G47)),"CHECK order","OK"))))</f>
        <v>OK</v>
      </c>
      <c r="L47" s="30" t="str">
        <f aca="false">IF(F47="","",F47-E47)</f>
        <v/>
      </c>
      <c r="M47" s="30" t="str">
        <f aca="false">IF(G47="","",G47-F47)</f>
        <v/>
      </c>
      <c r="N47" s="30" t="str">
        <f aca="false">IF(H47="","",H47-G47)</f>
        <v/>
      </c>
      <c r="O47" s="30" t="str">
        <f aca="false">IF(H47="","",H47-E47)</f>
        <v/>
      </c>
      <c r="P47" s="29" t="str">
        <f aca="false">IF(G47="","",IF(G47-F47&lt;=Settings!$B$6,"Yes","No"))</f>
        <v/>
      </c>
      <c r="Q47" s="29" t="n">
        <f aca="false">IF(COUNTIF($B$5:B47,B47)=1,1,0)</f>
        <v>0</v>
      </c>
      <c r="R47" s="29" t="n">
        <f aca="false">IF(H47="",0,IF(COUNTIFS($B$5:B47,B47,$H$5:H47,"&lt;&gt;")=1,1,0))</f>
        <v>0</v>
      </c>
    </row>
    <row r="48" customFormat="false" ht="15" hidden="false" customHeight="false" outlineLevel="0" collapsed="false">
      <c r="A48" s="22" t="s">
        <v>251</v>
      </c>
      <c r="B48" s="22" t="s">
        <v>208</v>
      </c>
      <c r="C48" s="22" t="s">
        <v>252</v>
      </c>
      <c r="D48" s="22" t="s">
        <v>141</v>
      </c>
      <c r="E48" s="28" t="n">
        <v>46268.8541666667</v>
      </c>
      <c r="F48" s="28" t="n">
        <v>46275.9506944444</v>
      </c>
      <c r="G48" s="28"/>
      <c r="H48" s="28"/>
      <c r="I48" s="22" t="s">
        <v>135</v>
      </c>
      <c r="J48" s="29" t="str">
        <f aca="false">IF(H48&lt;&gt;"","Converted",IF(G48&lt;&gt;"","Activated",IF(F48&lt;&gt;"","Registered","Created")))</f>
        <v>Registered</v>
      </c>
      <c r="K48" s="29" t="str">
        <f aca="false">IF(AND(I48="Expired",J48="Created"),"OK",IF(I48&lt;&gt;J48,"CHECK status",IF(OR(AND(G48&lt;&gt;"",F48=""),AND(H48&lt;&gt;"",G48="")),"CHECK gap",IF(OR(AND(F48&lt;&gt;"",F48&lt;E48),AND(G48&lt;&gt;"",G48&lt;F48),AND(H48&lt;&gt;"",H48&lt;G48)),"CHECK order","OK"))))</f>
        <v>OK</v>
      </c>
      <c r="L48" s="30" t="n">
        <f aca="false">IF(F48="","",F48-E48)</f>
        <v>7.09652777777778</v>
      </c>
      <c r="M48" s="30" t="str">
        <f aca="false">IF(G48="","",G48-F48)</f>
        <v/>
      </c>
      <c r="N48" s="30" t="str">
        <f aca="false">IF(H48="","",H48-G48)</f>
        <v/>
      </c>
      <c r="O48" s="30" t="str">
        <f aca="false">IF(H48="","",H48-E48)</f>
        <v/>
      </c>
      <c r="P48" s="29" t="str">
        <f aca="false">IF(G48="","",IF(G48-F48&lt;=Settings!$B$6,"Yes","No"))</f>
        <v/>
      </c>
      <c r="Q48" s="29" t="n">
        <f aca="false">IF(COUNTIF($B$5:B48,B48)=1,1,0)</f>
        <v>0</v>
      </c>
      <c r="R48" s="29" t="n">
        <f aca="false">IF(H48="",0,IF(COUNTIFS($B$5:B48,B48,$H$5:H48,"&lt;&gt;")=1,1,0))</f>
        <v>0</v>
      </c>
    </row>
    <row r="49" customFormat="false" ht="15" hidden="false" customHeight="false" outlineLevel="0" collapsed="false">
      <c r="A49" s="22" t="s">
        <v>253</v>
      </c>
      <c r="B49" s="22" t="s">
        <v>170</v>
      </c>
      <c r="C49" s="22" t="s">
        <v>254</v>
      </c>
      <c r="D49" s="22" t="s">
        <v>143</v>
      </c>
      <c r="E49" s="28" t="n">
        <v>46278.55625</v>
      </c>
      <c r="F49" s="28" t="n">
        <v>46278.6548611111</v>
      </c>
      <c r="G49" s="28"/>
      <c r="H49" s="28"/>
      <c r="I49" s="22" t="s">
        <v>135</v>
      </c>
      <c r="J49" s="29" t="str">
        <f aca="false">IF(H49&lt;&gt;"","Converted",IF(G49&lt;&gt;"","Activated",IF(F49&lt;&gt;"","Registered","Created")))</f>
        <v>Registered</v>
      </c>
      <c r="K49" s="29" t="str">
        <f aca="false">IF(AND(I49="Expired",J49="Created"),"OK",IF(I49&lt;&gt;J49,"CHECK status",IF(OR(AND(G49&lt;&gt;"",F49=""),AND(H49&lt;&gt;"",G49="")),"CHECK gap",IF(OR(AND(F49&lt;&gt;"",F49&lt;E49),AND(G49&lt;&gt;"",G49&lt;F49),AND(H49&lt;&gt;"",H49&lt;G49)),"CHECK order","OK"))))</f>
        <v>OK</v>
      </c>
      <c r="L49" s="30" t="n">
        <f aca="false">IF(F49="","",F49-E49)</f>
        <v>0.0986111111111111</v>
      </c>
      <c r="M49" s="30" t="str">
        <f aca="false">IF(G49="","",G49-F49)</f>
        <v/>
      </c>
      <c r="N49" s="30" t="str">
        <f aca="false">IF(H49="","",H49-G49)</f>
        <v/>
      </c>
      <c r="O49" s="30" t="str">
        <f aca="false">IF(H49="","",H49-E49)</f>
        <v/>
      </c>
      <c r="P49" s="29" t="str">
        <f aca="false">IF(G49="","",IF(G49-F49&lt;=Settings!$B$6,"Yes","No"))</f>
        <v/>
      </c>
      <c r="Q49" s="29" t="n">
        <f aca="false">IF(COUNTIF($B$5:B49,B49)=1,1,0)</f>
        <v>0</v>
      </c>
      <c r="R49" s="29" t="n">
        <f aca="false">IF(H49="",0,IF(COUNTIFS($B$5:B49,B49,$H$5:H49,"&lt;&gt;")=1,1,0))</f>
        <v>0</v>
      </c>
    </row>
    <row r="50" customFormat="false" ht="15" hidden="false" customHeight="false" outlineLevel="0" collapsed="false">
      <c r="A50" s="22" t="s">
        <v>255</v>
      </c>
      <c r="B50" s="22" t="s">
        <v>203</v>
      </c>
      <c r="C50" s="22" t="s">
        <v>256</v>
      </c>
      <c r="D50" s="22" t="s">
        <v>140</v>
      </c>
      <c r="E50" s="28" t="n">
        <v>46300.5006944445</v>
      </c>
      <c r="F50" s="28" t="n">
        <v>46302.5680555556</v>
      </c>
      <c r="G50" s="28"/>
      <c r="H50" s="28"/>
      <c r="I50" s="22" t="s">
        <v>135</v>
      </c>
      <c r="J50" s="29" t="str">
        <f aca="false">IF(H50&lt;&gt;"","Converted",IF(G50&lt;&gt;"","Activated",IF(F50&lt;&gt;"","Registered","Created")))</f>
        <v>Registered</v>
      </c>
      <c r="K50" s="29" t="str">
        <f aca="false">IF(AND(I50="Expired",J50="Created"),"OK",IF(I50&lt;&gt;J50,"CHECK status",IF(OR(AND(G50&lt;&gt;"",F50=""),AND(H50&lt;&gt;"",G50="")),"CHECK gap",IF(OR(AND(F50&lt;&gt;"",F50&lt;E50),AND(G50&lt;&gt;"",G50&lt;F50),AND(H50&lt;&gt;"",H50&lt;G50)),"CHECK order","OK"))))</f>
        <v>OK</v>
      </c>
      <c r="L50" s="30" t="n">
        <f aca="false">IF(F50="","",F50-E50)</f>
        <v>2.06736111111111</v>
      </c>
      <c r="M50" s="30" t="str">
        <f aca="false">IF(G50="","",G50-F50)</f>
        <v/>
      </c>
      <c r="N50" s="30" t="str">
        <f aca="false">IF(H50="","",H50-G50)</f>
        <v/>
      </c>
      <c r="O50" s="30" t="str">
        <f aca="false">IF(H50="","",H50-E50)</f>
        <v/>
      </c>
      <c r="P50" s="29" t="str">
        <f aca="false">IF(G50="","",IF(G50-F50&lt;=Settings!$B$6,"Yes","No"))</f>
        <v/>
      </c>
      <c r="Q50" s="29" t="n">
        <f aca="false">IF(COUNTIF($B$5:B50,B50)=1,1,0)</f>
        <v>0</v>
      </c>
      <c r="R50" s="29" t="n">
        <f aca="false">IF(H50="",0,IF(COUNTIFS($B$5:B50,B50,$H$5:H50,"&lt;&gt;")=1,1,0))</f>
        <v>0</v>
      </c>
    </row>
    <row r="51" customFormat="false" ht="15" hidden="false" customHeight="false" outlineLevel="0" collapsed="false">
      <c r="A51" s="22" t="s">
        <v>257</v>
      </c>
      <c r="B51" s="22" t="s">
        <v>178</v>
      </c>
      <c r="C51" s="22"/>
      <c r="D51" s="22" t="s">
        <v>141</v>
      </c>
      <c r="E51" s="28" t="n">
        <v>46304.5569444444</v>
      </c>
      <c r="F51" s="28"/>
      <c r="G51" s="28"/>
      <c r="H51" s="28"/>
      <c r="I51" s="22" t="s">
        <v>134</v>
      </c>
      <c r="J51" s="29" t="str">
        <f aca="false">IF(H51&lt;&gt;"","Converted",IF(G51&lt;&gt;"","Activated",IF(F51&lt;&gt;"","Registered","Created")))</f>
        <v>Created</v>
      </c>
      <c r="K51" s="29" t="str">
        <f aca="false">IF(AND(I51="Expired",J51="Created"),"OK",IF(I51&lt;&gt;J51,"CHECK status",IF(OR(AND(G51&lt;&gt;"",F51=""),AND(H51&lt;&gt;"",G51="")),"CHECK gap",IF(OR(AND(F51&lt;&gt;"",F51&lt;E51),AND(G51&lt;&gt;"",G51&lt;F51),AND(H51&lt;&gt;"",H51&lt;G51)),"CHECK order","OK"))))</f>
        <v>OK</v>
      </c>
      <c r="L51" s="30" t="str">
        <f aca="false">IF(F51="","",F51-E51)</f>
        <v/>
      </c>
      <c r="M51" s="30" t="str">
        <f aca="false">IF(G51="","",G51-F51)</f>
        <v/>
      </c>
      <c r="N51" s="30" t="str">
        <f aca="false">IF(H51="","",H51-G51)</f>
        <v/>
      </c>
      <c r="O51" s="30" t="str">
        <f aca="false">IF(H51="","",H51-E51)</f>
        <v/>
      </c>
      <c r="P51" s="29" t="str">
        <f aca="false">IF(G51="","",IF(G51-F51&lt;=Settings!$B$6,"Yes","No"))</f>
        <v/>
      </c>
      <c r="Q51" s="29" t="n">
        <f aca="false">IF(COUNTIF($B$5:B51,B51)=1,1,0)</f>
        <v>0</v>
      </c>
      <c r="R51" s="29" t="n">
        <f aca="false">IF(H51="",0,IF(COUNTIFS($B$5:B51,B51,$H$5:H51,"&lt;&gt;")=1,1,0))</f>
        <v>0</v>
      </c>
    </row>
    <row r="52" customFormat="false" ht="15" hidden="false" customHeight="false" outlineLevel="0" collapsed="false">
      <c r="A52" s="22" t="s">
        <v>258</v>
      </c>
      <c r="B52" s="22" t="s">
        <v>208</v>
      </c>
      <c r="C52" s="22"/>
      <c r="D52" s="22" t="s">
        <v>141</v>
      </c>
      <c r="E52" s="28" t="n">
        <v>46298.35</v>
      </c>
      <c r="F52" s="28"/>
      <c r="G52" s="28"/>
      <c r="H52" s="28"/>
      <c r="I52" s="22" t="s">
        <v>134</v>
      </c>
      <c r="J52" s="29" t="str">
        <f aca="false">IF(H52&lt;&gt;"","Converted",IF(G52&lt;&gt;"","Activated",IF(F52&lt;&gt;"","Registered","Created")))</f>
        <v>Created</v>
      </c>
      <c r="K52" s="29" t="str">
        <f aca="false">IF(AND(I52="Expired",J52="Created"),"OK",IF(I52&lt;&gt;J52,"CHECK status",IF(OR(AND(G52&lt;&gt;"",F52=""),AND(H52&lt;&gt;"",G52="")),"CHECK gap",IF(OR(AND(F52&lt;&gt;"",F52&lt;E52),AND(G52&lt;&gt;"",G52&lt;F52),AND(H52&lt;&gt;"",H52&lt;G52)),"CHECK order","OK"))))</f>
        <v>OK</v>
      </c>
      <c r="L52" s="30" t="str">
        <f aca="false">IF(F52="","",F52-E52)</f>
        <v/>
      </c>
      <c r="M52" s="30" t="str">
        <f aca="false">IF(G52="","",G52-F52)</f>
        <v/>
      </c>
      <c r="N52" s="30" t="str">
        <f aca="false">IF(H52="","",H52-G52)</f>
        <v/>
      </c>
      <c r="O52" s="30" t="str">
        <f aca="false">IF(H52="","",H52-E52)</f>
        <v/>
      </c>
      <c r="P52" s="29" t="str">
        <f aca="false">IF(G52="","",IF(G52-F52&lt;=Settings!$B$6,"Yes","No"))</f>
        <v/>
      </c>
      <c r="Q52" s="29" t="n">
        <f aca="false">IF(COUNTIF($B$5:B52,B52)=1,1,0)</f>
        <v>0</v>
      </c>
      <c r="R52" s="29" t="n">
        <f aca="false">IF(H52="",0,IF(COUNTIFS($B$5:B52,B52,$H$5:H52,"&lt;&gt;")=1,1,0))</f>
        <v>0</v>
      </c>
    </row>
    <row r="53" customFormat="false" ht="15" hidden="false" customHeight="false" outlineLevel="0" collapsed="false">
      <c r="A53" s="22" t="s">
        <v>259</v>
      </c>
      <c r="B53" s="22" t="s">
        <v>200</v>
      </c>
      <c r="C53" s="22"/>
      <c r="D53" s="22" t="s">
        <v>143</v>
      </c>
      <c r="E53" s="28" t="n">
        <v>46293.3145833333</v>
      </c>
      <c r="F53" s="28"/>
      <c r="G53" s="28"/>
      <c r="H53" s="28"/>
      <c r="I53" s="22" t="s">
        <v>134</v>
      </c>
      <c r="J53" s="29" t="str">
        <f aca="false">IF(H53&lt;&gt;"","Converted",IF(G53&lt;&gt;"","Activated",IF(F53&lt;&gt;"","Registered","Created")))</f>
        <v>Created</v>
      </c>
      <c r="K53" s="29" t="str">
        <f aca="false">IF(AND(I53="Expired",J53="Created"),"OK",IF(I53&lt;&gt;J53,"CHECK status",IF(OR(AND(G53&lt;&gt;"",F53=""),AND(H53&lt;&gt;"",G53="")),"CHECK gap",IF(OR(AND(F53&lt;&gt;"",F53&lt;E53),AND(G53&lt;&gt;"",G53&lt;F53),AND(H53&lt;&gt;"",H53&lt;G53)),"CHECK order","OK"))))</f>
        <v>OK</v>
      </c>
      <c r="L53" s="30" t="str">
        <f aca="false">IF(F53="","",F53-E53)</f>
        <v/>
      </c>
      <c r="M53" s="30" t="str">
        <f aca="false">IF(G53="","",G53-F53)</f>
        <v/>
      </c>
      <c r="N53" s="30" t="str">
        <f aca="false">IF(H53="","",H53-G53)</f>
        <v/>
      </c>
      <c r="O53" s="30" t="str">
        <f aca="false">IF(H53="","",H53-E53)</f>
        <v/>
      </c>
      <c r="P53" s="29" t="str">
        <f aca="false">IF(G53="","",IF(G53-F53&lt;=Settings!$B$6,"Yes","No"))</f>
        <v/>
      </c>
      <c r="Q53" s="29" t="n">
        <f aca="false">IF(COUNTIF($B$5:B53,B53)=1,1,0)</f>
        <v>0</v>
      </c>
      <c r="R53" s="29" t="n">
        <f aca="false">IF(H53="",0,IF(COUNTIFS($B$5:B53,B53,$H$5:H53,"&lt;&gt;")=1,1,0))</f>
        <v>0</v>
      </c>
    </row>
    <row r="54" customFormat="false" ht="15" hidden="false" customHeight="false" outlineLevel="0" collapsed="false">
      <c r="A54" s="22" t="s">
        <v>260</v>
      </c>
      <c r="B54" s="22" t="s">
        <v>196</v>
      </c>
      <c r="C54" s="22" t="s">
        <v>261</v>
      </c>
      <c r="D54" s="22" t="s">
        <v>143</v>
      </c>
      <c r="E54" s="28" t="n">
        <v>46278.51875</v>
      </c>
      <c r="F54" s="28" t="n">
        <v>46281.6993055556</v>
      </c>
      <c r="G54" s="28"/>
      <c r="H54" s="28"/>
      <c r="I54" s="22" t="s">
        <v>135</v>
      </c>
      <c r="J54" s="29" t="str">
        <f aca="false">IF(H54&lt;&gt;"","Converted",IF(G54&lt;&gt;"","Activated",IF(F54&lt;&gt;"","Registered","Created")))</f>
        <v>Registered</v>
      </c>
      <c r="K54" s="29" t="str">
        <f aca="false">IF(AND(I54="Expired",J54="Created"),"OK",IF(I54&lt;&gt;J54,"CHECK status",IF(OR(AND(G54&lt;&gt;"",F54=""),AND(H54&lt;&gt;"",G54="")),"CHECK gap",IF(OR(AND(F54&lt;&gt;"",F54&lt;E54),AND(G54&lt;&gt;"",G54&lt;F54),AND(H54&lt;&gt;"",H54&lt;G54)),"CHECK order","OK"))))</f>
        <v>OK</v>
      </c>
      <c r="L54" s="30" t="n">
        <f aca="false">IF(F54="","",F54-E54)</f>
        <v>3.18055555555556</v>
      </c>
      <c r="M54" s="30" t="str">
        <f aca="false">IF(G54="","",G54-F54)</f>
        <v/>
      </c>
      <c r="N54" s="30" t="str">
        <f aca="false">IF(H54="","",H54-G54)</f>
        <v/>
      </c>
      <c r="O54" s="30" t="str">
        <f aca="false">IF(H54="","",H54-E54)</f>
        <v/>
      </c>
      <c r="P54" s="29" t="str">
        <f aca="false">IF(G54="","",IF(G54-F54&lt;=Settings!$B$6,"Yes","No"))</f>
        <v/>
      </c>
      <c r="Q54" s="29" t="n">
        <f aca="false">IF(COUNTIF($B$5:B54,B54)=1,1,0)</f>
        <v>0</v>
      </c>
      <c r="R54" s="29" t="n">
        <f aca="false">IF(H54="",0,IF(COUNTIFS($B$5:B54,B54,$H$5:H54,"&lt;&gt;")=1,1,0))</f>
        <v>0</v>
      </c>
    </row>
    <row r="55" customFormat="false" ht="15" hidden="false" customHeight="false" outlineLevel="0" collapsed="false">
      <c r="A55" s="22" t="s">
        <v>262</v>
      </c>
      <c r="B55" s="22" t="s">
        <v>175</v>
      </c>
      <c r="C55" s="22" t="s">
        <v>263</v>
      </c>
      <c r="D55" s="22" t="s">
        <v>144</v>
      </c>
      <c r="E55" s="28" t="n">
        <v>46285.6381944444</v>
      </c>
      <c r="F55" s="28" t="n">
        <v>46288.79375</v>
      </c>
      <c r="G55" s="28" t="n">
        <v>46289.8354166667</v>
      </c>
      <c r="H55" s="28" t="n">
        <v>46297.04375</v>
      </c>
      <c r="I55" s="22" t="s">
        <v>137</v>
      </c>
      <c r="J55" s="29" t="str">
        <f aca="false">IF(H55&lt;&gt;"","Converted",IF(G55&lt;&gt;"","Activated",IF(F55&lt;&gt;"","Registered","Created")))</f>
        <v>Converted</v>
      </c>
      <c r="K55" s="29" t="str">
        <f aca="false">IF(AND(I55="Expired",J55="Created"),"OK",IF(I55&lt;&gt;J55,"CHECK status",IF(OR(AND(G55&lt;&gt;"",F55=""),AND(H55&lt;&gt;"",G55="")),"CHECK gap",IF(OR(AND(F55&lt;&gt;"",F55&lt;E55),AND(G55&lt;&gt;"",G55&lt;F55),AND(H55&lt;&gt;"",H55&lt;G55)),"CHECK order","OK"))))</f>
        <v>OK</v>
      </c>
      <c r="L55" s="30" t="n">
        <f aca="false">IF(F55="","",F55-E55)</f>
        <v>3.15555555555556</v>
      </c>
      <c r="M55" s="30" t="n">
        <f aca="false">IF(G55="","",G55-F55)</f>
        <v>1.04166666666667</v>
      </c>
      <c r="N55" s="30" t="n">
        <f aca="false">IF(H55="","",H55-G55)</f>
        <v>7.20833333333333</v>
      </c>
      <c r="O55" s="30" t="n">
        <f aca="false">IF(H55="","",H55-E55)</f>
        <v>11.4055555555556</v>
      </c>
      <c r="P55" s="29" t="str">
        <f aca="false">IF(G55="","",IF(G55-F55&lt;=Settings!$B$6,"Yes","No"))</f>
        <v>Yes</v>
      </c>
      <c r="Q55" s="29" t="n">
        <f aca="false">IF(COUNTIF($B$5:B55,B55)=1,1,0)</f>
        <v>0</v>
      </c>
      <c r="R55" s="29" t="n">
        <f aca="false">IF(H55="",0,IF(COUNTIFS($B$5:B55,B55,$H$5:H55,"&lt;&gt;")=1,1,0))</f>
        <v>0</v>
      </c>
    </row>
    <row r="56" customFormat="false" ht="15" hidden="false" customHeight="false" outlineLevel="0" collapsed="false">
      <c r="A56" s="22" t="s">
        <v>264</v>
      </c>
      <c r="B56" s="22" t="s">
        <v>178</v>
      </c>
      <c r="C56" s="22" t="s">
        <v>265</v>
      </c>
      <c r="D56" s="22" t="s">
        <v>142</v>
      </c>
      <c r="E56" s="28" t="n">
        <v>46302.4756944445</v>
      </c>
      <c r="F56" s="28" t="n">
        <v>46302.5715277778</v>
      </c>
      <c r="G56" s="28" t="n">
        <v>46308.7381944444</v>
      </c>
      <c r="H56" s="28"/>
      <c r="I56" s="22" t="s">
        <v>136</v>
      </c>
      <c r="J56" s="29" t="str">
        <f aca="false">IF(H56&lt;&gt;"","Converted",IF(G56&lt;&gt;"","Activated",IF(F56&lt;&gt;"","Registered","Created")))</f>
        <v>Activated</v>
      </c>
      <c r="K56" s="29" t="str">
        <f aca="false">IF(AND(I56="Expired",J56="Created"),"OK",IF(I56&lt;&gt;J56,"CHECK status",IF(OR(AND(G56&lt;&gt;"",F56=""),AND(H56&lt;&gt;"",G56="")),"CHECK gap",IF(OR(AND(F56&lt;&gt;"",F56&lt;E56),AND(G56&lt;&gt;"",G56&lt;F56),AND(H56&lt;&gt;"",H56&lt;G56)),"CHECK order","OK"))))</f>
        <v>OK</v>
      </c>
      <c r="L56" s="30" t="n">
        <f aca="false">IF(F56="","",F56-E56)</f>
        <v>0.0958333333333333</v>
      </c>
      <c r="M56" s="30" t="n">
        <f aca="false">IF(G56="","",G56-F56)</f>
        <v>6.16666666666667</v>
      </c>
      <c r="N56" s="30" t="str">
        <f aca="false">IF(H56="","",H56-G56)</f>
        <v/>
      </c>
      <c r="O56" s="30" t="str">
        <f aca="false">IF(H56="","",H56-E56)</f>
        <v/>
      </c>
      <c r="P56" s="29" t="str">
        <f aca="false">IF(G56="","",IF(G56-F56&lt;=Settings!$B$6,"Yes","No"))</f>
        <v>Yes</v>
      </c>
      <c r="Q56" s="29" t="n">
        <f aca="false">IF(COUNTIF($B$5:B56,B56)=1,1,0)</f>
        <v>0</v>
      </c>
      <c r="R56" s="29" t="n">
        <f aca="false">IF(H56="",0,IF(COUNTIFS($B$5:B56,B56,$H$5:H56,"&lt;&gt;")=1,1,0))</f>
        <v>0</v>
      </c>
    </row>
    <row r="57" customFormat="false" ht="15" hidden="false" customHeight="false" outlineLevel="0" collapsed="false">
      <c r="A57" s="22" t="s">
        <v>266</v>
      </c>
      <c r="B57" s="22" t="s">
        <v>196</v>
      </c>
      <c r="C57" s="22" t="s">
        <v>267</v>
      </c>
      <c r="D57" s="22" t="s">
        <v>143</v>
      </c>
      <c r="E57" s="28" t="n">
        <v>46294.7173611111</v>
      </c>
      <c r="F57" s="28" t="n">
        <v>46295.9291666667</v>
      </c>
      <c r="G57" s="28" t="n">
        <v>46301.1375</v>
      </c>
      <c r="H57" s="28"/>
      <c r="I57" s="22" t="s">
        <v>136</v>
      </c>
      <c r="J57" s="29" t="str">
        <f aca="false">IF(H57&lt;&gt;"","Converted",IF(G57&lt;&gt;"","Activated",IF(F57&lt;&gt;"","Registered","Created")))</f>
        <v>Activated</v>
      </c>
      <c r="K57" s="29" t="str">
        <f aca="false">IF(AND(I57="Expired",J57="Created"),"OK",IF(I57&lt;&gt;J57,"CHECK status",IF(OR(AND(G57&lt;&gt;"",F57=""),AND(H57&lt;&gt;"",G57="")),"CHECK gap",IF(OR(AND(F57&lt;&gt;"",F57&lt;E57),AND(G57&lt;&gt;"",G57&lt;F57),AND(H57&lt;&gt;"",H57&lt;G57)),"CHECK order","OK"))))</f>
        <v>OK</v>
      </c>
      <c r="L57" s="30" t="n">
        <f aca="false">IF(F57="","",F57-E57)</f>
        <v>1.21180555555556</v>
      </c>
      <c r="M57" s="30" t="n">
        <f aca="false">IF(G57="","",G57-F57)</f>
        <v>5.20833333333333</v>
      </c>
      <c r="N57" s="30" t="str">
        <f aca="false">IF(H57="","",H57-G57)</f>
        <v/>
      </c>
      <c r="O57" s="30" t="str">
        <f aca="false">IF(H57="","",H57-E57)</f>
        <v/>
      </c>
      <c r="P57" s="29" t="str">
        <f aca="false">IF(G57="","",IF(G57-F57&lt;=Settings!$B$6,"Yes","No"))</f>
        <v>Yes</v>
      </c>
      <c r="Q57" s="29" t="n">
        <f aca="false">IF(COUNTIF($B$5:B57,B57)=1,1,0)</f>
        <v>0</v>
      </c>
      <c r="R57" s="29" t="n">
        <f aca="false">IF(H57="",0,IF(COUNTIFS($B$5:B57,B57,$H$5:H57,"&lt;&gt;")=1,1,0))</f>
        <v>0</v>
      </c>
    </row>
    <row r="58" customFormat="false" ht="15" hidden="false" customHeight="false" outlineLevel="0" collapsed="false">
      <c r="A58" s="22" t="s">
        <v>268</v>
      </c>
      <c r="B58" s="22" t="s">
        <v>196</v>
      </c>
      <c r="C58" s="22" t="s">
        <v>269</v>
      </c>
      <c r="D58" s="22" t="s">
        <v>142</v>
      </c>
      <c r="E58" s="28" t="n">
        <v>46281.7215277778</v>
      </c>
      <c r="F58" s="28" t="n">
        <v>46282.7638888889</v>
      </c>
      <c r="G58" s="28" t="n">
        <v>46285.9305555556</v>
      </c>
      <c r="H58" s="28"/>
      <c r="I58" s="22" t="s">
        <v>136</v>
      </c>
      <c r="J58" s="29" t="str">
        <f aca="false">IF(H58&lt;&gt;"","Converted",IF(G58&lt;&gt;"","Activated",IF(F58&lt;&gt;"","Registered","Created")))</f>
        <v>Activated</v>
      </c>
      <c r="K58" s="29" t="str">
        <f aca="false">IF(AND(I58="Expired",J58="Created"),"OK",IF(I58&lt;&gt;J58,"CHECK status",IF(OR(AND(G58&lt;&gt;"",F58=""),AND(H58&lt;&gt;"",G58="")),"CHECK gap",IF(OR(AND(F58&lt;&gt;"",F58&lt;E58),AND(G58&lt;&gt;"",G58&lt;F58),AND(H58&lt;&gt;"",H58&lt;G58)),"CHECK order","OK"))))</f>
        <v>OK</v>
      </c>
      <c r="L58" s="30" t="n">
        <f aca="false">IF(F58="","",F58-E58)</f>
        <v>1.04236111111111</v>
      </c>
      <c r="M58" s="30" t="n">
        <f aca="false">IF(G58="","",G58-F58)</f>
        <v>3.16666666666667</v>
      </c>
      <c r="N58" s="30" t="str">
        <f aca="false">IF(H58="","",H58-G58)</f>
        <v/>
      </c>
      <c r="O58" s="30" t="str">
        <f aca="false">IF(H58="","",H58-E58)</f>
        <v/>
      </c>
      <c r="P58" s="29" t="str">
        <f aca="false">IF(G58="","",IF(G58-F58&lt;=Settings!$B$6,"Yes","No"))</f>
        <v>Yes</v>
      </c>
      <c r="Q58" s="29" t="n">
        <f aca="false">IF(COUNTIF($B$5:B58,B58)=1,1,0)</f>
        <v>0</v>
      </c>
      <c r="R58" s="29" t="n">
        <f aca="false">IF(H58="",0,IF(COUNTIFS($B$5:B58,B58,$H$5:H58,"&lt;&gt;")=1,1,0))</f>
        <v>0</v>
      </c>
    </row>
    <row r="59" customFormat="false" ht="15" hidden="false" customHeight="false" outlineLevel="0" collapsed="false">
      <c r="A59" s="22" t="s">
        <v>270</v>
      </c>
      <c r="B59" s="22" t="s">
        <v>196</v>
      </c>
      <c r="C59" s="22" t="s">
        <v>271</v>
      </c>
      <c r="D59" s="22" t="s">
        <v>143</v>
      </c>
      <c r="E59" s="28" t="n">
        <v>46302.4479166667</v>
      </c>
      <c r="F59" s="28" t="n">
        <v>46309.5833333333</v>
      </c>
      <c r="G59" s="28"/>
      <c r="H59" s="28"/>
      <c r="I59" s="22" t="s">
        <v>135</v>
      </c>
      <c r="J59" s="29" t="str">
        <f aca="false">IF(H59&lt;&gt;"","Converted",IF(G59&lt;&gt;"","Activated",IF(F59&lt;&gt;"","Registered","Created")))</f>
        <v>Registered</v>
      </c>
      <c r="K59" s="29" t="str">
        <f aca="false">IF(AND(I59="Expired",J59="Created"),"OK",IF(I59&lt;&gt;J59,"CHECK status",IF(OR(AND(G59&lt;&gt;"",F59=""),AND(H59&lt;&gt;"",G59="")),"CHECK gap",IF(OR(AND(F59&lt;&gt;"",F59&lt;E59),AND(G59&lt;&gt;"",G59&lt;F59),AND(H59&lt;&gt;"",H59&lt;G59)),"CHECK order","OK"))))</f>
        <v>OK</v>
      </c>
      <c r="L59" s="30" t="n">
        <f aca="false">IF(F59="","",F59-E59)</f>
        <v>7.13541666668982</v>
      </c>
      <c r="M59" s="30" t="str">
        <f aca="false">IF(G59="","",G59-F59)</f>
        <v/>
      </c>
      <c r="N59" s="30" t="str">
        <f aca="false">IF(H59="","",H59-G59)</f>
        <v/>
      </c>
      <c r="O59" s="30" t="str">
        <f aca="false">IF(H59="","",H59-E59)</f>
        <v/>
      </c>
      <c r="P59" s="29" t="str">
        <f aca="false">IF(G59="","",IF(G59-F59&lt;=Settings!$B$6,"Yes","No"))</f>
        <v/>
      </c>
      <c r="Q59" s="29" t="n">
        <f aca="false">IF(COUNTIF($B$5:B59,B59)=1,1,0)</f>
        <v>0</v>
      </c>
      <c r="R59" s="29" t="n">
        <f aca="false">IF(H59="",0,IF(COUNTIFS($B$5:B59,B59,$H$5:H59,"&lt;&gt;")=1,1,0))</f>
        <v>0</v>
      </c>
    </row>
    <row r="60" customFormat="false" ht="15" hidden="false" customHeight="false" outlineLevel="0" collapsed="false">
      <c r="A60" s="22" t="s">
        <v>272</v>
      </c>
      <c r="B60" s="22" t="s">
        <v>200</v>
      </c>
      <c r="C60" s="22"/>
      <c r="D60" s="22" t="s">
        <v>142</v>
      </c>
      <c r="E60" s="28" t="n">
        <v>46280.4104166667</v>
      </c>
      <c r="F60" s="28"/>
      <c r="G60" s="28"/>
      <c r="H60" s="28"/>
      <c r="I60" s="22" t="s">
        <v>186</v>
      </c>
      <c r="J60" s="29" t="str">
        <f aca="false">IF(H60&lt;&gt;"","Converted",IF(G60&lt;&gt;"","Activated",IF(F60&lt;&gt;"","Registered","Created")))</f>
        <v>Created</v>
      </c>
      <c r="K60" s="29" t="str">
        <f aca="false">IF(AND(I60="Expired",J60="Created"),"OK",IF(I60&lt;&gt;J60,"CHECK status",IF(OR(AND(G60&lt;&gt;"",F60=""),AND(H60&lt;&gt;"",G60="")),"CHECK gap",IF(OR(AND(F60&lt;&gt;"",F60&lt;E60),AND(G60&lt;&gt;"",G60&lt;F60),AND(H60&lt;&gt;"",H60&lt;G60)),"CHECK order","OK"))))</f>
        <v>OK</v>
      </c>
      <c r="L60" s="30" t="str">
        <f aca="false">IF(F60="","",F60-E60)</f>
        <v/>
      </c>
      <c r="M60" s="30" t="str">
        <f aca="false">IF(G60="","",G60-F60)</f>
        <v/>
      </c>
      <c r="N60" s="30" t="str">
        <f aca="false">IF(H60="","",H60-G60)</f>
        <v/>
      </c>
      <c r="O60" s="30" t="str">
        <f aca="false">IF(H60="","",H60-E60)</f>
        <v/>
      </c>
      <c r="P60" s="29" t="str">
        <f aca="false">IF(G60="","",IF(G60-F60&lt;=Settings!$B$6,"Yes","No"))</f>
        <v/>
      </c>
      <c r="Q60" s="29" t="n">
        <f aca="false">IF(COUNTIF($B$5:B60,B60)=1,1,0)</f>
        <v>0</v>
      </c>
      <c r="R60" s="29" t="n">
        <f aca="false">IF(H60="",0,IF(COUNTIFS($B$5:B60,B60,$H$5:H60,"&lt;&gt;")=1,1,0))</f>
        <v>0</v>
      </c>
    </row>
    <row r="61" customFormat="false" ht="15" hidden="false" customHeight="false" outlineLevel="0" collapsed="false">
      <c r="A61" s="22" t="s">
        <v>273</v>
      </c>
      <c r="B61" s="22" t="s">
        <v>190</v>
      </c>
      <c r="C61" s="22"/>
      <c r="D61" s="22" t="s">
        <v>140</v>
      </c>
      <c r="E61" s="28" t="n">
        <v>46301.4569444444</v>
      </c>
      <c r="F61" s="28"/>
      <c r="G61" s="28"/>
      <c r="H61" s="28"/>
      <c r="I61" s="22" t="s">
        <v>134</v>
      </c>
      <c r="J61" s="29" t="str">
        <f aca="false">IF(H61&lt;&gt;"","Converted",IF(G61&lt;&gt;"","Activated",IF(F61&lt;&gt;"","Registered","Created")))</f>
        <v>Created</v>
      </c>
      <c r="K61" s="29" t="str">
        <f aca="false">IF(AND(I61="Expired",J61="Created"),"OK",IF(I61&lt;&gt;J61,"CHECK status",IF(OR(AND(G61&lt;&gt;"",F61=""),AND(H61&lt;&gt;"",G61="")),"CHECK gap",IF(OR(AND(F61&lt;&gt;"",F61&lt;E61),AND(G61&lt;&gt;"",G61&lt;F61),AND(H61&lt;&gt;"",H61&lt;G61)),"CHECK order","OK"))))</f>
        <v>OK</v>
      </c>
      <c r="L61" s="30" t="str">
        <f aca="false">IF(F61="","",F61-E61)</f>
        <v/>
      </c>
      <c r="M61" s="30" t="str">
        <f aca="false">IF(G61="","",G61-F61)</f>
        <v/>
      </c>
      <c r="N61" s="30" t="str">
        <f aca="false">IF(H61="","",H61-G61)</f>
        <v/>
      </c>
      <c r="O61" s="30" t="str">
        <f aca="false">IF(H61="","",H61-E61)</f>
        <v/>
      </c>
      <c r="P61" s="29" t="str">
        <f aca="false">IF(G61="","",IF(G61-F61&lt;=Settings!$B$6,"Yes","No"))</f>
        <v/>
      </c>
      <c r="Q61" s="29" t="n">
        <f aca="false">IF(COUNTIF($B$5:B61,B61)=1,1,0)</f>
        <v>0</v>
      </c>
      <c r="R61" s="29" t="n">
        <f aca="false">IF(H61="",0,IF(COUNTIFS($B$5:B61,B61,$H$5:H61,"&lt;&gt;")=1,1,0))</f>
        <v>0</v>
      </c>
    </row>
    <row r="62" customFormat="false" ht="15" hidden="false" customHeight="false" outlineLevel="0" collapsed="false">
      <c r="A62" s="22" t="s">
        <v>274</v>
      </c>
      <c r="B62" s="22" t="s">
        <v>215</v>
      </c>
      <c r="C62" s="22"/>
      <c r="D62" s="22" t="s">
        <v>141</v>
      </c>
      <c r="E62" s="28" t="n">
        <v>46295.73125</v>
      </c>
      <c r="F62" s="28"/>
      <c r="G62" s="28"/>
      <c r="H62" s="28"/>
      <c r="I62" s="22" t="s">
        <v>134</v>
      </c>
      <c r="J62" s="29" t="str">
        <f aca="false">IF(H62&lt;&gt;"","Converted",IF(G62&lt;&gt;"","Activated",IF(F62&lt;&gt;"","Registered","Created")))</f>
        <v>Created</v>
      </c>
      <c r="K62" s="29" t="str">
        <f aca="false">IF(AND(I62="Expired",J62="Created"),"OK",IF(I62&lt;&gt;J62,"CHECK status",IF(OR(AND(G62&lt;&gt;"",F62=""),AND(H62&lt;&gt;"",G62="")),"CHECK gap",IF(OR(AND(F62&lt;&gt;"",F62&lt;E62),AND(G62&lt;&gt;"",G62&lt;F62),AND(H62&lt;&gt;"",H62&lt;G62)),"CHECK order","OK"))))</f>
        <v>OK</v>
      </c>
      <c r="L62" s="30" t="str">
        <f aca="false">IF(F62="","",F62-E62)</f>
        <v/>
      </c>
      <c r="M62" s="30" t="str">
        <f aca="false">IF(G62="","",G62-F62)</f>
        <v/>
      </c>
      <c r="N62" s="30" t="str">
        <f aca="false">IF(H62="","",H62-G62)</f>
        <v/>
      </c>
      <c r="O62" s="30" t="str">
        <f aca="false">IF(H62="","",H62-E62)</f>
        <v/>
      </c>
      <c r="P62" s="29" t="str">
        <f aca="false">IF(G62="","",IF(G62-F62&lt;=Settings!$B$6,"Yes","No"))</f>
        <v/>
      </c>
      <c r="Q62" s="29" t="n">
        <f aca="false">IF(COUNTIF($B$5:B62,B62)=1,1,0)</f>
        <v>0</v>
      </c>
      <c r="R62" s="29" t="n">
        <f aca="false">IF(H62="",0,IF(COUNTIFS($B$5:B62,B62,$H$5:H62,"&lt;&gt;")=1,1,0))</f>
        <v>0</v>
      </c>
    </row>
    <row r="63" customFormat="false" ht="15" hidden="false" customHeight="false" outlineLevel="0" collapsed="false">
      <c r="A63" s="22" t="s">
        <v>275</v>
      </c>
      <c r="B63" s="22" t="s">
        <v>175</v>
      </c>
      <c r="C63" s="22" t="s">
        <v>276</v>
      </c>
      <c r="D63" s="22" t="s">
        <v>144</v>
      </c>
      <c r="E63" s="28" t="n">
        <v>46294.7027777778</v>
      </c>
      <c r="F63" s="28" t="n">
        <v>46299.8888888889</v>
      </c>
      <c r="G63" s="28"/>
      <c r="H63" s="28"/>
      <c r="I63" s="22" t="s">
        <v>135</v>
      </c>
      <c r="J63" s="29" t="str">
        <f aca="false">IF(H63&lt;&gt;"","Converted",IF(G63&lt;&gt;"","Activated",IF(F63&lt;&gt;"","Registered","Created")))</f>
        <v>Registered</v>
      </c>
      <c r="K63" s="29" t="str">
        <f aca="false">IF(AND(I63="Expired",J63="Created"),"OK",IF(I63&lt;&gt;J63,"CHECK status",IF(OR(AND(G63&lt;&gt;"",F63=""),AND(H63&lt;&gt;"",G63="")),"CHECK gap",IF(OR(AND(F63&lt;&gt;"",F63&lt;E63),AND(G63&lt;&gt;"",G63&lt;F63),AND(H63&lt;&gt;"",H63&lt;G63)),"CHECK order","OK"))))</f>
        <v>OK</v>
      </c>
      <c r="L63" s="30" t="n">
        <f aca="false">IF(F63="","",F63-E63)</f>
        <v>5.18611111111111</v>
      </c>
      <c r="M63" s="30" t="str">
        <f aca="false">IF(G63="","",G63-F63)</f>
        <v/>
      </c>
      <c r="N63" s="30" t="str">
        <f aca="false">IF(H63="","",H63-G63)</f>
        <v/>
      </c>
      <c r="O63" s="30" t="str">
        <f aca="false">IF(H63="","",H63-E63)</f>
        <v/>
      </c>
      <c r="P63" s="29" t="str">
        <f aca="false">IF(G63="","",IF(G63-F63&lt;=Settings!$B$6,"Yes","No"))</f>
        <v/>
      </c>
      <c r="Q63" s="29" t="n">
        <f aca="false">IF(COUNTIF($B$5:B63,B63)=1,1,0)</f>
        <v>0</v>
      </c>
      <c r="R63" s="29" t="n">
        <f aca="false">IF(H63="",0,IF(COUNTIFS($B$5:B63,B63,$H$5:H63,"&lt;&gt;")=1,1,0))</f>
        <v>0</v>
      </c>
    </row>
    <row r="64" customFormat="false" ht="15" hidden="false" customHeight="false" outlineLevel="0" collapsed="false">
      <c r="A64" s="22" t="s">
        <v>277</v>
      </c>
      <c r="B64" s="22" t="s">
        <v>203</v>
      </c>
      <c r="C64" s="22" t="s">
        <v>278</v>
      </c>
      <c r="D64" s="22" t="s">
        <v>141</v>
      </c>
      <c r="E64" s="28" t="n">
        <v>46294.4916666667</v>
      </c>
      <c r="F64" s="28" t="n">
        <v>46296.6798611111</v>
      </c>
      <c r="G64" s="28"/>
      <c r="H64" s="28"/>
      <c r="I64" s="22" t="s">
        <v>135</v>
      </c>
      <c r="J64" s="29" t="str">
        <f aca="false">IF(H64&lt;&gt;"","Converted",IF(G64&lt;&gt;"","Activated",IF(F64&lt;&gt;"","Registered","Created")))</f>
        <v>Registered</v>
      </c>
      <c r="K64" s="29" t="str">
        <f aca="false">IF(AND(I64="Expired",J64="Created"),"OK",IF(I64&lt;&gt;J64,"CHECK status",IF(OR(AND(G64&lt;&gt;"",F64=""),AND(H64&lt;&gt;"",G64="")),"CHECK gap",IF(OR(AND(F64&lt;&gt;"",F64&lt;E64),AND(G64&lt;&gt;"",G64&lt;F64),AND(H64&lt;&gt;"",H64&lt;G64)),"CHECK order","OK"))))</f>
        <v>OK</v>
      </c>
      <c r="L64" s="30" t="n">
        <f aca="false">IF(F64="","",F64-E64)</f>
        <v>2.18819444444444</v>
      </c>
      <c r="M64" s="30" t="str">
        <f aca="false">IF(G64="","",G64-F64)</f>
        <v/>
      </c>
      <c r="N64" s="30" t="str">
        <f aca="false">IF(H64="","",H64-G64)</f>
        <v/>
      </c>
      <c r="O64" s="30" t="str">
        <f aca="false">IF(H64="","",H64-E64)</f>
        <v/>
      </c>
      <c r="P64" s="29" t="str">
        <f aca="false">IF(G64="","",IF(G64-F64&lt;=Settings!$B$6,"Yes","No"))</f>
        <v/>
      </c>
      <c r="Q64" s="29" t="n">
        <f aca="false">IF(COUNTIF($B$5:B64,B64)=1,1,0)</f>
        <v>0</v>
      </c>
      <c r="R64" s="29" t="n">
        <f aca="false">IF(H64="",0,IF(COUNTIFS($B$5:B64,B64,$H$5:H64,"&lt;&gt;")=1,1,0))</f>
        <v>0</v>
      </c>
    </row>
  </sheetData>
  <autoFilter ref="A4:R64"/>
  <dataValidations count="2">
    <dataValidation allowBlank="true" errorStyle="stop" operator="between" showDropDown="false" showErrorMessage="false" showInputMessage="false" sqref="I5:I1000" type="list">
      <formula1>"Created,Registered,Activated,Converted,Expired"</formula1>
      <formula2>0</formula2>
    </dataValidation>
    <dataValidation allowBlank="true" errorStyle="stop" operator="between" showDropDown="false" showErrorMessage="false" showInputMessage="false" sqref="D5:D1000" type="list">
      <formula1>"Email,WhatsApp,Social Media,In-App Invite,Referral Link"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13" min="9" style="0" width="14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279</v>
      </c>
    </row>
    <row r="2" customFormat="false" ht="15" hidden="false" customHeight="false" outlineLevel="0" collapsed="false">
      <c r="A2" s="27" t="s">
        <v>280</v>
      </c>
    </row>
    <row r="4" customFormat="false" ht="31.5" hidden="false" customHeight="true" outlineLevel="0" collapsed="false">
      <c r="A4" s="11" t="s">
        <v>281</v>
      </c>
      <c r="B4" s="11" t="s">
        <v>282</v>
      </c>
      <c r="C4" s="11" t="s">
        <v>283</v>
      </c>
      <c r="D4" s="11" t="s">
        <v>284</v>
      </c>
      <c r="E4" s="11" t="s">
        <v>285</v>
      </c>
      <c r="F4" s="11" t="s">
        <v>286</v>
      </c>
      <c r="G4" s="11" t="s">
        <v>287</v>
      </c>
      <c r="H4" s="11" t="s">
        <v>288</v>
      </c>
      <c r="I4" s="11" t="s">
        <v>289</v>
      </c>
      <c r="J4" s="11" t="s">
        <v>290</v>
      </c>
      <c r="K4" s="11" t="s">
        <v>291</v>
      </c>
      <c r="L4" s="11" t="s">
        <v>292</v>
      </c>
      <c r="M4" s="11" t="s">
        <v>293</v>
      </c>
      <c r="N4" s="11" t="s">
        <v>294</v>
      </c>
    </row>
    <row r="5" customFormat="false" ht="15" hidden="false" customHeight="false" outlineLevel="0" collapsed="false">
      <c r="A5" s="22" t="s">
        <v>295</v>
      </c>
      <c r="B5" s="22" t="s">
        <v>296</v>
      </c>
      <c r="C5" s="31" t="n">
        <v>46266</v>
      </c>
      <c r="D5" s="22" t="s">
        <v>297</v>
      </c>
      <c r="E5" s="22" t="s">
        <v>298</v>
      </c>
      <c r="F5" s="29" t="str">
        <f aca="false">IF(COUNTIF(Referral_Data!$C$5:$C$1000,B5)&gt;0,"Referred",IF(COUNTIF(Referral_Data!$B$5:$B$1000,B5)&gt;0,"Referrer","Organic"))</f>
        <v>Organic</v>
      </c>
      <c r="G5" s="29" t="n">
        <f aca="false">IF(COUNTIFS($B$5:B5,B5,$C$5:C5,C5)=1,1,0)</f>
        <v>1</v>
      </c>
      <c r="H5" s="29" t="n">
        <f aca="false">IF(AND(G5=1,COUNTIFS($B$5:$B$1635,B5,$C$5:$C$1635,"&lt;"&amp;C5)&gt;0),1,0)</f>
        <v>0</v>
      </c>
      <c r="I5" s="29" t="n">
        <f aca="false">IF(AND(D5="Feature Use",COUNTIFS($B$5:B5,B5,$D$5:D5,"Feature Use",$E$5:E5,E5)=1),1,0)</f>
        <v>0</v>
      </c>
      <c r="J5" s="29" t="n">
        <f aca="false">IF(AND(D5="Feature Use",COUNTIFS($B$5:B5,B5,$D$5:D5,"Feature Use",$E$5:E5,E5)=2),1,0)</f>
        <v>0</v>
      </c>
      <c r="K5" s="29" t="n">
        <f aca="false">IF(COUNTIF($B$5:B5,B5)=1,1,0)</f>
        <v>1</v>
      </c>
      <c r="L5" s="29" t="n">
        <f aca="false">IF(AND(C5&gt;=Settings!$B$5-Settings!$B$8+1,C5&lt;=Settings!$B$5,COUNTIFS($B$5:B5,B5,$C$5:C5,"&gt;="&amp;(Settings!$B$5-Settings!$B$8+1),$C$5:C5,"&lt;="&amp;Settings!$B$5)=1),1,0)</f>
        <v>0</v>
      </c>
      <c r="M5" s="29" t="n">
        <f aca="false">IF(AND(C5&gt;=Settings!$B$5-Settings!$B$9+1,C5&lt;=Settings!$B$5,COUNTIFS($B$5:B5,B5,$C$5:C5,"&gt;="&amp;(Settings!$B$5-Settings!$B$9+1),$C$5:C5,"&lt;="&amp;Settings!$B$5)=1),1,0)</f>
        <v>0</v>
      </c>
      <c r="N5" s="29" t="n">
        <f aca="false">IF(AND(D5="Feature Use",COUNTIFS($B$5:B5,B5,$D$5:D5,"Feature Use")=1),1,0)</f>
        <v>0</v>
      </c>
    </row>
    <row r="6" customFormat="false" ht="15" hidden="false" customHeight="false" outlineLevel="0" collapsed="false">
      <c r="A6" s="22" t="s">
        <v>299</v>
      </c>
      <c r="B6" s="22" t="s">
        <v>296</v>
      </c>
      <c r="C6" s="31" t="n">
        <v>46266</v>
      </c>
      <c r="D6" s="22" t="s">
        <v>300</v>
      </c>
      <c r="E6" s="22" t="s">
        <v>301</v>
      </c>
      <c r="F6" s="29" t="str">
        <f aca="false">IF(COUNTIF(Referral_Data!$C$5:$C$1000,B6)&gt;0,"Referred",IF(COUNTIF(Referral_Data!$B$5:$B$1000,B6)&gt;0,"Referrer","Organic"))</f>
        <v>Organic</v>
      </c>
      <c r="G6" s="29" t="n">
        <f aca="false">IF(COUNTIFS($B$5:B6,B6,$C$5:C6,C6)=1,1,0)</f>
        <v>0</v>
      </c>
      <c r="H6" s="29" t="n">
        <f aca="false">IF(AND(G6=1,COUNTIFS($B$5:$B$1635,B6,$C$5:$C$1635,"&lt;"&amp;C6)&gt;0),1,0)</f>
        <v>0</v>
      </c>
      <c r="I6" s="29" t="n">
        <f aca="false">IF(AND(D6="Feature Use",COUNTIFS($B$5:B6,B6,$D$5:D6,"Feature Use",$E$5:E6,E6)=1),1,0)</f>
        <v>1</v>
      </c>
      <c r="J6" s="29" t="n">
        <f aca="false">IF(AND(D6="Feature Use",COUNTIFS($B$5:B6,B6,$D$5:D6,"Feature Use",$E$5:E6,E6)=2),1,0)</f>
        <v>0</v>
      </c>
      <c r="K6" s="29" t="n">
        <f aca="false">IF(COUNTIF($B$5:B6,B6)=1,1,0)</f>
        <v>0</v>
      </c>
      <c r="L6" s="29" t="n">
        <f aca="false">IF(AND(C6&gt;=Settings!$B$5-Settings!$B$8+1,C6&lt;=Settings!$B$5,COUNTIFS($B$5:B6,B6,$C$5:C6,"&gt;="&amp;(Settings!$B$5-Settings!$B$8+1),$C$5:C6,"&lt;="&amp;Settings!$B$5)=1),1,0)</f>
        <v>0</v>
      </c>
      <c r="M6" s="29" t="n">
        <f aca="false">IF(AND(C6&gt;=Settings!$B$5-Settings!$B$9+1,C6&lt;=Settings!$B$5,COUNTIFS($B$5:B6,B6,$C$5:C6,"&gt;="&amp;(Settings!$B$5-Settings!$B$9+1),$C$5:C6,"&lt;="&amp;Settings!$B$5)=1),1,0)</f>
        <v>0</v>
      </c>
      <c r="N6" s="29" t="n">
        <f aca="false">IF(AND(D6="Feature Use",COUNTIFS($B$5:B6,B6,$D$5:D6,"Feature Use")=1),1,0)</f>
        <v>1</v>
      </c>
    </row>
    <row r="7" customFormat="false" ht="15" hidden="false" customHeight="false" outlineLevel="0" collapsed="false">
      <c r="A7" s="22" t="s">
        <v>302</v>
      </c>
      <c r="B7" s="22" t="s">
        <v>303</v>
      </c>
      <c r="C7" s="31" t="n">
        <v>46266</v>
      </c>
      <c r="D7" s="22" t="s">
        <v>297</v>
      </c>
      <c r="E7" s="22" t="s">
        <v>298</v>
      </c>
      <c r="F7" s="29" t="str">
        <f aca="false">IF(COUNTIF(Referral_Data!$C$5:$C$1000,B7)&gt;0,"Referred",IF(COUNTIF(Referral_Data!$B$5:$B$1000,B7)&gt;0,"Referrer","Organic"))</f>
        <v>Organic</v>
      </c>
      <c r="G7" s="29" t="n">
        <f aca="false">IF(COUNTIFS($B$5:B7,B7,$C$5:C7,C7)=1,1,0)</f>
        <v>1</v>
      </c>
      <c r="H7" s="29" t="n">
        <f aca="false">IF(AND(G7=1,COUNTIFS($B$5:$B$1635,B7,$C$5:$C$1635,"&lt;"&amp;C7)&gt;0),1,0)</f>
        <v>0</v>
      </c>
      <c r="I7" s="29" t="n">
        <f aca="false">IF(AND(D7="Feature Use",COUNTIFS($B$5:B7,B7,$D$5:D7,"Feature Use",$E$5:E7,E7)=1),1,0)</f>
        <v>0</v>
      </c>
      <c r="J7" s="29" t="n">
        <f aca="false">IF(AND(D7="Feature Use",COUNTIFS($B$5:B7,B7,$D$5:D7,"Feature Use",$E$5:E7,E7)=2),1,0)</f>
        <v>0</v>
      </c>
      <c r="K7" s="29" t="n">
        <f aca="false">IF(COUNTIF($B$5:B7,B7)=1,1,0)</f>
        <v>1</v>
      </c>
      <c r="L7" s="29" t="n">
        <f aca="false">IF(AND(C7&gt;=Settings!$B$5-Settings!$B$8+1,C7&lt;=Settings!$B$5,COUNTIFS($B$5:B7,B7,$C$5:C7,"&gt;="&amp;(Settings!$B$5-Settings!$B$8+1),$C$5:C7,"&lt;="&amp;Settings!$B$5)=1),1,0)</f>
        <v>0</v>
      </c>
      <c r="M7" s="29" t="n">
        <f aca="false">IF(AND(C7&gt;=Settings!$B$5-Settings!$B$9+1,C7&lt;=Settings!$B$5,COUNTIFS($B$5:B7,B7,$C$5:C7,"&gt;="&amp;(Settings!$B$5-Settings!$B$9+1),$C$5:C7,"&lt;="&amp;Settings!$B$5)=1),1,0)</f>
        <v>0</v>
      </c>
      <c r="N7" s="29" t="n">
        <f aca="false">IF(AND(D7="Feature Use",COUNTIFS($B$5:B7,B7,$D$5:D7,"Feature Use")=1),1,0)</f>
        <v>0</v>
      </c>
    </row>
    <row r="8" customFormat="false" ht="15" hidden="false" customHeight="false" outlineLevel="0" collapsed="false">
      <c r="A8" s="22" t="s">
        <v>304</v>
      </c>
      <c r="B8" s="22" t="s">
        <v>303</v>
      </c>
      <c r="C8" s="31" t="n">
        <v>46266</v>
      </c>
      <c r="D8" s="22" t="s">
        <v>300</v>
      </c>
      <c r="E8" s="22" t="s">
        <v>305</v>
      </c>
      <c r="F8" s="29" t="str">
        <f aca="false">IF(COUNTIF(Referral_Data!$C$5:$C$1000,B8)&gt;0,"Referred",IF(COUNTIF(Referral_Data!$B$5:$B$1000,B8)&gt;0,"Referrer","Organic"))</f>
        <v>Organic</v>
      </c>
      <c r="G8" s="29" t="n">
        <f aca="false">IF(COUNTIFS($B$5:B8,B8,$C$5:C8,C8)=1,1,0)</f>
        <v>0</v>
      </c>
      <c r="H8" s="29" t="n">
        <f aca="false">IF(AND(G8=1,COUNTIFS($B$5:$B$1635,B8,$C$5:$C$1635,"&lt;"&amp;C8)&gt;0),1,0)</f>
        <v>0</v>
      </c>
      <c r="I8" s="29" t="n">
        <f aca="false">IF(AND(D8="Feature Use",COUNTIFS($B$5:B8,B8,$D$5:D8,"Feature Use",$E$5:E8,E8)=1),1,0)</f>
        <v>1</v>
      </c>
      <c r="J8" s="29" t="n">
        <f aca="false">IF(AND(D8="Feature Use",COUNTIFS($B$5:B8,B8,$D$5:D8,"Feature Use",$E$5:E8,E8)=2),1,0)</f>
        <v>0</v>
      </c>
      <c r="K8" s="29" t="n">
        <f aca="false">IF(COUNTIF($B$5:B8,B8)=1,1,0)</f>
        <v>0</v>
      </c>
      <c r="L8" s="29" t="n">
        <f aca="false">IF(AND(C8&gt;=Settings!$B$5-Settings!$B$8+1,C8&lt;=Settings!$B$5,COUNTIFS($B$5:B8,B8,$C$5:C8,"&gt;="&amp;(Settings!$B$5-Settings!$B$8+1),$C$5:C8,"&lt;="&amp;Settings!$B$5)=1),1,0)</f>
        <v>0</v>
      </c>
      <c r="M8" s="29" t="n">
        <f aca="false">IF(AND(C8&gt;=Settings!$B$5-Settings!$B$9+1,C8&lt;=Settings!$B$5,COUNTIFS($B$5:B8,B8,$C$5:C8,"&gt;="&amp;(Settings!$B$5-Settings!$B$9+1),$C$5:C8,"&lt;="&amp;Settings!$B$5)=1),1,0)</f>
        <v>0</v>
      </c>
      <c r="N8" s="29" t="n">
        <f aca="false">IF(AND(D8="Feature Use",COUNTIFS($B$5:B8,B8,$D$5:D8,"Feature Use")=1),1,0)</f>
        <v>1</v>
      </c>
    </row>
    <row r="9" customFormat="false" ht="15" hidden="false" customHeight="false" outlineLevel="0" collapsed="false">
      <c r="A9" s="22" t="s">
        <v>306</v>
      </c>
      <c r="B9" s="22" t="s">
        <v>303</v>
      </c>
      <c r="C9" s="31" t="n">
        <v>46266</v>
      </c>
      <c r="D9" s="22" t="s">
        <v>300</v>
      </c>
      <c r="E9" s="22" t="s">
        <v>305</v>
      </c>
      <c r="F9" s="29" t="str">
        <f aca="false">IF(COUNTIF(Referral_Data!$C$5:$C$1000,B9)&gt;0,"Referred",IF(COUNTIF(Referral_Data!$B$5:$B$1000,B9)&gt;0,"Referrer","Organic"))</f>
        <v>Organic</v>
      </c>
      <c r="G9" s="29" t="n">
        <f aca="false">IF(COUNTIFS($B$5:B9,B9,$C$5:C9,C9)=1,1,0)</f>
        <v>0</v>
      </c>
      <c r="H9" s="29" t="n">
        <f aca="false">IF(AND(G9=1,COUNTIFS($B$5:$B$1635,B9,$C$5:$C$1635,"&lt;"&amp;C9)&gt;0),1,0)</f>
        <v>0</v>
      </c>
      <c r="I9" s="29" t="n">
        <f aca="false">IF(AND(D9="Feature Use",COUNTIFS($B$5:B9,B9,$D$5:D9,"Feature Use",$E$5:E9,E9)=1),1,0)</f>
        <v>0</v>
      </c>
      <c r="J9" s="29" t="n">
        <f aca="false">IF(AND(D9="Feature Use",COUNTIFS($B$5:B9,B9,$D$5:D9,"Feature Use",$E$5:E9,E9)=2),1,0)</f>
        <v>1</v>
      </c>
      <c r="K9" s="29" t="n">
        <f aca="false">IF(COUNTIF($B$5:B9,B9)=1,1,0)</f>
        <v>0</v>
      </c>
      <c r="L9" s="29" t="n">
        <f aca="false">IF(AND(C9&gt;=Settings!$B$5-Settings!$B$8+1,C9&lt;=Settings!$B$5,COUNTIFS($B$5:B9,B9,$C$5:C9,"&gt;="&amp;(Settings!$B$5-Settings!$B$8+1),$C$5:C9,"&lt;="&amp;Settings!$B$5)=1),1,0)</f>
        <v>0</v>
      </c>
      <c r="M9" s="29" t="n">
        <f aca="false">IF(AND(C9&gt;=Settings!$B$5-Settings!$B$9+1,C9&lt;=Settings!$B$5,COUNTIFS($B$5:B9,B9,$C$5:C9,"&gt;="&amp;(Settings!$B$5-Settings!$B$9+1),$C$5:C9,"&lt;="&amp;Settings!$B$5)=1),1,0)</f>
        <v>0</v>
      </c>
      <c r="N9" s="29" t="n">
        <f aca="false">IF(AND(D9="Feature Use",COUNTIFS($B$5:B9,B9,$D$5:D9,"Feature Use")=1),1,0)</f>
        <v>0</v>
      </c>
    </row>
    <row r="10" customFormat="false" ht="15" hidden="false" customHeight="false" outlineLevel="0" collapsed="false">
      <c r="A10" s="22" t="s">
        <v>307</v>
      </c>
      <c r="B10" s="22" t="s">
        <v>303</v>
      </c>
      <c r="C10" s="31" t="n">
        <v>46266</v>
      </c>
      <c r="D10" s="22" t="s">
        <v>308</v>
      </c>
      <c r="E10" s="22" t="s">
        <v>309</v>
      </c>
      <c r="F10" s="29" t="str">
        <f aca="false">IF(COUNTIF(Referral_Data!$C$5:$C$1000,B10)&gt;0,"Referred",IF(COUNTIF(Referral_Data!$B$5:$B$1000,B10)&gt;0,"Referrer","Organic"))</f>
        <v>Organic</v>
      </c>
      <c r="G10" s="29" t="n">
        <f aca="false">IF(COUNTIFS($B$5:B10,B10,$C$5:C10,C10)=1,1,0)</f>
        <v>0</v>
      </c>
      <c r="H10" s="29" t="n">
        <f aca="false">IF(AND(G10=1,COUNTIFS($B$5:$B$1635,B10,$C$5:$C$1635,"&lt;"&amp;C10)&gt;0),1,0)</f>
        <v>0</v>
      </c>
      <c r="I10" s="29" t="n">
        <f aca="false">IF(AND(D10="Feature Use",COUNTIFS($B$5:B10,B10,$D$5:D10,"Feature Use",$E$5:E10,E10)=1),1,0)</f>
        <v>0</v>
      </c>
      <c r="J10" s="29" t="n">
        <f aca="false">IF(AND(D10="Feature Use",COUNTIFS($B$5:B10,B10,$D$5:D10,"Feature Use",$E$5:E10,E10)=2),1,0)</f>
        <v>0</v>
      </c>
      <c r="K10" s="29" t="n">
        <f aca="false">IF(COUNTIF($B$5:B10,B10)=1,1,0)</f>
        <v>0</v>
      </c>
      <c r="L10" s="29" t="n">
        <f aca="false">IF(AND(C10&gt;=Settings!$B$5-Settings!$B$8+1,C10&lt;=Settings!$B$5,COUNTIFS($B$5:B10,B10,$C$5:C10,"&gt;="&amp;(Settings!$B$5-Settings!$B$8+1),$C$5:C10,"&lt;="&amp;Settings!$B$5)=1),1,0)</f>
        <v>0</v>
      </c>
      <c r="M10" s="29" t="n">
        <f aca="false">IF(AND(C10&gt;=Settings!$B$5-Settings!$B$9+1,C10&lt;=Settings!$B$5,COUNTIFS($B$5:B10,B10,$C$5:C10,"&gt;="&amp;(Settings!$B$5-Settings!$B$9+1),$C$5:C10,"&lt;="&amp;Settings!$B$5)=1),1,0)</f>
        <v>0</v>
      </c>
      <c r="N10" s="29" t="n">
        <f aca="false">IF(AND(D10="Feature Use",COUNTIFS($B$5:B10,B10,$D$5:D10,"Feature Use")=1),1,0)</f>
        <v>0</v>
      </c>
    </row>
    <row r="11" customFormat="false" ht="15" hidden="false" customHeight="false" outlineLevel="0" collapsed="false">
      <c r="A11" s="22" t="s">
        <v>310</v>
      </c>
      <c r="B11" s="22" t="s">
        <v>303</v>
      </c>
      <c r="C11" s="31" t="n">
        <v>46266</v>
      </c>
      <c r="D11" s="22" t="s">
        <v>308</v>
      </c>
      <c r="E11" s="22" t="s">
        <v>311</v>
      </c>
      <c r="F11" s="29" t="str">
        <f aca="false">IF(COUNTIF(Referral_Data!$C$5:$C$1000,B11)&gt;0,"Referred",IF(COUNTIF(Referral_Data!$B$5:$B$1000,B11)&gt;0,"Referrer","Organic"))</f>
        <v>Organic</v>
      </c>
      <c r="G11" s="29" t="n">
        <f aca="false">IF(COUNTIFS($B$5:B11,B11,$C$5:C11,C11)=1,1,0)</f>
        <v>0</v>
      </c>
      <c r="H11" s="29" t="n">
        <f aca="false">IF(AND(G11=1,COUNTIFS($B$5:$B$1635,B11,$C$5:$C$1635,"&lt;"&amp;C11)&gt;0),1,0)</f>
        <v>0</v>
      </c>
      <c r="I11" s="29" t="n">
        <f aca="false">IF(AND(D11="Feature Use",COUNTIFS($B$5:B11,B11,$D$5:D11,"Feature Use",$E$5:E11,E11)=1),1,0)</f>
        <v>0</v>
      </c>
      <c r="J11" s="29" t="n">
        <f aca="false">IF(AND(D11="Feature Use",COUNTIFS($B$5:B11,B11,$D$5:D11,"Feature Use",$E$5:E11,E11)=2),1,0)</f>
        <v>0</v>
      </c>
      <c r="K11" s="29" t="n">
        <f aca="false">IF(COUNTIF($B$5:B11,B11)=1,1,0)</f>
        <v>0</v>
      </c>
      <c r="L11" s="29" t="n">
        <f aca="false">IF(AND(C11&gt;=Settings!$B$5-Settings!$B$8+1,C11&lt;=Settings!$B$5,COUNTIFS($B$5:B11,B11,$C$5:C11,"&gt;="&amp;(Settings!$B$5-Settings!$B$8+1),$C$5:C11,"&lt;="&amp;Settings!$B$5)=1),1,0)</f>
        <v>0</v>
      </c>
      <c r="M11" s="29" t="n">
        <f aca="false">IF(AND(C11&gt;=Settings!$B$5-Settings!$B$9+1,C11&lt;=Settings!$B$5,COUNTIFS($B$5:B11,B11,$C$5:C11,"&gt;="&amp;(Settings!$B$5-Settings!$B$9+1),$C$5:C11,"&lt;="&amp;Settings!$B$5)=1),1,0)</f>
        <v>0</v>
      </c>
      <c r="N11" s="29" t="n">
        <f aca="false">IF(AND(D11="Feature Use",COUNTIFS($B$5:B11,B11,$D$5:D11,"Feature Use")=1),1,0)</f>
        <v>0</v>
      </c>
    </row>
    <row r="12" customFormat="false" ht="15" hidden="false" customHeight="false" outlineLevel="0" collapsed="false">
      <c r="A12" s="22" t="s">
        <v>312</v>
      </c>
      <c r="B12" s="22" t="s">
        <v>313</v>
      </c>
      <c r="C12" s="31" t="n">
        <v>46266</v>
      </c>
      <c r="D12" s="22" t="s">
        <v>297</v>
      </c>
      <c r="E12" s="22" t="s">
        <v>298</v>
      </c>
      <c r="F12" s="29" t="str">
        <f aca="false">IF(COUNTIF(Referral_Data!$C$5:$C$1000,B12)&gt;0,"Referred",IF(COUNTIF(Referral_Data!$B$5:$B$1000,B12)&gt;0,"Referrer","Organic"))</f>
        <v>Organic</v>
      </c>
      <c r="G12" s="29" t="n">
        <f aca="false">IF(COUNTIFS($B$5:B12,B12,$C$5:C12,C12)=1,1,0)</f>
        <v>1</v>
      </c>
      <c r="H12" s="29" t="n">
        <f aca="false">IF(AND(G12=1,COUNTIFS($B$5:$B$1635,B12,$C$5:$C$1635,"&lt;"&amp;C12)&gt;0),1,0)</f>
        <v>0</v>
      </c>
      <c r="I12" s="29" t="n">
        <f aca="false">IF(AND(D12="Feature Use",COUNTIFS($B$5:B12,B12,$D$5:D12,"Feature Use",$E$5:E12,E12)=1),1,0)</f>
        <v>0</v>
      </c>
      <c r="J12" s="29" t="n">
        <f aca="false">IF(AND(D12="Feature Use",COUNTIFS($B$5:B12,B12,$D$5:D12,"Feature Use",$E$5:E12,E12)=2),1,0)</f>
        <v>0</v>
      </c>
      <c r="K12" s="29" t="n">
        <f aca="false">IF(COUNTIF($B$5:B12,B12)=1,1,0)</f>
        <v>1</v>
      </c>
      <c r="L12" s="29" t="n">
        <f aca="false">IF(AND(C12&gt;=Settings!$B$5-Settings!$B$8+1,C12&lt;=Settings!$B$5,COUNTIFS($B$5:B12,B12,$C$5:C12,"&gt;="&amp;(Settings!$B$5-Settings!$B$8+1),$C$5:C12,"&lt;="&amp;Settings!$B$5)=1),1,0)</f>
        <v>0</v>
      </c>
      <c r="M12" s="29" t="n">
        <f aca="false">IF(AND(C12&gt;=Settings!$B$5-Settings!$B$9+1,C12&lt;=Settings!$B$5,COUNTIFS($B$5:B12,B12,$C$5:C12,"&gt;="&amp;(Settings!$B$5-Settings!$B$9+1),$C$5:C12,"&lt;="&amp;Settings!$B$5)=1),1,0)</f>
        <v>0</v>
      </c>
      <c r="N12" s="29" t="n">
        <f aca="false">IF(AND(D12="Feature Use",COUNTIFS($B$5:B12,B12,$D$5:D12,"Feature Use")=1),1,0)</f>
        <v>0</v>
      </c>
    </row>
    <row r="13" customFormat="false" ht="15" hidden="false" customHeight="false" outlineLevel="0" collapsed="false">
      <c r="A13" s="22" t="s">
        <v>314</v>
      </c>
      <c r="B13" s="22" t="s">
        <v>313</v>
      </c>
      <c r="C13" s="31" t="n">
        <v>46266</v>
      </c>
      <c r="D13" s="22" t="s">
        <v>300</v>
      </c>
      <c r="E13" s="22" t="s">
        <v>301</v>
      </c>
      <c r="F13" s="29" t="str">
        <f aca="false">IF(COUNTIF(Referral_Data!$C$5:$C$1000,B13)&gt;0,"Referred",IF(COUNTIF(Referral_Data!$B$5:$B$1000,B13)&gt;0,"Referrer","Organic"))</f>
        <v>Organic</v>
      </c>
      <c r="G13" s="29" t="n">
        <f aca="false">IF(COUNTIFS($B$5:B13,B13,$C$5:C13,C13)=1,1,0)</f>
        <v>0</v>
      </c>
      <c r="H13" s="29" t="n">
        <f aca="false">IF(AND(G13=1,COUNTIFS($B$5:$B$1635,B13,$C$5:$C$1635,"&lt;"&amp;C13)&gt;0),1,0)</f>
        <v>0</v>
      </c>
      <c r="I13" s="29" t="n">
        <f aca="false">IF(AND(D13="Feature Use",COUNTIFS($B$5:B13,B13,$D$5:D13,"Feature Use",$E$5:E13,E13)=1),1,0)</f>
        <v>1</v>
      </c>
      <c r="J13" s="29" t="n">
        <f aca="false">IF(AND(D13="Feature Use",COUNTIFS($B$5:B13,B13,$D$5:D13,"Feature Use",$E$5:E13,E13)=2),1,0)</f>
        <v>0</v>
      </c>
      <c r="K13" s="29" t="n">
        <f aca="false">IF(COUNTIF($B$5:B13,B13)=1,1,0)</f>
        <v>0</v>
      </c>
      <c r="L13" s="29" t="n">
        <f aca="false">IF(AND(C13&gt;=Settings!$B$5-Settings!$B$8+1,C13&lt;=Settings!$B$5,COUNTIFS($B$5:B13,B13,$C$5:C13,"&gt;="&amp;(Settings!$B$5-Settings!$B$8+1),$C$5:C13,"&lt;="&amp;Settings!$B$5)=1),1,0)</f>
        <v>0</v>
      </c>
      <c r="M13" s="29" t="n">
        <f aca="false">IF(AND(C13&gt;=Settings!$B$5-Settings!$B$9+1,C13&lt;=Settings!$B$5,COUNTIFS($B$5:B13,B13,$C$5:C13,"&gt;="&amp;(Settings!$B$5-Settings!$B$9+1),$C$5:C13,"&lt;="&amp;Settings!$B$5)=1),1,0)</f>
        <v>0</v>
      </c>
      <c r="N13" s="29" t="n">
        <f aca="false">IF(AND(D13="Feature Use",COUNTIFS($B$5:B13,B13,$D$5:D13,"Feature Use")=1),1,0)</f>
        <v>1</v>
      </c>
    </row>
    <row r="14" customFormat="false" ht="15" hidden="false" customHeight="false" outlineLevel="0" collapsed="false">
      <c r="A14" s="22" t="s">
        <v>315</v>
      </c>
      <c r="B14" s="22" t="s">
        <v>313</v>
      </c>
      <c r="C14" s="31" t="n">
        <v>46266</v>
      </c>
      <c r="D14" s="22" t="s">
        <v>308</v>
      </c>
      <c r="E14" s="22" t="s">
        <v>305</v>
      </c>
      <c r="F14" s="29" t="str">
        <f aca="false">IF(COUNTIF(Referral_Data!$C$5:$C$1000,B14)&gt;0,"Referred",IF(COUNTIF(Referral_Data!$B$5:$B$1000,B14)&gt;0,"Referrer","Organic"))</f>
        <v>Organic</v>
      </c>
      <c r="G14" s="29" t="n">
        <f aca="false">IF(COUNTIFS($B$5:B14,B14,$C$5:C14,C14)=1,1,0)</f>
        <v>0</v>
      </c>
      <c r="H14" s="29" t="n">
        <f aca="false">IF(AND(G14=1,COUNTIFS($B$5:$B$1635,B14,$C$5:$C$1635,"&lt;"&amp;C14)&gt;0),1,0)</f>
        <v>0</v>
      </c>
      <c r="I14" s="29" t="n">
        <f aca="false">IF(AND(D14="Feature Use",COUNTIFS($B$5:B14,B14,$D$5:D14,"Feature Use",$E$5:E14,E14)=1),1,0)</f>
        <v>0</v>
      </c>
      <c r="J14" s="29" t="n">
        <f aca="false">IF(AND(D14="Feature Use",COUNTIFS($B$5:B14,B14,$D$5:D14,"Feature Use",$E$5:E14,E14)=2),1,0)</f>
        <v>0</v>
      </c>
      <c r="K14" s="29" t="n">
        <f aca="false">IF(COUNTIF($B$5:B14,B14)=1,1,0)</f>
        <v>0</v>
      </c>
      <c r="L14" s="29" t="n">
        <f aca="false">IF(AND(C14&gt;=Settings!$B$5-Settings!$B$8+1,C14&lt;=Settings!$B$5,COUNTIFS($B$5:B14,B14,$C$5:C14,"&gt;="&amp;(Settings!$B$5-Settings!$B$8+1),$C$5:C14,"&lt;="&amp;Settings!$B$5)=1),1,0)</f>
        <v>0</v>
      </c>
      <c r="M14" s="29" t="n">
        <f aca="false">IF(AND(C14&gt;=Settings!$B$5-Settings!$B$9+1,C14&lt;=Settings!$B$5,COUNTIFS($B$5:B14,B14,$C$5:C14,"&gt;="&amp;(Settings!$B$5-Settings!$B$9+1),$C$5:C14,"&lt;="&amp;Settings!$B$5)=1),1,0)</f>
        <v>0</v>
      </c>
      <c r="N14" s="29" t="n">
        <f aca="false">IF(AND(D14="Feature Use",COUNTIFS($B$5:B14,B14,$D$5:D14,"Feature Use")=1),1,0)</f>
        <v>0</v>
      </c>
    </row>
    <row r="15" customFormat="false" ht="15" hidden="false" customHeight="false" outlineLevel="0" collapsed="false">
      <c r="A15" s="22" t="s">
        <v>316</v>
      </c>
      <c r="B15" s="22" t="s">
        <v>178</v>
      </c>
      <c r="C15" s="31" t="n">
        <v>46266</v>
      </c>
      <c r="D15" s="22" t="s">
        <v>297</v>
      </c>
      <c r="E15" s="22" t="s">
        <v>298</v>
      </c>
      <c r="F15" s="29" t="str">
        <f aca="false">IF(COUNTIF(Referral_Data!$C$5:$C$1000,B15)&gt;0,"Referred",IF(COUNTIF(Referral_Data!$B$5:$B$1000,B15)&gt;0,"Referrer","Organic"))</f>
        <v>Referrer</v>
      </c>
      <c r="G15" s="29" t="n">
        <f aca="false">IF(COUNTIFS($B$5:B15,B15,$C$5:C15,C15)=1,1,0)</f>
        <v>1</v>
      </c>
      <c r="H15" s="29" t="n">
        <f aca="false">IF(AND(G15=1,COUNTIFS($B$5:$B$1635,B15,$C$5:$C$1635,"&lt;"&amp;C15)&gt;0),1,0)</f>
        <v>0</v>
      </c>
      <c r="I15" s="29" t="n">
        <f aca="false">IF(AND(D15="Feature Use",COUNTIFS($B$5:B15,B15,$D$5:D15,"Feature Use",$E$5:E15,E15)=1),1,0)</f>
        <v>0</v>
      </c>
      <c r="J15" s="29" t="n">
        <f aca="false">IF(AND(D15="Feature Use",COUNTIFS($B$5:B15,B15,$D$5:D15,"Feature Use",$E$5:E15,E15)=2),1,0)</f>
        <v>0</v>
      </c>
      <c r="K15" s="29" t="n">
        <f aca="false">IF(COUNTIF($B$5:B15,B15)=1,1,0)</f>
        <v>1</v>
      </c>
      <c r="L15" s="29" t="n">
        <f aca="false">IF(AND(C15&gt;=Settings!$B$5-Settings!$B$8+1,C15&lt;=Settings!$B$5,COUNTIFS($B$5:B15,B15,$C$5:C15,"&gt;="&amp;(Settings!$B$5-Settings!$B$8+1),$C$5:C15,"&lt;="&amp;Settings!$B$5)=1),1,0)</f>
        <v>0</v>
      </c>
      <c r="M15" s="29" t="n">
        <f aca="false">IF(AND(C15&gt;=Settings!$B$5-Settings!$B$9+1,C15&lt;=Settings!$B$5,COUNTIFS($B$5:B15,B15,$C$5:C15,"&gt;="&amp;(Settings!$B$5-Settings!$B$9+1),$C$5:C15,"&lt;="&amp;Settings!$B$5)=1),1,0)</f>
        <v>0</v>
      </c>
      <c r="N15" s="29" t="n">
        <f aca="false">IF(AND(D15="Feature Use",COUNTIFS($B$5:B15,B15,$D$5:D15,"Feature Use")=1),1,0)</f>
        <v>0</v>
      </c>
    </row>
    <row r="16" customFormat="false" ht="15" hidden="false" customHeight="false" outlineLevel="0" collapsed="false">
      <c r="A16" s="22" t="s">
        <v>317</v>
      </c>
      <c r="B16" s="22" t="s">
        <v>178</v>
      </c>
      <c r="C16" s="31" t="n">
        <v>46266</v>
      </c>
      <c r="D16" s="22" t="s">
        <v>300</v>
      </c>
      <c r="E16" s="22" t="s">
        <v>305</v>
      </c>
      <c r="F16" s="29" t="str">
        <f aca="false">IF(COUNTIF(Referral_Data!$C$5:$C$1000,B16)&gt;0,"Referred",IF(COUNTIF(Referral_Data!$B$5:$B$1000,B16)&gt;0,"Referrer","Organic"))</f>
        <v>Referrer</v>
      </c>
      <c r="G16" s="29" t="n">
        <f aca="false">IF(COUNTIFS($B$5:B16,B16,$C$5:C16,C16)=1,1,0)</f>
        <v>0</v>
      </c>
      <c r="H16" s="29" t="n">
        <f aca="false">IF(AND(G16=1,COUNTIFS($B$5:$B$1635,B16,$C$5:$C$1635,"&lt;"&amp;C16)&gt;0),1,0)</f>
        <v>0</v>
      </c>
      <c r="I16" s="29" t="n">
        <f aca="false">IF(AND(D16="Feature Use",COUNTIFS($B$5:B16,B16,$D$5:D16,"Feature Use",$E$5:E16,E16)=1),1,0)</f>
        <v>1</v>
      </c>
      <c r="J16" s="29" t="n">
        <f aca="false">IF(AND(D16="Feature Use",COUNTIFS($B$5:B16,B16,$D$5:D16,"Feature Use",$E$5:E16,E16)=2),1,0)</f>
        <v>0</v>
      </c>
      <c r="K16" s="29" t="n">
        <f aca="false">IF(COUNTIF($B$5:B16,B16)=1,1,0)</f>
        <v>0</v>
      </c>
      <c r="L16" s="29" t="n">
        <f aca="false">IF(AND(C16&gt;=Settings!$B$5-Settings!$B$8+1,C16&lt;=Settings!$B$5,COUNTIFS($B$5:B16,B16,$C$5:C16,"&gt;="&amp;(Settings!$B$5-Settings!$B$8+1),$C$5:C16,"&lt;="&amp;Settings!$B$5)=1),1,0)</f>
        <v>0</v>
      </c>
      <c r="M16" s="29" t="n">
        <f aca="false">IF(AND(C16&gt;=Settings!$B$5-Settings!$B$9+1,C16&lt;=Settings!$B$5,COUNTIFS($B$5:B16,B16,$C$5:C16,"&gt;="&amp;(Settings!$B$5-Settings!$B$9+1),$C$5:C16,"&lt;="&amp;Settings!$B$5)=1),1,0)</f>
        <v>0</v>
      </c>
      <c r="N16" s="29" t="n">
        <f aca="false">IF(AND(D16="Feature Use",COUNTIFS($B$5:B16,B16,$D$5:D16,"Feature Use")=1),1,0)</f>
        <v>1</v>
      </c>
    </row>
    <row r="17" customFormat="false" ht="15" hidden="false" customHeight="false" outlineLevel="0" collapsed="false">
      <c r="A17" s="22" t="s">
        <v>318</v>
      </c>
      <c r="B17" s="22" t="s">
        <v>178</v>
      </c>
      <c r="C17" s="31" t="n">
        <v>46266</v>
      </c>
      <c r="D17" s="22" t="s">
        <v>300</v>
      </c>
      <c r="E17" s="22" t="s">
        <v>319</v>
      </c>
      <c r="F17" s="29" t="str">
        <f aca="false">IF(COUNTIF(Referral_Data!$C$5:$C$1000,B17)&gt;0,"Referred",IF(COUNTIF(Referral_Data!$B$5:$B$1000,B17)&gt;0,"Referrer","Organic"))</f>
        <v>Referrer</v>
      </c>
      <c r="G17" s="29" t="n">
        <f aca="false">IF(COUNTIFS($B$5:B17,B17,$C$5:C17,C17)=1,1,0)</f>
        <v>0</v>
      </c>
      <c r="H17" s="29" t="n">
        <f aca="false">IF(AND(G17=1,COUNTIFS($B$5:$B$1635,B17,$C$5:$C$1635,"&lt;"&amp;C17)&gt;0),1,0)</f>
        <v>0</v>
      </c>
      <c r="I17" s="29" t="n">
        <f aca="false">IF(AND(D17="Feature Use",COUNTIFS($B$5:B17,B17,$D$5:D17,"Feature Use",$E$5:E17,E17)=1),1,0)</f>
        <v>1</v>
      </c>
      <c r="J17" s="29" t="n">
        <f aca="false">IF(AND(D17="Feature Use",COUNTIFS($B$5:B17,B17,$D$5:D17,"Feature Use",$E$5:E17,E17)=2),1,0)</f>
        <v>0</v>
      </c>
      <c r="K17" s="29" t="n">
        <f aca="false">IF(COUNTIF($B$5:B17,B17)=1,1,0)</f>
        <v>0</v>
      </c>
      <c r="L17" s="29" t="n">
        <f aca="false">IF(AND(C17&gt;=Settings!$B$5-Settings!$B$8+1,C17&lt;=Settings!$B$5,COUNTIFS($B$5:B17,B17,$C$5:C17,"&gt;="&amp;(Settings!$B$5-Settings!$B$8+1),$C$5:C17,"&lt;="&amp;Settings!$B$5)=1),1,0)</f>
        <v>0</v>
      </c>
      <c r="M17" s="29" t="n">
        <f aca="false">IF(AND(C17&gt;=Settings!$B$5-Settings!$B$9+1,C17&lt;=Settings!$B$5,COUNTIFS($B$5:B17,B17,$C$5:C17,"&gt;="&amp;(Settings!$B$5-Settings!$B$9+1),$C$5:C17,"&lt;="&amp;Settings!$B$5)=1),1,0)</f>
        <v>0</v>
      </c>
      <c r="N17" s="29" t="n">
        <f aca="false">IF(AND(D17="Feature Use",COUNTIFS($B$5:B17,B17,$D$5:D17,"Feature Use")=1),1,0)</f>
        <v>0</v>
      </c>
    </row>
    <row r="18" customFormat="false" ht="15" hidden="false" customHeight="false" outlineLevel="0" collapsed="false">
      <c r="A18" s="22" t="s">
        <v>320</v>
      </c>
      <c r="B18" s="22" t="s">
        <v>178</v>
      </c>
      <c r="C18" s="31" t="n">
        <v>46266</v>
      </c>
      <c r="D18" s="22" t="s">
        <v>308</v>
      </c>
      <c r="E18" s="22" t="s">
        <v>301</v>
      </c>
      <c r="F18" s="29" t="str">
        <f aca="false">IF(COUNTIF(Referral_Data!$C$5:$C$1000,B18)&gt;0,"Referred",IF(COUNTIF(Referral_Data!$B$5:$B$1000,B18)&gt;0,"Referrer","Organic"))</f>
        <v>Referrer</v>
      </c>
      <c r="G18" s="29" t="n">
        <f aca="false">IF(COUNTIFS($B$5:B18,B18,$C$5:C18,C18)=1,1,0)</f>
        <v>0</v>
      </c>
      <c r="H18" s="29" t="n">
        <f aca="false">IF(AND(G18=1,COUNTIFS($B$5:$B$1635,B18,$C$5:$C$1635,"&lt;"&amp;C18)&gt;0),1,0)</f>
        <v>0</v>
      </c>
      <c r="I18" s="29" t="n">
        <f aca="false">IF(AND(D18="Feature Use",COUNTIFS($B$5:B18,B18,$D$5:D18,"Feature Use",$E$5:E18,E18)=1),1,0)</f>
        <v>0</v>
      </c>
      <c r="J18" s="29" t="n">
        <f aca="false">IF(AND(D18="Feature Use",COUNTIFS($B$5:B18,B18,$D$5:D18,"Feature Use",$E$5:E18,E18)=2),1,0)</f>
        <v>0</v>
      </c>
      <c r="K18" s="29" t="n">
        <f aca="false">IF(COUNTIF($B$5:B18,B18)=1,1,0)</f>
        <v>0</v>
      </c>
      <c r="L18" s="29" t="n">
        <f aca="false">IF(AND(C18&gt;=Settings!$B$5-Settings!$B$8+1,C18&lt;=Settings!$B$5,COUNTIFS($B$5:B18,B18,$C$5:C18,"&gt;="&amp;(Settings!$B$5-Settings!$B$8+1),$C$5:C18,"&lt;="&amp;Settings!$B$5)=1),1,0)</f>
        <v>0</v>
      </c>
      <c r="M18" s="29" t="n">
        <f aca="false">IF(AND(C18&gt;=Settings!$B$5-Settings!$B$9+1,C18&lt;=Settings!$B$5,COUNTIFS($B$5:B18,B18,$C$5:C18,"&gt;="&amp;(Settings!$B$5-Settings!$B$9+1),$C$5:C18,"&lt;="&amp;Settings!$B$5)=1),1,0)</f>
        <v>0</v>
      </c>
      <c r="N18" s="29" t="n">
        <f aca="false">IF(AND(D18="Feature Use",COUNTIFS($B$5:B18,B18,$D$5:D18,"Feature Use")=1),1,0)</f>
        <v>0</v>
      </c>
    </row>
    <row r="19" customFormat="false" ht="15" hidden="false" customHeight="false" outlineLevel="0" collapsed="false">
      <c r="A19" s="22" t="s">
        <v>321</v>
      </c>
      <c r="B19" s="22" t="s">
        <v>190</v>
      </c>
      <c r="C19" s="31" t="n">
        <v>46266</v>
      </c>
      <c r="D19" s="22" t="s">
        <v>297</v>
      </c>
      <c r="E19" s="22" t="s">
        <v>298</v>
      </c>
      <c r="F19" s="29" t="str">
        <f aca="false">IF(COUNTIF(Referral_Data!$C$5:$C$1000,B19)&gt;0,"Referred",IF(COUNTIF(Referral_Data!$B$5:$B$1000,B19)&gt;0,"Referrer","Organic"))</f>
        <v>Referrer</v>
      </c>
      <c r="G19" s="29" t="n">
        <f aca="false">IF(COUNTIFS($B$5:B19,B19,$C$5:C19,C19)=1,1,0)</f>
        <v>1</v>
      </c>
      <c r="H19" s="29" t="n">
        <f aca="false">IF(AND(G19=1,COUNTIFS($B$5:$B$1635,B19,$C$5:$C$1635,"&lt;"&amp;C19)&gt;0),1,0)</f>
        <v>0</v>
      </c>
      <c r="I19" s="29" t="n">
        <f aca="false">IF(AND(D19="Feature Use",COUNTIFS($B$5:B19,B19,$D$5:D19,"Feature Use",$E$5:E19,E19)=1),1,0)</f>
        <v>0</v>
      </c>
      <c r="J19" s="29" t="n">
        <f aca="false">IF(AND(D19="Feature Use",COUNTIFS($B$5:B19,B19,$D$5:D19,"Feature Use",$E$5:E19,E19)=2),1,0)</f>
        <v>0</v>
      </c>
      <c r="K19" s="29" t="n">
        <f aca="false">IF(COUNTIF($B$5:B19,B19)=1,1,0)</f>
        <v>1</v>
      </c>
      <c r="L19" s="29" t="n">
        <f aca="false">IF(AND(C19&gt;=Settings!$B$5-Settings!$B$8+1,C19&lt;=Settings!$B$5,COUNTIFS($B$5:B19,B19,$C$5:C19,"&gt;="&amp;(Settings!$B$5-Settings!$B$8+1),$C$5:C19,"&lt;="&amp;Settings!$B$5)=1),1,0)</f>
        <v>0</v>
      </c>
      <c r="M19" s="29" t="n">
        <f aca="false">IF(AND(C19&gt;=Settings!$B$5-Settings!$B$9+1,C19&lt;=Settings!$B$5,COUNTIFS($B$5:B19,B19,$C$5:C19,"&gt;="&amp;(Settings!$B$5-Settings!$B$9+1),$C$5:C19,"&lt;="&amp;Settings!$B$5)=1),1,0)</f>
        <v>0</v>
      </c>
      <c r="N19" s="29" t="n">
        <f aca="false">IF(AND(D19="Feature Use",COUNTIFS($B$5:B19,B19,$D$5:D19,"Feature Use")=1),1,0)</f>
        <v>0</v>
      </c>
    </row>
    <row r="20" customFormat="false" ht="15" hidden="false" customHeight="false" outlineLevel="0" collapsed="false">
      <c r="A20" s="22" t="s">
        <v>322</v>
      </c>
      <c r="B20" s="22" t="s">
        <v>190</v>
      </c>
      <c r="C20" s="31" t="n">
        <v>46266</v>
      </c>
      <c r="D20" s="22" t="s">
        <v>300</v>
      </c>
      <c r="E20" s="22" t="s">
        <v>301</v>
      </c>
      <c r="F20" s="29" t="str">
        <f aca="false">IF(COUNTIF(Referral_Data!$C$5:$C$1000,B20)&gt;0,"Referred",IF(COUNTIF(Referral_Data!$B$5:$B$1000,B20)&gt;0,"Referrer","Organic"))</f>
        <v>Referrer</v>
      </c>
      <c r="G20" s="29" t="n">
        <f aca="false">IF(COUNTIFS($B$5:B20,B20,$C$5:C20,C20)=1,1,0)</f>
        <v>0</v>
      </c>
      <c r="H20" s="29" t="n">
        <f aca="false">IF(AND(G20=1,COUNTIFS($B$5:$B$1635,B20,$C$5:$C$1635,"&lt;"&amp;C20)&gt;0),1,0)</f>
        <v>0</v>
      </c>
      <c r="I20" s="29" t="n">
        <f aca="false">IF(AND(D20="Feature Use",COUNTIFS($B$5:B20,B20,$D$5:D20,"Feature Use",$E$5:E20,E20)=1),1,0)</f>
        <v>1</v>
      </c>
      <c r="J20" s="29" t="n">
        <f aca="false">IF(AND(D20="Feature Use",COUNTIFS($B$5:B20,B20,$D$5:D20,"Feature Use",$E$5:E20,E20)=2),1,0)</f>
        <v>0</v>
      </c>
      <c r="K20" s="29" t="n">
        <f aca="false">IF(COUNTIF($B$5:B20,B20)=1,1,0)</f>
        <v>0</v>
      </c>
      <c r="L20" s="29" t="n">
        <f aca="false">IF(AND(C20&gt;=Settings!$B$5-Settings!$B$8+1,C20&lt;=Settings!$B$5,COUNTIFS($B$5:B20,B20,$C$5:C20,"&gt;="&amp;(Settings!$B$5-Settings!$B$8+1),$C$5:C20,"&lt;="&amp;Settings!$B$5)=1),1,0)</f>
        <v>0</v>
      </c>
      <c r="M20" s="29" t="n">
        <f aca="false">IF(AND(C20&gt;=Settings!$B$5-Settings!$B$9+1,C20&lt;=Settings!$B$5,COUNTIFS($B$5:B20,B20,$C$5:C20,"&gt;="&amp;(Settings!$B$5-Settings!$B$9+1),$C$5:C20,"&lt;="&amp;Settings!$B$5)=1),1,0)</f>
        <v>0</v>
      </c>
      <c r="N20" s="29" t="n">
        <f aca="false">IF(AND(D20="Feature Use",COUNTIFS($B$5:B20,B20,$D$5:D20,"Feature Use")=1),1,0)</f>
        <v>1</v>
      </c>
    </row>
    <row r="21" customFormat="false" ht="15" hidden="false" customHeight="false" outlineLevel="0" collapsed="false">
      <c r="A21" s="22" t="s">
        <v>323</v>
      </c>
      <c r="B21" s="22" t="s">
        <v>200</v>
      </c>
      <c r="C21" s="31" t="n">
        <v>46266</v>
      </c>
      <c r="D21" s="22" t="s">
        <v>297</v>
      </c>
      <c r="E21" s="22" t="s">
        <v>298</v>
      </c>
      <c r="F21" s="29" t="str">
        <f aca="false">IF(COUNTIF(Referral_Data!$C$5:$C$1000,B21)&gt;0,"Referred",IF(COUNTIF(Referral_Data!$B$5:$B$1000,B21)&gt;0,"Referrer","Organic"))</f>
        <v>Referrer</v>
      </c>
      <c r="G21" s="29" t="n">
        <f aca="false">IF(COUNTIFS($B$5:B21,B21,$C$5:C21,C21)=1,1,0)</f>
        <v>1</v>
      </c>
      <c r="H21" s="29" t="n">
        <f aca="false">IF(AND(G21=1,COUNTIFS($B$5:$B$1635,B21,$C$5:$C$1635,"&lt;"&amp;C21)&gt;0),1,0)</f>
        <v>0</v>
      </c>
      <c r="I21" s="29" t="n">
        <f aca="false">IF(AND(D21="Feature Use",COUNTIFS($B$5:B21,B21,$D$5:D21,"Feature Use",$E$5:E21,E21)=1),1,0)</f>
        <v>0</v>
      </c>
      <c r="J21" s="29" t="n">
        <f aca="false">IF(AND(D21="Feature Use",COUNTIFS($B$5:B21,B21,$D$5:D21,"Feature Use",$E$5:E21,E21)=2),1,0)</f>
        <v>0</v>
      </c>
      <c r="K21" s="29" t="n">
        <f aca="false">IF(COUNTIF($B$5:B21,B21)=1,1,0)</f>
        <v>1</v>
      </c>
      <c r="L21" s="29" t="n">
        <f aca="false">IF(AND(C21&gt;=Settings!$B$5-Settings!$B$8+1,C21&lt;=Settings!$B$5,COUNTIFS($B$5:B21,B21,$C$5:C21,"&gt;="&amp;(Settings!$B$5-Settings!$B$8+1),$C$5:C21,"&lt;="&amp;Settings!$B$5)=1),1,0)</f>
        <v>0</v>
      </c>
      <c r="M21" s="29" t="n">
        <f aca="false">IF(AND(C21&gt;=Settings!$B$5-Settings!$B$9+1,C21&lt;=Settings!$B$5,COUNTIFS($B$5:B21,B21,$C$5:C21,"&gt;="&amp;(Settings!$B$5-Settings!$B$9+1),$C$5:C21,"&lt;="&amp;Settings!$B$5)=1),1,0)</f>
        <v>0</v>
      </c>
      <c r="N21" s="29" t="n">
        <f aca="false">IF(AND(D21="Feature Use",COUNTIFS($B$5:B21,B21,$D$5:D21,"Feature Use")=1),1,0)</f>
        <v>0</v>
      </c>
    </row>
    <row r="22" customFormat="false" ht="15" hidden="false" customHeight="false" outlineLevel="0" collapsed="false">
      <c r="A22" s="22" t="s">
        <v>324</v>
      </c>
      <c r="B22" s="22" t="s">
        <v>200</v>
      </c>
      <c r="C22" s="31" t="n">
        <v>46266</v>
      </c>
      <c r="D22" s="22" t="s">
        <v>300</v>
      </c>
      <c r="E22" s="22" t="s">
        <v>301</v>
      </c>
      <c r="F22" s="29" t="str">
        <f aca="false">IF(COUNTIF(Referral_Data!$C$5:$C$1000,B22)&gt;0,"Referred",IF(COUNTIF(Referral_Data!$B$5:$B$1000,B22)&gt;0,"Referrer","Organic"))</f>
        <v>Referrer</v>
      </c>
      <c r="G22" s="29" t="n">
        <f aca="false">IF(COUNTIFS($B$5:B22,B22,$C$5:C22,C22)=1,1,0)</f>
        <v>0</v>
      </c>
      <c r="H22" s="29" t="n">
        <f aca="false">IF(AND(G22=1,COUNTIFS($B$5:$B$1635,B22,$C$5:$C$1635,"&lt;"&amp;C22)&gt;0),1,0)</f>
        <v>0</v>
      </c>
      <c r="I22" s="29" t="n">
        <f aca="false">IF(AND(D22="Feature Use",COUNTIFS($B$5:B22,B22,$D$5:D22,"Feature Use",$E$5:E22,E22)=1),1,0)</f>
        <v>1</v>
      </c>
      <c r="J22" s="29" t="n">
        <f aca="false">IF(AND(D22="Feature Use",COUNTIFS($B$5:B22,B22,$D$5:D22,"Feature Use",$E$5:E22,E22)=2),1,0)</f>
        <v>0</v>
      </c>
      <c r="K22" s="29" t="n">
        <f aca="false">IF(COUNTIF($B$5:B22,B22)=1,1,0)</f>
        <v>0</v>
      </c>
      <c r="L22" s="29" t="n">
        <f aca="false">IF(AND(C22&gt;=Settings!$B$5-Settings!$B$8+1,C22&lt;=Settings!$B$5,COUNTIFS($B$5:B22,B22,$C$5:C22,"&gt;="&amp;(Settings!$B$5-Settings!$B$8+1),$C$5:C22,"&lt;="&amp;Settings!$B$5)=1),1,0)</f>
        <v>0</v>
      </c>
      <c r="M22" s="29" t="n">
        <f aca="false">IF(AND(C22&gt;=Settings!$B$5-Settings!$B$9+1,C22&lt;=Settings!$B$5,COUNTIFS($B$5:B22,B22,$C$5:C22,"&gt;="&amp;(Settings!$B$5-Settings!$B$9+1),$C$5:C22,"&lt;="&amp;Settings!$B$5)=1),1,0)</f>
        <v>0</v>
      </c>
      <c r="N22" s="29" t="n">
        <f aca="false">IF(AND(D22="Feature Use",COUNTIFS($B$5:B22,B22,$D$5:D22,"Feature Use")=1),1,0)</f>
        <v>1</v>
      </c>
    </row>
    <row r="23" customFormat="false" ht="15" hidden="false" customHeight="false" outlineLevel="0" collapsed="false">
      <c r="A23" s="22" t="s">
        <v>325</v>
      </c>
      <c r="B23" s="22" t="s">
        <v>200</v>
      </c>
      <c r="C23" s="31" t="n">
        <v>46266</v>
      </c>
      <c r="D23" s="22" t="s">
        <v>308</v>
      </c>
      <c r="E23" s="22" t="s">
        <v>309</v>
      </c>
      <c r="F23" s="29" t="str">
        <f aca="false">IF(COUNTIF(Referral_Data!$C$5:$C$1000,B23)&gt;0,"Referred",IF(COUNTIF(Referral_Data!$B$5:$B$1000,B23)&gt;0,"Referrer","Organic"))</f>
        <v>Referrer</v>
      </c>
      <c r="G23" s="29" t="n">
        <f aca="false">IF(COUNTIFS($B$5:B23,B23,$C$5:C23,C23)=1,1,0)</f>
        <v>0</v>
      </c>
      <c r="H23" s="29" t="n">
        <f aca="false">IF(AND(G23=1,COUNTIFS($B$5:$B$1635,B23,$C$5:$C$1635,"&lt;"&amp;C23)&gt;0),1,0)</f>
        <v>0</v>
      </c>
      <c r="I23" s="29" t="n">
        <f aca="false">IF(AND(D23="Feature Use",COUNTIFS($B$5:B23,B23,$D$5:D23,"Feature Use",$E$5:E23,E23)=1),1,0)</f>
        <v>0</v>
      </c>
      <c r="J23" s="29" t="n">
        <f aca="false">IF(AND(D23="Feature Use",COUNTIFS($B$5:B23,B23,$D$5:D23,"Feature Use",$E$5:E23,E23)=2),1,0)</f>
        <v>0</v>
      </c>
      <c r="K23" s="29" t="n">
        <f aca="false">IF(COUNTIF($B$5:B23,B23)=1,1,0)</f>
        <v>0</v>
      </c>
      <c r="L23" s="29" t="n">
        <f aca="false">IF(AND(C23&gt;=Settings!$B$5-Settings!$B$8+1,C23&lt;=Settings!$B$5,COUNTIFS($B$5:B23,B23,$C$5:C23,"&gt;="&amp;(Settings!$B$5-Settings!$B$8+1),$C$5:C23,"&lt;="&amp;Settings!$B$5)=1),1,0)</f>
        <v>0</v>
      </c>
      <c r="M23" s="29" t="n">
        <f aca="false">IF(AND(C23&gt;=Settings!$B$5-Settings!$B$9+1,C23&lt;=Settings!$B$5,COUNTIFS($B$5:B23,B23,$C$5:C23,"&gt;="&amp;(Settings!$B$5-Settings!$B$9+1),$C$5:C23,"&lt;="&amp;Settings!$B$5)=1),1,0)</f>
        <v>0</v>
      </c>
      <c r="N23" s="29" t="n">
        <f aca="false">IF(AND(D23="Feature Use",COUNTIFS($B$5:B23,B23,$D$5:D23,"Feature Use")=1),1,0)</f>
        <v>0</v>
      </c>
    </row>
    <row r="24" customFormat="false" ht="15" hidden="false" customHeight="false" outlineLevel="0" collapsed="false">
      <c r="A24" s="22" t="s">
        <v>326</v>
      </c>
      <c r="B24" s="22" t="s">
        <v>296</v>
      </c>
      <c r="C24" s="31" t="n">
        <v>46267</v>
      </c>
      <c r="D24" s="22" t="s">
        <v>297</v>
      </c>
      <c r="E24" s="22" t="s">
        <v>298</v>
      </c>
      <c r="F24" s="29" t="str">
        <f aca="false">IF(COUNTIF(Referral_Data!$C$5:$C$1000,B24)&gt;0,"Referred",IF(COUNTIF(Referral_Data!$B$5:$B$1000,B24)&gt;0,"Referrer","Organic"))</f>
        <v>Organic</v>
      </c>
      <c r="G24" s="29" t="n">
        <f aca="false">IF(COUNTIFS($B$5:B24,B24,$C$5:C24,C24)=1,1,0)</f>
        <v>1</v>
      </c>
      <c r="H24" s="29" t="n">
        <f aca="false">IF(AND(G24=1,COUNTIFS($B$5:$B$1635,B24,$C$5:$C$1635,"&lt;"&amp;C24)&gt;0),1,0)</f>
        <v>1</v>
      </c>
      <c r="I24" s="29" t="n">
        <f aca="false">IF(AND(D24="Feature Use",COUNTIFS($B$5:B24,B24,$D$5:D24,"Feature Use",$E$5:E24,E24)=1),1,0)</f>
        <v>0</v>
      </c>
      <c r="J24" s="29" t="n">
        <f aca="false">IF(AND(D24="Feature Use",COUNTIFS($B$5:B24,B24,$D$5:D24,"Feature Use",$E$5:E24,E24)=2),1,0)</f>
        <v>0</v>
      </c>
      <c r="K24" s="29" t="n">
        <f aca="false">IF(COUNTIF($B$5:B24,B24)=1,1,0)</f>
        <v>0</v>
      </c>
      <c r="L24" s="29" t="n">
        <f aca="false">IF(AND(C24&gt;=Settings!$B$5-Settings!$B$8+1,C24&lt;=Settings!$B$5,COUNTIFS($B$5:B24,B24,$C$5:C24,"&gt;="&amp;(Settings!$B$5-Settings!$B$8+1),$C$5:C24,"&lt;="&amp;Settings!$B$5)=1),1,0)</f>
        <v>0</v>
      </c>
      <c r="M24" s="29" t="n">
        <f aca="false">IF(AND(C24&gt;=Settings!$B$5-Settings!$B$9+1,C24&lt;=Settings!$B$5,COUNTIFS($B$5:B24,B24,$C$5:C24,"&gt;="&amp;(Settings!$B$5-Settings!$B$9+1),$C$5:C24,"&lt;="&amp;Settings!$B$5)=1),1,0)</f>
        <v>0</v>
      </c>
      <c r="N24" s="29" t="n">
        <f aca="false">IF(AND(D24="Feature Use",COUNTIFS($B$5:B24,B24,$D$5:D24,"Feature Use")=1),1,0)</f>
        <v>0</v>
      </c>
    </row>
    <row r="25" customFormat="false" ht="15" hidden="false" customHeight="false" outlineLevel="0" collapsed="false">
      <c r="A25" s="22" t="s">
        <v>327</v>
      </c>
      <c r="B25" s="22" t="s">
        <v>296</v>
      </c>
      <c r="C25" s="31" t="n">
        <v>46267</v>
      </c>
      <c r="D25" s="22" t="s">
        <v>300</v>
      </c>
      <c r="E25" s="22" t="s">
        <v>305</v>
      </c>
      <c r="F25" s="29" t="str">
        <f aca="false">IF(COUNTIF(Referral_Data!$C$5:$C$1000,B25)&gt;0,"Referred",IF(COUNTIF(Referral_Data!$B$5:$B$1000,B25)&gt;0,"Referrer","Organic"))</f>
        <v>Organic</v>
      </c>
      <c r="G25" s="29" t="n">
        <f aca="false">IF(COUNTIFS($B$5:B25,B25,$C$5:C25,C25)=1,1,0)</f>
        <v>0</v>
      </c>
      <c r="H25" s="29" t="n">
        <f aca="false">IF(AND(G25=1,COUNTIFS($B$5:$B$1635,B25,$C$5:$C$1635,"&lt;"&amp;C25)&gt;0),1,0)</f>
        <v>0</v>
      </c>
      <c r="I25" s="29" t="n">
        <f aca="false">IF(AND(D25="Feature Use",COUNTIFS($B$5:B25,B25,$D$5:D25,"Feature Use",$E$5:E25,E25)=1),1,0)</f>
        <v>1</v>
      </c>
      <c r="J25" s="29" t="n">
        <f aca="false">IF(AND(D25="Feature Use",COUNTIFS($B$5:B25,B25,$D$5:D25,"Feature Use",$E$5:E25,E25)=2),1,0)</f>
        <v>0</v>
      </c>
      <c r="K25" s="29" t="n">
        <f aca="false">IF(COUNTIF($B$5:B25,B25)=1,1,0)</f>
        <v>0</v>
      </c>
      <c r="L25" s="29" t="n">
        <f aca="false">IF(AND(C25&gt;=Settings!$B$5-Settings!$B$8+1,C25&lt;=Settings!$B$5,COUNTIFS($B$5:B25,B25,$C$5:C25,"&gt;="&amp;(Settings!$B$5-Settings!$B$8+1),$C$5:C25,"&lt;="&amp;Settings!$B$5)=1),1,0)</f>
        <v>0</v>
      </c>
      <c r="M25" s="29" t="n">
        <f aca="false">IF(AND(C25&gt;=Settings!$B$5-Settings!$B$9+1,C25&lt;=Settings!$B$5,COUNTIFS($B$5:B25,B25,$C$5:C25,"&gt;="&amp;(Settings!$B$5-Settings!$B$9+1),$C$5:C25,"&lt;="&amp;Settings!$B$5)=1),1,0)</f>
        <v>0</v>
      </c>
      <c r="N25" s="29" t="n">
        <f aca="false">IF(AND(D25="Feature Use",COUNTIFS($B$5:B25,B25,$D$5:D25,"Feature Use")=1),1,0)</f>
        <v>0</v>
      </c>
    </row>
    <row r="26" customFormat="false" ht="15" hidden="false" customHeight="false" outlineLevel="0" collapsed="false">
      <c r="A26" s="22" t="s">
        <v>328</v>
      </c>
      <c r="B26" s="22" t="s">
        <v>329</v>
      </c>
      <c r="C26" s="31" t="n">
        <v>46267</v>
      </c>
      <c r="D26" s="22" t="s">
        <v>297</v>
      </c>
      <c r="E26" s="22" t="s">
        <v>298</v>
      </c>
      <c r="F26" s="29" t="str">
        <f aca="false">IF(COUNTIF(Referral_Data!$C$5:$C$1000,B26)&gt;0,"Referred",IF(COUNTIF(Referral_Data!$B$5:$B$1000,B26)&gt;0,"Referrer","Organic"))</f>
        <v>Organic</v>
      </c>
      <c r="G26" s="29" t="n">
        <f aca="false">IF(COUNTIFS($B$5:B26,B26,$C$5:C26,C26)=1,1,0)</f>
        <v>1</v>
      </c>
      <c r="H26" s="29" t="n">
        <f aca="false">IF(AND(G26=1,COUNTIFS($B$5:$B$1635,B26,$C$5:$C$1635,"&lt;"&amp;C26)&gt;0),1,0)</f>
        <v>0</v>
      </c>
      <c r="I26" s="29" t="n">
        <f aca="false">IF(AND(D26="Feature Use",COUNTIFS($B$5:B26,B26,$D$5:D26,"Feature Use",$E$5:E26,E26)=1),1,0)</f>
        <v>0</v>
      </c>
      <c r="J26" s="29" t="n">
        <f aca="false">IF(AND(D26="Feature Use",COUNTIFS($B$5:B26,B26,$D$5:D26,"Feature Use",$E$5:E26,E26)=2),1,0)</f>
        <v>0</v>
      </c>
      <c r="K26" s="29" t="n">
        <f aca="false">IF(COUNTIF($B$5:B26,B26)=1,1,0)</f>
        <v>1</v>
      </c>
      <c r="L26" s="29" t="n">
        <f aca="false">IF(AND(C26&gt;=Settings!$B$5-Settings!$B$8+1,C26&lt;=Settings!$B$5,COUNTIFS($B$5:B26,B26,$C$5:C26,"&gt;="&amp;(Settings!$B$5-Settings!$B$8+1),$C$5:C26,"&lt;="&amp;Settings!$B$5)=1),1,0)</f>
        <v>0</v>
      </c>
      <c r="M26" s="29" t="n">
        <f aca="false">IF(AND(C26&gt;=Settings!$B$5-Settings!$B$9+1,C26&lt;=Settings!$B$5,COUNTIFS($B$5:B26,B26,$C$5:C26,"&gt;="&amp;(Settings!$B$5-Settings!$B$9+1),$C$5:C26,"&lt;="&amp;Settings!$B$5)=1),1,0)</f>
        <v>0</v>
      </c>
      <c r="N26" s="29" t="n">
        <f aca="false">IF(AND(D26="Feature Use",COUNTIFS($B$5:B26,B26,$D$5:D26,"Feature Use")=1),1,0)</f>
        <v>0</v>
      </c>
    </row>
    <row r="27" customFormat="false" ht="15" hidden="false" customHeight="false" outlineLevel="0" collapsed="false">
      <c r="A27" s="22" t="s">
        <v>330</v>
      </c>
      <c r="B27" s="22" t="s">
        <v>329</v>
      </c>
      <c r="C27" s="31" t="n">
        <v>46267</v>
      </c>
      <c r="D27" s="22" t="s">
        <v>300</v>
      </c>
      <c r="E27" s="22" t="s">
        <v>319</v>
      </c>
      <c r="F27" s="29" t="str">
        <f aca="false">IF(COUNTIF(Referral_Data!$C$5:$C$1000,B27)&gt;0,"Referred",IF(COUNTIF(Referral_Data!$B$5:$B$1000,B27)&gt;0,"Referrer","Organic"))</f>
        <v>Organic</v>
      </c>
      <c r="G27" s="29" t="n">
        <f aca="false">IF(COUNTIFS($B$5:B27,B27,$C$5:C27,C27)=1,1,0)</f>
        <v>0</v>
      </c>
      <c r="H27" s="29" t="n">
        <f aca="false">IF(AND(G27=1,COUNTIFS($B$5:$B$1635,B27,$C$5:$C$1635,"&lt;"&amp;C27)&gt;0),1,0)</f>
        <v>0</v>
      </c>
      <c r="I27" s="29" t="n">
        <f aca="false">IF(AND(D27="Feature Use",COUNTIFS($B$5:B27,B27,$D$5:D27,"Feature Use",$E$5:E27,E27)=1),1,0)</f>
        <v>1</v>
      </c>
      <c r="J27" s="29" t="n">
        <f aca="false">IF(AND(D27="Feature Use",COUNTIFS($B$5:B27,B27,$D$5:D27,"Feature Use",$E$5:E27,E27)=2),1,0)</f>
        <v>0</v>
      </c>
      <c r="K27" s="29" t="n">
        <f aca="false">IF(COUNTIF($B$5:B27,B27)=1,1,0)</f>
        <v>0</v>
      </c>
      <c r="L27" s="29" t="n">
        <f aca="false">IF(AND(C27&gt;=Settings!$B$5-Settings!$B$8+1,C27&lt;=Settings!$B$5,COUNTIFS($B$5:B27,B27,$C$5:C27,"&gt;="&amp;(Settings!$B$5-Settings!$B$8+1),$C$5:C27,"&lt;="&amp;Settings!$B$5)=1),1,0)</f>
        <v>0</v>
      </c>
      <c r="M27" s="29" t="n">
        <f aca="false">IF(AND(C27&gt;=Settings!$B$5-Settings!$B$9+1,C27&lt;=Settings!$B$5,COUNTIFS($B$5:B27,B27,$C$5:C27,"&gt;="&amp;(Settings!$B$5-Settings!$B$9+1),$C$5:C27,"&lt;="&amp;Settings!$B$5)=1),1,0)</f>
        <v>0</v>
      </c>
      <c r="N27" s="29" t="n">
        <f aca="false">IF(AND(D27="Feature Use",COUNTIFS($B$5:B27,B27,$D$5:D27,"Feature Use")=1),1,0)</f>
        <v>1</v>
      </c>
    </row>
    <row r="28" customFormat="false" ht="15" hidden="false" customHeight="false" outlineLevel="0" collapsed="false">
      <c r="A28" s="22" t="s">
        <v>331</v>
      </c>
      <c r="B28" s="22" t="s">
        <v>329</v>
      </c>
      <c r="C28" s="31" t="n">
        <v>46267</v>
      </c>
      <c r="D28" s="22" t="s">
        <v>308</v>
      </c>
      <c r="E28" s="22" t="s">
        <v>301</v>
      </c>
      <c r="F28" s="29" t="str">
        <f aca="false">IF(COUNTIF(Referral_Data!$C$5:$C$1000,B28)&gt;0,"Referred",IF(COUNTIF(Referral_Data!$B$5:$B$1000,B28)&gt;0,"Referrer","Organic"))</f>
        <v>Organic</v>
      </c>
      <c r="G28" s="29" t="n">
        <f aca="false">IF(COUNTIFS($B$5:B28,B28,$C$5:C28,C28)=1,1,0)</f>
        <v>0</v>
      </c>
      <c r="H28" s="29" t="n">
        <f aca="false">IF(AND(G28=1,COUNTIFS($B$5:$B$1635,B28,$C$5:$C$1635,"&lt;"&amp;C28)&gt;0),1,0)</f>
        <v>0</v>
      </c>
      <c r="I28" s="29" t="n">
        <f aca="false">IF(AND(D28="Feature Use",COUNTIFS($B$5:B28,B28,$D$5:D28,"Feature Use",$E$5:E28,E28)=1),1,0)</f>
        <v>0</v>
      </c>
      <c r="J28" s="29" t="n">
        <f aca="false">IF(AND(D28="Feature Use",COUNTIFS($B$5:B28,B28,$D$5:D28,"Feature Use",$E$5:E28,E28)=2),1,0)</f>
        <v>0</v>
      </c>
      <c r="K28" s="29" t="n">
        <f aca="false">IF(COUNTIF($B$5:B28,B28)=1,1,0)</f>
        <v>0</v>
      </c>
      <c r="L28" s="29" t="n">
        <f aca="false">IF(AND(C28&gt;=Settings!$B$5-Settings!$B$8+1,C28&lt;=Settings!$B$5,COUNTIFS($B$5:B28,B28,$C$5:C28,"&gt;="&amp;(Settings!$B$5-Settings!$B$8+1),$C$5:C28,"&lt;="&amp;Settings!$B$5)=1),1,0)</f>
        <v>0</v>
      </c>
      <c r="M28" s="29" t="n">
        <f aca="false">IF(AND(C28&gt;=Settings!$B$5-Settings!$B$9+1,C28&lt;=Settings!$B$5,COUNTIFS($B$5:B28,B28,$C$5:C28,"&gt;="&amp;(Settings!$B$5-Settings!$B$9+1),$C$5:C28,"&lt;="&amp;Settings!$B$5)=1),1,0)</f>
        <v>0</v>
      </c>
      <c r="N28" s="29" t="n">
        <f aca="false">IF(AND(D28="Feature Use",COUNTIFS($B$5:B28,B28,$D$5:D28,"Feature Use")=1),1,0)</f>
        <v>0</v>
      </c>
    </row>
    <row r="29" customFormat="false" ht="15" hidden="false" customHeight="false" outlineLevel="0" collapsed="false">
      <c r="A29" s="22" t="s">
        <v>332</v>
      </c>
      <c r="B29" s="22" t="s">
        <v>333</v>
      </c>
      <c r="C29" s="31" t="n">
        <v>46267</v>
      </c>
      <c r="D29" s="22" t="s">
        <v>297</v>
      </c>
      <c r="E29" s="22" t="s">
        <v>298</v>
      </c>
      <c r="F29" s="29" t="str">
        <f aca="false">IF(COUNTIF(Referral_Data!$C$5:$C$1000,B29)&gt;0,"Referred",IF(COUNTIF(Referral_Data!$B$5:$B$1000,B29)&gt;0,"Referrer","Organic"))</f>
        <v>Organic</v>
      </c>
      <c r="G29" s="29" t="n">
        <f aca="false">IF(COUNTIFS($B$5:B29,B29,$C$5:C29,C29)=1,1,0)</f>
        <v>1</v>
      </c>
      <c r="H29" s="29" t="n">
        <f aca="false">IF(AND(G29=1,COUNTIFS($B$5:$B$1635,B29,$C$5:$C$1635,"&lt;"&amp;C29)&gt;0),1,0)</f>
        <v>0</v>
      </c>
      <c r="I29" s="29" t="n">
        <f aca="false">IF(AND(D29="Feature Use",COUNTIFS($B$5:B29,B29,$D$5:D29,"Feature Use",$E$5:E29,E29)=1),1,0)</f>
        <v>0</v>
      </c>
      <c r="J29" s="29" t="n">
        <f aca="false">IF(AND(D29="Feature Use",COUNTIFS($B$5:B29,B29,$D$5:D29,"Feature Use",$E$5:E29,E29)=2),1,0)</f>
        <v>0</v>
      </c>
      <c r="K29" s="29" t="n">
        <f aca="false">IF(COUNTIF($B$5:B29,B29)=1,1,0)</f>
        <v>1</v>
      </c>
      <c r="L29" s="29" t="n">
        <f aca="false">IF(AND(C29&gt;=Settings!$B$5-Settings!$B$8+1,C29&lt;=Settings!$B$5,COUNTIFS($B$5:B29,B29,$C$5:C29,"&gt;="&amp;(Settings!$B$5-Settings!$B$8+1),$C$5:C29,"&lt;="&amp;Settings!$B$5)=1),1,0)</f>
        <v>0</v>
      </c>
      <c r="M29" s="29" t="n">
        <f aca="false">IF(AND(C29&gt;=Settings!$B$5-Settings!$B$9+1,C29&lt;=Settings!$B$5,COUNTIFS($B$5:B29,B29,$C$5:C29,"&gt;="&amp;(Settings!$B$5-Settings!$B$9+1),$C$5:C29,"&lt;="&amp;Settings!$B$5)=1),1,0)</f>
        <v>0</v>
      </c>
      <c r="N29" s="29" t="n">
        <f aca="false">IF(AND(D29="Feature Use",COUNTIFS($B$5:B29,B29,$D$5:D29,"Feature Use")=1),1,0)</f>
        <v>0</v>
      </c>
    </row>
    <row r="30" customFormat="false" ht="15" hidden="false" customHeight="false" outlineLevel="0" collapsed="false">
      <c r="A30" s="22" t="s">
        <v>334</v>
      </c>
      <c r="B30" s="22" t="s">
        <v>333</v>
      </c>
      <c r="C30" s="31" t="n">
        <v>46267</v>
      </c>
      <c r="D30" s="22" t="s">
        <v>300</v>
      </c>
      <c r="E30" s="22" t="s">
        <v>311</v>
      </c>
      <c r="F30" s="29" t="str">
        <f aca="false">IF(COUNTIF(Referral_Data!$C$5:$C$1000,B30)&gt;0,"Referred",IF(COUNTIF(Referral_Data!$B$5:$B$1000,B30)&gt;0,"Referrer","Organic"))</f>
        <v>Organic</v>
      </c>
      <c r="G30" s="29" t="n">
        <f aca="false">IF(COUNTIFS($B$5:B30,B30,$C$5:C30,C30)=1,1,0)</f>
        <v>0</v>
      </c>
      <c r="H30" s="29" t="n">
        <f aca="false">IF(AND(G30=1,COUNTIFS($B$5:$B$1635,B30,$C$5:$C$1635,"&lt;"&amp;C30)&gt;0),1,0)</f>
        <v>0</v>
      </c>
      <c r="I30" s="29" t="n">
        <f aca="false">IF(AND(D30="Feature Use",COUNTIFS($B$5:B30,B30,$D$5:D30,"Feature Use",$E$5:E30,E30)=1),1,0)</f>
        <v>1</v>
      </c>
      <c r="J30" s="29" t="n">
        <f aca="false">IF(AND(D30="Feature Use",COUNTIFS($B$5:B30,B30,$D$5:D30,"Feature Use",$E$5:E30,E30)=2),1,0)</f>
        <v>0</v>
      </c>
      <c r="K30" s="29" t="n">
        <f aca="false">IF(COUNTIF($B$5:B30,B30)=1,1,0)</f>
        <v>0</v>
      </c>
      <c r="L30" s="29" t="n">
        <f aca="false">IF(AND(C30&gt;=Settings!$B$5-Settings!$B$8+1,C30&lt;=Settings!$B$5,COUNTIFS($B$5:B30,B30,$C$5:C30,"&gt;="&amp;(Settings!$B$5-Settings!$B$8+1),$C$5:C30,"&lt;="&amp;Settings!$B$5)=1),1,0)</f>
        <v>0</v>
      </c>
      <c r="M30" s="29" t="n">
        <f aca="false">IF(AND(C30&gt;=Settings!$B$5-Settings!$B$9+1,C30&lt;=Settings!$B$5,COUNTIFS($B$5:B30,B30,$C$5:C30,"&gt;="&amp;(Settings!$B$5-Settings!$B$9+1),$C$5:C30,"&lt;="&amp;Settings!$B$5)=1),1,0)</f>
        <v>0</v>
      </c>
      <c r="N30" s="29" t="n">
        <f aca="false">IF(AND(D30="Feature Use",COUNTIFS($B$5:B30,B30,$D$5:D30,"Feature Use")=1),1,0)</f>
        <v>1</v>
      </c>
    </row>
    <row r="31" customFormat="false" ht="15" hidden="false" customHeight="false" outlineLevel="0" collapsed="false">
      <c r="A31" s="22" t="s">
        <v>335</v>
      </c>
      <c r="B31" s="22" t="s">
        <v>333</v>
      </c>
      <c r="C31" s="31" t="n">
        <v>46267</v>
      </c>
      <c r="D31" s="22" t="s">
        <v>300</v>
      </c>
      <c r="E31" s="22" t="s">
        <v>301</v>
      </c>
      <c r="F31" s="29" t="str">
        <f aca="false">IF(COUNTIF(Referral_Data!$C$5:$C$1000,B31)&gt;0,"Referred",IF(COUNTIF(Referral_Data!$B$5:$B$1000,B31)&gt;0,"Referrer","Organic"))</f>
        <v>Organic</v>
      </c>
      <c r="G31" s="29" t="n">
        <f aca="false">IF(COUNTIFS($B$5:B31,B31,$C$5:C31,C31)=1,1,0)</f>
        <v>0</v>
      </c>
      <c r="H31" s="29" t="n">
        <f aca="false">IF(AND(G31=1,COUNTIFS($B$5:$B$1635,B31,$C$5:$C$1635,"&lt;"&amp;C31)&gt;0),1,0)</f>
        <v>0</v>
      </c>
      <c r="I31" s="29" t="n">
        <f aca="false">IF(AND(D31="Feature Use",COUNTIFS($B$5:B31,B31,$D$5:D31,"Feature Use",$E$5:E31,E31)=1),1,0)</f>
        <v>1</v>
      </c>
      <c r="J31" s="29" t="n">
        <f aca="false">IF(AND(D31="Feature Use",COUNTIFS($B$5:B31,B31,$D$5:D31,"Feature Use",$E$5:E31,E31)=2),1,0)</f>
        <v>0</v>
      </c>
      <c r="K31" s="29" t="n">
        <f aca="false">IF(COUNTIF($B$5:B31,B31)=1,1,0)</f>
        <v>0</v>
      </c>
      <c r="L31" s="29" t="n">
        <f aca="false">IF(AND(C31&gt;=Settings!$B$5-Settings!$B$8+1,C31&lt;=Settings!$B$5,COUNTIFS($B$5:B31,B31,$C$5:C31,"&gt;="&amp;(Settings!$B$5-Settings!$B$8+1),$C$5:C31,"&lt;="&amp;Settings!$B$5)=1),1,0)</f>
        <v>0</v>
      </c>
      <c r="M31" s="29" t="n">
        <f aca="false">IF(AND(C31&gt;=Settings!$B$5-Settings!$B$9+1,C31&lt;=Settings!$B$5,COUNTIFS($B$5:B31,B31,$C$5:C31,"&gt;="&amp;(Settings!$B$5-Settings!$B$9+1),$C$5:C31,"&lt;="&amp;Settings!$B$5)=1),1,0)</f>
        <v>0</v>
      </c>
      <c r="N31" s="29" t="n">
        <f aca="false">IF(AND(D31="Feature Use",COUNTIFS($B$5:B31,B31,$D$5:D31,"Feature Use")=1),1,0)</f>
        <v>0</v>
      </c>
    </row>
    <row r="32" customFormat="false" ht="15" hidden="false" customHeight="false" outlineLevel="0" collapsed="false">
      <c r="A32" s="22" t="s">
        <v>336</v>
      </c>
      <c r="B32" s="22" t="s">
        <v>333</v>
      </c>
      <c r="C32" s="31" t="n">
        <v>46267</v>
      </c>
      <c r="D32" s="22" t="s">
        <v>308</v>
      </c>
      <c r="E32" s="22" t="s">
        <v>311</v>
      </c>
      <c r="F32" s="29" t="str">
        <f aca="false">IF(COUNTIF(Referral_Data!$C$5:$C$1000,B32)&gt;0,"Referred",IF(COUNTIF(Referral_Data!$B$5:$B$1000,B32)&gt;0,"Referrer","Organic"))</f>
        <v>Organic</v>
      </c>
      <c r="G32" s="29" t="n">
        <f aca="false">IF(COUNTIFS($B$5:B32,B32,$C$5:C32,C32)=1,1,0)</f>
        <v>0</v>
      </c>
      <c r="H32" s="29" t="n">
        <f aca="false">IF(AND(G32=1,COUNTIFS($B$5:$B$1635,B32,$C$5:$C$1635,"&lt;"&amp;C32)&gt;0),1,0)</f>
        <v>0</v>
      </c>
      <c r="I32" s="29" t="n">
        <f aca="false">IF(AND(D32="Feature Use",COUNTIFS($B$5:B32,B32,$D$5:D32,"Feature Use",$E$5:E32,E32)=1),1,0)</f>
        <v>0</v>
      </c>
      <c r="J32" s="29" t="n">
        <f aca="false">IF(AND(D32="Feature Use",COUNTIFS($B$5:B32,B32,$D$5:D32,"Feature Use",$E$5:E32,E32)=2),1,0)</f>
        <v>0</v>
      </c>
      <c r="K32" s="29" t="n">
        <f aca="false">IF(COUNTIF($B$5:B32,B32)=1,1,0)</f>
        <v>0</v>
      </c>
      <c r="L32" s="29" t="n">
        <f aca="false">IF(AND(C32&gt;=Settings!$B$5-Settings!$B$8+1,C32&lt;=Settings!$B$5,COUNTIFS($B$5:B32,B32,$C$5:C32,"&gt;="&amp;(Settings!$B$5-Settings!$B$8+1),$C$5:C32,"&lt;="&amp;Settings!$B$5)=1),1,0)</f>
        <v>0</v>
      </c>
      <c r="M32" s="29" t="n">
        <f aca="false">IF(AND(C32&gt;=Settings!$B$5-Settings!$B$9+1,C32&lt;=Settings!$B$5,COUNTIFS($B$5:B32,B32,$C$5:C32,"&gt;="&amp;(Settings!$B$5-Settings!$B$9+1),$C$5:C32,"&lt;="&amp;Settings!$B$5)=1),1,0)</f>
        <v>0</v>
      </c>
      <c r="N32" s="29" t="n">
        <f aca="false">IF(AND(D32="Feature Use",COUNTIFS($B$5:B32,B32,$D$5:D32,"Feature Use")=1),1,0)</f>
        <v>0</v>
      </c>
    </row>
    <row r="33" customFormat="false" ht="15" hidden="false" customHeight="false" outlineLevel="0" collapsed="false">
      <c r="A33" s="22" t="s">
        <v>337</v>
      </c>
      <c r="B33" s="22" t="s">
        <v>196</v>
      </c>
      <c r="C33" s="31" t="n">
        <v>46267</v>
      </c>
      <c r="D33" s="22" t="s">
        <v>297</v>
      </c>
      <c r="E33" s="22" t="s">
        <v>298</v>
      </c>
      <c r="F33" s="29" t="str">
        <f aca="false">IF(COUNTIF(Referral_Data!$C$5:$C$1000,B33)&gt;0,"Referred",IF(COUNTIF(Referral_Data!$B$5:$B$1000,B33)&gt;0,"Referrer","Organic"))</f>
        <v>Referrer</v>
      </c>
      <c r="G33" s="29" t="n">
        <f aca="false">IF(COUNTIFS($B$5:B33,B33,$C$5:C33,C33)=1,1,0)</f>
        <v>1</v>
      </c>
      <c r="H33" s="29" t="n">
        <f aca="false">IF(AND(G33=1,COUNTIFS($B$5:$B$1635,B33,$C$5:$C$1635,"&lt;"&amp;C33)&gt;0),1,0)</f>
        <v>0</v>
      </c>
      <c r="I33" s="29" t="n">
        <f aca="false">IF(AND(D33="Feature Use",COUNTIFS($B$5:B33,B33,$D$5:D33,"Feature Use",$E$5:E33,E33)=1),1,0)</f>
        <v>0</v>
      </c>
      <c r="J33" s="29" t="n">
        <f aca="false">IF(AND(D33="Feature Use",COUNTIFS($B$5:B33,B33,$D$5:D33,"Feature Use",$E$5:E33,E33)=2),1,0)</f>
        <v>0</v>
      </c>
      <c r="K33" s="29" t="n">
        <f aca="false">IF(COUNTIF($B$5:B33,B33)=1,1,0)</f>
        <v>1</v>
      </c>
      <c r="L33" s="29" t="n">
        <f aca="false">IF(AND(C33&gt;=Settings!$B$5-Settings!$B$8+1,C33&lt;=Settings!$B$5,COUNTIFS($B$5:B33,B33,$C$5:C33,"&gt;="&amp;(Settings!$B$5-Settings!$B$8+1),$C$5:C33,"&lt;="&amp;Settings!$B$5)=1),1,0)</f>
        <v>0</v>
      </c>
      <c r="M33" s="29" t="n">
        <f aca="false">IF(AND(C33&gt;=Settings!$B$5-Settings!$B$9+1,C33&lt;=Settings!$B$5,COUNTIFS($B$5:B33,B33,$C$5:C33,"&gt;="&amp;(Settings!$B$5-Settings!$B$9+1),$C$5:C33,"&lt;="&amp;Settings!$B$5)=1),1,0)</f>
        <v>0</v>
      </c>
      <c r="N33" s="29" t="n">
        <f aca="false">IF(AND(D33="Feature Use",COUNTIFS($B$5:B33,B33,$D$5:D33,"Feature Use")=1),1,0)</f>
        <v>0</v>
      </c>
    </row>
    <row r="34" customFormat="false" ht="15" hidden="false" customHeight="false" outlineLevel="0" collapsed="false">
      <c r="A34" s="22" t="s">
        <v>338</v>
      </c>
      <c r="B34" s="22" t="s">
        <v>196</v>
      </c>
      <c r="C34" s="31" t="n">
        <v>46267</v>
      </c>
      <c r="D34" s="22" t="s">
        <v>300</v>
      </c>
      <c r="E34" s="22" t="s">
        <v>305</v>
      </c>
      <c r="F34" s="29" t="str">
        <f aca="false">IF(COUNTIF(Referral_Data!$C$5:$C$1000,B34)&gt;0,"Referred",IF(COUNTIF(Referral_Data!$B$5:$B$1000,B34)&gt;0,"Referrer","Organic"))</f>
        <v>Referrer</v>
      </c>
      <c r="G34" s="29" t="n">
        <f aca="false">IF(COUNTIFS($B$5:B34,B34,$C$5:C34,C34)=1,1,0)</f>
        <v>0</v>
      </c>
      <c r="H34" s="29" t="n">
        <f aca="false">IF(AND(G34=1,COUNTIFS($B$5:$B$1635,B34,$C$5:$C$1635,"&lt;"&amp;C34)&gt;0),1,0)</f>
        <v>0</v>
      </c>
      <c r="I34" s="29" t="n">
        <f aca="false">IF(AND(D34="Feature Use",COUNTIFS($B$5:B34,B34,$D$5:D34,"Feature Use",$E$5:E34,E34)=1),1,0)</f>
        <v>1</v>
      </c>
      <c r="J34" s="29" t="n">
        <f aca="false">IF(AND(D34="Feature Use",COUNTIFS($B$5:B34,B34,$D$5:D34,"Feature Use",$E$5:E34,E34)=2),1,0)</f>
        <v>0</v>
      </c>
      <c r="K34" s="29" t="n">
        <f aca="false">IF(COUNTIF($B$5:B34,B34)=1,1,0)</f>
        <v>0</v>
      </c>
      <c r="L34" s="29" t="n">
        <f aca="false">IF(AND(C34&gt;=Settings!$B$5-Settings!$B$8+1,C34&lt;=Settings!$B$5,COUNTIFS($B$5:B34,B34,$C$5:C34,"&gt;="&amp;(Settings!$B$5-Settings!$B$8+1),$C$5:C34,"&lt;="&amp;Settings!$B$5)=1),1,0)</f>
        <v>0</v>
      </c>
      <c r="M34" s="29" t="n">
        <f aca="false">IF(AND(C34&gt;=Settings!$B$5-Settings!$B$9+1,C34&lt;=Settings!$B$5,COUNTIFS($B$5:B34,B34,$C$5:C34,"&gt;="&amp;(Settings!$B$5-Settings!$B$9+1),$C$5:C34,"&lt;="&amp;Settings!$B$5)=1),1,0)</f>
        <v>0</v>
      </c>
      <c r="N34" s="29" t="n">
        <f aca="false">IF(AND(D34="Feature Use",COUNTIFS($B$5:B34,B34,$D$5:D34,"Feature Use")=1),1,0)</f>
        <v>1</v>
      </c>
    </row>
    <row r="35" customFormat="false" ht="15" hidden="false" customHeight="false" outlineLevel="0" collapsed="false">
      <c r="A35" s="22" t="s">
        <v>339</v>
      </c>
      <c r="B35" s="22" t="s">
        <v>196</v>
      </c>
      <c r="C35" s="31" t="n">
        <v>46267</v>
      </c>
      <c r="D35" s="22" t="s">
        <v>308</v>
      </c>
      <c r="E35" s="22" t="s">
        <v>309</v>
      </c>
      <c r="F35" s="29" t="str">
        <f aca="false">IF(COUNTIF(Referral_Data!$C$5:$C$1000,B35)&gt;0,"Referred",IF(COUNTIF(Referral_Data!$B$5:$B$1000,B35)&gt;0,"Referrer","Organic"))</f>
        <v>Referrer</v>
      </c>
      <c r="G35" s="29" t="n">
        <f aca="false">IF(COUNTIFS($B$5:B35,B35,$C$5:C35,C35)=1,1,0)</f>
        <v>0</v>
      </c>
      <c r="H35" s="29" t="n">
        <f aca="false">IF(AND(G35=1,COUNTIFS($B$5:$B$1635,B35,$C$5:$C$1635,"&lt;"&amp;C35)&gt;0),1,0)</f>
        <v>0</v>
      </c>
      <c r="I35" s="29" t="n">
        <f aca="false">IF(AND(D35="Feature Use",COUNTIFS($B$5:B35,B35,$D$5:D35,"Feature Use",$E$5:E35,E35)=1),1,0)</f>
        <v>0</v>
      </c>
      <c r="J35" s="29" t="n">
        <f aca="false">IF(AND(D35="Feature Use",COUNTIFS($B$5:B35,B35,$D$5:D35,"Feature Use",$E$5:E35,E35)=2),1,0)</f>
        <v>0</v>
      </c>
      <c r="K35" s="29" t="n">
        <f aca="false">IF(COUNTIF($B$5:B35,B35)=1,1,0)</f>
        <v>0</v>
      </c>
      <c r="L35" s="29" t="n">
        <f aca="false">IF(AND(C35&gt;=Settings!$B$5-Settings!$B$8+1,C35&lt;=Settings!$B$5,COUNTIFS($B$5:B35,B35,$C$5:C35,"&gt;="&amp;(Settings!$B$5-Settings!$B$8+1),$C$5:C35,"&lt;="&amp;Settings!$B$5)=1),1,0)</f>
        <v>0</v>
      </c>
      <c r="M35" s="29" t="n">
        <f aca="false">IF(AND(C35&gt;=Settings!$B$5-Settings!$B$9+1,C35&lt;=Settings!$B$5,COUNTIFS($B$5:B35,B35,$C$5:C35,"&gt;="&amp;(Settings!$B$5-Settings!$B$9+1),$C$5:C35,"&lt;="&amp;Settings!$B$5)=1),1,0)</f>
        <v>0</v>
      </c>
      <c r="N35" s="29" t="n">
        <f aca="false">IF(AND(D35="Feature Use",COUNTIFS($B$5:B35,B35,$D$5:D35,"Feature Use")=1),1,0)</f>
        <v>0</v>
      </c>
    </row>
    <row r="36" customFormat="false" ht="15" hidden="false" customHeight="false" outlineLevel="0" collapsed="false">
      <c r="A36" s="22" t="s">
        <v>340</v>
      </c>
      <c r="B36" s="22" t="s">
        <v>173</v>
      </c>
      <c r="C36" s="31" t="n">
        <v>46267</v>
      </c>
      <c r="D36" s="22" t="s">
        <v>297</v>
      </c>
      <c r="E36" s="22" t="s">
        <v>298</v>
      </c>
      <c r="F36" s="29" t="str">
        <f aca="false">IF(COUNTIF(Referral_Data!$C$5:$C$1000,B36)&gt;0,"Referred",IF(COUNTIF(Referral_Data!$B$5:$B$1000,B36)&gt;0,"Referrer","Organic"))</f>
        <v>Referrer</v>
      </c>
      <c r="G36" s="29" t="n">
        <f aca="false">IF(COUNTIFS($B$5:B36,B36,$C$5:C36,C36)=1,1,0)</f>
        <v>1</v>
      </c>
      <c r="H36" s="29" t="n">
        <f aca="false">IF(AND(G36=1,COUNTIFS($B$5:$B$1635,B36,$C$5:$C$1635,"&lt;"&amp;C36)&gt;0),1,0)</f>
        <v>0</v>
      </c>
      <c r="I36" s="29" t="n">
        <f aca="false">IF(AND(D36="Feature Use",COUNTIFS($B$5:B36,B36,$D$5:D36,"Feature Use",$E$5:E36,E36)=1),1,0)</f>
        <v>0</v>
      </c>
      <c r="J36" s="29" t="n">
        <f aca="false">IF(AND(D36="Feature Use",COUNTIFS($B$5:B36,B36,$D$5:D36,"Feature Use",$E$5:E36,E36)=2),1,0)</f>
        <v>0</v>
      </c>
      <c r="K36" s="29" t="n">
        <f aca="false">IF(COUNTIF($B$5:B36,B36)=1,1,0)</f>
        <v>1</v>
      </c>
      <c r="L36" s="29" t="n">
        <f aca="false">IF(AND(C36&gt;=Settings!$B$5-Settings!$B$8+1,C36&lt;=Settings!$B$5,COUNTIFS($B$5:B36,B36,$C$5:C36,"&gt;="&amp;(Settings!$B$5-Settings!$B$8+1),$C$5:C36,"&lt;="&amp;Settings!$B$5)=1),1,0)</f>
        <v>0</v>
      </c>
      <c r="M36" s="29" t="n">
        <f aca="false">IF(AND(C36&gt;=Settings!$B$5-Settings!$B$9+1,C36&lt;=Settings!$B$5,COUNTIFS($B$5:B36,B36,$C$5:C36,"&gt;="&amp;(Settings!$B$5-Settings!$B$9+1),$C$5:C36,"&lt;="&amp;Settings!$B$5)=1),1,0)</f>
        <v>0</v>
      </c>
      <c r="N36" s="29" t="n">
        <f aca="false">IF(AND(D36="Feature Use",COUNTIFS($B$5:B36,B36,$D$5:D36,"Feature Use")=1),1,0)</f>
        <v>0</v>
      </c>
    </row>
    <row r="37" customFormat="false" ht="15" hidden="false" customHeight="false" outlineLevel="0" collapsed="false">
      <c r="A37" s="22" t="s">
        <v>341</v>
      </c>
      <c r="B37" s="22" t="s">
        <v>173</v>
      </c>
      <c r="C37" s="31" t="n">
        <v>46267</v>
      </c>
      <c r="D37" s="22" t="s">
        <v>300</v>
      </c>
      <c r="E37" s="22" t="s">
        <v>305</v>
      </c>
      <c r="F37" s="29" t="str">
        <f aca="false">IF(COUNTIF(Referral_Data!$C$5:$C$1000,B37)&gt;0,"Referred",IF(COUNTIF(Referral_Data!$B$5:$B$1000,B37)&gt;0,"Referrer","Organic"))</f>
        <v>Referrer</v>
      </c>
      <c r="G37" s="29" t="n">
        <f aca="false">IF(COUNTIFS($B$5:B37,B37,$C$5:C37,C37)=1,1,0)</f>
        <v>0</v>
      </c>
      <c r="H37" s="29" t="n">
        <f aca="false">IF(AND(G37=1,COUNTIFS($B$5:$B$1635,B37,$C$5:$C$1635,"&lt;"&amp;C37)&gt;0),1,0)</f>
        <v>0</v>
      </c>
      <c r="I37" s="29" t="n">
        <f aca="false">IF(AND(D37="Feature Use",COUNTIFS($B$5:B37,B37,$D$5:D37,"Feature Use",$E$5:E37,E37)=1),1,0)</f>
        <v>1</v>
      </c>
      <c r="J37" s="29" t="n">
        <f aca="false">IF(AND(D37="Feature Use",COUNTIFS($B$5:B37,B37,$D$5:D37,"Feature Use",$E$5:E37,E37)=2),1,0)</f>
        <v>0</v>
      </c>
      <c r="K37" s="29" t="n">
        <f aca="false">IF(COUNTIF($B$5:B37,B37)=1,1,0)</f>
        <v>0</v>
      </c>
      <c r="L37" s="29" t="n">
        <f aca="false">IF(AND(C37&gt;=Settings!$B$5-Settings!$B$8+1,C37&lt;=Settings!$B$5,COUNTIFS($B$5:B37,B37,$C$5:C37,"&gt;="&amp;(Settings!$B$5-Settings!$B$8+1),$C$5:C37,"&lt;="&amp;Settings!$B$5)=1),1,0)</f>
        <v>0</v>
      </c>
      <c r="M37" s="29" t="n">
        <f aca="false">IF(AND(C37&gt;=Settings!$B$5-Settings!$B$9+1,C37&lt;=Settings!$B$5,COUNTIFS($B$5:B37,B37,$C$5:C37,"&gt;="&amp;(Settings!$B$5-Settings!$B$9+1),$C$5:C37,"&lt;="&amp;Settings!$B$5)=1),1,0)</f>
        <v>0</v>
      </c>
      <c r="N37" s="29" t="n">
        <f aca="false">IF(AND(D37="Feature Use",COUNTIFS($B$5:B37,B37,$D$5:D37,"Feature Use")=1),1,0)</f>
        <v>1</v>
      </c>
    </row>
    <row r="38" customFormat="false" ht="15" hidden="false" customHeight="false" outlineLevel="0" collapsed="false">
      <c r="A38" s="22" t="s">
        <v>342</v>
      </c>
      <c r="B38" s="22" t="s">
        <v>173</v>
      </c>
      <c r="C38" s="31" t="n">
        <v>46267</v>
      </c>
      <c r="D38" s="22" t="s">
        <v>300</v>
      </c>
      <c r="E38" s="22" t="s">
        <v>309</v>
      </c>
      <c r="F38" s="29" t="str">
        <f aca="false">IF(COUNTIF(Referral_Data!$C$5:$C$1000,B38)&gt;0,"Referred",IF(COUNTIF(Referral_Data!$B$5:$B$1000,B38)&gt;0,"Referrer","Organic"))</f>
        <v>Referrer</v>
      </c>
      <c r="G38" s="29" t="n">
        <f aca="false">IF(COUNTIFS($B$5:B38,B38,$C$5:C38,C38)=1,1,0)</f>
        <v>0</v>
      </c>
      <c r="H38" s="29" t="n">
        <f aca="false">IF(AND(G38=1,COUNTIFS($B$5:$B$1635,B38,$C$5:$C$1635,"&lt;"&amp;C38)&gt;0),1,0)</f>
        <v>0</v>
      </c>
      <c r="I38" s="29" t="n">
        <f aca="false">IF(AND(D38="Feature Use",COUNTIFS($B$5:B38,B38,$D$5:D38,"Feature Use",$E$5:E38,E38)=1),1,0)</f>
        <v>1</v>
      </c>
      <c r="J38" s="29" t="n">
        <f aca="false">IF(AND(D38="Feature Use",COUNTIFS($B$5:B38,B38,$D$5:D38,"Feature Use",$E$5:E38,E38)=2),1,0)</f>
        <v>0</v>
      </c>
      <c r="K38" s="29" t="n">
        <f aca="false">IF(COUNTIF($B$5:B38,B38)=1,1,0)</f>
        <v>0</v>
      </c>
      <c r="L38" s="29" t="n">
        <f aca="false">IF(AND(C38&gt;=Settings!$B$5-Settings!$B$8+1,C38&lt;=Settings!$B$5,COUNTIFS($B$5:B38,B38,$C$5:C38,"&gt;="&amp;(Settings!$B$5-Settings!$B$8+1),$C$5:C38,"&lt;="&amp;Settings!$B$5)=1),1,0)</f>
        <v>0</v>
      </c>
      <c r="M38" s="29" t="n">
        <f aca="false">IF(AND(C38&gt;=Settings!$B$5-Settings!$B$9+1,C38&lt;=Settings!$B$5,COUNTIFS($B$5:B38,B38,$C$5:C38,"&gt;="&amp;(Settings!$B$5-Settings!$B$9+1),$C$5:C38,"&lt;="&amp;Settings!$B$5)=1),1,0)</f>
        <v>0</v>
      </c>
      <c r="N38" s="29" t="n">
        <f aca="false">IF(AND(D38="Feature Use",COUNTIFS($B$5:B38,B38,$D$5:D38,"Feature Use")=1),1,0)</f>
        <v>0</v>
      </c>
    </row>
    <row r="39" customFormat="false" ht="15" hidden="false" customHeight="false" outlineLevel="0" collapsed="false">
      <c r="A39" s="22" t="s">
        <v>343</v>
      </c>
      <c r="B39" s="22" t="s">
        <v>203</v>
      </c>
      <c r="C39" s="31" t="n">
        <v>46267</v>
      </c>
      <c r="D39" s="22" t="s">
        <v>297</v>
      </c>
      <c r="E39" s="22" t="s">
        <v>298</v>
      </c>
      <c r="F39" s="29" t="str">
        <f aca="false">IF(COUNTIF(Referral_Data!$C$5:$C$1000,B39)&gt;0,"Referred",IF(COUNTIF(Referral_Data!$B$5:$B$1000,B39)&gt;0,"Referrer","Organic"))</f>
        <v>Referrer</v>
      </c>
      <c r="G39" s="29" t="n">
        <f aca="false">IF(COUNTIFS($B$5:B39,B39,$C$5:C39,C39)=1,1,0)</f>
        <v>1</v>
      </c>
      <c r="H39" s="29" t="n">
        <f aca="false">IF(AND(G39=1,COUNTIFS($B$5:$B$1635,B39,$C$5:$C$1635,"&lt;"&amp;C39)&gt;0),1,0)</f>
        <v>0</v>
      </c>
      <c r="I39" s="29" t="n">
        <f aca="false">IF(AND(D39="Feature Use",COUNTIFS($B$5:B39,B39,$D$5:D39,"Feature Use",$E$5:E39,E39)=1),1,0)</f>
        <v>0</v>
      </c>
      <c r="J39" s="29" t="n">
        <f aca="false">IF(AND(D39="Feature Use",COUNTIFS($B$5:B39,B39,$D$5:D39,"Feature Use",$E$5:E39,E39)=2),1,0)</f>
        <v>0</v>
      </c>
      <c r="K39" s="29" t="n">
        <f aca="false">IF(COUNTIF($B$5:B39,B39)=1,1,0)</f>
        <v>1</v>
      </c>
      <c r="L39" s="29" t="n">
        <f aca="false">IF(AND(C39&gt;=Settings!$B$5-Settings!$B$8+1,C39&lt;=Settings!$B$5,COUNTIFS($B$5:B39,B39,$C$5:C39,"&gt;="&amp;(Settings!$B$5-Settings!$B$8+1),$C$5:C39,"&lt;="&amp;Settings!$B$5)=1),1,0)</f>
        <v>0</v>
      </c>
      <c r="M39" s="29" t="n">
        <f aca="false">IF(AND(C39&gt;=Settings!$B$5-Settings!$B$9+1,C39&lt;=Settings!$B$5,COUNTIFS($B$5:B39,B39,$C$5:C39,"&gt;="&amp;(Settings!$B$5-Settings!$B$9+1),$C$5:C39,"&lt;="&amp;Settings!$B$5)=1),1,0)</f>
        <v>0</v>
      </c>
      <c r="N39" s="29" t="n">
        <f aca="false">IF(AND(D39="Feature Use",COUNTIFS($B$5:B39,B39,$D$5:D39,"Feature Use")=1),1,0)</f>
        <v>0</v>
      </c>
    </row>
    <row r="40" customFormat="false" ht="15" hidden="false" customHeight="false" outlineLevel="0" collapsed="false">
      <c r="A40" s="22" t="s">
        <v>344</v>
      </c>
      <c r="B40" s="22" t="s">
        <v>203</v>
      </c>
      <c r="C40" s="31" t="n">
        <v>46267</v>
      </c>
      <c r="D40" s="22" t="s">
        <v>300</v>
      </c>
      <c r="E40" s="22" t="s">
        <v>309</v>
      </c>
      <c r="F40" s="29" t="str">
        <f aca="false">IF(COUNTIF(Referral_Data!$C$5:$C$1000,B40)&gt;0,"Referred",IF(COUNTIF(Referral_Data!$B$5:$B$1000,B40)&gt;0,"Referrer","Organic"))</f>
        <v>Referrer</v>
      </c>
      <c r="G40" s="29" t="n">
        <f aca="false">IF(COUNTIFS($B$5:B40,B40,$C$5:C40,C40)=1,1,0)</f>
        <v>0</v>
      </c>
      <c r="H40" s="29" t="n">
        <f aca="false">IF(AND(G40=1,COUNTIFS($B$5:$B$1635,B40,$C$5:$C$1635,"&lt;"&amp;C40)&gt;0),1,0)</f>
        <v>0</v>
      </c>
      <c r="I40" s="29" t="n">
        <f aca="false">IF(AND(D40="Feature Use",COUNTIFS($B$5:B40,B40,$D$5:D40,"Feature Use",$E$5:E40,E40)=1),1,0)</f>
        <v>1</v>
      </c>
      <c r="J40" s="29" t="n">
        <f aca="false">IF(AND(D40="Feature Use",COUNTIFS($B$5:B40,B40,$D$5:D40,"Feature Use",$E$5:E40,E40)=2),1,0)</f>
        <v>0</v>
      </c>
      <c r="K40" s="29" t="n">
        <f aca="false">IF(COUNTIF($B$5:B40,B40)=1,1,0)</f>
        <v>0</v>
      </c>
      <c r="L40" s="29" t="n">
        <f aca="false">IF(AND(C40&gt;=Settings!$B$5-Settings!$B$8+1,C40&lt;=Settings!$B$5,COUNTIFS($B$5:B40,B40,$C$5:C40,"&gt;="&amp;(Settings!$B$5-Settings!$B$8+1),$C$5:C40,"&lt;="&amp;Settings!$B$5)=1),1,0)</f>
        <v>0</v>
      </c>
      <c r="M40" s="29" t="n">
        <f aca="false">IF(AND(C40&gt;=Settings!$B$5-Settings!$B$9+1,C40&lt;=Settings!$B$5,COUNTIFS($B$5:B40,B40,$C$5:C40,"&gt;="&amp;(Settings!$B$5-Settings!$B$9+1),$C$5:C40,"&lt;="&amp;Settings!$B$5)=1),1,0)</f>
        <v>0</v>
      </c>
      <c r="N40" s="29" t="n">
        <f aca="false">IF(AND(D40="Feature Use",COUNTIFS($B$5:B40,B40,$D$5:D40,"Feature Use")=1),1,0)</f>
        <v>1</v>
      </c>
    </row>
    <row r="41" customFormat="false" ht="15" hidden="false" customHeight="false" outlineLevel="0" collapsed="false">
      <c r="A41" s="22" t="s">
        <v>345</v>
      </c>
      <c r="B41" s="22" t="s">
        <v>203</v>
      </c>
      <c r="C41" s="31" t="n">
        <v>46267</v>
      </c>
      <c r="D41" s="22" t="s">
        <v>300</v>
      </c>
      <c r="E41" s="22" t="s">
        <v>309</v>
      </c>
      <c r="F41" s="29" t="str">
        <f aca="false">IF(COUNTIF(Referral_Data!$C$5:$C$1000,B41)&gt;0,"Referred",IF(COUNTIF(Referral_Data!$B$5:$B$1000,B41)&gt;0,"Referrer","Organic"))</f>
        <v>Referrer</v>
      </c>
      <c r="G41" s="29" t="n">
        <f aca="false">IF(COUNTIFS($B$5:B41,B41,$C$5:C41,C41)=1,1,0)</f>
        <v>0</v>
      </c>
      <c r="H41" s="29" t="n">
        <f aca="false">IF(AND(G41=1,COUNTIFS($B$5:$B$1635,B41,$C$5:$C$1635,"&lt;"&amp;C41)&gt;0),1,0)</f>
        <v>0</v>
      </c>
      <c r="I41" s="29" t="n">
        <f aca="false">IF(AND(D41="Feature Use",COUNTIFS($B$5:B41,B41,$D$5:D41,"Feature Use",$E$5:E41,E41)=1),1,0)</f>
        <v>0</v>
      </c>
      <c r="J41" s="29" t="n">
        <f aca="false">IF(AND(D41="Feature Use",COUNTIFS($B$5:B41,B41,$D$5:D41,"Feature Use",$E$5:E41,E41)=2),1,0)</f>
        <v>1</v>
      </c>
      <c r="K41" s="29" t="n">
        <f aca="false">IF(COUNTIF($B$5:B41,B41)=1,1,0)</f>
        <v>0</v>
      </c>
      <c r="L41" s="29" t="n">
        <f aca="false">IF(AND(C41&gt;=Settings!$B$5-Settings!$B$8+1,C41&lt;=Settings!$B$5,COUNTIFS($B$5:B41,B41,$C$5:C41,"&gt;="&amp;(Settings!$B$5-Settings!$B$8+1),$C$5:C41,"&lt;="&amp;Settings!$B$5)=1),1,0)</f>
        <v>0</v>
      </c>
      <c r="M41" s="29" t="n">
        <f aca="false">IF(AND(C41&gt;=Settings!$B$5-Settings!$B$9+1,C41&lt;=Settings!$B$5,COUNTIFS($B$5:B41,B41,$C$5:C41,"&gt;="&amp;(Settings!$B$5-Settings!$B$9+1),$C$5:C41,"&lt;="&amp;Settings!$B$5)=1),1,0)</f>
        <v>0</v>
      </c>
      <c r="N41" s="29" t="n">
        <f aca="false">IF(AND(D41="Feature Use",COUNTIFS($B$5:B41,B41,$D$5:D41,"Feature Use")=1),1,0)</f>
        <v>0</v>
      </c>
    </row>
    <row r="42" customFormat="false" ht="15" hidden="false" customHeight="false" outlineLevel="0" collapsed="false">
      <c r="A42" s="22" t="s">
        <v>346</v>
      </c>
      <c r="B42" s="22" t="s">
        <v>203</v>
      </c>
      <c r="C42" s="31" t="n">
        <v>46267</v>
      </c>
      <c r="D42" s="22" t="s">
        <v>308</v>
      </c>
      <c r="E42" s="22" t="s">
        <v>309</v>
      </c>
      <c r="F42" s="29" t="str">
        <f aca="false">IF(COUNTIF(Referral_Data!$C$5:$C$1000,B42)&gt;0,"Referred",IF(COUNTIF(Referral_Data!$B$5:$B$1000,B42)&gt;0,"Referrer","Organic"))</f>
        <v>Referrer</v>
      </c>
      <c r="G42" s="29" t="n">
        <f aca="false">IF(COUNTIFS($B$5:B42,B42,$C$5:C42,C42)=1,1,0)</f>
        <v>0</v>
      </c>
      <c r="H42" s="29" t="n">
        <f aca="false">IF(AND(G42=1,COUNTIFS($B$5:$B$1635,B42,$C$5:$C$1635,"&lt;"&amp;C42)&gt;0),1,0)</f>
        <v>0</v>
      </c>
      <c r="I42" s="29" t="n">
        <f aca="false">IF(AND(D42="Feature Use",COUNTIFS($B$5:B42,B42,$D$5:D42,"Feature Use",$E$5:E42,E42)=1),1,0)</f>
        <v>0</v>
      </c>
      <c r="J42" s="29" t="n">
        <f aca="false">IF(AND(D42="Feature Use",COUNTIFS($B$5:B42,B42,$D$5:D42,"Feature Use",$E$5:E42,E42)=2),1,0)</f>
        <v>0</v>
      </c>
      <c r="K42" s="29" t="n">
        <f aca="false">IF(COUNTIF($B$5:B42,B42)=1,1,0)</f>
        <v>0</v>
      </c>
      <c r="L42" s="29" t="n">
        <f aca="false">IF(AND(C42&gt;=Settings!$B$5-Settings!$B$8+1,C42&lt;=Settings!$B$5,COUNTIFS($B$5:B42,B42,$C$5:C42,"&gt;="&amp;(Settings!$B$5-Settings!$B$8+1),$C$5:C42,"&lt;="&amp;Settings!$B$5)=1),1,0)</f>
        <v>0</v>
      </c>
      <c r="M42" s="29" t="n">
        <f aca="false">IF(AND(C42&gt;=Settings!$B$5-Settings!$B$9+1,C42&lt;=Settings!$B$5,COUNTIFS($B$5:B42,B42,$C$5:C42,"&gt;="&amp;(Settings!$B$5-Settings!$B$9+1),$C$5:C42,"&lt;="&amp;Settings!$B$5)=1),1,0)</f>
        <v>0</v>
      </c>
      <c r="N42" s="29" t="n">
        <f aca="false">IF(AND(D42="Feature Use",COUNTIFS($B$5:B42,B42,$D$5:D42,"Feature Use")=1),1,0)</f>
        <v>0</v>
      </c>
    </row>
    <row r="43" customFormat="false" ht="15" hidden="false" customHeight="false" outlineLevel="0" collapsed="false">
      <c r="A43" s="22" t="s">
        <v>347</v>
      </c>
      <c r="B43" s="22" t="s">
        <v>178</v>
      </c>
      <c r="C43" s="31" t="n">
        <v>46267</v>
      </c>
      <c r="D43" s="22" t="s">
        <v>297</v>
      </c>
      <c r="E43" s="22" t="s">
        <v>298</v>
      </c>
      <c r="F43" s="29" t="str">
        <f aca="false">IF(COUNTIF(Referral_Data!$C$5:$C$1000,B43)&gt;0,"Referred",IF(COUNTIF(Referral_Data!$B$5:$B$1000,B43)&gt;0,"Referrer","Organic"))</f>
        <v>Referrer</v>
      </c>
      <c r="G43" s="29" t="n">
        <f aca="false">IF(COUNTIFS($B$5:B43,B43,$C$5:C43,C43)=1,1,0)</f>
        <v>1</v>
      </c>
      <c r="H43" s="29" t="n">
        <f aca="false">IF(AND(G43=1,COUNTIFS($B$5:$B$1635,B43,$C$5:$C$1635,"&lt;"&amp;C43)&gt;0),1,0)</f>
        <v>1</v>
      </c>
      <c r="I43" s="29" t="n">
        <f aca="false">IF(AND(D43="Feature Use",COUNTIFS($B$5:B43,B43,$D$5:D43,"Feature Use",$E$5:E43,E43)=1),1,0)</f>
        <v>0</v>
      </c>
      <c r="J43" s="29" t="n">
        <f aca="false">IF(AND(D43="Feature Use",COUNTIFS($B$5:B43,B43,$D$5:D43,"Feature Use",$E$5:E43,E43)=2),1,0)</f>
        <v>0</v>
      </c>
      <c r="K43" s="29" t="n">
        <f aca="false">IF(COUNTIF($B$5:B43,B43)=1,1,0)</f>
        <v>0</v>
      </c>
      <c r="L43" s="29" t="n">
        <f aca="false">IF(AND(C43&gt;=Settings!$B$5-Settings!$B$8+1,C43&lt;=Settings!$B$5,COUNTIFS($B$5:B43,B43,$C$5:C43,"&gt;="&amp;(Settings!$B$5-Settings!$B$8+1),$C$5:C43,"&lt;="&amp;Settings!$B$5)=1),1,0)</f>
        <v>0</v>
      </c>
      <c r="M43" s="29" t="n">
        <f aca="false">IF(AND(C43&gt;=Settings!$B$5-Settings!$B$9+1,C43&lt;=Settings!$B$5,COUNTIFS($B$5:B43,B43,$C$5:C43,"&gt;="&amp;(Settings!$B$5-Settings!$B$9+1),$C$5:C43,"&lt;="&amp;Settings!$B$5)=1),1,0)</f>
        <v>0</v>
      </c>
      <c r="N43" s="29" t="n">
        <f aca="false">IF(AND(D43="Feature Use",COUNTIFS($B$5:B43,B43,$D$5:D43,"Feature Use")=1),1,0)</f>
        <v>0</v>
      </c>
    </row>
    <row r="44" customFormat="false" ht="15" hidden="false" customHeight="false" outlineLevel="0" collapsed="false">
      <c r="A44" s="22" t="s">
        <v>348</v>
      </c>
      <c r="B44" s="22" t="s">
        <v>178</v>
      </c>
      <c r="C44" s="31" t="n">
        <v>46267</v>
      </c>
      <c r="D44" s="22" t="s">
        <v>300</v>
      </c>
      <c r="E44" s="22" t="s">
        <v>305</v>
      </c>
      <c r="F44" s="29" t="str">
        <f aca="false">IF(COUNTIF(Referral_Data!$C$5:$C$1000,B44)&gt;0,"Referred",IF(COUNTIF(Referral_Data!$B$5:$B$1000,B44)&gt;0,"Referrer","Organic"))</f>
        <v>Referrer</v>
      </c>
      <c r="G44" s="29" t="n">
        <f aca="false">IF(COUNTIFS($B$5:B44,B44,$C$5:C44,C44)=1,1,0)</f>
        <v>0</v>
      </c>
      <c r="H44" s="29" t="n">
        <f aca="false">IF(AND(G44=1,COUNTIFS($B$5:$B$1635,B44,$C$5:$C$1635,"&lt;"&amp;C44)&gt;0),1,0)</f>
        <v>0</v>
      </c>
      <c r="I44" s="29" t="n">
        <f aca="false">IF(AND(D44="Feature Use",COUNTIFS($B$5:B44,B44,$D$5:D44,"Feature Use",$E$5:E44,E44)=1),1,0)</f>
        <v>0</v>
      </c>
      <c r="J44" s="29" t="n">
        <f aca="false">IF(AND(D44="Feature Use",COUNTIFS($B$5:B44,B44,$D$5:D44,"Feature Use",$E$5:E44,E44)=2),1,0)</f>
        <v>1</v>
      </c>
      <c r="K44" s="29" t="n">
        <f aca="false">IF(COUNTIF($B$5:B44,B44)=1,1,0)</f>
        <v>0</v>
      </c>
      <c r="L44" s="29" t="n">
        <f aca="false">IF(AND(C44&gt;=Settings!$B$5-Settings!$B$8+1,C44&lt;=Settings!$B$5,COUNTIFS($B$5:B44,B44,$C$5:C44,"&gt;="&amp;(Settings!$B$5-Settings!$B$8+1),$C$5:C44,"&lt;="&amp;Settings!$B$5)=1),1,0)</f>
        <v>0</v>
      </c>
      <c r="M44" s="29" t="n">
        <f aca="false">IF(AND(C44&gt;=Settings!$B$5-Settings!$B$9+1,C44&lt;=Settings!$B$5,COUNTIFS($B$5:B44,B44,$C$5:C44,"&gt;="&amp;(Settings!$B$5-Settings!$B$9+1),$C$5:C44,"&lt;="&amp;Settings!$B$5)=1),1,0)</f>
        <v>0</v>
      </c>
      <c r="N44" s="29" t="n">
        <f aca="false">IF(AND(D44="Feature Use",COUNTIFS($B$5:B44,B44,$D$5:D44,"Feature Use")=1),1,0)</f>
        <v>0</v>
      </c>
    </row>
    <row r="45" customFormat="false" ht="15" hidden="false" customHeight="false" outlineLevel="0" collapsed="false">
      <c r="A45" s="22" t="s">
        <v>349</v>
      </c>
      <c r="B45" s="22" t="s">
        <v>296</v>
      </c>
      <c r="C45" s="31" t="n">
        <v>46268</v>
      </c>
      <c r="D45" s="22" t="s">
        <v>297</v>
      </c>
      <c r="E45" s="22" t="s">
        <v>298</v>
      </c>
      <c r="F45" s="29" t="str">
        <f aca="false">IF(COUNTIF(Referral_Data!$C$5:$C$1000,B45)&gt;0,"Referred",IF(COUNTIF(Referral_Data!$B$5:$B$1000,B45)&gt;0,"Referrer","Organic"))</f>
        <v>Organic</v>
      </c>
      <c r="G45" s="29" t="n">
        <f aca="false">IF(COUNTIFS($B$5:B45,B45,$C$5:C45,C45)=1,1,0)</f>
        <v>1</v>
      </c>
      <c r="H45" s="29" t="n">
        <f aca="false">IF(AND(G45=1,COUNTIFS($B$5:$B$1635,B45,$C$5:$C$1635,"&lt;"&amp;C45)&gt;0),1,0)</f>
        <v>1</v>
      </c>
      <c r="I45" s="29" t="n">
        <f aca="false">IF(AND(D45="Feature Use",COUNTIFS($B$5:B45,B45,$D$5:D45,"Feature Use",$E$5:E45,E45)=1),1,0)</f>
        <v>0</v>
      </c>
      <c r="J45" s="29" t="n">
        <f aca="false">IF(AND(D45="Feature Use",COUNTIFS($B$5:B45,B45,$D$5:D45,"Feature Use",$E$5:E45,E45)=2),1,0)</f>
        <v>0</v>
      </c>
      <c r="K45" s="29" t="n">
        <f aca="false">IF(COUNTIF($B$5:B45,B45)=1,1,0)</f>
        <v>0</v>
      </c>
      <c r="L45" s="29" t="n">
        <f aca="false">IF(AND(C45&gt;=Settings!$B$5-Settings!$B$8+1,C45&lt;=Settings!$B$5,COUNTIFS($B$5:B45,B45,$C$5:C45,"&gt;="&amp;(Settings!$B$5-Settings!$B$8+1),$C$5:C45,"&lt;="&amp;Settings!$B$5)=1),1,0)</f>
        <v>0</v>
      </c>
      <c r="M45" s="29" t="n">
        <f aca="false">IF(AND(C45&gt;=Settings!$B$5-Settings!$B$9+1,C45&lt;=Settings!$B$5,COUNTIFS($B$5:B45,B45,$C$5:C45,"&gt;="&amp;(Settings!$B$5-Settings!$B$9+1),$C$5:C45,"&lt;="&amp;Settings!$B$5)=1),1,0)</f>
        <v>0</v>
      </c>
      <c r="N45" s="29" t="n">
        <f aca="false">IF(AND(D45="Feature Use",COUNTIFS($B$5:B45,B45,$D$5:D45,"Feature Use")=1),1,0)</f>
        <v>0</v>
      </c>
    </row>
    <row r="46" customFormat="false" ht="15" hidden="false" customHeight="false" outlineLevel="0" collapsed="false">
      <c r="A46" s="22" t="s">
        <v>350</v>
      </c>
      <c r="B46" s="22" t="s">
        <v>296</v>
      </c>
      <c r="C46" s="31" t="n">
        <v>46268</v>
      </c>
      <c r="D46" s="22" t="s">
        <v>300</v>
      </c>
      <c r="E46" s="22" t="s">
        <v>301</v>
      </c>
      <c r="F46" s="29" t="str">
        <f aca="false">IF(COUNTIF(Referral_Data!$C$5:$C$1000,B46)&gt;0,"Referred",IF(COUNTIF(Referral_Data!$B$5:$B$1000,B46)&gt;0,"Referrer","Organic"))</f>
        <v>Organic</v>
      </c>
      <c r="G46" s="29" t="n">
        <f aca="false">IF(COUNTIFS($B$5:B46,B46,$C$5:C46,C46)=1,1,0)</f>
        <v>0</v>
      </c>
      <c r="H46" s="29" t="n">
        <f aca="false">IF(AND(G46=1,COUNTIFS($B$5:$B$1635,B46,$C$5:$C$1635,"&lt;"&amp;C46)&gt;0),1,0)</f>
        <v>0</v>
      </c>
      <c r="I46" s="29" t="n">
        <f aca="false">IF(AND(D46="Feature Use",COUNTIFS($B$5:B46,B46,$D$5:D46,"Feature Use",$E$5:E46,E46)=1),1,0)</f>
        <v>0</v>
      </c>
      <c r="J46" s="29" t="n">
        <f aca="false">IF(AND(D46="Feature Use",COUNTIFS($B$5:B46,B46,$D$5:D46,"Feature Use",$E$5:E46,E46)=2),1,0)</f>
        <v>1</v>
      </c>
      <c r="K46" s="29" t="n">
        <f aca="false">IF(COUNTIF($B$5:B46,B46)=1,1,0)</f>
        <v>0</v>
      </c>
      <c r="L46" s="29" t="n">
        <f aca="false">IF(AND(C46&gt;=Settings!$B$5-Settings!$B$8+1,C46&lt;=Settings!$B$5,COUNTIFS($B$5:B46,B46,$C$5:C46,"&gt;="&amp;(Settings!$B$5-Settings!$B$8+1),$C$5:C46,"&lt;="&amp;Settings!$B$5)=1),1,0)</f>
        <v>0</v>
      </c>
      <c r="M46" s="29" t="n">
        <f aca="false">IF(AND(C46&gt;=Settings!$B$5-Settings!$B$9+1,C46&lt;=Settings!$B$5,COUNTIFS($B$5:B46,B46,$C$5:C46,"&gt;="&amp;(Settings!$B$5-Settings!$B$9+1),$C$5:C46,"&lt;="&amp;Settings!$B$5)=1),1,0)</f>
        <v>0</v>
      </c>
      <c r="N46" s="29" t="n">
        <f aca="false">IF(AND(D46="Feature Use",COUNTIFS($B$5:B46,B46,$D$5:D46,"Feature Use")=1),1,0)</f>
        <v>0</v>
      </c>
    </row>
    <row r="47" customFormat="false" ht="15" hidden="false" customHeight="false" outlineLevel="0" collapsed="false">
      <c r="A47" s="22" t="s">
        <v>351</v>
      </c>
      <c r="B47" s="22" t="s">
        <v>329</v>
      </c>
      <c r="C47" s="31" t="n">
        <v>46268</v>
      </c>
      <c r="D47" s="22" t="s">
        <v>297</v>
      </c>
      <c r="E47" s="22" t="s">
        <v>298</v>
      </c>
      <c r="F47" s="29" t="str">
        <f aca="false">IF(COUNTIF(Referral_Data!$C$5:$C$1000,B47)&gt;0,"Referred",IF(COUNTIF(Referral_Data!$B$5:$B$1000,B47)&gt;0,"Referrer","Organic"))</f>
        <v>Organic</v>
      </c>
      <c r="G47" s="29" t="n">
        <f aca="false">IF(COUNTIFS($B$5:B47,B47,$C$5:C47,C47)=1,1,0)</f>
        <v>1</v>
      </c>
      <c r="H47" s="29" t="n">
        <f aca="false">IF(AND(G47=1,COUNTIFS($B$5:$B$1635,B47,$C$5:$C$1635,"&lt;"&amp;C47)&gt;0),1,0)</f>
        <v>1</v>
      </c>
      <c r="I47" s="29" t="n">
        <f aca="false">IF(AND(D47="Feature Use",COUNTIFS($B$5:B47,B47,$D$5:D47,"Feature Use",$E$5:E47,E47)=1),1,0)</f>
        <v>0</v>
      </c>
      <c r="J47" s="29" t="n">
        <f aca="false">IF(AND(D47="Feature Use",COUNTIFS($B$5:B47,B47,$D$5:D47,"Feature Use",$E$5:E47,E47)=2),1,0)</f>
        <v>0</v>
      </c>
      <c r="K47" s="29" t="n">
        <f aca="false">IF(COUNTIF($B$5:B47,B47)=1,1,0)</f>
        <v>0</v>
      </c>
      <c r="L47" s="29" t="n">
        <f aca="false">IF(AND(C47&gt;=Settings!$B$5-Settings!$B$8+1,C47&lt;=Settings!$B$5,COUNTIFS($B$5:B47,B47,$C$5:C47,"&gt;="&amp;(Settings!$B$5-Settings!$B$8+1),$C$5:C47,"&lt;="&amp;Settings!$B$5)=1),1,0)</f>
        <v>0</v>
      </c>
      <c r="M47" s="29" t="n">
        <f aca="false">IF(AND(C47&gt;=Settings!$B$5-Settings!$B$9+1,C47&lt;=Settings!$B$5,COUNTIFS($B$5:B47,B47,$C$5:C47,"&gt;="&amp;(Settings!$B$5-Settings!$B$9+1),$C$5:C47,"&lt;="&amp;Settings!$B$5)=1),1,0)</f>
        <v>0</v>
      </c>
      <c r="N47" s="29" t="n">
        <f aca="false">IF(AND(D47="Feature Use",COUNTIFS($B$5:B47,B47,$D$5:D47,"Feature Use")=1),1,0)</f>
        <v>0</v>
      </c>
    </row>
    <row r="48" customFormat="false" ht="15" hidden="false" customHeight="false" outlineLevel="0" collapsed="false">
      <c r="A48" s="22" t="s">
        <v>352</v>
      </c>
      <c r="B48" s="22" t="s">
        <v>329</v>
      </c>
      <c r="C48" s="31" t="n">
        <v>46268</v>
      </c>
      <c r="D48" s="22" t="s">
        <v>300</v>
      </c>
      <c r="E48" s="22" t="s">
        <v>305</v>
      </c>
      <c r="F48" s="29" t="str">
        <f aca="false">IF(COUNTIF(Referral_Data!$C$5:$C$1000,B48)&gt;0,"Referred",IF(COUNTIF(Referral_Data!$B$5:$B$1000,B48)&gt;0,"Referrer","Organic"))</f>
        <v>Organic</v>
      </c>
      <c r="G48" s="29" t="n">
        <f aca="false">IF(COUNTIFS($B$5:B48,B48,$C$5:C48,C48)=1,1,0)</f>
        <v>0</v>
      </c>
      <c r="H48" s="29" t="n">
        <f aca="false">IF(AND(G48=1,COUNTIFS($B$5:$B$1635,B48,$C$5:$C$1635,"&lt;"&amp;C48)&gt;0),1,0)</f>
        <v>0</v>
      </c>
      <c r="I48" s="29" t="n">
        <f aca="false">IF(AND(D48="Feature Use",COUNTIFS($B$5:B48,B48,$D$5:D48,"Feature Use",$E$5:E48,E48)=1),1,0)</f>
        <v>1</v>
      </c>
      <c r="J48" s="29" t="n">
        <f aca="false">IF(AND(D48="Feature Use",COUNTIFS($B$5:B48,B48,$D$5:D48,"Feature Use",$E$5:E48,E48)=2),1,0)</f>
        <v>0</v>
      </c>
      <c r="K48" s="29" t="n">
        <f aca="false">IF(COUNTIF($B$5:B48,B48)=1,1,0)</f>
        <v>0</v>
      </c>
      <c r="L48" s="29" t="n">
        <f aca="false">IF(AND(C48&gt;=Settings!$B$5-Settings!$B$8+1,C48&lt;=Settings!$B$5,COUNTIFS($B$5:B48,B48,$C$5:C48,"&gt;="&amp;(Settings!$B$5-Settings!$B$8+1),$C$5:C48,"&lt;="&amp;Settings!$B$5)=1),1,0)</f>
        <v>0</v>
      </c>
      <c r="M48" s="29" t="n">
        <f aca="false">IF(AND(C48&gt;=Settings!$B$5-Settings!$B$9+1,C48&lt;=Settings!$B$5,COUNTIFS($B$5:B48,B48,$C$5:C48,"&gt;="&amp;(Settings!$B$5-Settings!$B$9+1),$C$5:C48,"&lt;="&amp;Settings!$B$5)=1),1,0)</f>
        <v>0</v>
      </c>
      <c r="N48" s="29" t="n">
        <f aca="false">IF(AND(D48="Feature Use",COUNTIFS($B$5:B48,B48,$D$5:D48,"Feature Use")=1),1,0)</f>
        <v>0</v>
      </c>
    </row>
    <row r="49" customFormat="false" ht="15" hidden="false" customHeight="false" outlineLevel="0" collapsed="false">
      <c r="A49" s="22" t="s">
        <v>353</v>
      </c>
      <c r="B49" s="22" t="s">
        <v>329</v>
      </c>
      <c r="C49" s="31" t="n">
        <v>46268</v>
      </c>
      <c r="D49" s="22" t="s">
        <v>308</v>
      </c>
      <c r="E49" s="22" t="s">
        <v>319</v>
      </c>
      <c r="F49" s="29" t="str">
        <f aca="false">IF(COUNTIF(Referral_Data!$C$5:$C$1000,B49)&gt;0,"Referred",IF(COUNTIF(Referral_Data!$B$5:$B$1000,B49)&gt;0,"Referrer","Organic"))</f>
        <v>Organic</v>
      </c>
      <c r="G49" s="29" t="n">
        <f aca="false">IF(COUNTIFS($B$5:B49,B49,$C$5:C49,C49)=1,1,0)</f>
        <v>0</v>
      </c>
      <c r="H49" s="29" t="n">
        <f aca="false">IF(AND(G49=1,COUNTIFS($B$5:$B$1635,B49,$C$5:$C$1635,"&lt;"&amp;C49)&gt;0),1,0)</f>
        <v>0</v>
      </c>
      <c r="I49" s="29" t="n">
        <f aca="false">IF(AND(D49="Feature Use",COUNTIFS($B$5:B49,B49,$D$5:D49,"Feature Use",$E$5:E49,E49)=1),1,0)</f>
        <v>0</v>
      </c>
      <c r="J49" s="29" t="n">
        <f aca="false">IF(AND(D49="Feature Use",COUNTIFS($B$5:B49,B49,$D$5:D49,"Feature Use",$E$5:E49,E49)=2),1,0)</f>
        <v>0</v>
      </c>
      <c r="K49" s="29" t="n">
        <f aca="false">IF(COUNTIF($B$5:B49,B49)=1,1,0)</f>
        <v>0</v>
      </c>
      <c r="L49" s="29" t="n">
        <f aca="false">IF(AND(C49&gt;=Settings!$B$5-Settings!$B$8+1,C49&lt;=Settings!$B$5,COUNTIFS($B$5:B49,B49,$C$5:C49,"&gt;="&amp;(Settings!$B$5-Settings!$B$8+1),$C$5:C49,"&lt;="&amp;Settings!$B$5)=1),1,0)</f>
        <v>0</v>
      </c>
      <c r="M49" s="29" t="n">
        <f aca="false">IF(AND(C49&gt;=Settings!$B$5-Settings!$B$9+1,C49&lt;=Settings!$B$5,COUNTIFS($B$5:B49,B49,$C$5:C49,"&gt;="&amp;(Settings!$B$5-Settings!$B$9+1),$C$5:C49,"&lt;="&amp;Settings!$B$5)=1),1,0)</f>
        <v>0</v>
      </c>
      <c r="N49" s="29" t="n">
        <f aca="false">IF(AND(D49="Feature Use",COUNTIFS($B$5:B49,B49,$D$5:D49,"Feature Use")=1),1,0)</f>
        <v>0</v>
      </c>
    </row>
    <row r="50" customFormat="false" ht="15" hidden="false" customHeight="false" outlineLevel="0" collapsed="false">
      <c r="A50" s="22" t="s">
        <v>354</v>
      </c>
      <c r="B50" s="22" t="s">
        <v>329</v>
      </c>
      <c r="C50" s="31" t="n">
        <v>46268</v>
      </c>
      <c r="D50" s="22" t="s">
        <v>308</v>
      </c>
      <c r="E50" s="22" t="s">
        <v>319</v>
      </c>
      <c r="F50" s="29" t="str">
        <f aca="false">IF(COUNTIF(Referral_Data!$C$5:$C$1000,B50)&gt;0,"Referred",IF(COUNTIF(Referral_Data!$B$5:$B$1000,B50)&gt;0,"Referrer","Organic"))</f>
        <v>Organic</v>
      </c>
      <c r="G50" s="29" t="n">
        <f aca="false">IF(COUNTIFS($B$5:B50,B50,$C$5:C50,C50)=1,1,0)</f>
        <v>0</v>
      </c>
      <c r="H50" s="29" t="n">
        <f aca="false">IF(AND(G50=1,COUNTIFS($B$5:$B$1635,B50,$C$5:$C$1635,"&lt;"&amp;C50)&gt;0),1,0)</f>
        <v>0</v>
      </c>
      <c r="I50" s="29" t="n">
        <f aca="false">IF(AND(D50="Feature Use",COUNTIFS($B$5:B50,B50,$D$5:D50,"Feature Use",$E$5:E50,E50)=1),1,0)</f>
        <v>0</v>
      </c>
      <c r="J50" s="29" t="n">
        <f aca="false">IF(AND(D50="Feature Use",COUNTIFS($B$5:B50,B50,$D$5:D50,"Feature Use",$E$5:E50,E50)=2),1,0)</f>
        <v>0</v>
      </c>
      <c r="K50" s="29" t="n">
        <f aca="false">IF(COUNTIF($B$5:B50,B50)=1,1,0)</f>
        <v>0</v>
      </c>
      <c r="L50" s="29" t="n">
        <f aca="false">IF(AND(C50&gt;=Settings!$B$5-Settings!$B$8+1,C50&lt;=Settings!$B$5,COUNTIFS($B$5:B50,B50,$C$5:C50,"&gt;="&amp;(Settings!$B$5-Settings!$B$8+1),$C$5:C50,"&lt;="&amp;Settings!$B$5)=1),1,0)</f>
        <v>0</v>
      </c>
      <c r="M50" s="29" t="n">
        <f aca="false">IF(AND(C50&gt;=Settings!$B$5-Settings!$B$9+1,C50&lt;=Settings!$B$5,COUNTIFS($B$5:B50,B50,$C$5:C50,"&gt;="&amp;(Settings!$B$5-Settings!$B$9+1),$C$5:C50,"&lt;="&amp;Settings!$B$5)=1),1,0)</f>
        <v>0</v>
      </c>
      <c r="N50" s="29" t="n">
        <f aca="false">IF(AND(D50="Feature Use",COUNTIFS($B$5:B50,B50,$D$5:D50,"Feature Use")=1),1,0)</f>
        <v>0</v>
      </c>
    </row>
    <row r="51" customFormat="false" ht="15" hidden="false" customHeight="false" outlineLevel="0" collapsed="false">
      <c r="A51" s="22" t="s">
        <v>355</v>
      </c>
      <c r="B51" s="22" t="s">
        <v>333</v>
      </c>
      <c r="C51" s="31" t="n">
        <v>46268</v>
      </c>
      <c r="D51" s="22" t="s">
        <v>297</v>
      </c>
      <c r="E51" s="22" t="s">
        <v>298</v>
      </c>
      <c r="F51" s="29" t="str">
        <f aca="false">IF(COUNTIF(Referral_Data!$C$5:$C$1000,B51)&gt;0,"Referred",IF(COUNTIF(Referral_Data!$B$5:$B$1000,B51)&gt;0,"Referrer","Organic"))</f>
        <v>Organic</v>
      </c>
      <c r="G51" s="29" t="n">
        <f aca="false">IF(COUNTIFS($B$5:B51,B51,$C$5:C51,C51)=1,1,0)</f>
        <v>1</v>
      </c>
      <c r="H51" s="29" t="n">
        <f aca="false">IF(AND(G51=1,COUNTIFS($B$5:$B$1635,B51,$C$5:$C$1635,"&lt;"&amp;C51)&gt;0),1,0)</f>
        <v>1</v>
      </c>
      <c r="I51" s="29" t="n">
        <f aca="false">IF(AND(D51="Feature Use",COUNTIFS($B$5:B51,B51,$D$5:D51,"Feature Use",$E$5:E51,E51)=1),1,0)</f>
        <v>0</v>
      </c>
      <c r="J51" s="29" t="n">
        <f aca="false">IF(AND(D51="Feature Use",COUNTIFS($B$5:B51,B51,$D$5:D51,"Feature Use",$E$5:E51,E51)=2),1,0)</f>
        <v>0</v>
      </c>
      <c r="K51" s="29" t="n">
        <f aca="false">IF(COUNTIF($B$5:B51,B51)=1,1,0)</f>
        <v>0</v>
      </c>
      <c r="L51" s="29" t="n">
        <f aca="false">IF(AND(C51&gt;=Settings!$B$5-Settings!$B$8+1,C51&lt;=Settings!$B$5,COUNTIFS($B$5:B51,B51,$C$5:C51,"&gt;="&amp;(Settings!$B$5-Settings!$B$8+1),$C$5:C51,"&lt;="&amp;Settings!$B$5)=1),1,0)</f>
        <v>0</v>
      </c>
      <c r="M51" s="29" t="n">
        <f aca="false">IF(AND(C51&gt;=Settings!$B$5-Settings!$B$9+1,C51&lt;=Settings!$B$5,COUNTIFS($B$5:B51,B51,$C$5:C51,"&gt;="&amp;(Settings!$B$5-Settings!$B$9+1),$C$5:C51,"&lt;="&amp;Settings!$B$5)=1),1,0)</f>
        <v>0</v>
      </c>
      <c r="N51" s="29" t="n">
        <f aca="false">IF(AND(D51="Feature Use",COUNTIFS($B$5:B51,B51,$D$5:D51,"Feature Use")=1),1,0)</f>
        <v>0</v>
      </c>
    </row>
    <row r="52" customFormat="false" ht="15" hidden="false" customHeight="false" outlineLevel="0" collapsed="false">
      <c r="A52" s="22" t="s">
        <v>356</v>
      </c>
      <c r="B52" s="22" t="s">
        <v>333</v>
      </c>
      <c r="C52" s="31" t="n">
        <v>46268</v>
      </c>
      <c r="D52" s="22" t="s">
        <v>300</v>
      </c>
      <c r="E52" s="22" t="s">
        <v>301</v>
      </c>
      <c r="F52" s="29" t="str">
        <f aca="false">IF(COUNTIF(Referral_Data!$C$5:$C$1000,B52)&gt;0,"Referred",IF(COUNTIF(Referral_Data!$B$5:$B$1000,B52)&gt;0,"Referrer","Organic"))</f>
        <v>Organic</v>
      </c>
      <c r="G52" s="29" t="n">
        <f aca="false">IF(COUNTIFS($B$5:B52,B52,$C$5:C52,C52)=1,1,0)</f>
        <v>0</v>
      </c>
      <c r="H52" s="29" t="n">
        <f aca="false">IF(AND(G52=1,COUNTIFS($B$5:$B$1635,B52,$C$5:$C$1635,"&lt;"&amp;C52)&gt;0),1,0)</f>
        <v>0</v>
      </c>
      <c r="I52" s="29" t="n">
        <f aca="false">IF(AND(D52="Feature Use",COUNTIFS($B$5:B52,B52,$D$5:D52,"Feature Use",$E$5:E52,E52)=1),1,0)</f>
        <v>0</v>
      </c>
      <c r="J52" s="29" t="n">
        <f aca="false">IF(AND(D52="Feature Use",COUNTIFS($B$5:B52,B52,$D$5:D52,"Feature Use",$E$5:E52,E52)=2),1,0)</f>
        <v>1</v>
      </c>
      <c r="K52" s="29" t="n">
        <f aca="false">IF(COUNTIF($B$5:B52,B52)=1,1,0)</f>
        <v>0</v>
      </c>
      <c r="L52" s="29" t="n">
        <f aca="false">IF(AND(C52&gt;=Settings!$B$5-Settings!$B$8+1,C52&lt;=Settings!$B$5,COUNTIFS($B$5:B52,B52,$C$5:C52,"&gt;="&amp;(Settings!$B$5-Settings!$B$8+1),$C$5:C52,"&lt;="&amp;Settings!$B$5)=1),1,0)</f>
        <v>0</v>
      </c>
      <c r="M52" s="29" t="n">
        <f aca="false">IF(AND(C52&gt;=Settings!$B$5-Settings!$B$9+1,C52&lt;=Settings!$B$5,COUNTIFS($B$5:B52,B52,$C$5:C52,"&gt;="&amp;(Settings!$B$5-Settings!$B$9+1),$C$5:C52,"&lt;="&amp;Settings!$B$5)=1),1,0)</f>
        <v>0</v>
      </c>
      <c r="N52" s="29" t="n">
        <f aca="false">IF(AND(D52="Feature Use",COUNTIFS($B$5:B52,B52,$D$5:D52,"Feature Use")=1),1,0)</f>
        <v>0</v>
      </c>
    </row>
    <row r="53" customFormat="false" ht="15" hidden="false" customHeight="false" outlineLevel="0" collapsed="false">
      <c r="A53" s="22" t="s">
        <v>357</v>
      </c>
      <c r="B53" s="22" t="s">
        <v>333</v>
      </c>
      <c r="C53" s="31" t="n">
        <v>46268</v>
      </c>
      <c r="D53" s="22" t="s">
        <v>308</v>
      </c>
      <c r="E53" s="22" t="s">
        <v>301</v>
      </c>
      <c r="F53" s="29" t="str">
        <f aca="false">IF(COUNTIF(Referral_Data!$C$5:$C$1000,B53)&gt;0,"Referred",IF(COUNTIF(Referral_Data!$B$5:$B$1000,B53)&gt;0,"Referrer","Organic"))</f>
        <v>Organic</v>
      </c>
      <c r="G53" s="29" t="n">
        <f aca="false">IF(COUNTIFS($B$5:B53,B53,$C$5:C53,C53)=1,1,0)</f>
        <v>0</v>
      </c>
      <c r="H53" s="29" t="n">
        <f aca="false">IF(AND(G53=1,COUNTIFS($B$5:$B$1635,B53,$C$5:$C$1635,"&lt;"&amp;C53)&gt;0),1,0)</f>
        <v>0</v>
      </c>
      <c r="I53" s="29" t="n">
        <f aca="false">IF(AND(D53="Feature Use",COUNTIFS($B$5:B53,B53,$D$5:D53,"Feature Use",$E$5:E53,E53)=1),1,0)</f>
        <v>0</v>
      </c>
      <c r="J53" s="29" t="n">
        <f aca="false">IF(AND(D53="Feature Use",COUNTIFS($B$5:B53,B53,$D$5:D53,"Feature Use",$E$5:E53,E53)=2),1,0)</f>
        <v>0</v>
      </c>
      <c r="K53" s="29" t="n">
        <f aca="false">IF(COUNTIF($B$5:B53,B53)=1,1,0)</f>
        <v>0</v>
      </c>
      <c r="L53" s="29" t="n">
        <f aca="false">IF(AND(C53&gt;=Settings!$B$5-Settings!$B$8+1,C53&lt;=Settings!$B$5,COUNTIFS($B$5:B53,B53,$C$5:C53,"&gt;="&amp;(Settings!$B$5-Settings!$B$8+1),$C$5:C53,"&lt;="&amp;Settings!$B$5)=1),1,0)</f>
        <v>0</v>
      </c>
      <c r="M53" s="29" t="n">
        <f aca="false">IF(AND(C53&gt;=Settings!$B$5-Settings!$B$9+1,C53&lt;=Settings!$B$5,COUNTIFS($B$5:B53,B53,$C$5:C53,"&gt;="&amp;(Settings!$B$5-Settings!$B$9+1),$C$5:C53,"&lt;="&amp;Settings!$B$5)=1),1,0)</f>
        <v>0</v>
      </c>
      <c r="N53" s="29" t="n">
        <f aca="false">IF(AND(D53="Feature Use",COUNTIFS($B$5:B53,B53,$D$5:D53,"Feature Use")=1),1,0)</f>
        <v>0</v>
      </c>
    </row>
    <row r="54" customFormat="false" ht="15" hidden="false" customHeight="false" outlineLevel="0" collapsed="false">
      <c r="A54" s="22" t="s">
        <v>358</v>
      </c>
      <c r="B54" s="22" t="s">
        <v>313</v>
      </c>
      <c r="C54" s="31" t="n">
        <v>46268</v>
      </c>
      <c r="D54" s="22" t="s">
        <v>297</v>
      </c>
      <c r="E54" s="22" t="s">
        <v>298</v>
      </c>
      <c r="F54" s="29" t="str">
        <f aca="false">IF(COUNTIF(Referral_Data!$C$5:$C$1000,B54)&gt;0,"Referred",IF(COUNTIF(Referral_Data!$B$5:$B$1000,B54)&gt;0,"Referrer","Organic"))</f>
        <v>Organic</v>
      </c>
      <c r="G54" s="29" t="n">
        <f aca="false">IF(COUNTIFS($B$5:B54,B54,$C$5:C54,C54)=1,1,0)</f>
        <v>1</v>
      </c>
      <c r="H54" s="29" t="n">
        <f aca="false">IF(AND(G54=1,COUNTIFS($B$5:$B$1635,B54,$C$5:$C$1635,"&lt;"&amp;C54)&gt;0),1,0)</f>
        <v>1</v>
      </c>
      <c r="I54" s="29" t="n">
        <f aca="false">IF(AND(D54="Feature Use",COUNTIFS($B$5:B54,B54,$D$5:D54,"Feature Use",$E$5:E54,E54)=1),1,0)</f>
        <v>0</v>
      </c>
      <c r="J54" s="29" t="n">
        <f aca="false">IF(AND(D54="Feature Use",COUNTIFS($B$5:B54,B54,$D$5:D54,"Feature Use",$E$5:E54,E54)=2),1,0)</f>
        <v>0</v>
      </c>
      <c r="K54" s="29" t="n">
        <f aca="false">IF(COUNTIF($B$5:B54,B54)=1,1,0)</f>
        <v>0</v>
      </c>
      <c r="L54" s="29" t="n">
        <f aca="false">IF(AND(C54&gt;=Settings!$B$5-Settings!$B$8+1,C54&lt;=Settings!$B$5,COUNTIFS($B$5:B54,B54,$C$5:C54,"&gt;="&amp;(Settings!$B$5-Settings!$B$8+1),$C$5:C54,"&lt;="&amp;Settings!$B$5)=1),1,0)</f>
        <v>0</v>
      </c>
      <c r="M54" s="29" t="n">
        <f aca="false">IF(AND(C54&gt;=Settings!$B$5-Settings!$B$9+1,C54&lt;=Settings!$B$5,COUNTIFS($B$5:B54,B54,$C$5:C54,"&gt;="&amp;(Settings!$B$5-Settings!$B$9+1),$C$5:C54,"&lt;="&amp;Settings!$B$5)=1),1,0)</f>
        <v>0</v>
      </c>
      <c r="N54" s="29" t="n">
        <f aca="false">IF(AND(D54="Feature Use",COUNTIFS($B$5:B54,B54,$D$5:D54,"Feature Use")=1),1,0)</f>
        <v>0</v>
      </c>
    </row>
    <row r="55" customFormat="false" ht="15" hidden="false" customHeight="false" outlineLevel="0" collapsed="false">
      <c r="A55" s="22" t="s">
        <v>359</v>
      </c>
      <c r="B55" s="22" t="s">
        <v>313</v>
      </c>
      <c r="C55" s="31" t="n">
        <v>46268</v>
      </c>
      <c r="D55" s="22" t="s">
        <v>300</v>
      </c>
      <c r="E55" s="22" t="s">
        <v>319</v>
      </c>
      <c r="F55" s="29" t="str">
        <f aca="false">IF(COUNTIF(Referral_Data!$C$5:$C$1000,B55)&gt;0,"Referred",IF(COUNTIF(Referral_Data!$B$5:$B$1000,B55)&gt;0,"Referrer","Organic"))</f>
        <v>Organic</v>
      </c>
      <c r="G55" s="29" t="n">
        <f aca="false">IF(COUNTIFS($B$5:B55,B55,$C$5:C55,C55)=1,1,0)</f>
        <v>0</v>
      </c>
      <c r="H55" s="29" t="n">
        <f aca="false">IF(AND(G55=1,COUNTIFS($B$5:$B$1635,B55,$C$5:$C$1635,"&lt;"&amp;C55)&gt;0),1,0)</f>
        <v>0</v>
      </c>
      <c r="I55" s="29" t="n">
        <f aca="false">IF(AND(D55="Feature Use",COUNTIFS($B$5:B55,B55,$D$5:D55,"Feature Use",$E$5:E55,E55)=1),1,0)</f>
        <v>1</v>
      </c>
      <c r="J55" s="29" t="n">
        <f aca="false">IF(AND(D55="Feature Use",COUNTIFS($B$5:B55,B55,$D$5:D55,"Feature Use",$E$5:E55,E55)=2),1,0)</f>
        <v>0</v>
      </c>
      <c r="K55" s="29" t="n">
        <f aca="false">IF(COUNTIF($B$5:B55,B55)=1,1,0)</f>
        <v>0</v>
      </c>
      <c r="L55" s="29" t="n">
        <f aca="false">IF(AND(C55&gt;=Settings!$B$5-Settings!$B$8+1,C55&lt;=Settings!$B$5,COUNTIFS($B$5:B55,B55,$C$5:C55,"&gt;="&amp;(Settings!$B$5-Settings!$B$8+1),$C$5:C55,"&lt;="&amp;Settings!$B$5)=1),1,0)</f>
        <v>0</v>
      </c>
      <c r="M55" s="29" t="n">
        <f aca="false">IF(AND(C55&gt;=Settings!$B$5-Settings!$B$9+1,C55&lt;=Settings!$B$5,COUNTIFS($B$5:B55,B55,$C$5:C55,"&gt;="&amp;(Settings!$B$5-Settings!$B$9+1),$C$5:C55,"&lt;="&amp;Settings!$B$5)=1),1,0)</f>
        <v>0</v>
      </c>
      <c r="N55" s="29" t="n">
        <f aca="false">IF(AND(D55="Feature Use",COUNTIFS($B$5:B55,B55,$D$5:D55,"Feature Use")=1),1,0)</f>
        <v>0</v>
      </c>
    </row>
    <row r="56" customFormat="false" ht="15" hidden="false" customHeight="false" outlineLevel="0" collapsed="false">
      <c r="A56" s="22" t="s">
        <v>360</v>
      </c>
      <c r="B56" s="22" t="s">
        <v>313</v>
      </c>
      <c r="C56" s="31" t="n">
        <v>46268</v>
      </c>
      <c r="D56" s="22" t="s">
        <v>300</v>
      </c>
      <c r="E56" s="22" t="s">
        <v>311</v>
      </c>
      <c r="F56" s="29" t="str">
        <f aca="false">IF(COUNTIF(Referral_Data!$C$5:$C$1000,B56)&gt;0,"Referred",IF(COUNTIF(Referral_Data!$B$5:$B$1000,B56)&gt;0,"Referrer","Organic"))</f>
        <v>Organic</v>
      </c>
      <c r="G56" s="29" t="n">
        <f aca="false">IF(COUNTIFS($B$5:B56,B56,$C$5:C56,C56)=1,1,0)</f>
        <v>0</v>
      </c>
      <c r="H56" s="29" t="n">
        <f aca="false">IF(AND(G56=1,COUNTIFS($B$5:$B$1635,B56,$C$5:$C$1635,"&lt;"&amp;C56)&gt;0),1,0)</f>
        <v>0</v>
      </c>
      <c r="I56" s="29" t="n">
        <f aca="false">IF(AND(D56="Feature Use",COUNTIFS($B$5:B56,B56,$D$5:D56,"Feature Use",$E$5:E56,E56)=1),1,0)</f>
        <v>1</v>
      </c>
      <c r="J56" s="29" t="n">
        <f aca="false">IF(AND(D56="Feature Use",COUNTIFS($B$5:B56,B56,$D$5:D56,"Feature Use",$E$5:E56,E56)=2),1,0)</f>
        <v>0</v>
      </c>
      <c r="K56" s="29" t="n">
        <f aca="false">IF(COUNTIF($B$5:B56,B56)=1,1,0)</f>
        <v>0</v>
      </c>
      <c r="L56" s="29" t="n">
        <f aca="false">IF(AND(C56&gt;=Settings!$B$5-Settings!$B$8+1,C56&lt;=Settings!$B$5,COUNTIFS($B$5:B56,B56,$C$5:C56,"&gt;="&amp;(Settings!$B$5-Settings!$B$8+1),$C$5:C56,"&lt;="&amp;Settings!$B$5)=1),1,0)</f>
        <v>0</v>
      </c>
      <c r="M56" s="29" t="n">
        <f aca="false">IF(AND(C56&gt;=Settings!$B$5-Settings!$B$9+1,C56&lt;=Settings!$B$5,COUNTIFS($B$5:B56,B56,$C$5:C56,"&gt;="&amp;(Settings!$B$5-Settings!$B$9+1),$C$5:C56,"&lt;="&amp;Settings!$B$5)=1),1,0)</f>
        <v>0</v>
      </c>
      <c r="N56" s="29" t="n">
        <f aca="false">IF(AND(D56="Feature Use",COUNTIFS($B$5:B56,B56,$D$5:D56,"Feature Use")=1),1,0)</f>
        <v>0</v>
      </c>
    </row>
    <row r="57" customFormat="false" ht="15" hidden="false" customHeight="false" outlineLevel="0" collapsed="false">
      <c r="A57" s="22" t="s">
        <v>361</v>
      </c>
      <c r="B57" s="22" t="s">
        <v>313</v>
      </c>
      <c r="C57" s="31" t="n">
        <v>46268</v>
      </c>
      <c r="D57" s="22" t="s">
        <v>308</v>
      </c>
      <c r="E57" s="22" t="s">
        <v>319</v>
      </c>
      <c r="F57" s="29" t="str">
        <f aca="false">IF(COUNTIF(Referral_Data!$C$5:$C$1000,B57)&gt;0,"Referred",IF(COUNTIF(Referral_Data!$B$5:$B$1000,B57)&gt;0,"Referrer","Organic"))</f>
        <v>Organic</v>
      </c>
      <c r="G57" s="29" t="n">
        <f aca="false">IF(COUNTIFS($B$5:B57,B57,$C$5:C57,C57)=1,1,0)</f>
        <v>0</v>
      </c>
      <c r="H57" s="29" t="n">
        <f aca="false">IF(AND(G57=1,COUNTIFS($B$5:$B$1635,B57,$C$5:$C$1635,"&lt;"&amp;C57)&gt;0),1,0)</f>
        <v>0</v>
      </c>
      <c r="I57" s="29" t="n">
        <f aca="false">IF(AND(D57="Feature Use",COUNTIFS($B$5:B57,B57,$D$5:D57,"Feature Use",$E$5:E57,E57)=1),1,0)</f>
        <v>0</v>
      </c>
      <c r="J57" s="29" t="n">
        <f aca="false">IF(AND(D57="Feature Use",COUNTIFS($B$5:B57,B57,$D$5:D57,"Feature Use",$E$5:E57,E57)=2),1,0)</f>
        <v>0</v>
      </c>
      <c r="K57" s="29" t="n">
        <f aca="false">IF(COUNTIF($B$5:B57,B57)=1,1,0)</f>
        <v>0</v>
      </c>
      <c r="L57" s="29" t="n">
        <f aca="false">IF(AND(C57&gt;=Settings!$B$5-Settings!$B$8+1,C57&lt;=Settings!$B$5,COUNTIFS($B$5:B57,B57,$C$5:C57,"&gt;="&amp;(Settings!$B$5-Settings!$B$8+1),$C$5:C57,"&lt;="&amp;Settings!$B$5)=1),1,0)</f>
        <v>0</v>
      </c>
      <c r="M57" s="29" t="n">
        <f aca="false">IF(AND(C57&gt;=Settings!$B$5-Settings!$B$9+1,C57&lt;=Settings!$B$5,COUNTIFS($B$5:B57,B57,$C$5:C57,"&gt;="&amp;(Settings!$B$5-Settings!$B$9+1),$C$5:C57,"&lt;="&amp;Settings!$B$5)=1),1,0)</f>
        <v>0</v>
      </c>
      <c r="N57" s="29" t="n">
        <f aca="false">IF(AND(D57="Feature Use",COUNTIFS($B$5:B57,B57,$D$5:D57,"Feature Use")=1),1,0)</f>
        <v>0</v>
      </c>
    </row>
    <row r="58" customFormat="false" ht="15" hidden="false" customHeight="false" outlineLevel="0" collapsed="false">
      <c r="A58" s="22" t="s">
        <v>362</v>
      </c>
      <c r="B58" s="22" t="s">
        <v>203</v>
      </c>
      <c r="C58" s="31" t="n">
        <v>46268</v>
      </c>
      <c r="D58" s="22" t="s">
        <v>297</v>
      </c>
      <c r="E58" s="22" t="s">
        <v>298</v>
      </c>
      <c r="F58" s="29" t="str">
        <f aca="false">IF(COUNTIF(Referral_Data!$C$5:$C$1000,B58)&gt;0,"Referred",IF(COUNTIF(Referral_Data!$B$5:$B$1000,B58)&gt;0,"Referrer","Organic"))</f>
        <v>Referrer</v>
      </c>
      <c r="G58" s="29" t="n">
        <f aca="false">IF(COUNTIFS($B$5:B58,B58,$C$5:C58,C58)=1,1,0)</f>
        <v>1</v>
      </c>
      <c r="H58" s="29" t="n">
        <f aca="false">IF(AND(G58=1,COUNTIFS($B$5:$B$1635,B58,$C$5:$C$1635,"&lt;"&amp;C58)&gt;0),1,0)</f>
        <v>1</v>
      </c>
      <c r="I58" s="29" t="n">
        <f aca="false">IF(AND(D58="Feature Use",COUNTIFS($B$5:B58,B58,$D$5:D58,"Feature Use",$E$5:E58,E58)=1),1,0)</f>
        <v>0</v>
      </c>
      <c r="J58" s="29" t="n">
        <f aca="false">IF(AND(D58="Feature Use",COUNTIFS($B$5:B58,B58,$D$5:D58,"Feature Use",$E$5:E58,E58)=2),1,0)</f>
        <v>0</v>
      </c>
      <c r="K58" s="29" t="n">
        <f aca="false">IF(COUNTIF($B$5:B58,B58)=1,1,0)</f>
        <v>0</v>
      </c>
      <c r="L58" s="29" t="n">
        <f aca="false">IF(AND(C58&gt;=Settings!$B$5-Settings!$B$8+1,C58&lt;=Settings!$B$5,COUNTIFS($B$5:B58,B58,$C$5:C58,"&gt;="&amp;(Settings!$B$5-Settings!$B$8+1),$C$5:C58,"&lt;="&amp;Settings!$B$5)=1),1,0)</f>
        <v>0</v>
      </c>
      <c r="M58" s="29" t="n">
        <f aca="false">IF(AND(C58&gt;=Settings!$B$5-Settings!$B$9+1,C58&lt;=Settings!$B$5,COUNTIFS($B$5:B58,B58,$C$5:C58,"&gt;="&amp;(Settings!$B$5-Settings!$B$9+1),$C$5:C58,"&lt;="&amp;Settings!$B$5)=1),1,0)</f>
        <v>0</v>
      </c>
      <c r="N58" s="29" t="n">
        <f aca="false">IF(AND(D58="Feature Use",COUNTIFS($B$5:B58,B58,$D$5:D58,"Feature Use")=1),1,0)</f>
        <v>0</v>
      </c>
    </row>
    <row r="59" customFormat="false" ht="15" hidden="false" customHeight="false" outlineLevel="0" collapsed="false">
      <c r="A59" s="22" t="s">
        <v>363</v>
      </c>
      <c r="B59" s="22" t="s">
        <v>203</v>
      </c>
      <c r="C59" s="31" t="n">
        <v>46268</v>
      </c>
      <c r="D59" s="22" t="s">
        <v>300</v>
      </c>
      <c r="E59" s="22" t="s">
        <v>305</v>
      </c>
      <c r="F59" s="29" t="str">
        <f aca="false">IF(COUNTIF(Referral_Data!$C$5:$C$1000,B59)&gt;0,"Referred",IF(COUNTIF(Referral_Data!$B$5:$B$1000,B59)&gt;0,"Referrer","Organic"))</f>
        <v>Referrer</v>
      </c>
      <c r="G59" s="29" t="n">
        <f aca="false">IF(COUNTIFS($B$5:B59,B59,$C$5:C59,C59)=1,1,0)</f>
        <v>0</v>
      </c>
      <c r="H59" s="29" t="n">
        <f aca="false">IF(AND(G59=1,COUNTIFS($B$5:$B$1635,B59,$C$5:$C$1635,"&lt;"&amp;C59)&gt;0),1,0)</f>
        <v>0</v>
      </c>
      <c r="I59" s="29" t="n">
        <f aca="false">IF(AND(D59="Feature Use",COUNTIFS($B$5:B59,B59,$D$5:D59,"Feature Use",$E$5:E59,E59)=1),1,0)</f>
        <v>1</v>
      </c>
      <c r="J59" s="29" t="n">
        <f aca="false">IF(AND(D59="Feature Use",COUNTIFS($B$5:B59,B59,$D$5:D59,"Feature Use",$E$5:E59,E59)=2),1,0)</f>
        <v>0</v>
      </c>
      <c r="K59" s="29" t="n">
        <f aca="false">IF(COUNTIF($B$5:B59,B59)=1,1,0)</f>
        <v>0</v>
      </c>
      <c r="L59" s="29" t="n">
        <f aca="false">IF(AND(C59&gt;=Settings!$B$5-Settings!$B$8+1,C59&lt;=Settings!$B$5,COUNTIFS($B$5:B59,B59,$C$5:C59,"&gt;="&amp;(Settings!$B$5-Settings!$B$8+1),$C$5:C59,"&lt;="&amp;Settings!$B$5)=1),1,0)</f>
        <v>0</v>
      </c>
      <c r="M59" s="29" t="n">
        <f aca="false">IF(AND(C59&gt;=Settings!$B$5-Settings!$B$9+1,C59&lt;=Settings!$B$5,COUNTIFS($B$5:B59,B59,$C$5:C59,"&gt;="&amp;(Settings!$B$5-Settings!$B$9+1),$C$5:C59,"&lt;="&amp;Settings!$B$5)=1),1,0)</f>
        <v>0</v>
      </c>
      <c r="N59" s="29" t="n">
        <f aca="false">IF(AND(D59="Feature Use",COUNTIFS($B$5:B59,B59,$D$5:D59,"Feature Use")=1),1,0)</f>
        <v>0</v>
      </c>
    </row>
    <row r="60" customFormat="false" ht="15" hidden="false" customHeight="false" outlineLevel="0" collapsed="false">
      <c r="A60" s="22" t="s">
        <v>364</v>
      </c>
      <c r="B60" s="22" t="s">
        <v>170</v>
      </c>
      <c r="C60" s="31" t="n">
        <v>46268</v>
      </c>
      <c r="D60" s="22" t="s">
        <v>297</v>
      </c>
      <c r="E60" s="22" t="s">
        <v>298</v>
      </c>
      <c r="F60" s="29" t="str">
        <f aca="false">IF(COUNTIF(Referral_Data!$C$5:$C$1000,B60)&gt;0,"Referred",IF(COUNTIF(Referral_Data!$B$5:$B$1000,B60)&gt;0,"Referrer","Organic"))</f>
        <v>Referrer</v>
      </c>
      <c r="G60" s="29" t="n">
        <f aca="false">IF(COUNTIFS($B$5:B60,B60,$C$5:C60,C60)=1,1,0)</f>
        <v>1</v>
      </c>
      <c r="H60" s="29" t="n">
        <f aca="false">IF(AND(G60=1,COUNTIFS($B$5:$B$1635,B60,$C$5:$C$1635,"&lt;"&amp;C60)&gt;0),1,0)</f>
        <v>0</v>
      </c>
      <c r="I60" s="29" t="n">
        <f aca="false">IF(AND(D60="Feature Use",COUNTIFS($B$5:B60,B60,$D$5:D60,"Feature Use",$E$5:E60,E60)=1),1,0)</f>
        <v>0</v>
      </c>
      <c r="J60" s="29" t="n">
        <f aca="false">IF(AND(D60="Feature Use",COUNTIFS($B$5:B60,B60,$D$5:D60,"Feature Use",$E$5:E60,E60)=2),1,0)</f>
        <v>0</v>
      </c>
      <c r="K60" s="29" t="n">
        <f aca="false">IF(COUNTIF($B$5:B60,B60)=1,1,0)</f>
        <v>1</v>
      </c>
      <c r="L60" s="29" t="n">
        <f aca="false">IF(AND(C60&gt;=Settings!$B$5-Settings!$B$8+1,C60&lt;=Settings!$B$5,COUNTIFS($B$5:B60,B60,$C$5:C60,"&gt;="&amp;(Settings!$B$5-Settings!$B$8+1),$C$5:C60,"&lt;="&amp;Settings!$B$5)=1),1,0)</f>
        <v>0</v>
      </c>
      <c r="M60" s="29" t="n">
        <f aca="false">IF(AND(C60&gt;=Settings!$B$5-Settings!$B$9+1,C60&lt;=Settings!$B$5,COUNTIFS($B$5:B60,B60,$C$5:C60,"&gt;="&amp;(Settings!$B$5-Settings!$B$9+1),$C$5:C60,"&lt;="&amp;Settings!$B$5)=1),1,0)</f>
        <v>0</v>
      </c>
      <c r="N60" s="29" t="n">
        <f aca="false">IF(AND(D60="Feature Use",COUNTIFS($B$5:B60,B60,$D$5:D60,"Feature Use")=1),1,0)</f>
        <v>0</v>
      </c>
    </row>
    <row r="61" customFormat="false" ht="15" hidden="false" customHeight="false" outlineLevel="0" collapsed="false">
      <c r="A61" s="22" t="s">
        <v>365</v>
      </c>
      <c r="B61" s="22" t="s">
        <v>170</v>
      </c>
      <c r="C61" s="31" t="n">
        <v>46268</v>
      </c>
      <c r="D61" s="22" t="s">
        <v>300</v>
      </c>
      <c r="E61" s="22" t="s">
        <v>301</v>
      </c>
      <c r="F61" s="29" t="str">
        <f aca="false">IF(COUNTIF(Referral_Data!$C$5:$C$1000,B61)&gt;0,"Referred",IF(COUNTIF(Referral_Data!$B$5:$B$1000,B61)&gt;0,"Referrer","Organic"))</f>
        <v>Referrer</v>
      </c>
      <c r="G61" s="29" t="n">
        <f aca="false">IF(COUNTIFS($B$5:B61,B61,$C$5:C61,C61)=1,1,0)</f>
        <v>0</v>
      </c>
      <c r="H61" s="29" t="n">
        <f aca="false">IF(AND(G61=1,COUNTIFS($B$5:$B$1635,B61,$C$5:$C$1635,"&lt;"&amp;C61)&gt;0),1,0)</f>
        <v>0</v>
      </c>
      <c r="I61" s="29" t="n">
        <f aca="false">IF(AND(D61="Feature Use",COUNTIFS($B$5:B61,B61,$D$5:D61,"Feature Use",$E$5:E61,E61)=1),1,0)</f>
        <v>1</v>
      </c>
      <c r="J61" s="29" t="n">
        <f aca="false">IF(AND(D61="Feature Use",COUNTIFS($B$5:B61,B61,$D$5:D61,"Feature Use",$E$5:E61,E61)=2),1,0)</f>
        <v>0</v>
      </c>
      <c r="K61" s="29" t="n">
        <f aca="false">IF(COUNTIF($B$5:B61,B61)=1,1,0)</f>
        <v>0</v>
      </c>
      <c r="L61" s="29" t="n">
        <f aca="false">IF(AND(C61&gt;=Settings!$B$5-Settings!$B$8+1,C61&lt;=Settings!$B$5,COUNTIFS($B$5:B61,B61,$C$5:C61,"&gt;="&amp;(Settings!$B$5-Settings!$B$8+1),$C$5:C61,"&lt;="&amp;Settings!$B$5)=1),1,0)</f>
        <v>0</v>
      </c>
      <c r="M61" s="29" t="n">
        <f aca="false">IF(AND(C61&gt;=Settings!$B$5-Settings!$B$9+1,C61&lt;=Settings!$B$5,COUNTIFS($B$5:B61,B61,$C$5:C61,"&gt;="&amp;(Settings!$B$5-Settings!$B$9+1),$C$5:C61,"&lt;="&amp;Settings!$B$5)=1),1,0)</f>
        <v>0</v>
      </c>
      <c r="N61" s="29" t="n">
        <f aca="false">IF(AND(D61="Feature Use",COUNTIFS($B$5:B61,B61,$D$5:D61,"Feature Use")=1),1,0)</f>
        <v>1</v>
      </c>
    </row>
    <row r="62" customFormat="false" ht="15" hidden="false" customHeight="false" outlineLevel="0" collapsed="false">
      <c r="A62" s="22" t="s">
        <v>366</v>
      </c>
      <c r="B62" s="22" t="s">
        <v>170</v>
      </c>
      <c r="C62" s="31" t="n">
        <v>46268</v>
      </c>
      <c r="D62" s="22" t="s">
        <v>300</v>
      </c>
      <c r="E62" s="22" t="s">
        <v>311</v>
      </c>
      <c r="F62" s="29" t="str">
        <f aca="false">IF(COUNTIF(Referral_Data!$C$5:$C$1000,B62)&gt;0,"Referred",IF(COUNTIF(Referral_Data!$B$5:$B$1000,B62)&gt;0,"Referrer","Organic"))</f>
        <v>Referrer</v>
      </c>
      <c r="G62" s="29" t="n">
        <f aca="false">IF(COUNTIFS($B$5:B62,B62,$C$5:C62,C62)=1,1,0)</f>
        <v>0</v>
      </c>
      <c r="H62" s="29" t="n">
        <f aca="false">IF(AND(G62=1,COUNTIFS($B$5:$B$1635,B62,$C$5:$C$1635,"&lt;"&amp;C62)&gt;0),1,0)</f>
        <v>0</v>
      </c>
      <c r="I62" s="29" t="n">
        <f aca="false">IF(AND(D62="Feature Use",COUNTIFS($B$5:B62,B62,$D$5:D62,"Feature Use",$E$5:E62,E62)=1),1,0)</f>
        <v>1</v>
      </c>
      <c r="J62" s="29" t="n">
        <f aca="false">IF(AND(D62="Feature Use",COUNTIFS($B$5:B62,B62,$D$5:D62,"Feature Use",$E$5:E62,E62)=2),1,0)</f>
        <v>0</v>
      </c>
      <c r="K62" s="29" t="n">
        <f aca="false">IF(COUNTIF($B$5:B62,B62)=1,1,0)</f>
        <v>0</v>
      </c>
      <c r="L62" s="29" t="n">
        <f aca="false">IF(AND(C62&gt;=Settings!$B$5-Settings!$B$8+1,C62&lt;=Settings!$B$5,COUNTIFS($B$5:B62,B62,$C$5:C62,"&gt;="&amp;(Settings!$B$5-Settings!$B$8+1),$C$5:C62,"&lt;="&amp;Settings!$B$5)=1),1,0)</f>
        <v>0</v>
      </c>
      <c r="M62" s="29" t="n">
        <f aca="false">IF(AND(C62&gt;=Settings!$B$5-Settings!$B$9+1,C62&lt;=Settings!$B$5,COUNTIFS($B$5:B62,B62,$C$5:C62,"&gt;="&amp;(Settings!$B$5-Settings!$B$9+1),$C$5:C62,"&lt;="&amp;Settings!$B$5)=1),1,0)</f>
        <v>0</v>
      </c>
      <c r="N62" s="29" t="n">
        <f aca="false">IF(AND(D62="Feature Use",COUNTIFS($B$5:B62,B62,$D$5:D62,"Feature Use")=1),1,0)</f>
        <v>0</v>
      </c>
    </row>
    <row r="63" customFormat="false" ht="15" hidden="false" customHeight="false" outlineLevel="0" collapsed="false">
      <c r="A63" s="22" t="s">
        <v>367</v>
      </c>
      <c r="B63" s="22" t="s">
        <v>170</v>
      </c>
      <c r="C63" s="31" t="n">
        <v>46268</v>
      </c>
      <c r="D63" s="22" t="s">
        <v>308</v>
      </c>
      <c r="E63" s="22" t="s">
        <v>319</v>
      </c>
      <c r="F63" s="29" t="str">
        <f aca="false">IF(COUNTIF(Referral_Data!$C$5:$C$1000,B63)&gt;0,"Referred",IF(COUNTIF(Referral_Data!$B$5:$B$1000,B63)&gt;0,"Referrer","Organic"))</f>
        <v>Referrer</v>
      </c>
      <c r="G63" s="29" t="n">
        <f aca="false">IF(COUNTIFS($B$5:B63,B63,$C$5:C63,C63)=1,1,0)</f>
        <v>0</v>
      </c>
      <c r="H63" s="29" t="n">
        <f aca="false">IF(AND(G63=1,COUNTIFS($B$5:$B$1635,B63,$C$5:$C$1635,"&lt;"&amp;C63)&gt;0),1,0)</f>
        <v>0</v>
      </c>
      <c r="I63" s="29" t="n">
        <f aca="false">IF(AND(D63="Feature Use",COUNTIFS($B$5:B63,B63,$D$5:D63,"Feature Use",$E$5:E63,E63)=1),1,0)</f>
        <v>0</v>
      </c>
      <c r="J63" s="29" t="n">
        <f aca="false">IF(AND(D63="Feature Use",COUNTIFS($B$5:B63,B63,$D$5:D63,"Feature Use",$E$5:E63,E63)=2),1,0)</f>
        <v>0</v>
      </c>
      <c r="K63" s="29" t="n">
        <f aca="false">IF(COUNTIF($B$5:B63,B63)=1,1,0)</f>
        <v>0</v>
      </c>
      <c r="L63" s="29" t="n">
        <f aca="false">IF(AND(C63&gt;=Settings!$B$5-Settings!$B$8+1,C63&lt;=Settings!$B$5,COUNTIFS($B$5:B63,B63,$C$5:C63,"&gt;="&amp;(Settings!$B$5-Settings!$B$8+1),$C$5:C63,"&lt;="&amp;Settings!$B$5)=1),1,0)</f>
        <v>0</v>
      </c>
      <c r="M63" s="29" t="n">
        <f aca="false">IF(AND(C63&gt;=Settings!$B$5-Settings!$B$9+1,C63&lt;=Settings!$B$5,COUNTIFS($B$5:B63,B63,$C$5:C63,"&gt;="&amp;(Settings!$B$5-Settings!$B$9+1),$C$5:C63,"&lt;="&amp;Settings!$B$5)=1),1,0)</f>
        <v>0</v>
      </c>
      <c r="N63" s="29" t="n">
        <f aca="false">IF(AND(D63="Feature Use",COUNTIFS($B$5:B63,B63,$D$5:D63,"Feature Use")=1),1,0)</f>
        <v>0</v>
      </c>
    </row>
    <row r="64" customFormat="false" ht="15" hidden="false" customHeight="false" outlineLevel="0" collapsed="false">
      <c r="A64" s="22" t="s">
        <v>368</v>
      </c>
      <c r="B64" s="22" t="s">
        <v>170</v>
      </c>
      <c r="C64" s="31" t="n">
        <v>46268</v>
      </c>
      <c r="D64" s="22" t="s">
        <v>308</v>
      </c>
      <c r="E64" s="22" t="s">
        <v>301</v>
      </c>
      <c r="F64" s="29" t="str">
        <f aca="false">IF(COUNTIF(Referral_Data!$C$5:$C$1000,B64)&gt;0,"Referred",IF(COUNTIF(Referral_Data!$B$5:$B$1000,B64)&gt;0,"Referrer","Organic"))</f>
        <v>Referrer</v>
      </c>
      <c r="G64" s="29" t="n">
        <f aca="false">IF(COUNTIFS($B$5:B64,B64,$C$5:C64,C64)=1,1,0)</f>
        <v>0</v>
      </c>
      <c r="H64" s="29" t="n">
        <f aca="false">IF(AND(G64=1,COUNTIFS($B$5:$B$1635,B64,$C$5:$C$1635,"&lt;"&amp;C64)&gt;0),1,0)</f>
        <v>0</v>
      </c>
      <c r="I64" s="29" t="n">
        <f aca="false">IF(AND(D64="Feature Use",COUNTIFS($B$5:B64,B64,$D$5:D64,"Feature Use",$E$5:E64,E64)=1),1,0)</f>
        <v>0</v>
      </c>
      <c r="J64" s="29" t="n">
        <f aca="false">IF(AND(D64="Feature Use",COUNTIFS($B$5:B64,B64,$D$5:D64,"Feature Use",$E$5:E64,E64)=2),1,0)</f>
        <v>0</v>
      </c>
      <c r="K64" s="29" t="n">
        <f aca="false">IF(COUNTIF($B$5:B64,B64)=1,1,0)</f>
        <v>0</v>
      </c>
      <c r="L64" s="29" t="n">
        <f aca="false">IF(AND(C64&gt;=Settings!$B$5-Settings!$B$8+1,C64&lt;=Settings!$B$5,COUNTIFS($B$5:B64,B64,$C$5:C64,"&gt;="&amp;(Settings!$B$5-Settings!$B$8+1),$C$5:C64,"&lt;="&amp;Settings!$B$5)=1),1,0)</f>
        <v>0</v>
      </c>
      <c r="M64" s="29" t="n">
        <f aca="false">IF(AND(C64&gt;=Settings!$B$5-Settings!$B$9+1,C64&lt;=Settings!$B$5,COUNTIFS($B$5:B64,B64,$C$5:C64,"&gt;="&amp;(Settings!$B$5-Settings!$B$9+1),$C$5:C64,"&lt;="&amp;Settings!$B$5)=1),1,0)</f>
        <v>0</v>
      </c>
      <c r="N64" s="29" t="n">
        <f aca="false">IF(AND(D64="Feature Use",COUNTIFS($B$5:B64,B64,$D$5:D64,"Feature Use")=1),1,0)</f>
        <v>0</v>
      </c>
    </row>
    <row r="65" customFormat="false" ht="15" hidden="false" customHeight="false" outlineLevel="0" collapsed="false">
      <c r="A65" s="22" t="s">
        <v>369</v>
      </c>
      <c r="B65" s="22" t="s">
        <v>190</v>
      </c>
      <c r="C65" s="31" t="n">
        <v>46268</v>
      </c>
      <c r="D65" s="22" t="s">
        <v>297</v>
      </c>
      <c r="E65" s="22" t="s">
        <v>298</v>
      </c>
      <c r="F65" s="29" t="str">
        <f aca="false">IF(COUNTIF(Referral_Data!$C$5:$C$1000,B65)&gt;0,"Referred",IF(COUNTIF(Referral_Data!$B$5:$B$1000,B65)&gt;0,"Referrer","Organic"))</f>
        <v>Referrer</v>
      </c>
      <c r="G65" s="29" t="n">
        <f aca="false">IF(COUNTIFS($B$5:B65,B65,$C$5:C65,C65)=1,1,0)</f>
        <v>1</v>
      </c>
      <c r="H65" s="29" t="n">
        <f aca="false">IF(AND(G65=1,COUNTIFS($B$5:$B$1635,B65,$C$5:$C$1635,"&lt;"&amp;C65)&gt;0),1,0)</f>
        <v>1</v>
      </c>
      <c r="I65" s="29" t="n">
        <f aca="false">IF(AND(D65="Feature Use",COUNTIFS($B$5:B65,B65,$D$5:D65,"Feature Use",$E$5:E65,E65)=1),1,0)</f>
        <v>0</v>
      </c>
      <c r="J65" s="29" t="n">
        <f aca="false">IF(AND(D65="Feature Use",COUNTIFS($B$5:B65,B65,$D$5:D65,"Feature Use",$E$5:E65,E65)=2),1,0)</f>
        <v>0</v>
      </c>
      <c r="K65" s="29" t="n">
        <f aca="false">IF(COUNTIF($B$5:B65,B65)=1,1,0)</f>
        <v>0</v>
      </c>
      <c r="L65" s="29" t="n">
        <f aca="false">IF(AND(C65&gt;=Settings!$B$5-Settings!$B$8+1,C65&lt;=Settings!$B$5,COUNTIFS($B$5:B65,B65,$C$5:C65,"&gt;="&amp;(Settings!$B$5-Settings!$B$8+1),$C$5:C65,"&lt;="&amp;Settings!$B$5)=1),1,0)</f>
        <v>0</v>
      </c>
      <c r="M65" s="29" t="n">
        <f aca="false">IF(AND(C65&gt;=Settings!$B$5-Settings!$B$9+1,C65&lt;=Settings!$B$5,COUNTIFS($B$5:B65,B65,$C$5:C65,"&gt;="&amp;(Settings!$B$5-Settings!$B$9+1),$C$5:C65,"&lt;="&amp;Settings!$B$5)=1),1,0)</f>
        <v>0</v>
      </c>
      <c r="N65" s="29" t="n">
        <f aca="false">IF(AND(D65="Feature Use",COUNTIFS($B$5:B65,B65,$D$5:D65,"Feature Use")=1),1,0)</f>
        <v>0</v>
      </c>
    </row>
    <row r="66" customFormat="false" ht="15" hidden="false" customHeight="false" outlineLevel="0" collapsed="false">
      <c r="A66" s="22" t="s">
        <v>370</v>
      </c>
      <c r="B66" s="22" t="s">
        <v>190</v>
      </c>
      <c r="C66" s="31" t="n">
        <v>46268</v>
      </c>
      <c r="D66" s="22" t="s">
        <v>300</v>
      </c>
      <c r="E66" s="22" t="s">
        <v>305</v>
      </c>
      <c r="F66" s="29" t="str">
        <f aca="false">IF(COUNTIF(Referral_Data!$C$5:$C$1000,B66)&gt;0,"Referred",IF(COUNTIF(Referral_Data!$B$5:$B$1000,B66)&gt;0,"Referrer","Organic"))</f>
        <v>Referrer</v>
      </c>
      <c r="G66" s="29" t="n">
        <f aca="false">IF(COUNTIFS($B$5:B66,B66,$C$5:C66,C66)=1,1,0)</f>
        <v>0</v>
      </c>
      <c r="H66" s="29" t="n">
        <f aca="false">IF(AND(G66=1,COUNTIFS($B$5:$B$1635,B66,$C$5:$C$1635,"&lt;"&amp;C66)&gt;0),1,0)</f>
        <v>0</v>
      </c>
      <c r="I66" s="29" t="n">
        <f aca="false">IF(AND(D66="Feature Use",COUNTIFS($B$5:B66,B66,$D$5:D66,"Feature Use",$E$5:E66,E66)=1),1,0)</f>
        <v>1</v>
      </c>
      <c r="J66" s="29" t="n">
        <f aca="false">IF(AND(D66="Feature Use",COUNTIFS($B$5:B66,B66,$D$5:D66,"Feature Use",$E$5:E66,E66)=2),1,0)</f>
        <v>0</v>
      </c>
      <c r="K66" s="29" t="n">
        <f aca="false">IF(COUNTIF($B$5:B66,B66)=1,1,0)</f>
        <v>0</v>
      </c>
      <c r="L66" s="29" t="n">
        <f aca="false">IF(AND(C66&gt;=Settings!$B$5-Settings!$B$8+1,C66&lt;=Settings!$B$5,COUNTIFS($B$5:B66,B66,$C$5:C66,"&gt;="&amp;(Settings!$B$5-Settings!$B$8+1),$C$5:C66,"&lt;="&amp;Settings!$B$5)=1),1,0)</f>
        <v>0</v>
      </c>
      <c r="M66" s="29" t="n">
        <f aca="false">IF(AND(C66&gt;=Settings!$B$5-Settings!$B$9+1,C66&lt;=Settings!$B$5,COUNTIFS($B$5:B66,B66,$C$5:C66,"&gt;="&amp;(Settings!$B$5-Settings!$B$9+1),$C$5:C66,"&lt;="&amp;Settings!$B$5)=1),1,0)</f>
        <v>0</v>
      </c>
      <c r="N66" s="29" t="n">
        <f aca="false">IF(AND(D66="Feature Use",COUNTIFS($B$5:B66,B66,$D$5:D66,"Feature Use")=1),1,0)</f>
        <v>0</v>
      </c>
    </row>
    <row r="67" customFormat="false" ht="15" hidden="false" customHeight="false" outlineLevel="0" collapsed="false">
      <c r="A67" s="22" t="s">
        <v>371</v>
      </c>
      <c r="B67" s="22" t="s">
        <v>190</v>
      </c>
      <c r="C67" s="31" t="n">
        <v>46268</v>
      </c>
      <c r="D67" s="22" t="s">
        <v>308</v>
      </c>
      <c r="E67" s="22" t="s">
        <v>319</v>
      </c>
      <c r="F67" s="29" t="str">
        <f aca="false">IF(COUNTIF(Referral_Data!$C$5:$C$1000,B67)&gt;0,"Referred",IF(COUNTIF(Referral_Data!$B$5:$B$1000,B67)&gt;0,"Referrer","Organic"))</f>
        <v>Referrer</v>
      </c>
      <c r="G67" s="29" t="n">
        <f aca="false">IF(COUNTIFS($B$5:B67,B67,$C$5:C67,C67)=1,1,0)</f>
        <v>0</v>
      </c>
      <c r="H67" s="29" t="n">
        <f aca="false">IF(AND(G67=1,COUNTIFS($B$5:$B$1635,B67,$C$5:$C$1635,"&lt;"&amp;C67)&gt;0),1,0)</f>
        <v>0</v>
      </c>
      <c r="I67" s="29" t="n">
        <f aca="false">IF(AND(D67="Feature Use",COUNTIFS($B$5:B67,B67,$D$5:D67,"Feature Use",$E$5:E67,E67)=1),1,0)</f>
        <v>0</v>
      </c>
      <c r="J67" s="29" t="n">
        <f aca="false">IF(AND(D67="Feature Use",COUNTIFS($B$5:B67,B67,$D$5:D67,"Feature Use",$E$5:E67,E67)=2),1,0)</f>
        <v>0</v>
      </c>
      <c r="K67" s="29" t="n">
        <f aca="false">IF(COUNTIF($B$5:B67,B67)=1,1,0)</f>
        <v>0</v>
      </c>
      <c r="L67" s="29" t="n">
        <f aca="false">IF(AND(C67&gt;=Settings!$B$5-Settings!$B$8+1,C67&lt;=Settings!$B$5,COUNTIFS($B$5:B67,B67,$C$5:C67,"&gt;="&amp;(Settings!$B$5-Settings!$B$8+1),$C$5:C67,"&lt;="&amp;Settings!$B$5)=1),1,0)</f>
        <v>0</v>
      </c>
      <c r="M67" s="29" t="n">
        <f aca="false">IF(AND(C67&gt;=Settings!$B$5-Settings!$B$9+1,C67&lt;=Settings!$B$5,COUNTIFS($B$5:B67,B67,$C$5:C67,"&gt;="&amp;(Settings!$B$5-Settings!$B$9+1),$C$5:C67,"&lt;="&amp;Settings!$B$5)=1),1,0)</f>
        <v>0</v>
      </c>
      <c r="N67" s="29" t="n">
        <f aca="false">IF(AND(D67="Feature Use",COUNTIFS($B$5:B67,B67,$D$5:D67,"Feature Use")=1),1,0)</f>
        <v>0</v>
      </c>
    </row>
    <row r="68" customFormat="false" ht="15" hidden="false" customHeight="false" outlineLevel="0" collapsed="false">
      <c r="A68" s="22" t="s">
        <v>372</v>
      </c>
      <c r="B68" s="22" t="s">
        <v>215</v>
      </c>
      <c r="C68" s="31" t="n">
        <v>46268</v>
      </c>
      <c r="D68" s="22" t="s">
        <v>297</v>
      </c>
      <c r="E68" s="22" t="s">
        <v>298</v>
      </c>
      <c r="F68" s="29" t="str">
        <f aca="false">IF(COUNTIF(Referral_Data!$C$5:$C$1000,B68)&gt;0,"Referred",IF(COUNTIF(Referral_Data!$B$5:$B$1000,B68)&gt;0,"Referrer","Organic"))</f>
        <v>Referrer</v>
      </c>
      <c r="G68" s="29" t="n">
        <f aca="false">IF(COUNTIFS($B$5:B68,B68,$C$5:C68,C68)=1,1,0)</f>
        <v>1</v>
      </c>
      <c r="H68" s="29" t="n">
        <f aca="false">IF(AND(G68=1,COUNTIFS($B$5:$B$1635,B68,$C$5:$C$1635,"&lt;"&amp;C68)&gt;0),1,0)</f>
        <v>0</v>
      </c>
      <c r="I68" s="29" t="n">
        <f aca="false">IF(AND(D68="Feature Use",COUNTIFS($B$5:B68,B68,$D$5:D68,"Feature Use",$E$5:E68,E68)=1),1,0)</f>
        <v>0</v>
      </c>
      <c r="J68" s="29" t="n">
        <f aca="false">IF(AND(D68="Feature Use",COUNTIFS($B$5:B68,B68,$D$5:D68,"Feature Use",$E$5:E68,E68)=2),1,0)</f>
        <v>0</v>
      </c>
      <c r="K68" s="29" t="n">
        <f aca="false">IF(COUNTIF($B$5:B68,B68)=1,1,0)</f>
        <v>1</v>
      </c>
      <c r="L68" s="29" t="n">
        <f aca="false">IF(AND(C68&gt;=Settings!$B$5-Settings!$B$8+1,C68&lt;=Settings!$B$5,COUNTIFS($B$5:B68,B68,$C$5:C68,"&gt;="&amp;(Settings!$B$5-Settings!$B$8+1),$C$5:C68,"&lt;="&amp;Settings!$B$5)=1),1,0)</f>
        <v>0</v>
      </c>
      <c r="M68" s="29" t="n">
        <f aca="false">IF(AND(C68&gt;=Settings!$B$5-Settings!$B$9+1,C68&lt;=Settings!$B$5,COUNTIFS($B$5:B68,B68,$C$5:C68,"&gt;="&amp;(Settings!$B$5-Settings!$B$9+1),$C$5:C68,"&lt;="&amp;Settings!$B$5)=1),1,0)</f>
        <v>0</v>
      </c>
      <c r="N68" s="29" t="n">
        <f aca="false">IF(AND(D68="Feature Use",COUNTIFS($B$5:B68,B68,$D$5:D68,"Feature Use")=1),1,0)</f>
        <v>0</v>
      </c>
    </row>
    <row r="69" customFormat="false" ht="15" hidden="false" customHeight="false" outlineLevel="0" collapsed="false">
      <c r="A69" s="22" t="s">
        <v>373</v>
      </c>
      <c r="B69" s="22" t="s">
        <v>215</v>
      </c>
      <c r="C69" s="31" t="n">
        <v>46268</v>
      </c>
      <c r="D69" s="22" t="s">
        <v>300</v>
      </c>
      <c r="E69" s="22" t="s">
        <v>301</v>
      </c>
      <c r="F69" s="29" t="str">
        <f aca="false">IF(COUNTIF(Referral_Data!$C$5:$C$1000,B69)&gt;0,"Referred",IF(COUNTIF(Referral_Data!$B$5:$B$1000,B69)&gt;0,"Referrer","Organic"))</f>
        <v>Referrer</v>
      </c>
      <c r="G69" s="29" t="n">
        <f aca="false">IF(COUNTIFS($B$5:B69,B69,$C$5:C69,C69)=1,1,0)</f>
        <v>0</v>
      </c>
      <c r="H69" s="29" t="n">
        <f aca="false">IF(AND(G69=1,COUNTIFS($B$5:$B$1635,B69,$C$5:$C$1635,"&lt;"&amp;C69)&gt;0),1,0)</f>
        <v>0</v>
      </c>
      <c r="I69" s="29" t="n">
        <f aca="false">IF(AND(D69="Feature Use",COUNTIFS($B$5:B69,B69,$D$5:D69,"Feature Use",$E$5:E69,E69)=1),1,0)</f>
        <v>1</v>
      </c>
      <c r="J69" s="29" t="n">
        <f aca="false">IF(AND(D69="Feature Use",COUNTIFS($B$5:B69,B69,$D$5:D69,"Feature Use",$E$5:E69,E69)=2),1,0)</f>
        <v>0</v>
      </c>
      <c r="K69" s="29" t="n">
        <f aca="false">IF(COUNTIF($B$5:B69,B69)=1,1,0)</f>
        <v>0</v>
      </c>
      <c r="L69" s="29" t="n">
        <f aca="false">IF(AND(C69&gt;=Settings!$B$5-Settings!$B$8+1,C69&lt;=Settings!$B$5,COUNTIFS($B$5:B69,B69,$C$5:C69,"&gt;="&amp;(Settings!$B$5-Settings!$B$8+1),$C$5:C69,"&lt;="&amp;Settings!$B$5)=1),1,0)</f>
        <v>0</v>
      </c>
      <c r="M69" s="29" t="n">
        <f aca="false">IF(AND(C69&gt;=Settings!$B$5-Settings!$B$9+1,C69&lt;=Settings!$B$5,COUNTIFS($B$5:B69,B69,$C$5:C69,"&gt;="&amp;(Settings!$B$5-Settings!$B$9+1),$C$5:C69,"&lt;="&amp;Settings!$B$5)=1),1,0)</f>
        <v>0</v>
      </c>
      <c r="N69" s="29" t="n">
        <f aca="false">IF(AND(D69="Feature Use",COUNTIFS($B$5:B69,B69,$D$5:D69,"Feature Use")=1),1,0)</f>
        <v>1</v>
      </c>
    </row>
    <row r="70" customFormat="false" ht="15" hidden="false" customHeight="false" outlineLevel="0" collapsed="false">
      <c r="A70" s="22" t="s">
        <v>374</v>
      </c>
      <c r="B70" s="22" t="s">
        <v>215</v>
      </c>
      <c r="C70" s="31" t="n">
        <v>46268</v>
      </c>
      <c r="D70" s="22" t="s">
        <v>300</v>
      </c>
      <c r="E70" s="22" t="s">
        <v>311</v>
      </c>
      <c r="F70" s="29" t="str">
        <f aca="false">IF(COUNTIF(Referral_Data!$C$5:$C$1000,B70)&gt;0,"Referred",IF(COUNTIF(Referral_Data!$B$5:$B$1000,B70)&gt;0,"Referrer","Organic"))</f>
        <v>Referrer</v>
      </c>
      <c r="G70" s="29" t="n">
        <f aca="false">IF(COUNTIFS($B$5:B70,B70,$C$5:C70,C70)=1,1,0)</f>
        <v>0</v>
      </c>
      <c r="H70" s="29" t="n">
        <f aca="false">IF(AND(G70=1,COUNTIFS($B$5:$B$1635,B70,$C$5:$C$1635,"&lt;"&amp;C70)&gt;0),1,0)</f>
        <v>0</v>
      </c>
      <c r="I70" s="29" t="n">
        <f aca="false">IF(AND(D70="Feature Use",COUNTIFS($B$5:B70,B70,$D$5:D70,"Feature Use",$E$5:E70,E70)=1),1,0)</f>
        <v>1</v>
      </c>
      <c r="J70" s="29" t="n">
        <f aca="false">IF(AND(D70="Feature Use",COUNTIFS($B$5:B70,B70,$D$5:D70,"Feature Use",$E$5:E70,E70)=2),1,0)</f>
        <v>0</v>
      </c>
      <c r="K70" s="29" t="n">
        <f aca="false">IF(COUNTIF($B$5:B70,B70)=1,1,0)</f>
        <v>0</v>
      </c>
      <c r="L70" s="29" t="n">
        <f aca="false">IF(AND(C70&gt;=Settings!$B$5-Settings!$B$8+1,C70&lt;=Settings!$B$5,COUNTIFS($B$5:B70,B70,$C$5:C70,"&gt;="&amp;(Settings!$B$5-Settings!$B$8+1),$C$5:C70,"&lt;="&amp;Settings!$B$5)=1),1,0)</f>
        <v>0</v>
      </c>
      <c r="M70" s="29" t="n">
        <f aca="false">IF(AND(C70&gt;=Settings!$B$5-Settings!$B$9+1,C70&lt;=Settings!$B$5,COUNTIFS($B$5:B70,B70,$C$5:C70,"&gt;="&amp;(Settings!$B$5-Settings!$B$9+1),$C$5:C70,"&lt;="&amp;Settings!$B$5)=1),1,0)</f>
        <v>0</v>
      </c>
      <c r="N70" s="29" t="n">
        <f aca="false">IF(AND(D70="Feature Use",COUNTIFS($B$5:B70,B70,$D$5:D70,"Feature Use")=1),1,0)</f>
        <v>0</v>
      </c>
    </row>
    <row r="71" customFormat="false" ht="15" hidden="false" customHeight="false" outlineLevel="0" collapsed="false">
      <c r="A71" s="22" t="s">
        <v>375</v>
      </c>
      <c r="B71" s="22" t="s">
        <v>183</v>
      </c>
      <c r="C71" s="31" t="n">
        <v>46268</v>
      </c>
      <c r="D71" s="22" t="s">
        <v>297</v>
      </c>
      <c r="E71" s="22" t="s">
        <v>298</v>
      </c>
      <c r="F71" s="29" t="str">
        <f aca="false">IF(COUNTIF(Referral_Data!$C$5:$C$1000,B71)&gt;0,"Referred",IF(COUNTIF(Referral_Data!$B$5:$B$1000,B71)&gt;0,"Referrer","Organic"))</f>
        <v>Referrer</v>
      </c>
      <c r="G71" s="29" t="n">
        <f aca="false">IF(COUNTIFS($B$5:B71,B71,$C$5:C71,C71)=1,1,0)</f>
        <v>1</v>
      </c>
      <c r="H71" s="29" t="n">
        <f aca="false">IF(AND(G71=1,COUNTIFS($B$5:$B$1635,B71,$C$5:$C$1635,"&lt;"&amp;C71)&gt;0),1,0)</f>
        <v>0</v>
      </c>
      <c r="I71" s="29" t="n">
        <f aca="false">IF(AND(D71="Feature Use",COUNTIFS($B$5:B71,B71,$D$5:D71,"Feature Use",$E$5:E71,E71)=1),1,0)</f>
        <v>0</v>
      </c>
      <c r="J71" s="29" t="n">
        <f aca="false">IF(AND(D71="Feature Use",COUNTIFS($B$5:B71,B71,$D$5:D71,"Feature Use",$E$5:E71,E71)=2),1,0)</f>
        <v>0</v>
      </c>
      <c r="K71" s="29" t="n">
        <f aca="false">IF(COUNTIF($B$5:B71,B71)=1,1,0)</f>
        <v>1</v>
      </c>
      <c r="L71" s="29" t="n">
        <f aca="false">IF(AND(C71&gt;=Settings!$B$5-Settings!$B$8+1,C71&lt;=Settings!$B$5,COUNTIFS($B$5:B71,B71,$C$5:C71,"&gt;="&amp;(Settings!$B$5-Settings!$B$8+1),$C$5:C71,"&lt;="&amp;Settings!$B$5)=1),1,0)</f>
        <v>0</v>
      </c>
      <c r="M71" s="29" t="n">
        <f aca="false">IF(AND(C71&gt;=Settings!$B$5-Settings!$B$9+1,C71&lt;=Settings!$B$5,COUNTIFS($B$5:B71,B71,$C$5:C71,"&gt;="&amp;(Settings!$B$5-Settings!$B$9+1),$C$5:C71,"&lt;="&amp;Settings!$B$5)=1),1,0)</f>
        <v>0</v>
      </c>
      <c r="N71" s="29" t="n">
        <f aca="false">IF(AND(D71="Feature Use",COUNTIFS($B$5:B71,B71,$D$5:D71,"Feature Use")=1),1,0)</f>
        <v>0</v>
      </c>
    </row>
    <row r="72" customFormat="false" ht="15" hidden="false" customHeight="false" outlineLevel="0" collapsed="false">
      <c r="A72" s="22" t="s">
        <v>376</v>
      </c>
      <c r="B72" s="22" t="s">
        <v>183</v>
      </c>
      <c r="C72" s="31" t="n">
        <v>46268</v>
      </c>
      <c r="D72" s="22" t="s">
        <v>300</v>
      </c>
      <c r="E72" s="22" t="s">
        <v>309</v>
      </c>
      <c r="F72" s="29" t="str">
        <f aca="false">IF(COUNTIF(Referral_Data!$C$5:$C$1000,B72)&gt;0,"Referred",IF(COUNTIF(Referral_Data!$B$5:$B$1000,B72)&gt;0,"Referrer","Organic"))</f>
        <v>Referrer</v>
      </c>
      <c r="G72" s="29" t="n">
        <f aca="false">IF(COUNTIFS($B$5:B72,B72,$C$5:C72,C72)=1,1,0)</f>
        <v>0</v>
      </c>
      <c r="H72" s="29" t="n">
        <f aca="false">IF(AND(G72=1,COUNTIFS($B$5:$B$1635,B72,$C$5:$C$1635,"&lt;"&amp;C72)&gt;0),1,0)</f>
        <v>0</v>
      </c>
      <c r="I72" s="29" t="n">
        <f aca="false">IF(AND(D72="Feature Use",COUNTIFS($B$5:B72,B72,$D$5:D72,"Feature Use",$E$5:E72,E72)=1),1,0)</f>
        <v>1</v>
      </c>
      <c r="J72" s="29" t="n">
        <f aca="false">IF(AND(D72="Feature Use",COUNTIFS($B$5:B72,B72,$D$5:D72,"Feature Use",$E$5:E72,E72)=2),1,0)</f>
        <v>0</v>
      </c>
      <c r="K72" s="29" t="n">
        <f aca="false">IF(COUNTIF($B$5:B72,B72)=1,1,0)</f>
        <v>0</v>
      </c>
      <c r="L72" s="29" t="n">
        <f aca="false">IF(AND(C72&gt;=Settings!$B$5-Settings!$B$8+1,C72&lt;=Settings!$B$5,COUNTIFS($B$5:B72,B72,$C$5:C72,"&gt;="&amp;(Settings!$B$5-Settings!$B$8+1),$C$5:C72,"&lt;="&amp;Settings!$B$5)=1),1,0)</f>
        <v>0</v>
      </c>
      <c r="M72" s="29" t="n">
        <f aca="false">IF(AND(C72&gt;=Settings!$B$5-Settings!$B$9+1,C72&lt;=Settings!$B$5,COUNTIFS($B$5:B72,B72,$C$5:C72,"&gt;="&amp;(Settings!$B$5-Settings!$B$9+1),$C$5:C72,"&lt;="&amp;Settings!$B$5)=1),1,0)</f>
        <v>0</v>
      </c>
      <c r="N72" s="29" t="n">
        <f aca="false">IF(AND(D72="Feature Use",COUNTIFS($B$5:B72,B72,$D$5:D72,"Feature Use")=1),1,0)</f>
        <v>1</v>
      </c>
    </row>
    <row r="73" customFormat="false" ht="15" hidden="false" customHeight="false" outlineLevel="0" collapsed="false">
      <c r="A73" s="22" t="s">
        <v>377</v>
      </c>
      <c r="B73" s="22" t="s">
        <v>183</v>
      </c>
      <c r="C73" s="31" t="n">
        <v>46268</v>
      </c>
      <c r="D73" s="22" t="s">
        <v>300</v>
      </c>
      <c r="E73" s="22" t="s">
        <v>309</v>
      </c>
      <c r="F73" s="29" t="str">
        <f aca="false">IF(COUNTIF(Referral_Data!$C$5:$C$1000,B73)&gt;0,"Referred",IF(COUNTIF(Referral_Data!$B$5:$B$1000,B73)&gt;0,"Referrer","Organic"))</f>
        <v>Referrer</v>
      </c>
      <c r="G73" s="29" t="n">
        <f aca="false">IF(COUNTIFS($B$5:B73,B73,$C$5:C73,C73)=1,1,0)</f>
        <v>0</v>
      </c>
      <c r="H73" s="29" t="n">
        <f aca="false">IF(AND(G73=1,COUNTIFS($B$5:$B$1635,B73,$C$5:$C$1635,"&lt;"&amp;C73)&gt;0),1,0)</f>
        <v>0</v>
      </c>
      <c r="I73" s="29" t="n">
        <f aca="false">IF(AND(D73="Feature Use",COUNTIFS($B$5:B73,B73,$D$5:D73,"Feature Use",$E$5:E73,E73)=1),1,0)</f>
        <v>0</v>
      </c>
      <c r="J73" s="29" t="n">
        <f aca="false">IF(AND(D73="Feature Use",COUNTIFS($B$5:B73,B73,$D$5:D73,"Feature Use",$E$5:E73,E73)=2),1,0)</f>
        <v>1</v>
      </c>
      <c r="K73" s="29" t="n">
        <f aca="false">IF(COUNTIF($B$5:B73,B73)=1,1,0)</f>
        <v>0</v>
      </c>
      <c r="L73" s="29" t="n">
        <f aca="false">IF(AND(C73&gt;=Settings!$B$5-Settings!$B$8+1,C73&lt;=Settings!$B$5,COUNTIFS($B$5:B73,B73,$C$5:C73,"&gt;="&amp;(Settings!$B$5-Settings!$B$8+1),$C$5:C73,"&lt;="&amp;Settings!$B$5)=1),1,0)</f>
        <v>0</v>
      </c>
      <c r="M73" s="29" t="n">
        <f aca="false">IF(AND(C73&gt;=Settings!$B$5-Settings!$B$9+1,C73&lt;=Settings!$B$5,COUNTIFS($B$5:B73,B73,$C$5:C73,"&gt;="&amp;(Settings!$B$5-Settings!$B$9+1),$C$5:C73,"&lt;="&amp;Settings!$B$5)=1),1,0)</f>
        <v>0</v>
      </c>
      <c r="N73" s="29" t="n">
        <f aca="false">IF(AND(D73="Feature Use",COUNTIFS($B$5:B73,B73,$D$5:D73,"Feature Use")=1),1,0)</f>
        <v>0</v>
      </c>
    </row>
    <row r="74" customFormat="false" ht="15" hidden="false" customHeight="false" outlineLevel="0" collapsed="false">
      <c r="A74" s="22" t="s">
        <v>378</v>
      </c>
      <c r="B74" s="22" t="s">
        <v>175</v>
      </c>
      <c r="C74" s="31" t="n">
        <v>46268</v>
      </c>
      <c r="D74" s="22" t="s">
        <v>297</v>
      </c>
      <c r="E74" s="22" t="s">
        <v>298</v>
      </c>
      <c r="F74" s="29" t="str">
        <f aca="false">IF(COUNTIF(Referral_Data!$C$5:$C$1000,B74)&gt;0,"Referred",IF(COUNTIF(Referral_Data!$B$5:$B$1000,B74)&gt;0,"Referrer","Organic"))</f>
        <v>Referrer</v>
      </c>
      <c r="G74" s="29" t="n">
        <f aca="false">IF(COUNTIFS($B$5:B74,B74,$C$5:C74,C74)=1,1,0)</f>
        <v>1</v>
      </c>
      <c r="H74" s="29" t="n">
        <f aca="false">IF(AND(G74=1,COUNTIFS($B$5:$B$1635,B74,$C$5:$C$1635,"&lt;"&amp;C74)&gt;0),1,0)</f>
        <v>0</v>
      </c>
      <c r="I74" s="29" t="n">
        <f aca="false">IF(AND(D74="Feature Use",COUNTIFS($B$5:B74,B74,$D$5:D74,"Feature Use",$E$5:E74,E74)=1),1,0)</f>
        <v>0</v>
      </c>
      <c r="J74" s="29" t="n">
        <f aca="false">IF(AND(D74="Feature Use",COUNTIFS($B$5:B74,B74,$D$5:D74,"Feature Use",$E$5:E74,E74)=2),1,0)</f>
        <v>0</v>
      </c>
      <c r="K74" s="29" t="n">
        <f aca="false">IF(COUNTIF($B$5:B74,B74)=1,1,0)</f>
        <v>1</v>
      </c>
      <c r="L74" s="29" t="n">
        <f aca="false">IF(AND(C74&gt;=Settings!$B$5-Settings!$B$8+1,C74&lt;=Settings!$B$5,COUNTIFS($B$5:B74,B74,$C$5:C74,"&gt;="&amp;(Settings!$B$5-Settings!$B$8+1),$C$5:C74,"&lt;="&amp;Settings!$B$5)=1),1,0)</f>
        <v>0</v>
      </c>
      <c r="M74" s="29" t="n">
        <f aca="false">IF(AND(C74&gt;=Settings!$B$5-Settings!$B$9+1,C74&lt;=Settings!$B$5,COUNTIFS($B$5:B74,B74,$C$5:C74,"&gt;="&amp;(Settings!$B$5-Settings!$B$9+1),$C$5:C74,"&lt;="&amp;Settings!$B$5)=1),1,0)</f>
        <v>0</v>
      </c>
      <c r="N74" s="29" t="n">
        <f aca="false">IF(AND(D74="Feature Use",COUNTIFS($B$5:B74,B74,$D$5:D74,"Feature Use")=1),1,0)</f>
        <v>0</v>
      </c>
    </row>
    <row r="75" customFormat="false" ht="15" hidden="false" customHeight="false" outlineLevel="0" collapsed="false">
      <c r="A75" s="22" t="s">
        <v>379</v>
      </c>
      <c r="B75" s="22" t="s">
        <v>175</v>
      </c>
      <c r="C75" s="31" t="n">
        <v>46268</v>
      </c>
      <c r="D75" s="22" t="s">
        <v>300</v>
      </c>
      <c r="E75" s="22" t="s">
        <v>311</v>
      </c>
      <c r="F75" s="29" t="str">
        <f aca="false">IF(COUNTIF(Referral_Data!$C$5:$C$1000,B75)&gt;0,"Referred",IF(COUNTIF(Referral_Data!$B$5:$B$1000,B75)&gt;0,"Referrer","Organic"))</f>
        <v>Referrer</v>
      </c>
      <c r="G75" s="29" t="n">
        <f aca="false">IF(COUNTIFS($B$5:B75,B75,$C$5:C75,C75)=1,1,0)</f>
        <v>0</v>
      </c>
      <c r="H75" s="29" t="n">
        <f aca="false">IF(AND(G75=1,COUNTIFS($B$5:$B$1635,B75,$C$5:$C$1635,"&lt;"&amp;C75)&gt;0),1,0)</f>
        <v>0</v>
      </c>
      <c r="I75" s="29" t="n">
        <f aca="false">IF(AND(D75="Feature Use",COUNTIFS($B$5:B75,B75,$D$5:D75,"Feature Use",$E$5:E75,E75)=1),1,0)</f>
        <v>1</v>
      </c>
      <c r="J75" s="29" t="n">
        <f aca="false">IF(AND(D75="Feature Use",COUNTIFS($B$5:B75,B75,$D$5:D75,"Feature Use",$E$5:E75,E75)=2),1,0)</f>
        <v>0</v>
      </c>
      <c r="K75" s="29" t="n">
        <f aca="false">IF(COUNTIF($B$5:B75,B75)=1,1,0)</f>
        <v>0</v>
      </c>
      <c r="L75" s="29" t="n">
        <f aca="false">IF(AND(C75&gt;=Settings!$B$5-Settings!$B$8+1,C75&lt;=Settings!$B$5,COUNTIFS($B$5:B75,B75,$C$5:C75,"&gt;="&amp;(Settings!$B$5-Settings!$B$8+1),$C$5:C75,"&lt;="&amp;Settings!$B$5)=1),1,0)</f>
        <v>0</v>
      </c>
      <c r="M75" s="29" t="n">
        <f aca="false">IF(AND(C75&gt;=Settings!$B$5-Settings!$B$9+1,C75&lt;=Settings!$B$5,COUNTIFS($B$5:B75,B75,$C$5:C75,"&gt;="&amp;(Settings!$B$5-Settings!$B$9+1),$C$5:C75,"&lt;="&amp;Settings!$B$5)=1),1,0)</f>
        <v>0</v>
      </c>
      <c r="N75" s="29" t="n">
        <f aca="false">IF(AND(D75="Feature Use",COUNTIFS($B$5:B75,B75,$D$5:D75,"Feature Use")=1),1,0)</f>
        <v>1</v>
      </c>
    </row>
    <row r="76" customFormat="false" ht="15" hidden="false" customHeight="false" outlineLevel="0" collapsed="false">
      <c r="A76" s="22" t="s">
        <v>380</v>
      </c>
      <c r="B76" s="22" t="s">
        <v>175</v>
      </c>
      <c r="C76" s="31" t="n">
        <v>46268</v>
      </c>
      <c r="D76" s="22" t="s">
        <v>300</v>
      </c>
      <c r="E76" s="22" t="s">
        <v>309</v>
      </c>
      <c r="F76" s="29" t="str">
        <f aca="false">IF(COUNTIF(Referral_Data!$C$5:$C$1000,B76)&gt;0,"Referred",IF(COUNTIF(Referral_Data!$B$5:$B$1000,B76)&gt;0,"Referrer","Organic"))</f>
        <v>Referrer</v>
      </c>
      <c r="G76" s="29" t="n">
        <f aca="false">IF(COUNTIFS($B$5:B76,B76,$C$5:C76,C76)=1,1,0)</f>
        <v>0</v>
      </c>
      <c r="H76" s="29" t="n">
        <f aca="false">IF(AND(G76=1,COUNTIFS($B$5:$B$1635,B76,$C$5:$C$1635,"&lt;"&amp;C76)&gt;0),1,0)</f>
        <v>0</v>
      </c>
      <c r="I76" s="29" t="n">
        <f aca="false">IF(AND(D76="Feature Use",COUNTIFS($B$5:B76,B76,$D$5:D76,"Feature Use",$E$5:E76,E76)=1),1,0)</f>
        <v>1</v>
      </c>
      <c r="J76" s="29" t="n">
        <f aca="false">IF(AND(D76="Feature Use",COUNTIFS($B$5:B76,B76,$D$5:D76,"Feature Use",$E$5:E76,E76)=2),1,0)</f>
        <v>0</v>
      </c>
      <c r="K76" s="29" t="n">
        <f aca="false">IF(COUNTIF($B$5:B76,B76)=1,1,0)</f>
        <v>0</v>
      </c>
      <c r="L76" s="29" t="n">
        <f aca="false">IF(AND(C76&gt;=Settings!$B$5-Settings!$B$8+1,C76&lt;=Settings!$B$5,COUNTIFS($B$5:B76,B76,$C$5:C76,"&gt;="&amp;(Settings!$B$5-Settings!$B$8+1),$C$5:C76,"&lt;="&amp;Settings!$B$5)=1),1,0)</f>
        <v>0</v>
      </c>
      <c r="M76" s="29" t="n">
        <f aca="false">IF(AND(C76&gt;=Settings!$B$5-Settings!$B$9+1,C76&lt;=Settings!$B$5,COUNTIFS($B$5:B76,B76,$C$5:C76,"&gt;="&amp;(Settings!$B$5-Settings!$B$9+1),$C$5:C76,"&lt;="&amp;Settings!$B$5)=1),1,0)</f>
        <v>0</v>
      </c>
      <c r="N76" s="29" t="n">
        <f aca="false">IF(AND(D76="Feature Use",COUNTIFS($B$5:B76,B76,$D$5:D76,"Feature Use")=1),1,0)</f>
        <v>0</v>
      </c>
    </row>
    <row r="77" customFormat="false" ht="15" hidden="false" customHeight="false" outlineLevel="0" collapsed="false">
      <c r="A77" s="22" t="s">
        <v>381</v>
      </c>
      <c r="B77" s="22" t="s">
        <v>329</v>
      </c>
      <c r="C77" s="31" t="n">
        <v>46269</v>
      </c>
      <c r="D77" s="22" t="s">
        <v>297</v>
      </c>
      <c r="E77" s="22" t="s">
        <v>298</v>
      </c>
      <c r="F77" s="29" t="str">
        <f aca="false">IF(COUNTIF(Referral_Data!$C$5:$C$1000,B77)&gt;0,"Referred",IF(COUNTIF(Referral_Data!$B$5:$B$1000,B77)&gt;0,"Referrer","Organic"))</f>
        <v>Organic</v>
      </c>
      <c r="G77" s="29" t="n">
        <f aca="false">IF(COUNTIFS($B$5:B77,B77,$C$5:C77,C77)=1,1,0)</f>
        <v>1</v>
      </c>
      <c r="H77" s="29" t="n">
        <f aca="false">IF(AND(G77=1,COUNTIFS($B$5:$B$1635,B77,$C$5:$C$1635,"&lt;"&amp;C77)&gt;0),1,0)</f>
        <v>1</v>
      </c>
      <c r="I77" s="29" t="n">
        <f aca="false">IF(AND(D77="Feature Use",COUNTIFS($B$5:B77,B77,$D$5:D77,"Feature Use",$E$5:E77,E77)=1),1,0)</f>
        <v>0</v>
      </c>
      <c r="J77" s="29" t="n">
        <f aca="false">IF(AND(D77="Feature Use",COUNTIFS($B$5:B77,B77,$D$5:D77,"Feature Use",$E$5:E77,E77)=2),1,0)</f>
        <v>0</v>
      </c>
      <c r="K77" s="29" t="n">
        <f aca="false">IF(COUNTIF($B$5:B77,B77)=1,1,0)</f>
        <v>0</v>
      </c>
      <c r="L77" s="29" t="n">
        <f aca="false">IF(AND(C77&gt;=Settings!$B$5-Settings!$B$8+1,C77&lt;=Settings!$B$5,COUNTIFS($B$5:B77,B77,$C$5:C77,"&gt;="&amp;(Settings!$B$5-Settings!$B$8+1),$C$5:C77,"&lt;="&amp;Settings!$B$5)=1),1,0)</f>
        <v>0</v>
      </c>
      <c r="M77" s="29" t="n">
        <f aca="false">IF(AND(C77&gt;=Settings!$B$5-Settings!$B$9+1,C77&lt;=Settings!$B$5,COUNTIFS($B$5:B77,B77,$C$5:C77,"&gt;="&amp;(Settings!$B$5-Settings!$B$9+1),$C$5:C77,"&lt;="&amp;Settings!$B$5)=1),1,0)</f>
        <v>0</v>
      </c>
      <c r="N77" s="29" t="n">
        <f aca="false">IF(AND(D77="Feature Use",COUNTIFS($B$5:B77,B77,$D$5:D77,"Feature Use")=1),1,0)</f>
        <v>0</v>
      </c>
    </row>
    <row r="78" customFormat="false" ht="15" hidden="false" customHeight="false" outlineLevel="0" collapsed="false">
      <c r="A78" s="22" t="s">
        <v>382</v>
      </c>
      <c r="B78" s="22" t="s">
        <v>329</v>
      </c>
      <c r="C78" s="31" t="n">
        <v>46269</v>
      </c>
      <c r="D78" s="22" t="s">
        <v>300</v>
      </c>
      <c r="E78" s="22" t="s">
        <v>309</v>
      </c>
      <c r="F78" s="29" t="str">
        <f aca="false">IF(COUNTIF(Referral_Data!$C$5:$C$1000,B78)&gt;0,"Referred",IF(COUNTIF(Referral_Data!$B$5:$B$1000,B78)&gt;0,"Referrer","Organic"))</f>
        <v>Organic</v>
      </c>
      <c r="G78" s="29" t="n">
        <f aca="false">IF(COUNTIFS($B$5:B78,B78,$C$5:C78,C78)=1,1,0)</f>
        <v>0</v>
      </c>
      <c r="H78" s="29" t="n">
        <f aca="false">IF(AND(G78=1,COUNTIFS($B$5:$B$1635,B78,$C$5:$C$1635,"&lt;"&amp;C78)&gt;0),1,0)</f>
        <v>0</v>
      </c>
      <c r="I78" s="29" t="n">
        <f aca="false">IF(AND(D78="Feature Use",COUNTIFS($B$5:B78,B78,$D$5:D78,"Feature Use",$E$5:E78,E78)=1),1,0)</f>
        <v>1</v>
      </c>
      <c r="J78" s="29" t="n">
        <f aca="false">IF(AND(D78="Feature Use",COUNTIFS($B$5:B78,B78,$D$5:D78,"Feature Use",$E$5:E78,E78)=2),1,0)</f>
        <v>0</v>
      </c>
      <c r="K78" s="29" t="n">
        <f aca="false">IF(COUNTIF($B$5:B78,B78)=1,1,0)</f>
        <v>0</v>
      </c>
      <c r="L78" s="29" t="n">
        <f aca="false">IF(AND(C78&gt;=Settings!$B$5-Settings!$B$8+1,C78&lt;=Settings!$B$5,COUNTIFS($B$5:B78,B78,$C$5:C78,"&gt;="&amp;(Settings!$B$5-Settings!$B$8+1),$C$5:C78,"&lt;="&amp;Settings!$B$5)=1),1,0)</f>
        <v>0</v>
      </c>
      <c r="M78" s="29" t="n">
        <f aca="false">IF(AND(C78&gt;=Settings!$B$5-Settings!$B$9+1,C78&lt;=Settings!$B$5,COUNTIFS($B$5:B78,B78,$C$5:C78,"&gt;="&amp;(Settings!$B$5-Settings!$B$9+1),$C$5:C78,"&lt;="&amp;Settings!$B$5)=1),1,0)</f>
        <v>0</v>
      </c>
      <c r="N78" s="29" t="n">
        <f aca="false">IF(AND(D78="Feature Use",COUNTIFS($B$5:B78,B78,$D$5:D78,"Feature Use")=1),1,0)</f>
        <v>0</v>
      </c>
    </row>
    <row r="79" customFormat="false" ht="15" hidden="false" customHeight="false" outlineLevel="0" collapsed="false">
      <c r="A79" s="22" t="s">
        <v>383</v>
      </c>
      <c r="B79" s="22" t="s">
        <v>329</v>
      </c>
      <c r="C79" s="31" t="n">
        <v>46269</v>
      </c>
      <c r="D79" s="22" t="s">
        <v>300</v>
      </c>
      <c r="E79" s="22" t="s">
        <v>305</v>
      </c>
      <c r="F79" s="29" t="str">
        <f aca="false">IF(COUNTIF(Referral_Data!$C$5:$C$1000,B79)&gt;0,"Referred",IF(COUNTIF(Referral_Data!$B$5:$B$1000,B79)&gt;0,"Referrer","Organic"))</f>
        <v>Organic</v>
      </c>
      <c r="G79" s="29" t="n">
        <f aca="false">IF(COUNTIFS($B$5:B79,B79,$C$5:C79,C79)=1,1,0)</f>
        <v>0</v>
      </c>
      <c r="H79" s="29" t="n">
        <f aca="false">IF(AND(G79=1,COUNTIFS($B$5:$B$1635,B79,$C$5:$C$1635,"&lt;"&amp;C79)&gt;0),1,0)</f>
        <v>0</v>
      </c>
      <c r="I79" s="29" t="n">
        <f aca="false">IF(AND(D79="Feature Use",COUNTIFS($B$5:B79,B79,$D$5:D79,"Feature Use",$E$5:E79,E79)=1),1,0)</f>
        <v>0</v>
      </c>
      <c r="J79" s="29" t="n">
        <f aca="false">IF(AND(D79="Feature Use",COUNTIFS($B$5:B79,B79,$D$5:D79,"Feature Use",$E$5:E79,E79)=2),1,0)</f>
        <v>1</v>
      </c>
      <c r="K79" s="29" t="n">
        <f aca="false">IF(COUNTIF($B$5:B79,B79)=1,1,0)</f>
        <v>0</v>
      </c>
      <c r="L79" s="29" t="n">
        <f aca="false">IF(AND(C79&gt;=Settings!$B$5-Settings!$B$8+1,C79&lt;=Settings!$B$5,COUNTIFS($B$5:B79,B79,$C$5:C79,"&gt;="&amp;(Settings!$B$5-Settings!$B$8+1),$C$5:C79,"&lt;="&amp;Settings!$B$5)=1),1,0)</f>
        <v>0</v>
      </c>
      <c r="M79" s="29" t="n">
        <f aca="false">IF(AND(C79&gt;=Settings!$B$5-Settings!$B$9+1,C79&lt;=Settings!$B$5,COUNTIFS($B$5:B79,B79,$C$5:C79,"&gt;="&amp;(Settings!$B$5-Settings!$B$9+1),$C$5:C79,"&lt;="&amp;Settings!$B$5)=1),1,0)</f>
        <v>0</v>
      </c>
      <c r="N79" s="29" t="n">
        <f aca="false">IF(AND(D79="Feature Use",COUNTIFS($B$5:B79,B79,$D$5:D79,"Feature Use")=1),1,0)</f>
        <v>0</v>
      </c>
    </row>
    <row r="80" customFormat="false" ht="15" hidden="false" customHeight="false" outlineLevel="0" collapsed="false">
      <c r="A80" s="22" t="s">
        <v>384</v>
      </c>
      <c r="B80" s="22" t="s">
        <v>385</v>
      </c>
      <c r="C80" s="31" t="n">
        <v>46269</v>
      </c>
      <c r="D80" s="22" t="s">
        <v>297</v>
      </c>
      <c r="E80" s="22" t="s">
        <v>298</v>
      </c>
      <c r="F80" s="29" t="str">
        <f aca="false">IF(COUNTIF(Referral_Data!$C$5:$C$1000,B80)&gt;0,"Referred",IF(COUNTIF(Referral_Data!$B$5:$B$1000,B80)&gt;0,"Referrer","Organic"))</f>
        <v>Organic</v>
      </c>
      <c r="G80" s="29" t="n">
        <f aca="false">IF(COUNTIFS($B$5:B80,B80,$C$5:C80,C80)=1,1,0)</f>
        <v>1</v>
      </c>
      <c r="H80" s="29" t="n">
        <f aca="false">IF(AND(G80=1,COUNTIFS($B$5:$B$1635,B80,$C$5:$C$1635,"&lt;"&amp;C80)&gt;0),1,0)</f>
        <v>0</v>
      </c>
      <c r="I80" s="29" t="n">
        <f aca="false">IF(AND(D80="Feature Use",COUNTIFS($B$5:B80,B80,$D$5:D80,"Feature Use",$E$5:E80,E80)=1),1,0)</f>
        <v>0</v>
      </c>
      <c r="J80" s="29" t="n">
        <f aca="false">IF(AND(D80="Feature Use",COUNTIFS($B$5:B80,B80,$D$5:D80,"Feature Use",$E$5:E80,E80)=2),1,0)</f>
        <v>0</v>
      </c>
      <c r="K80" s="29" t="n">
        <f aca="false">IF(COUNTIF($B$5:B80,B80)=1,1,0)</f>
        <v>1</v>
      </c>
      <c r="L80" s="29" t="n">
        <f aca="false">IF(AND(C80&gt;=Settings!$B$5-Settings!$B$8+1,C80&lt;=Settings!$B$5,COUNTIFS($B$5:B80,B80,$C$5:C80,"&gt;="&amp;(Settings!$B$5-Settings!$B$8+1),$C$5:C80,"&lt;="&amp;Settings!$B$5)=1),1,0)</f>
        <v>0</v>
      </c>
      <c r="M80" s="29" t="n">
        <f aca="false">IF(AND(C80&gt;=Settings!$B$5-Settings!$B$9+1,C80&lt;=Settings!$B$5,COUNTIFS($B$5:B80,B80,$C$5:C80,"&gt;="&amp;(Settings!$B$5-Settings!$B$9+1),$C$5:C80,"&lt;="&amp;Settings!$B$5)=1),1,0)</f>
        <v>0</v>
      </c>
      <c r="N80" s="29" t="n">
        <f aca="false">IF(AND(D80="Feature Use",COUNTIFS($B$5:B80,B80,$D$5:D80,"Feature Use")=1),1,0)</f>
        <v>0</v>
      </c>
    </row>
    <row r="81" customFormat="false" ht="15" hidden="false" customHeight="false" outlineLevel="0" collapsed="false">
      <c r="A81" s="22" t="s">
        <v>386</v>
      </c>
      <c r="B81" s="22" t="s">
        <v>385</v>
      </c>
      <c r="C81" s="31" t="n">
        <v>46269</v>
      </c>
      <c r="D81" s="22" t="s">
        <v>300</v>
      </c>
      <c r="E81" s="22" t="s">
        <v>311</v>
      </c>
      <c r="F81" s="29" t="str">
        <f aca="false">IF(COUNTIF(Referral_Data!$C$5:$C$1000,B81)&gt;0,"Referred",IF(COUNTIF(Referral_Data!$B$5:$B$1000,B81)&gt;0,"Referrer","Organic"))</f>
        <v>Organic</v>
      </c>
      <c r="G81" s="29" t="n">
        <f aca="false">IF(COUNTIFS($B$5:B81,B81,$C$5:C81,C81)=1,1,0)</f>
        <v>0</v>
      </c>
      <c r="H81" s="29" t="n">
        <f aca="false">IF(AND(G81=1,COUNTIFS($B$5:$B$1635,B81,$C$5:$C$1635,"&lt;"&amp;C81)&gt;0),1,0)</f>
        <v>0</v>
      </c>
      <c r="I81" s="29" t="n">
        <f aca="false">IF(AND(D81="Feature Use",COUNTIFS($B$5:B81,B81,$D$5:D81,"Feature Use",$E$5:E81,E81)=1),1,0)</f>
        <v>1</v>
      </c>
      <c r="J81" s="29" t="n">
        <f aca="false">IF(AND(D81="Feature Use",COUNTIFS($B$5:B81,B81,$D$5:D81,"Feature Use",$E$5:E81,E81)=2),1,0)</f>
        <v>0</v>
      </c>
      <c r="K81" s="29" t="n">
        <f aca="false">IF(COUNTIF($B$5:B81,B81)=1,1,0)</f>
        <v>0</v>
      </c>
      <c r="L81" s="29" t="n">
        <f aca="false">IF(AND(C81&gt;=Settings!$B$5-Settings!$B$8+1,C81&lt;=Settings!$B$5,COUNTIFS($B$5:B81,B81,$C$5:C81,"&gt;="&amp;(Settings!$B$5-Settings!$B$8+1),$C$5:C81,"&lt;="&amp;Settings!$B$5)=1),1,0)</f>
        <v>0</v>
      </c>
      <c r="M81" s="29" t="n">
        <f aca="false">IF(AND(C81&gt;=Settings!$B$5-Settings!$B$9+1,C81&lt;=Settings!$B$5,COUNTIFS($B$5:B81,B81,$C$5:C81,"&gt;="&amp;(Settings!$B$5-Settings!$B$9+1),$C$5:C81,"&lt;="&amp;Settings!$B$5)=1),1,0)</f>
        <v>0</v>
      </c>
      <c r="N81" s="29" t="n">
        <f aca="false">IF(AND(D81="Feature Use",COUNTIFS($B$5:B81,B81,$D$5:D81,"Feature Use")=1),1,0)</f>
        <v>1</v>
      </c>
    </row>
    <row r="82" customFormat="false" ht="15" hidden="false" customHeight="false" outlineLevel="0" collapsed="false">
      <c r="A82" s="22" t="s">
        <v>387</v>
      </c>
      <c r="B82" s="22" t="s">
        <v>188</v>
      </c>
      <c r="C82" s="31" t="n">
        <v>46269</v>
      </c>
      <c r="D82" s="22" t="s">
        <v>297</v>
      </c>
      <c r="E82" s="22" t="s">
        <v>298</v>
      </c>
      <c r="F82" s="29" t="str">
        <f aca="false">IF(COUNTIF(Referral_Data!$C$5:$C$1000,B82)&gt;0,"Referred",IF(COUNTIF(Referral_Data!$B$5:$B$1000,B82)&gt;0,"Referrer","Organic"))</f>
        <v>Referred</v>
      </c>
      <c r="G82" s="29" t="n">
        <f aca="false">IF(COUNTIFS($B$5:B82,B82,$C$5:C82,C82)=1,1,0)</f>
        <v>1</v>
      </c>
      <c r="H82" s="29" t="n">
        <f aca="false">IF(AND(G82=1,COUNTIFS($B$5:$B$1635,B82,$C$5:$C$1635,"&lt;"&amp;C82)&gt;0),1,0)</f>
        <v>0</v>
      </c>
      <c r="I82" s="29" t="n">
        <f aca="false">IF(AND(D82="Feature Use",COUNTIFS($B$5:B82,B82,$D$5:D82,"Feature Use",$E$5:E82,E82)=1),1,0)</f>
        <v>0</v>
      </c>
      <c r="J82" s="29" t="n">
        <f aca="false">IF(AND(D82="Feature Use",COUNTIFS($B$5:B82,B82,$D$5:D82,"Feature Use",$E$5:E82,E82)=2),1,0)</f>
        <v>0</v>
      </c>
      <c r="K82" s="29" t="n">
        <f aca="false">IF(COUNTIF($B$5:B82,B82)=1,1,0)</f>
        <v>1</v>
      </c>
      <c r="L82" s="29" t="n">
        <f aca="false">IF(AND(C82&gt;=Settings!$B$5-Settings!$B$8+1,C82&lt;=Settings!$B$5,COUNTIFS($B$5:B82,B82,$C$5:C82,"&gt;="&amp;(Settings!$B$5-Settings!$B$8+1),$C$5:C82,"&lt;="&amp;Settings!$B$5)=1),1,0)</f>
        <v>0</v>
      </c>
      <c r="M82" s="29" t="n">
        <f aca="false">IF(AND(C82&gt;=Settings!$B$5-Settings!$B$9+1,C82&lt;=Settings!$B$5,COUNTIFS($B$5:B82,B82,$C$5:C82,"&gt;="&amp;(Settings!$B$5-Settings!$B$9+1),$C$5:C82,"&lt;="&amp;Settings!$B$5)=1),1,0)</f>
        <v>0</v>
      </c>
      <c r="N82" s="29" t="n">
        <f aca="false">IF(AND(D82="Feature Use",COUNTIFS($B$5:B82,B82,$D$5:D82,"Feature Use")=1),1,0)</f>
        <v>0</v>
      </c>
    </row>
    <row r="83" customFormat="false" ht="15" hidden="false" customHeight="false" outlineLevel="0" collapsed="false">
      <c r="A83" s="22" t="s">
        <v>388</v>
      </c>
      <c r="B83" s="22" t="s">
        <v>188</v>
      </c>
      <c r="C83" s="31" t="n">
        <v>46269</v>
      </c>
      <c r="D83" s="22" t="s">
        <v>300</v>
      </c>
      <c r="E83" s="22" t="s">
        <v>311</v>
      </c>
      <c r="F83" s="29" t="str">
        <f aca="false">IF(COUNTIF(Referral_Data!$C$5:$C$1000,B83)&gt;0,"Referred",IF(COUNTIF(Referral_Data!$B$5:$B$1000,B83)&gt;0,"Referrer","Organic"))</f>
        <v>Referred</v>
      </c>
      <c r="G83" s="29" t="n">
        <f aca="false">IF(COUNTIFS($B$5:B83,B83,$C$5:C83,C83)=1,1,0)</f>
        <v>0</v>
      </c>
      <c r="H83" s="29" t="n">
        <f aca="false">IF(AND(G83=1,COUNTIFS($B$5:$B$1635,B83,$C$5:$C$1635,"&lt;"&amp;C83)&gt;0),1,0)</f>
        <v>0</v>
      </c>
      <c r="I83" s="29" t="n">
        <f aca="false">IF(AND(D83="Feature Use",COUNTIFS($B$5:B83,B83,$D$5:D83,"Feature Use",$E$5:E83,E83)=1),1,0)</f>
        <v>1</v>
      </c>
      <c r="J83" s="29" t="n">
        <f aca="false">IF(AND(D83="Feature Use",COUNTIFS($B$5:B83,B83,$D$5:D83,"Feature Use",$E$5:E83,E83)=2),1,0)</f>
        <v>0</v>
      </c>
      <c r="K83" s="29" t="n">
        <f aca="false">IF(COUNTIF($B$5:B83,B83)=1,1,0)</f>
        <v>0</v>
      </c>
      <c r="L83" s="29" t="n">
        <f aca="false">IF(AND(C83&gt;=Settings!$B$5-Settings!$B$8+1,C83&lt;=Settings!$B$5,COUNTIFS($B$5:B83,B83,$C$5:C83,"&gt;="&amp;(Settings!$B$5-Settings!$B$8+1),$C$5:C83,"&lt;="&amp;Settings!$B$5)=1),1,0)</f>
        <v>0</v>
      </c>
      <c r="M83" s="29" t="n">
        <f aca="false">IF(AND(C83&gt;=Settings!$B$5-Settings!$B$9+1,C83&lt;=Settings!$B$5,COUNTIFS($B$5:B83,B83,$C$5:C83,"&gt;="&amp;(Settings!$B$5-Settings!$B$9+1),$C$5:C83,"&lt;="&amp;Settings!$B$5)=1),1,0)</f>
        <v>0</v>
      </c>
      <c r="N83" s="29" t="n">
        <f aca="false">IF(AND(D83="Feature Use",COUNTIFS($B$5:B83,B83,$D$5:D83,"Feature Use")=1),1,0)</f>
        <v>1</v>
      </c>
    </row>
    <row r="84" customFormat="false" ht="15" hidden="false" customHeight="false" outlineLevel="0" collapsed="false">
      <c r="A84" s="22" t="s">
        <v>389</v>
      </c>
      <c r="B84" s="22" t="s">
        <v>213</v>
      </c>
      <c r="C84" s="31" t="n">
        <v>46269</v>
      </c>
      <c r="D84" s="22" t="s">
        <v>297</v>
      </c>
      <c r="E84" s="22" t="s">
        <v>298</v>
      </c>
      <c r="F84" s="29" t="str">
        <f aca="false">IF(COUNTIF(Referral_Data!$C$5:$C$1000,B84)&gt;0,"Referred",IF(COUNTIF(Referral_Data!$B$5:$B$1000,B84)&gt;0,"Referrer","Organic"))</f>
        <v>Referred</v>
      </c>
      <c r="G84" s="29" t="n">
        <f aca="false">IF(COUNTIFS($B$5:B84,B84,$C$5:C84,C84)=1,1,0)</f>
        <v>1</v>
      </c>
      <c r="H84" s="29" t="n">
        <f aca="false">IF(AND(G84=1,COUNTIFS($B$5:$B$1635,B84,$C$5:$C$1635,"&lt;"&amp;C84)&gt;0),1,0)</f>
        <v>0</v>
      </c>
      <c r="I84" s="29" t="n">
        <f aca="false">IF(AND(D84="Feature Use",COUNTIFS($B$5:B84,B84,$D$5:D84,"Feature Use",$E$5:E84,E84)=1),1,0)</f>
        <v>0</v>
      </c>
      <c r="J84" s="29" t="n">
        <f aca="false">IF(AND(D84="Feature Use",COUNTIFS($B$5:B84,B84,$D$5:D84,"Feature Use",$E$5:E84,E84)=2),1,0)</f>
        <v>0</v>
      </c>
      <c r="K84" s="29" t="n">
        <f aca="false">IF(COUNTIF($B$5:B84,B84)=1,1,0)</f>
        <v>1</v>
      </c>
      <c r="L84" s="29" t="n">
        <f aca="false">IF(AND(C84&gt;=Settings!$B$5-Settings!$B$8+1,C84&lt;=Settings!$B$5,COUNTIFS($B$5:B84,B84,$C$5:C84,"&gt;="&amp;(Settings!$B$5-Settings!$B$8+1),$C$5:C84,"&lt;="&amp;Settings!$B$5)=1),1,0)</f>
        <v>0</v>
      </c>
      <c r="M84" s="29" t="n">
        <f aca="false">IF(AND(C84&gt;=Settings!$B$5-Settings!$B$9+1,C84&lt;=Settings!$B$5,COUNTIFS($B$5:B84,B84,$C$5:C84,"&gt;="&amp;(Settings!$B$5-Settings!$B$9+1),$C$5:C84,"&lt;="&amp;Settings!$B$5)=1),1,0)</f>
        <v>0</v>
      </c>
      <c r="N84" s="29" t="n">
        <f aca="false">IF(AND(D84="Feature Use",COUNTIFS($B$5:B84,B84,$D$5:D84,"Feature Use")=1),1,0)</f>
        <v>0</v>
      </c>
    </row>
    <row r="85" customFormat="false" ht="15" hidden="false" customHeight="false" outlineLevel="0" collapsed="false">
      <c r="A85" s="22" t="s">
        <v>390</v>
      </c>
      <c r="B85" s="22" t="s">
        <v>213</v>
      </c>
      <c r="C85" s="31" t="n">
        <v>46269</v>
      </c>
      <c r="D85" s="22" t="s">
        <v>300</v>
      </c>
      <c r="E85" s="22" t="s">
        <v>301</v>
      </c>
      <c r="F85" s="29" t="str">
        <f aca="false">IF(COUNTIF(Referral_Data!$C$5:$C$1000,B85)&gt;0,"Referred",IF(COUNTIF(Referral_Data!$B$5:$B$1000,B85)&gt;0,"Referrer","Organic"))</f>
        <v>Referred</v>
      </c>
      <c r="G85" s="29" t="n">
        <f aca="false">IF(COUNTIFS($B$5:B85,B85,$C$5:C85,C85)=1,1,0)</f>
        <v>0</v>
      </c>
      <c r="H85" s="29" t="n">
        <f aca="false">IF(AND(G85=1,COUNTIFS($B$5:$B$1635,B85,$C$5:$C$1635,"&lt;"&amp;C85)&gt;0),1,0)</f>
        <v>0</v>
      </c>
      <c r="I85" s="29" t="n">
        <f aca="false">IF(AND(D85="Feature Use",COUNTIFS($B$5:B85,B85,$D$5:D85,"Feature Use",$E$5:E85,E85)=1),1,0)</f>
        <v>1</v>
      </c>
      <c r="J85" s="29" t="n">
        <f aca="false">IF(AND(D85="Feature Use",COUNTIFS($B$5:B85,B85,$D$5:D85,"Feature Use",$E$5:E85,E85)=2),1,0)</f>
        <v>0</v>
      </c>
      <c r="K85" s="29" t="n">
        <f aca="false">IF(COUNTIF($B$5:B85,B85)=1,1,0)</f>
        <v>0</v>
      </c>
      <c r="L85" s="29" t="n">
        <f aca="false">IF(AND(C85&gt;=Settings!$B$5-Settings!$B$8+1,C85&lt;=Settings!$B$5,COUNTIFS($B$5:B85,B85,$C$5:C85,"&gt;="&amp;(Settings!$B$5-Settings!$B$8+1),$C$5:C85,"&lt;="&amp;Settings!$B$5)=1),1,0)</f>
        <v>0</v>
      </c>
      <c r="M85" s="29" t="n">
        <f aca="false">IF(AND(C85&gt;=Settings!$B$5-Settings!$B$9+1,C85&lt;=Settings!$B$5,COUNTIFS($B$5:B85,B85,$C$5:C85,"&gt;="&amp;(Settings!$B$5-Settings!$B$9+1),$C$5:C85,"&lt;="&amp;Settings!$B$5)=1),1,0)</f>
        <v>0</v>
      </c>
      <c r="N85" s="29" t="n">
        <f aca="false">IF(AND(D85="Feature Use",COUNTIFS($B$5:B85,B85,$D$5:D85,"Feature Use")=1),1,0)</f>
        <v>1</v>
      </c>
    </row>
    <row r="86" customFormat="false" ht="15" hidden="false" customHeight="false" outlineLevel="0" collapsed="false">
      <c r="A86" s="22" t="s">
        <v>391</v>
      </c>
      <c r="B86" s="22" t="s">
        <v>213</v>
      </c>
      <c r="C86" s="31" t="n">
        <v>46269</v>
      </c>
      <c r="D86" s="22" t="s">
        <v>308</v>
      </c>
      <c r="E86" s="22" t="s">
        <v>311</v>
      </c>
      <c r="F86" s="29" t="str">
        <f aca="false">IF(COUNTIF(Referral_Data!$C$5:$C$1000,B86)&gt;0,"Referred",IF(COUNTIF(Referral_Data!$B$5:$B$1000,B86)&gt;0,"Referrer","Organic"))</f>
        <v>Referred</v>
      </c>
      <c r="G86" s="29" t="n">
        <f aca="false">IF(COUNTIFS($B$5:B86,B86,$C$5:C86,C86)=1,1,0)</f>
        <v>0</v>
      </c>
      <c r="H86" s="29" t="n">
        <f aca="false">IF(AND(G86=1,COUNTIFS($B$5:$B$1635,B86,$C$5:$C$1635,"&lt;"&amp;C86)&gt;0),1,0)</f>
        <v>0</v>
      </c>
      <c r="I86" s="29" t="n">
        <f aca="false">IF(AND(D86="Feature Use",COUNTIFS($B$5:B86,B86,$D$5:D86,"Feature Use",$E$5:E86,E86)=1),1,0)</f>
        <v>0</v>
      </c>
      <c r="J86" s="29" t="n">
        <f aca="false">IF(AND(D86="Feature Use",COUNTIFS($B$5:B86,B86,$D$5:D86,"Feature Use",$E$5:E86,E86)=2),1,0)</f>
        <v>0</v>
      </c>
      <c r="K86" s="29" t="n">
        <f aca="false">IF(COUNTIF($B$5:B86,B86)=1,1,0)</f>
        <v>0</v>
      </c>
      <c r="L86" s="29" t="n">
        <f aca="false">IF(AND(C86&gt;=Settings!$B$5-Settings!$B$8+1,C86&lt;=Settings!$B$5,COUNTIFS($B$5:B86,B86,$C$5:C86,"&gt;="&amp;(Settings!$B$5-Settings!$B$8+1),$C$5:C86,"&lt;="&amp;Settings!$B$5)=1),1,0)</f>
        <v>0</v>
      </c>
      <c r="M86" s="29" t="n">
        <f aca="false">IF(AND(C86&gt;=Settings!$B$5-Settings!$B$9+1,C86&lt;=Settings!$B$5,COUNTIFS($B$5:B86,B86,$C$5:C86,"&gt;="&amp;(Settings!$B$5-Settings!$B$9+1),$C$5:C86,"&lt;="&amp;Settings!$B$5)=1),1,0)</f>
        <v>0</v>
      </c>
      <c r="N86" s="29" t="n">
        <f aca="false">IF(AND(D86="Feature Use",COUNTIFS($B$5:B86,B86,$D$5:D86,"Feature Use")=1),1,0)</f>
        <v>0</v>
      </c>
    </row>
    <row r="87" customFormat="false" ht="15" hidden="false" customHeight="false" outlineLevel="0" collapsed="false">
      <c r="A87" s="22" t="s">
        <v>392</v>
      </c>
      <c r="B87" s="22" t="s">
        <v>213</v>
      </c>
      <c r="C87" s="31" t="n">
        <v>46269</v>
      </c>
      <c r="D87" s="22" t="s">
        <v>308</v>
      </c>
      <c r="E87" s="22" t="s">
        <v>319</v>
      </c>
      <c r="F87" s="29" t="str">
        <f aca="false">IF(COUNTIF(Referral_Data!$C$5:$C$1000,B87)&gt;0,"Referred",IF(COUNTIF(Referral_Data!$B$5:$B$1000,B87)&gt;0,"Referrer","Organic"))</f>
        <v>Referred</v>
      </c>
      <c r="G87" s="29" t="n">
        <f aca="false">IF(COUNTIFS($B$5:B87,B87,$C$5:C87,C87)=1,1,0)</f>
        <v>0</v>
      </c>
      <c r="H87" s="29" t="n">
        <f aca="false">IF(AND(G87=1,COUNTIFS($B$5:$B$1635,B87,$C$5:$C$1635,"&lt;"&amp;C87)&gt;0),1,0)</f>
        <v>0</v>
      </c>
      <c r="I87" s="29" t="n">
        <f aca="false">IF(AND(D87="Feature Use",COUNTIFS($B$5:B87,B87,$D$5:D87,"Feature Use",$E$5:E87,E87)=1),1,0)</f>
        <v>0</v>
      </c>
      <c r="J87" s="29" t="n">
        <f aca="false">IF(AND(D87="Feature Use",COUNTIFS($B$5:B87,B87,$D$5:D87,"Feature Use",$E$5:E87,E87)=2),1,0)</f>
        <v>0</v>
      </c>
      <c r="K87" s="29" t="n">
        <f aca="false">IF(COUNTIF($B$5:B87,B87)=1,1,0)</f>
        <v>0</v>
      </c>
      <c r="L87" s="29" t="n">
        <f aca="false">IF(AND(C87&gt;=Settings!$B$5-Settings!$B$8+1,C87&lt;=Settings!$B$5,COUNTIFS($B$5:B87,B87,$C$5:C87,"&gt;="&amp;(Settings!$B$5-Settings!$B$8+1),$C$5:C87,"&lt;="&amp;Settings!$B$5)=1),1,0)</f>
        <v>0</v>
      </c>
      <c r="M87" s="29" t="n">
        <f aca="false">IF(AND(C87&gt;=Settings!$B$5-Settings!$B$9+1,C87&lt;=Settings!$B$5,COUNTIFS($B$5:B87,B87,$C$5:C87,"&gt;="&amp;(Settings!$B$5-Settings!$B$9+1),$C$5:C87,"&lt;="&amp;Settings!$B$5)=1),1,0)</f>
        <v>0</v>
      </c>
      <c r="N87" s="29" t="n">
        <f aca="false">IF(AND(D87="Feature Use",COUNTIFS($B$5:B87,B87,$D$5:D87,"Feature Use")=1),1,0)</f>
        <v>0</v>
      </c>
    </row>
    <row r="88" customFormat="false" ht="15" hidden="false" customHeight="false" outlineLevel="0" collapsed="false">
      <c r="A88" s="22" t="s">
        <v>393</v>
      </c>
      <c r="B88" s="22" t="s">
        <v>167</v>
      </c>
      <c r="C88" s="31" t="n">
        <v>46269</v>
      </c>
      <c r="D88" s="22" t="s">
        <v>297</v>
      </c>
      <c r="E88" s="22" t="s">
        <v>298</v>
      </c>
      <c r="F88" s="29" t="str">
        <f aca="false">IF(COUNTIF(Referral_Data!$C$5:$C$1000,B88)&gt;0,"Referred",IF(COUNTIF(Referral_Data!$B$5:$B$1000,B88)&gt;0,"Referrer","Organic"))</f>
        <v>Referrer</v>
      </c>
      <c r="G88" s="29" t="n">
        <f aca="false">IF(COUNTIFS($B$5:B88,B88,$C$5:C88,C88)=1,1,0)</f>
        <v>1</v>
      </c>
      <c r="H88" s="29" t="n">
        <f aca="false">IF(AND(G88=1,COUNTIFS($B$5:$B$1635,B88,$C$5:$C$1635,"&lt;"&amp;C88)&gt;0),1,0)</f>
        <v>0</v>
      </c>
      <c r="I88" s="29" t="n">
        <f aca="false">IF(AND(D88="Feature Use",COUNTIFS($B$5:B88,B88,$D$5:D88,"Feature Use",$E$5:E88,E88)=1),1,0)</f>
        <v>0</v>
      </c>
      <c r="J88" s="29" t="n">
        <f aca="false">IF(AND(D88="Feature Use",COUNTIFS($B$5:B88,B88,$D$5:D88,"Feature Use",$E$5:E88,E88)=2),1,0)</f>
        <v>0</v>
      </c>
      <c r="K88" s="29" t="n">
        <f aca="false">IF(COUNTIF($B$5:B88,B88)=1,1,0)</f>
        <v>1</v>
      </c>
      <c r="L88" s="29" t="n">
        <f aca="false">IF(AND(C88&gt;=Settings!$B$5-Settings!$B$8+1,C88&lt;=Settings!$B$5,COUNTIFS($B$5:B88,B88,$C$5:C88,"&gt;="&amp;(Settings!$B$5-Settings!$B$8+1),$C$5:C88,"&lt;="&amp;Settings!$B$5)=1),1,0)</f>
        <v>0</v>
      </c>
      <c r="M88" s="29" t="n">
        <f aca="false">IF(AND(C88&gt;=Settings!$B$5-Settings!$B$9+1,C88&lt;=Settings!$B$5,COUNTIFS($B$5:B88,B88,$C$5:C88,"&gt;="&amp;(Settings!$B$5-Settings!$B$9+1),$C$5:C88,"&lt;="&amp;Settings!$B$5)=1),1,0)</f>
        <v>0</v>
      </c>
      <c r="N88" s="29" t="n">
        <f aca="false">IF(AND(D88="Feature Use",COUNTIFS($B$5:B88,B88,$D$5:D88,"Feature Use")=1),1,0)</f>
        <v>0</v>
      </c>
    </row>
    <row r="89" customFormat="false" ht="15" hidden="false" customHeight="false" outlineLevel="0" collapsed="false">
      <c r="A89" s="22" t="s">
        <v>394</v>
      </c>
      <c r="B89" s="22" t="s">
        <v>167</v>
      </c>
      <c r="C89" s="31" t="n">
        <v>46269</v>
      </c>
      <c r="D89" s="22" t="s">
        <v>300</v>
      </c>
      <c r="E89" s="22" t="s">
        <v>319</v>
      </c>
      <c r="F89" s="29" t="str">
        <f aca="false">IF(COUNTIF(Referral_Data!$C$5:$C$1000,B89)&gt;0,"Referred",IF(COUNTIF(Referral_Data!$B$5:$B$1000,B89)&gt;0,"Referrer","Organic"))</f>
        <v>Referrer</v>
      </c>
      <c r="G89" s="29" t="n">
        <f aca="false">IF(COUNTIFS($B$5:B89,B89,$C$5:C89,C89)=1,1,0)</f>
        <v>0</v>
      </c>
      <c r="H89" s="29" t="n">
        <f aca="false">IF(AND(G89=1,COUNTIFS($B$5:$B$1635,B89,$C$5:$C$1635,"&lt;"&amp;C89)&gt;0),1,0)</f>
        <v>0</v>
      </c>
      <c r="I89" s="29" t="n">
        <f aca="false">IF(AND(D89="Feature Use",COUNTIFS($B$5:B89,B89,$D$5:D89,"Feature Use",$E$5:E89,E89)=1),1,0)</f>
        <v>1</v>
      </c>
      <c r="J89" s="29" t="n">
        <f aca="false">IF(AND(D89="Feature Use",COUNTIFS($B$5:B89,B89,$D$5:D89,"Feature Use",$E$5:E89,E89)=2),1,0)</f>
        <v>0</v>
      </c>
      <c r="K89" s="29" t="n">
        <f aca="false">IF(COUNTIF($B$5:B89,B89)=1,1,0)</f>
        <v>0</v>
      </c>
      <c r="L89" s="29" t="n">
        <f aca="false">IF(AND(C89&gt;=Settings!$B$5-Settings!$B$8+1,C89&lt;=Settings!$B$5,COUNTIFS($B$5:B89,B89,$C$5:C89,"&gt;="&amp;(Settings!$B$5-Settings!$B$8+1),$C$5:C89,"&lt;="&amp;Settings!$B$5)=1),1,0)</f>
        <v>0</v>
      </c>
      <c r="M89" s="29" t="n">
        <f aca="false">IF(AND(C89&gt;=Settings!$B$5-Settings!$B$9+1,C89&lt;=Settings!$B$5,COUNTIFS($B$5:B89,B89,$C$5:C89,"&gt;="&amp;(Settings!$B$5-Settings!$B$9+1),$C$5:C89,"&lt;="&amp;Settings!$B$5)=1),1,0)</f>
        <v>0</v>
      </c>
      <c r="N89" s="29" t="n">
        <f aca="false">IF(AND(D89="Feature Use",COUNTIFS($B$5:B89,B89,$D$5:D89,"Feature Use")=1),1,0)</f>
        <v>1</v>
      </c>
    </row>
    <row r="90" customFormat="false" ht="15" hidden="false" customHeight="false" outlineLevel="0" collapsed="false">
      <c r="A90" s="22" t="s">
        <v>395</v>
      </c>
      <c r="B90" s="22" t="s">
        <v>167</v>
      </c>
      <c r="C90" s="31" t="n">
        <v>46269</v>
      </c>
      <c r="D90" s="22" t="s">
        <v>300</v>
      </c>
      <c r="E90" s="22" t="s">
        <v>319</v>
      </c>
      <c r="F90" s="29" t="str">
        <f aca="false">IF(COUNTIF(Referral_Data!$C$5:$C$1000,B90)&gt;0,"Referred",IF(COUNTIF(Referral_Data!$B$5:$B$1000,B90)&gt;0,"Referrer","Organic"))</f>
        <v>Referrer</v>
      </c>
      <c r="G90" s="29" t="n">
        <f aca="false">IF(COUNTIFS($B$5:B90,B90,$C$5:C90,C90)=1,1,0)</f>
        <v>0</v>
      </c>
      <c r="H90" s="29" t="n">
        <f aca="false">IF(AND(G90=1,COUNTIFS($B$5:$B$1635,B90,$C$5:$C$1635,"&lt;"&amp;C90)&gt;0),1,0)</f>
        <v>0</v>
      </c>
      <c r="I90" s="29" t="n">
        <f aca="false">IF(AND(D90="Feature Use",COUNTIFS($B$5:B90,B90,$D$5:D90,"Feature Use",$E$5:E90,E90)=1),1,0)</f>
        <v>0</v>
      </c>
      <c r="J90" s="29" t="n">
        <f aca="false">IF(AND(D90="Feature Use",COUNTIFS($B$5:B90,B90,$D$5:D90,"Feature Use",$E$5:E90,E90)=2),1,0)</f>
        <v>1</v>
      </c>
      <c r="K90" s="29" t="n">
        <f aca="false">IF(COUNTIF($B$5:B90,B90)=1,1,0)</f>
        <v>0</v>
      </c>
      <c r="L90" s="29" t="n">
        <f aca="false">IF(AND(C90&gt;=Settings!$B$5-Settings!$B$8+1,C90&lt;=Settings!$B$5,COUNTIFS($B$5:B90,B90,$C$5:C90,"&gt;="&amp;(Settings!$B$5-Settings!$B$8+1),$C$5:C90,"&lt;="&amp;Settings!$B$5)=1),1,0)</f>
        <v>0</v>
      </c>
      <c r="M90" s="29" t="n">
        <f aca="false">IF(AND(C90&gt;=Settings!$B$5-Settings!$B$9+1,C90&lt;=Settings!$B$5,COUNTIFS($B$5:B90,B90,$C$5:C90,"&gt;="&amp;(Settings!$B$5-Settings!$B$9+1),$C$5:C90,"&lt;="&amp;Settings!$B$5)=1),1,0)</f>
        <v>0</v>
      </c>
      <c r="N90" s="29" t="n">
        <f aca="false">IF(AND(D90="Feature Use",COUNTIFS($B$5:B90,B90,$D$5:D90,"Feature Use")=1),1,0)</f>
        <v>0</v>
      </c>
    </row>
    <row r="91" customFormat="false" ht="15" hidden="false" customHeight="false" outlineLevel="0" collapsed="false">
      <c r="A91" s="22" t="s">
        <v>396</v>
      </c>
      <c r="B91" s="22" t="s">
        <v>196</v>
      </c>
      <c r="C91" s="31" t="n">
        <v>46269</v>
      </c>
      <c r="D91" s="22" t="s">
        <v>297</v>
      </c>
      <c r="E91" s="22" t="s">
        <v>298</v>
      </c>
      <c r="F91" s="29" t="str">
        <f aca="false">IF(COUNTIF(Referral_Data!$C$5:$C$1000,B91)&gt;0,"Referred",IF(COUNTIF(Referral_Data!$B$5:$B$1000,B91)&gt;0,"Referrer","Organic"))</f>
        <v>Referrer</v>
      </c>
      <c r="G91" s="29" t="n">
        <f aca="false">IF(COUNTIFS($B$5:B91,B91,$C$5:C91,C91)=1,1,0)</f>
        <v>1</v>
      </c>
      <c r="H91" s="29" t="n">
        <f aca="false">IF(AND(G91=1,COUNTIFS($B$5:$B$1635,B91,$C$5:$C$1635,"&lt;"&amp;C91)&gt;0),1,0)</f>
        <v>1</v>
      </c>
      <c r="I91" s="29" t="n">
        <f aca="false">IF(AND(D91="Feature Use",COUNTIFS($B$5:B91,B91,$D$5:D91,"Feature Use",$E$5:E91,E91)=1),1,0)</f>
        <v>0</v>
      </c>
      <c r="J91" s="29" t="n">
        <f aca="false">IF(AND(D91="Feature Use",COUNTIFS($B$5:B91,B91,$D$5:D91,"Feature Use",$E$5:E91,E91)=2),1,0)</f>
        <v>0</v>
      </c>
      <c r="K91" s="29" t="n">
        <f aca="false">IF(COUNTIF($B$5:B91,B91)=1,1,0)</f>
        <v>0</v>
      </c>
      <c r="L91" s="29" t="n">
        <f aca="false">IF(AND(C91&gt;=Settings!$B$5-Settings!$B$8+1,C91&lt;=Settings!$B$5,COUNTIFS($B$5:B91,B91,$C$5:C91,"&gt;="&amp;(Settings!$B$5-Settings!$B$8+1),$C$5:C91,"&lt;="&amp;Settings!$B$5)=1),1,0)</f>
        <v>0</v>
      </c>
      <c r="M91" s="29" t="n">
        <f aca="false">IF(AND(C91&gt;=Settings!$B$5-Settings!$B$9+1,C91&lt;=Settings!$B$5,COUNTIFS($B$5:B91,B91,$C$5:C91,"&gt;="&amp;(Settings!$B$5-Settings!$B$9+1),$C$5:C91,"&lt;="&amp;Settings!$B$5)=1),1,0)</f>
        <v>0</v>
      </c>
      <c r="N91" s="29" t="n">
        <f aca="false">IF(AND(D91="Feature Use",COUNTIFS($B$5:B91,B91,$D$5:D91,"Feature Use")=1),1,0)</f>
        <v>0</v>
      </c>
    </row>
    <row r="92" customFormat="false" ht="15" hidden="false" customHeight="false" outlineLevel="0" collapsed="false">
      <c r="A92" s="22" t="s">
        <v>397</v>
      </c>
      <c r="B92" s="22" t="s">
        <v>196</v>
      </c>
      <c r="C92" s="31" t="n">
        <v>46269</v>
      </c>
      <c r="D92" s="22" t="s">
        <v>300</v>
      </c>
      <c r="E92" s="22" t="s">
        <v>311</v>
      </c>
      <c r="F92" s="29" t="str">
        <f aca="false">IF(COUNTIF(Referral_Data!$C$5:$C$1000,B92)&gt;0,"Referred",IF(COUNTIF(Referral_Data!$B$5:$B$1000,B92)&gt;0,"Referrer","Organic"))</f>
        <v>Referrer</v>
      </c>
      <c r="G92" s="29" t="n">
        <f aca="false">IF(COUNTIFS($B$5:B92,B92,$C$5:C92,C92)=1,1,0)</f>
        <v>0</v>
      </c>
      <c r="H92" s="29" t="n">
        <f aca="false">IF(AND(G92=1,COUNTIFS($B$5:$B$1635,B92,$C$5:$C$1635,"&lt;"&amp;C92)&gt;0),1,0)</f>
        <v>0</v>
      </c>
      <c r="I92" s="29" t="n">
        <f aca="false">IF(AND(D92="Feature Use",COUNTIFS($B$5:B92,B92,$D$5:D92,"Feature Use",$E$5:E92,E92)=1),1,0)</f>
        <v>1</v>
      </c>
      <c r="J92" s="29" t="n">
        <f aca="false">IF(AND(D92="Feature Use",COUNTIFS($B$5:B92,B92,$D$5:D92,"Feature Use",$E$5:E92,E92)=2),1,0)</f>
        <v>0</v>
      </c>
      <c r="K92" s="29" t="n">
        <f aca="false">IF(COUNTIF($B$5:B92,B92)=1,1,0)</f>
        <v>0</v>
      </c>
      <c r="L92" s="29" t="n">
        <f aca="false">IF(AND(C92&gt;=Settings!$B$5-Settings!$B$8+1,C92&lt;=Settings!$B$5,COUNTIFS($B$5:B92,B92,$C$5:C92,"&gt;="&amp;(Settings!$B$5-Settings!$B$8+1),$C$5:C92,"&lt;="&amp;Settings!$B$5)=1),1,0)</f>
        <v>0</v>
      </c>
      <c r="M92" s="29" t="n">
        <f aca="false">IF(AND(C92&gt;=Settings!$B$5-Settings!$B$9+1,C92&lt;=Settings!$B$5,COUNTIFS($B$5:B92,B92,$C$5:C92,"&gt;="&amp;(Settings!$B$5-Settings!$B$9+1),$C$5:C92,"&lt;="&amp;Settings!$B$5)=1),1,0)</f>
        <v>0</v>
      </c>
      <c r="N92" s="29" t="n">
        <f aca="false">IF(AND(D92="Feature Use",COUNTIFS($B$5:B92,B92,$D$5:D92,"Feature Use")=1),1,0)</f>
        <v>0</v>
      </c>
    </row>
    <row r="93" customFormat="false" ht="15" hidden="false" customHeight="false" outlineLevel="0" collapsed="false">
      <c r="A93" s="22" t="s">
        <v>398</v>
      </c>
      <c r="B93" s="22" t="s">
        <v>196</v>
      </c>
      <c r="C93" s="31" t="n">
        <v>46269</v>
      </c>
      <c r="D93" s="22" t="s">
        <v>300</v>
      </c>
      <c r="E93" s="22" t="s">
        <v>311</v>
      </c>
      <c r="F93" s="29" t="str">
        <f aca="false">IF(COUNTIF(Referral_Data!$C$5:$C$1000,B93)&gt;0,"Referred",IF(COUNTIF(Referral_Data!$B$5:$B$1000,B93)&gt;0,"Referrer","Organic"))</f>
        <v>Referrer</v>
      </c>
      <c r="G93" s="29" t="n">
        <f aca="false">IF(COUNTIFS($B$5:B93,B93,$C$5:C93,C93)=1,1,0)</f>
        <v>0</v>
      </c>
      <c r="H93" s="29" t="n">
        <f aca="false">IF(AND(G93=1,COUNTIFS($B$5:$B$1635,B93,$C$5:$C$1635,"&lt;"&amp;C93)&gt;0),1,0)</f>
        <v>0</v>
      </c>
      <c r="I93" s="29" t="n">
        <f aca="false">IF(AND(D93="Feature Use",COUNTIFS($B$5:B93,B93,$D$5:D93,"Feature Use",$E$5:E93,E93)=1),1,0)</f>
        <v>0</v>
      </c>
      <c r="J93" s="29" t="n">
        <f aca="false">IF(AND(D93="Feature Use",COUNTIFS($B$5:B93,B93,$D$5:D93,"Feature Use",$E$5:E93,E93)=2),1,0)</f>
        <v>1</v>
      </c>
      <c r="K93" s="29" t="n">
        <f aca="false">IF(COUNTIF($B$5:B93,B93)=1,1,0)</f>
        <v>0</v>
      </c>
      <c r="L93" s="29" t="n">
        <f aca="false">IF(AND(C93&gt;=Settings!$B$5-Settings!$B$8+1,C93&lt;=Settings!$B$5,COUNTIFS($B$5:B93,B93,$C$5:C93,"&gt;="&amp;(Settings!$B$5-Settings!$B$8+1),$C$5:C93,"&lt;="&amp;Settings!$B$5)=1),1,0)</f>
        <v>0</v>
      </c>
      <c r="M93" s="29" t="n">
        <f aca="false">IF(AND(C93&gt;=Settings!$B$5-Settings!$B$9+1,C93&lt;=Settings!$B$5,COUNTIFS($B$5:B93,B93,$C$5:C93,"&gt;="&amp;(Settings!$B$5-Settings!$B$9+1),$C$5:C93,"&lt;="&amp;Settings!$B$5)=1),1,0)</f>
        <v>0</v>
      </c>
      <c r="N93" s="29" t="n">
        <f aca="false">IF(AND(D93="Feature Use",COUNTIFS($B$5:B93,B93,$D$5:D93,"Feature Use")=1),1,0)</f>
        <v>0</v>
      </c>
    </row>
    <row r="94" customFormat="false" ht="15" hidden="false" customHeight="false" outlineLevel="0" collapsed="false">
      <c r="A94" s="22" t="s">
        <v>399</v>
      </c>
      <c r="B94" s="22" t="s">
        <v>203</v>
      </c>
      <c r="C94" s="31" t="n">
        <v>46269</v>
      </c>
      <c r="D94" s="22" t="s">
        <v>297</v>
      </c>
      <c r="E94" s="22" t="s">
        <v>298</v>
      </c>
      <c r="F94" s="29" t="str">
        <f aca="false">IF(COUNTIF(Referral_Data!$C$5:$C$1000,B94)&gt;0,"Referred",IF(COUNTIF(Referral_Data!$B$5:$B$1000,B94)&gt;0,"Referrer","Organic"))</f>
        <v>Referrer</v>
      </c>
      <c r="G94" s="29" t="n">
        <f aca="false">IF(COUNTIFS($B$5:B94,B94,$C$5:C94,C94)=1,1,0)</f>
        <v>1</v>
      </c>
      <c r="H94" s="29" t="n">
        <f aca="false">IF(AND(G94=1,COUNTIFS($B$5:$B$1635,B94,$C$5:$C$1635,"&lt;"&amp;C94)&gt;0),1,0)</f>
        <v>1</v>
      </c>
      <c r="I94" s="29" t="n">
        <f aca="false">IF(AND(D94="Feature Use",COUNTIFS($B$5:B94,B94,$D$5:D94,"Feature Use",$E$5:E94,E94)=1),1,0)</f>
        <v>0</v>
      </c>
      <c r="J94" s="29" t="n">
        <f aca="false">IF(AND(D94="Feature Use",COUNTIFS($B$5:B94,B94,$D$5:D94,"Feature Use",$E$5:E94,E94)=2),1,0)</f>
        <v>0</v>
      </c>
      <c r="K94" s="29" t="n">
        <f aca="false">IF(COUNTIF($B$5:B94,B94)=1,1,0)</f>
        <v>0</v>
      </c>
      <c r="L94" s="29" t="n">
        <f aca="false">IF(AND(C94&gt;=Settings!$B$5-Settings!$B$8+1,C94&lt;=Settings!$B$5,COUNTIFS($B$5:B94,B94,$C$5:C94,"&gt;="&amp;(Settings!$B$5-Settings!$B$8+1),$C$5:C94,"&lt;="&amp;Settings!$B$5)=1),1,0)</f>
        <v>0</v>
      </c>
      <c r="M94" s="29" t="n">
        <f aca="false">IF(AND(C94&gt;=Settings!$B$5-Settings!$B$9+1,C94&lt;=Settings!$B$5,COUNTIFS($B$5:B94,B94,$C$5:C94,"&gt;="&amp;(Settings!$B$5-Settings!$B$9+1),$C$5:C94,"&lt;="&amp;Settings!$B$5)=1),1,0)</f>
        <v>0</v>
      </c>
      <c r="N94" s="29" t="n">
        <f aca="false">IF(AND(D94="Feature Use",COUNTIFS($B$5:B94,B94,$D$5:D94,"Feature Use")=1),1,0)</f>
        <v>0</v>
      </c>
    </row>
    <row r="95" customFormat="false" ht="15" hidden="false" customHeight="false" outlineLevel="0" collapsed="false">
      <c r="A95" s="22" t="s">
        <v>400</v>
      </c>
      <c r="B95" s="22" t="s">
        <v>203</v>
      </c>
      <c r="C95" s="31" t="n">
        <v>46269</v>
      </c>
      <c r="D95" s="22" t="s">
        <v>300</v>
      </c>
      <c r="E95" s="22" t="s">
        <v>301</v>
      </c>
      <c r="F95" s="29" t="str">
        <f aca="false">IF(COUNTIF(Referral_Data!$C$5:$C$1000,B95)&gt;0,"Referred",IF(COUNTIF(Referral_Data!$B$5:$B$1000,B95)&gt;0,"Referrer","Organic"))</f>
        <v>Referrer</v>
      </c>
      <c r="G95" s="29" t="n">
        <f aca="false">IF(COUNTIFS($B$5:B95,B95,$C$5:C95,C95)=1,1,0)</f>
        <v>0</v>
      </c>
      <c r="H95" s="29" t="n">
        <f aca="false">IF(AND(G95=1,COUNTIFS($B$5:$B$1635,B95,$C$5:$C$1635,"&lt;"&amp;C95)&gt;0),1,0)</f>
        <v>0</v>
      </c>
      <c r="I95" s="29" t="n">
        <f aca="false">IF(AND(D95="Feature Use",COUNTIFS($B$5:B95,B95,$D$5:D95,"Feature Use",$E$5:E95,E95)=1),1,0)</f>
        <v>1</v>
      </c>
      <c r="J95" s="29" t="n">
        <f aca="false">IF(AND(D95="Feature Use",COUNTIFS($B$5:B95,B95,$D$5:D95,"Feature Use",$E$5:E95,E95)=2),1,0)</f>
        <v>0</v>
      </c>
      <c r="K95" s="29" t="n">
        <f aca="false">IF(COUNTIF($B$5:B95,B95)=1,1,0)</f>
        <v>0</v>
      </c>
      <c r="L95" s="29" t="n">
        <f aca="false">IF(AND(C95&gt;=Settings!$B$5-Settings!$B$8+1,C95&lt;=Settings!$B$5,COUNTIFS($B$5:B95,B95,$C$5:C95,"&gt;="&amp;(Settings!$B$5-Settings!$B$8+1),$C$5:C95,"&lt;="&amp;Settings!$B$5)=1),1,0)</f>
        <v>0</v>
      </c>
      <c r="M95" s="29" t="n">
        <f aca="false">IF(AND(C95&gt;=Settings!$B$5-Settings!$B$9+1,C95&lt;=Settings!$B$5,COUNTIFS($B$5:B95,B95,$C$5:C95,"&gt;="&amp;(Settings!$B$5-Settings!$B$9+1),$C$5:C95,"&lt;="&amp;Settings!$B$5)=1),1,0)</f>
        <v>0</v>
      </c>
      <c r="N95" s="29" t="n">
        <f aca="false">IF(AND(D95="Feature Use",COUNTIFS($B$5:B95,B95,$D$5:D95,"Feature Use")=1),1,0)</f>
        <v>0</v>
      </c>
    </row>
    <row r="96" customFormat="false" ht="15" hidden="false" customHeight="false" outlineLevel="0" collapsed="false">
      <c r="A96" s="22" t="s">
        <v>401</v>
      </c>
      <c r="B96" s="22" t="s">
        <v>190</v>
      </c>
      <c r="C96" s="31" t="n">
        <v>46269</v>
      </c>
      <c r="D96" s="22" t="s">
        <v>297</v>
      </c>
      <c r="E96" s="22" t="s">
        <v>298</v>
      </c>
      <c r="F96" s="29" t="str">
        <f aca="false">IF(COUNTIF(Referral_Data!$C$5:$C$1000,B96)&gt;0,"Referred",IF(COUNTIF(Referral_Data!$B$5:$B$1000,B96)&gt;0,"Referrer","Organic"))</f>
        <v>Referrer</v>
      </c>
      <c r="G96" s="29" t="n">
        <f aca="false">IF(COUNTIFS($B$5:B96,B96,$C$5:C96,C96)=1,1,0)</f>
        <v>1</v>
      </c>
      <c r="H96" s="29" t="n">
        <f aca="false">IF(AND(G96=1,COUNTIFS($B$5:$B$1635,B96,$C$5:$C$1635,"&lt;"&amp;C96)&gt;0),1,0)</f>
        <v>1</v>
      </c>
      <c r="I96" s="29" t="n">
        <f aca="false">IF(AND(D96="Feature Use",COUNTIFS($B$5:B96,B96,$D$5:D96,"Feature Use",$E$5:E96,E96)=1),1,0)</f>
        <v>0</v>
      </c>
      <c r="J96" s="29" t="n">
        <f aca="false">IF(AND(D96="Feature Use",COUNTIFS($B$5:B96,B96,$D$5:D96,"Feature Use",$E$5:E96,E96)=2),1,0)</f>
        <v>0</v>
      </c>
      <c r="K96" s="29" t="n">
        <f aca="false">IF(COUNTIF($B$5:B96,B96)=1,1,0)</f>
        <v>0</v>
      </c>
      <c r="L96" s="29" t="n">
        <f aca="false">IF(AND(C96&gt;=Settings!$B$5-Settings!$B$8+1,C96&lt;=Settings!$B$5,COUNTIFS($B$5:B96,B96,$C$5:C96,"&gt;="&amp;(Settings!$B$5-Settings!$B$8+1),$C$5:C96,"&lt;="&amp;Settings!$B$5)=1),1,0)</f>
        <v>0</v>
      </c>
      <c r="M96" s="29" t="n">
        <f aca="false">IF(AND(C96&gt;=Settings!$B$5-Settings!$B$9+1,C96&lt;=Settings!$B$5,COUNTIFS($B$5:B96,B96,$C$5:C96,"&gt;="&amp;(Settings!$B$5-Settings!$B$9+1),$C$5:C96,"&lt;="&amp;Settings!$B$5)=1),1,0)</f>
        <v>0</v>
      </c>
      <c r="N96" s="29" t="n">
        <f aca="false">IF(AND(D96="Feature Use",COUNTIFS($B$5:B96,B96,$D$5:D96,"Feature Use")=1),1,0)</f>
        <v>0</v>
      </c>
    </row>
    <row r="97" customFormat="false" ht="15" hidden="false" customHeight="false" outlineLevel="0" collapsed="false">
      <c r="A97" s="22" t="s">
        <v>402</v>
      </c>
      <c r="B97" s="22" t="s">
        <v>190</v>
      </c>
      <c r="C97" s="31" t="n">
        <v>46269</v>
      </c>
      <c r="D97" s="22" t="s">
        <v>300</v>
      </c>
      <c r="E97" s="22" t="s">
        <v>305</v>
      </c>
      <c r="F97" s="29" t="str">
        <f aca="false">IF(COUNTIF(Referral_Data!$C$5:$C$1000,B97)&gt;0,"Referred",IF(COUNTIF(Referral_Data!$B$5:$B$1000,B97)&gt;0,"Referrer","Organic"))</f>
        <v>Referrer</v>
      </c>
      <c r="G97" s="29" t="n">
        <f aca="false">IF(COUNTIFS($B$5:B97,B97,$C$5:C97,C97)=1,1,0)</f>
        <v>0</v>
      </c>
      <c r="H97" s="29" t="n">
        <f aca="false">IF(AND(G97=1,COUNTIFS($B$5:$B$1635,B97,$C$5:$C$1635,"&lt;"&amp;C97)&gt;0),1,0)</f>
        <v>0</v>
      </c>
      <c r="I97" s="29" t="n">
        <f aca="false">IF(AND(D97="Feature Use",COUNTIFS($B$5:B97,B97,$D$5:D97,"Feature Use",$E$5:E97,E97)=1),1,0)</f>
        <v>0</v>
      </c>
      <c r="J97" s="29" t="n">
        <f aca="false">IF(AND(D97="Feature Use",COUNTIFS($B$5:B97,B97,$D$5:D97,"Feature Use",$E$5:E97,E97)=2),1,0)</f>
        <v>1</v>
      </c>
      <c r="K97" s="29" t="n">
        <f aca="false">IF(COUNTIF($B$5:B97,B97)=1,1,0)</f>
        <v>0</v>
      </c>
      <c r="L97" s="29" t="n">
        <f aca="false">IF(AND(C97&gt;=Settings!$B$5-Settings!$B$8+1,C97&lt;=Settings!$B$5,COUNTIFS($B$5:B97,B97,$C$5:C97,"&gt;="&amp;(Settings!$B$5-Settings!$B$8+1),$C$5:C97,"&lt;="&amp;Settings!$B$5)=1),1,0)</f>
        <v>0</v>
      </c>
      <c r="M97" s="29" t="n">
        <f aca="false">IF(AND(C97&gt;=Settings!$B$5-Settings!$B$9+1,C97&lt;=Settings!$B$5,COUNTIFS($B$5:B97,B97,$C$5:C97,"&gt;="&amp;(Settings!$B$5-Settings!$B$9+1),$C$5:C97,"&lt;="&amp;Settings!$B$5)=1),1,0)</f>
        <v>0</v>
      </c>
      <c r="N97" s="29" t="n">
        <f aca="false">IF(AND(D97="Feature Use",COUNTIFS($B$5:B97,B97,$D$5:D97,"Feature Use")=1),1,0)</f>
        <v>0</v>
      </c>
    </row>
    <row r="98" customFormat="false" ht="15" hidden="false" customHeight="false" outlineLevel="0" collapsed="false">
      <c r="A98" s="22" t="s">
        <v>403</v>
      </c>
      <c r="B98" s="22" t="s">
        <v>183</v>
      </c>
      <c r="C98" s="31" t="n">
        <v>46269</v>
      </c>
      <c r="D98" s="22" t="s">
        <v>297</v>
      </c>
      <c r="E98" s="22" t="s">
        <v>298</v>
      </c>
      <c r="F98" s="29" t="str">
        <f aca="false">IF(COUNTIF(Referral_Data!$C$5:$C$1000,B98)&gt;0,"Referred",IF(COUNTIF(Referral_Data!$B$5:$B$1000,B98)&gt;0,"Referrer","Organic"))</f>
        <v>Referrer</v>
      </c>
      <c r="G98" s="29" t="n">
        <f aca="false">IF(COUNTIFS($B$5:B98,B98,$C$5:C98,C98)=1,1,0)</f>
        <v>1</v>
      </c>
      <c r="H98" s="29" t="n">
        <f aca="false">IF(AND(G98=1,COUNTIFS($B$5:$B$1635,B98,$C$5:$C$1635,"&lt;"&amp;C98)&gt;0),1,0)</f>
        <v>1</v>
      </c>
      <c r="I98" s="29" t="n">
        <f aca="false">IF(AND(D98="Feature Use",COUNTIFS($B$5:B98,B98,$D$5:D98,"Feature Use",$E$5:E98,E98)=1),1,0)</f>
        <v>0</v>
      </c>
      <c r="J98" s="29" t="n">
        <f aca="false">IF(AND(D98="Feature Use",COUNTIFS($B$5:B98,B98,$D$5:D98,"Feature Use",$E$5:E98,E98)=2),1,0)</f>
        <v>0</v>
      </c>
      <c r="K98" s="29" t="n">
        <f aca="false">IF(COUNTIF($B$5:B98,B98)=1,1,0)</f>
        <v>0</v>
      </c>
      <c r="L98" s="29" t="n">
        <f aca="false">IF(AND(C98&gt;=Settings!$B$5-Settings!$B$8+1,C98&lt;=Settings!$B$5,COUNTIFS($B$5:B98,B98,$C$5:C98,"&gt;="&amp;(Settings!$B$5-Settings!$B$8+1),$C$5:C98,"&lt;="&amp;Settings!$B$5)=1),1,0)</f>
        <v>0</v>
      </c>
      <c r="M98" s="29" t="n">
        <f aca="false">IF(AND(C98&gt;=Settings!$B$5-Settings!$B$9+1,C98&lt;=Settings!$B$5,COUNTIFS($B$5:B98,B98,$C$5:C98,"&gt;="&amp;(Settings!$B$5-Settings!$B$9+1),$C$5:C98,"&lt;="&amp;Settings!$B$5)=1),1,0)</f>
        <v>0</v>
      </c>
      <c r="N98" s="29" t="n">
        <f aca="false">IF(AND(D98="Feature Use",COUNTIFS($B$5:B98,B98,$D$5:D98,"Feature Use")=1),1,0)</f>
        <v>0</v>
      </c>
    </row>
    <row r="99" customFormat="false" ht="15" hidden="false" customHeight="false" outlineLevel="0" collapsed="false">
      <c r="A99" s="22" t="s">
        <v>404</v>
      </c>
      <c r="B99" s="22" t="s">
        <v>183</v>
      </c>
      <c r="C99" s="31" t="n">
        <v>46269</v>
      </c>
      <c r="D99" s="22" t="s">
        <v>300</v>
      </c>
      <c r="E99" s="22" t="s">
        <v>319</v>
      </c>
      <c r="F99" s="29" t="str">
        <f aca="false">IF(COUNTIF(Referral_Data!$C$5:$C$1000,B99)&gt;0,"Referred",IF(COUNTIF(Referral_Data!$B$5:$B$1000,B99)&gt;0,"Referrer","Organic"))</f>
        <v>Referrer</v>
      </c>
      <c r="G99" s="29" t="n">
        <f aca="false">IF(COUNTIFS($B$5:B99,B99,$C$5:C99,C99)=1,1,0)</f>
        <v>0</v>
      </c>
      <c r="H99" s="29" t="n">
        <f aca="false">IF(AND(G99=1,COUNTIFS($B$5:$B$1635,B99,$C$5:$C$1635,"&lt;"&amp;C99)&gt;0),1,0)</f>
        <v>0</v>
      </c>
      <c r="I99" s="29" t="n">
        <f aca="false">IF(AND(D99="Feature Use",COUNTIFS($B$5:B99,B99,$D$5:D99,"Feature Use",$E$5:E99,E99)=1),1,0)</f>
        <v>1</v>
      </c>
      <c r="J99" s="29" t="n">
        <f aca="false">IF(AND(D99="Feature Use",COUNTIFS($B$5:B99,B99,$D$5:D99,"Feature Use",$E$5:E99,E99)=2),1,0)</f>
        <v>0</v>
      </c>
      <c r="K99" s="29" t="n">
        <f aca="false">IF(COUNTIF($B$5:B99,B99)=1,1,0)</f>
        <v>0</v>
      </c>
      <c r="L99" s="29" t="n">
        <f aca="false">IF(AND(C99&gt;=Settings!$B$5-Settings!$B$8+1,C99&lt;=Settings!$B$5,COUNTIFS($B$5:B99,B99,$C$5:C99,"&gt;="&amp;(Settings!$B$5-Settings!$B$8+1),$C$5:C99,"&lt;="&amp;Settings!$B$5)=1),1,0)</f>
        <v>0</v>
      </c>
      <c r="M99" s="29" t="n">
        <f aca="false">IF(AND(C99&gt;=Settings!$B$5-Settings!$B$9+1,C99&lt;=Settings!$B$5,COUNTIFS($B$5:B99,B99,$C$5:C99,"&gt;="&amp;(Settings!$B$5-Settings!$B$9+1),$C$5:C99,"&lt;="&amp;Settings!$B$5)=1),1,0)</f>
        <v>0</v>
      </c>
      <c r="N99" s="29" t="n">
        <f aca="false">IF(AND(D99="Feature Use",COUNTIFS($B$5:B99,B99,$D$5:D99,"Feature Use")=1),1,0)</f>
        <v>0</v>
      </c>
    </row>
    <row r="100" customFormat="false" ht="15" hidden="false" customHeight="false" outlineLevel="0" collapsed="false">
      <c r="A100" s="22" t="s">
        <v>405</v>
      </c>
      <c r="B100" s="22" t="s">
        <v>183</v>
      </c>
      <c r="C100" s="31" t="n">
        <v>46269</v>
      </c>
      <c r="D100" s="22" t="s">
        <v>300</v>
      </c>
      <c r="E100" s="22" t="s">
        <v>301</v>
      </c>
      <c r="F100" s="29" t="str">
        <f aca="false">IF(COUNTIF(Referral_Data!$C$5:$C$1000,B100)&gt;0,"Referred",IF(COUNTIF(Referral_Data!$B$5:$B$1000,B100)&gt;0,"Referrer","Organic"))</f>
        <v>Referrer</v>
      </c>
      <c r="G100" s="29" t="n">
        <f aca="false">IF(COUNTIFS($B$5:B100,B100,$C$5:C100,C100)=1,1,0)</f>
        <v>0</v>
      </c>
      <c r="H100" s="29" t="n">
        <f aca="false">IF(AND(G100=1,COUNTIFS($B$5:$B$1635,B100,$C$5:$C$1635,"&lt;"&amp;C100)&gt;0),1,0)</f>
        <v>0</v>
      </c>
      <c r="I100" s="29" t="n">
        <f aca="false">IF(AND(D100="Feature Use",COUNTIFS($B$5:B100,B100,$D$5:D100,"Feature Use",$E$5:E100,E100)=1),1,0)</f>
        <v>1</v>
      </c>
      <c r="J100" s="29" t="n">
        <f aca="false">IF(AND(D100="Feature Use",COUNTIFS($B$5:B100,B100,$D$5:D100,"Feature Use",$E$5:E100,E100)=2),1,0)</f>
        <v>0</v>
      </c>
      <c r="K100" s="29" t="n">
        <f aca="false">IF(COUNTIF($B$5:B100,B100)=1,1,0)</f>
        <v>0</v>
      </c>
      <c r="L100" s="29" t="n">
        <f aca="false">IF(AND(C100&gt;=Settings!$B$5-Settings!$B$8+1,C100&lt;=Settings!$B$5,COUNTIFS($B$5:B100,B100,$C$5:C100,"&gt;="&amp;(Settings!$B$5-Settings!$B$8+1),$C$5:C100,"&lt;="&amp;Settings!$B$5)=1),1,0)</f>
        <v>0</v>
      </c>
      <c r="M100" s="29" t="n">
        <f aca="false">IF(AND(C100&gt;=Settings!$B$5-Settings!$B$9+1,C100&lt;=Settings!$B$5,COUNTIFS($B$5:B100,B100,$C$5:C100,"&gt;="&amp;(Settings!$B$5-Settings!$B$9+1),$C$5:C100,"&lt;="&amp;Settings!$B$5)=1),1,0)</f>
        <v>0</v>
      </c>
      <c r="N100" s="29" t="n">
        <f aca="false">IF(AND(D100="Feature Use",COUNTIFS($B$5:B100,B100,$D$5:D100,"Feature Use")=1),1,0)</f>
        <v>0</v>
      </c>
    </row>
    <row r="101" customFormat="false" ht="15" hidden="false" customHeight="false" outlineLevel="0" collapsed="false">
      <c r="A101" s="22" t="s">
        <v>406</v>
      </c>
      <c r="B101" s="22" t="s">
        <v>303</v>
      </c>
      <c r="C101" s="31" t="n">
        <v>46270</v>
      </c>
      <c r="D101" s="22" t="s">
        <v>297</v>
      </c>
      <c r="E101" s="22" t="s">
        <v>298</v>
      </c>
      <c r="F101" s="29" t="str">
        <f aca="false">IF(COUNTIF(Referral_Data!$C$5:$C$1000,B101)&gt;0,"Referred",IF(COUNTIF(Referral_Data!$B$5:$B$1000,B101)&gt;0,"Referrer","Organic"))</f>
        <v>Organic</v>
      </c>
      <c r="G101" s="29" t="n">
        <f aca="false">IF(COUNTIFS($B$5:B101,B101,$C$5:C101,C101)=1,1,0)</f>
        <v>1</v>
      </c>
      <c r="H101" s="29" t="n">
        <f aca="false">IF(AND(G101=1,COUNTIFS($B$5:$B$1635,B101,$C$5:$C$1635,"&lt;"&amp;C101)&gt;0),1,0)</f>
        <v>1</v>
      </c>
      <c r="I101" s="29" t="n">
        <f aca="false">IF(AND(D101="Feature Use",COUNTIFS($B$5:B101,B101,$D$5:D101,"Feature Use",$E$5:E101,E101)=1),1,0)</f>
        <v>0</v>
      </c>
      <c r="J101" s="29" t="n">
        <f aca="false">IF(AND(D101="Feature Use",COUNTIFS($B$5:B101,B101,$D$5:D101,"Feature Use",$E$5:E101,E101)=2),1,0)</f>
        <v>0</v>
      </c>
      <c r="K101" s="29" t="n">
        <f aca="false">IF(COUNTIF($B$5:B101,B101)=1,1,0)</f>
        <v>0</v>
      </c>
      <c r="L101" s="29" t="n">
        <f aca="false">IF(AND(C101&gt;=Settings!$B$5-Settings!$B$8+1,C101&lt;=Settings!$B$5,COUNTIFS($B$5:B101,B101,$C$5:C101,"&gt;="&amp;(Settings!$B$5-Settings!$B$8+1),$C$5:C101,"&lt;="&amp;Settings!$B$5)=1),1,0)</f>
        <v>0</v>
      </c>
      <c r="M101" s="29" t="n">
        <f aca="false">IF(AND(C101&gt;=Settings!$B$5-Settings!$B$9+1,C101&lt;=Settings!$B$5,COUNTIFS($B$5:B101,B101,$C$5:C101,"&gt;="&amp;(Settings!$B$5-Settings!$B$9+1),$C$5:C101,"&lt;="&amp;Settings!$B$5)=1),1,0)</f>
        <v>0</v>
      </c>
      <c r="N101" s="29" t="n">
        <f aca="false">IF(AND(D101="Feature Use",COUNTIFS($B$5:B101,B101,$D$5:D101,"Feature Use")=1),1,0)</f>
        <v>0</v>
      </c>
    </row>
    <row r="102" customFormat="false" ht="15" hidden="false" customHeight="false" outlineLevel="0" collapsed="false">
      <c r="A102" s="22" t="s">
        <v>407</v>
      </c>
      <c r="B102" s="22" t="s">
        <v>303</v>
      </c>
      <c r="C102" s="31" t="n">
        <v>46270</v>
      </c>
      <c r="D102" s="22" t="s">
        <v>300</v>
      </c>
      <c r="E102" s="22" t="s">
        <v>319</v>
      </c>
      <c r="F102" s="29" t="str">
        <f aca="false">IF(COUNTIF(Referral_Data!$C$5:$C$1000,B102)&gt;0,"Referred",IF(COUNTIF(Referral_Data!$B$5:$B$1000,B102)&gt;0,"Referrer","Organic"))</f>
        <v>Organic</v>
      </c>
      <c r="G102" s="29" t="n">
        <f aca="false">IF(COUNTIFS($B$5:B102,B102,$C$5:C102,C102)=1,1,0)</f>
        <v>0</v>
      </c>
      <c r="H102" s="29" t="n">
        <f aca="false">IF(AND(G102=1,COUNTIFS($B$5:$B$1635,B102,$C$5:$C$1635,"&lt;"&amp;C102)&gt;0),1,0)</f>
        <v>0</v>
      </c>
      <c r="I102" s="29" t="n">
        <f aca="false">IF(AND(D102="Feature Use",COUNTIFS($B$5:B102,B102,$D$5:D102,"Feature Use",$E$5:E102,E102)=1),1,0)</f>
        <v>1</v>
      </c>
      <c r="J102" s="29" t="n">
        <f aca="false">IF(AND(D102="Feature Use",COUNTIFS($B$5:B102,B102,$D$5:D102,"Feature Use",$E$5:E102,E102)=2),1,0)</f>
        <v>0</v>
      </c>
      <c r="K102" s="29" t="n">
        <f aca="false">IF(COUNTIF($B$5:B102,B102)=1,1,0)</f>
        <v>0</v>
      </c>
      <c r="L102" s="29" t="n">
        <f aca="false">IF(AND(C102&gt;=Settings!$B$5-Settings!$B$8+1,C102&lt;=Settings!$B$5,COUNTIFS($B$5:B102,B102,$C$5:C102,"&gt;="&amp;(Settings!$B$5-Settings!$B$8+1),$C$5:C102,"&lt;="&amp;Settings!$B$5)=1),1,0)</f>
        <v>0</v>
      </c>
      <c r="M102" s="29" t="n">
        <f aca="false">IF(AND(C102&gt;=Settings!$B$5-Settings!$B$9+1,C102&lt;=Settings!$B$5,COUNTIFS($B$5:B102,B102,$C$5:C102,"&gt;="&amp;(Settings!$B$5-Settings!$B$9+1),$C$5:C102,"&lt;="&amp;Settings!$B$5)=1),1,0)</f>
        <v>0</v>
      </c>
      <c r="N102" s="29" t="n">
        <f aca="false">IF(AND(D102="Feature Use",COUNTIFS($B$5:B102,B102,$D$5:D102,"Feature Use")=1),1,0)</f>
        <v>0</v>
      </c>
    </row>
    <row r="103" customFormat="false" ht="15" hidden="false" customHeight="false" outlineLevel="0" collapsed="false">
      <c r="A103" s="22" t="s">
        <v>408</v>
      </c>
      <c r="B103" s="22" t="s">
        <v>213</v>
      </c>
      <c r="C103" s="31" t="n">
        <v>46270</v>
      </c>
      <c r="D103" s="22" t="s">
        <v>297</v>
      </c>
      <c r="E103" s="22" t="s">
        <v>298</v>
      </c>
      <c r="F103" s="29" t="str">
        <f aca="false">IF(COUNTIF(Referral_Data!$C$5:$C$1000,B103)&gt;0,"Referred",IF(COUNTIF(Referral_Data!$B$5:$B$1000,B103)&gt;0,"Referrer","Organic"))</f>
        <v>Referred</v>
      </c>
      <c r="G103" s="29" t="n">
        <f aca="false">IF(COUNTIFS($B$5:B103,B103,$C$5:C103,C103)=1,1,0)</f>
        <v>1</v>
      </c>
      <c r="H103" s="29" t="n">
        <f aca="false">IF(AND(G103=1,COUNTIFS($B$5:$B$1635,B103,$C$5:$C$1635,"&lt;"&amp;C103)&gt;0),1,0)</f>
        <v>1</v>
      </c>
      <c r="I103" s="29" t="n">
        <f aca="false">IF(AND(D103="Feature Use",COUNTIFS($B$5:B103,B103,$D$5:D103,"Feature Use",$E$5:E103,E103)=1),1,0)</f>
        <v>0</v>
      </c>
      <c r="J103" s="29" t="n">
        <f aca="false">IF(AND(D103="Feature Use",COUNTIFS($B$5:B103,B103,$D$5:D103,"Feature Use",$E$5:E103,E103)=2),1,0)</f>
        <v>0</v>
      </c>
      <c r="K103" s="29" t="n">
        <f aca="false">IF(COUNTIF($B$5:B103,B103)=1,1,0)</f>
        <v>0</v>
      </c>
      <c r="L103" s="29" t="n">
        <f aca="false">IF(AND(C103&gt;=Settings!$B$5-Settings!$B$8+1,C103&lt;=Settings!$B$5,COUNTIFS($B$5:B103,B103,$C$5:C103,"&gt;="&amp;(Settings!$B$5-Settings!$B$8+1),$C$5:C103,"&lt;="&amp;Settings!$B$5)=1),1,0)</f>
        <v>0</v>
      </c>
      <c r="M103" s="29" t="n">
        <f aca="false">IF(AND(C103&gt;=Settings!$B$5-Settings!$B$9+1,C103&lt;=Settings!$B$5,COUNTIFS($B$5:B103,B103,$C$5:C103,"&gt;="&amp;(Settings!$B$5-Settings!$B$9+1),$C$5:C103,"&lt;="&amp;Settings!$B$5)=1),1,0)</f>
        <v>0</v>
      </c>
      <c r="N103" s="29" t="n">
        <f aca="false">IF(AND(D103="Feature Use",COUNTIFS($B$5:B103,B103,$D$5:D103,"Feature Use")=1),1,0)</f>
        <v>0</v>
      </c>
    </row>
    <row r="104" customFormat="false" ht="15" hidden="false" customHeight="false" outlineLevel="0" collapsed="false">
      <c r="A104" s="22" t="s">
        <v>409</v>
      </c>
      <c r="B104" s="22" t="s">
        <v>213</v>
      </c>
      <c r="C104" s="31" t="n">
        <v>46270</v>
      </c>
      <c r="D104" s="22" t="s">
        <v>300</v>
      </c>
      <c r="E104" s="22" t="s">
        <v>305</v>
      </c>
      <c r="F104" s="29" t="str">
        <f aca="false">IF(COUNTIF(Referral_Data!$C$5:$C$1000,B104)&gt;0,"Referred",IF(COUNTIF(Referral_Data!$B$5:$B$1000,B104)&gt;0,"Referrer","Organic"))</f>
        <v>Referred</v>
      </c>
      <c r="G104" s="29" t="n">
        <f aca="false">IF(COUNTIFS($B$5:B104,B104,$C$5:C104,C104)=1,1,0)</f>
        <v>0</v>
      </c>
      <c r="H104" s="29" t="n">
        <f aca="false">IF(AND(G104=1,COUNTIFS($B$5:$B$1635,B104,$C$5:$C$1635,"&lt;"&amp;C104)&gt;0),1,0)</f>
        <v>0</v>
      </c>
      <c r="I104" s="29" t="n">
        <f aca="false">IF(AND(D104="Feature Use",COUNTIFS($B$5:B104,B104,$D$5:D104,"Feature Use",$E$5:E104,E104)=1),1,0)</f>
        <v>1</v>
      </c>
      <c r="J104" s="29" t="n">
        <f aca="false">IF(AND(D104="Feature Use",COUNTIFS($B$5:B104,B104,$D$5:D104,"Feature Use",$E$5:E104,E104)=2),1,0)</f>
        <v>0</v>
      </c>
      <c r="K104" s="29" t="n">
        <f aca="false">IF(COUNTIF($B$5:B104,B104)=1,1,0)</f>
        <v>0</v>
      </c>
      <c r="L104" s="29" t="n">
        <f aca="false">IF(AND(C104&gt;=Settings!$B$5-Settings!$B$8+1,C104&lt;=Settings!$B$5,COUNTIFS($B$5:B104,B104,$C$5:C104,"&gt;="&amp;(Settings!$B$5-Settings!$B$8+1),$C$5:C104,"&lt;="&amp;Settings!$B$5)=1),1,0)</f>
        <v>0</v>
      </c>
      <c r="M104" s="29" t="n">
        <f aca="false">IF(AND(C104&gt;=Settings!$B$5-Settings!$B$9+1,C104&lt;=Settings!$B$5,COUNTIFS($B$5:B104,B104,$C$5:C104,"&gt;="&amp;(Settings!$B$5-Settings!$B$9+1),$C$5:C104,"&lt;="&amp;Settings!$B$5)=1),1,0)</f>
        <v>0</v>
      </c>
      <c r="N104" s="29" t="n">
        <f aca="false">IF(AND(D104="Feature Use",COUNTIFS($B$5:B104,B104,$D$5:D104,"Feature Use")=1),1,0)</f>
        <v>0</v>
      </c>
    </row>
    <row r="105" customFormat="false" ht="15" hidden="false" customHeight="false" outlineLevel="0" collapsed="false">
      <c r="A105" s="22" t="s">
        <v>410</v>
      </c>
      <c r="B105" s="22" t="s">
        <v>213</v>
      </c>
      <c r="C105" s="31" t="n">
        <v>46270</v>
      </c>
      <c r="D105" s="22" t="s">
        <v>300</v>
      </c>
      <c r="E105" s="22" t="s">
        <v>319</v>
      </c>
      <c r="F105" s="29" t="str">
        <f aca="false">IF(COUNTIF(Referral_Data!$C$5:$C$1000,B105)&gt;0,"Referred",IF(COUNTIF(Referral_Data!$B$5:$B$1000,B105)&gt;0,"Referrer","Organic"))</f>
        <v>Referred</v>
      </c>
      <c r="G105" s="29" t="n">
        <f aca="false">IF(COUNTIFS($B$5:B105,B105,$C$5:C105,C105)=1,1,0)</f>
        <v>0</v>
      </c>
      <c r="H105" s="29" t="n">
        <f aca="false">IF(AND(G105=1,COUNTIFS($B$5:$B$1635,B105,$C$5:$C$1635,"&lt;"&amp;C105)&gt;0),1,0)</f>
        <v>0</v>
      </c>
      <c r="I105" s="29" t="n">
        <f aca="false">IF(AND(D105="Feature Use",COUNTIFS($B$5:B105,B105,$D$5:D105,"Feature Use",$E$5:E105,E105)=1),1,0)</f>
        <v>1</v>
      </c>
      <c r="J105" s="29" t="n">
        <f aca="false">IF(AND(D105="Feature Use",COUNTIFS($B$5:B105,B105,$D$5:D105,"Feature Use",$E$5:E105,E105)=2),1,0)</f>
        <v>0</v>
      </c>
      <c r="K105" s="29" t="n">
        <f aca="false">IF(COUNTIF($B$5:B105,B105)=1,1,0)</f>
        <v>0</v>
      </c>
      <c r="L105" s="29" t="n">
        <f aca="false">IF(AND(C105&gt;=Settings!$B$5-Settings!$B$8+1,C105&lt;=Settings!$B$5,COUNTIFS($B$5:B105,B105,$C$5:C105,"&gt;="&amp;(Settings!$B$5-Settings!$B$8+1),$C$5:C105,"&lt;="&amp;Settings!$B$5)=1),1,0)</f>
        <v>0</v>
      </c>
      <c r="M105" s="29" t="n">
        <f aca="false">IF(AND(C105&gt;=Settings!$B$5-Settings!$B$9+1,C105&lt;=Settings!$B$5,COUNTIFS($B$5:B105,B105,$C$5:C105,"&gt;="&amp;(Settings!$B$5-Settings!$B$9+1),$C$5:C105,"&lt;="&amp;Settings!$B$5)=1),1,0)</f>
        <v>0</v>
      </c>
      <c r="N105" s="29" t="n">
        <f aca="false">IF(AND(D105="Feature Use",COUNTIFS($B$5:B105,B105,$D$5:D105,"Feature Use")=1),1,0)</f>
        <v>0</v>
      </c>
    </row>
    <row r="106" customFormat="false" ht="15" hidden="false" customHeight="false" outlineLevel="0" collapsed="false">
      <c r="A106" s="22" t="s">
        <v>411</v>
      </c>
      <c r="B106" s="22" t="s">
        <v>170</v>
      </c>
      <c r="C106" s="31" t="n">
        <v>46270</v>
      </c>
      <c r="D106" s="22" t="s">
        <v>297</v>
      </c>
      <c r="E106" s="22" t="s">
        <v>298</v>
      </c>
      <c r="F106" s="29" t="str">
        <f aca="false">IF(COUNTIF(Referral_Data!$C$5:$C$1000,B106)&gt;0,"Referred",IF(COUNTIF(Referral_Data!$B$5:$B$1000,B106)&gt;0,"Referrer","Organic"))</f>
        <v>Referrer</v>
      </c>
      <c r="G106" s="29" t="n">
        <f aca="false">IF(COUNTIFS($B$5:B106,B106,$C$5:C106,C106)=1,1,0)</f>
        <v>1</v>
      </c>
      <c r="H106" s="29" t="n">
        <f aca="false">IF(AND(G106=1,COUNTIFS($B$5:$B$1635,B106,$C$5:$C$1635,"&lt;"&amp;C106)&gt;0),1,0)</f>
        <v>1</v>
      </c>
      <c r="I106" s="29" t="n">
        <f aca="false">IF(AND(D106="Feature Use",COUNTIFS($B$5:B106,B106,$D$5:D106,"Feature Use",$E$5:E106,E106)=1),1,0)</f>
        <v>0</v>
      </c>
      <c r="J106" s="29" t="n">
        <f aca="false">IF(AND(D106="Feature Use",COUNTIFS($B$5:B106,B106,$D$5:D106,"Feature Use",$E$5:E106,E106)=2),1,0)</f>
        <v>0</v>
      </c>
      <c r="K106" s="29" t="n">
        <f aca="false">IF(COUNTIF($B$5:B106,B106)=1,1,0)</f>
        <v>0</v>
      </c>
      <c r="L106" s="29" t="n">
        <f aca="false">IF(AND(C106&gt;=Settings!$B$5-Settings!$B$8+1,C106&lt;=Settings!$B$5,COUNTIFS($B$5:B106,B106,$C$5:C106,"&gt;="&amp;(Settings!$B$5-Settings!$B$8+1),$C$5:C106,"&lt;="&amp;Settings!$B$5)=1),1,0)</f>
        <v>0</v>
      </c>
      <c r="M106" s="29" t="n">
        <f aca="false">IF(AND(C106&gt;=Settings!$B$5-Settings!$B$9+1,C106&lt;=Settings!$B$5,COUNTIFS($B$5:B106,B106,$C$5:C106,"&gt;="&amp;(Settings!$B$5-Settings!$B$9+1),$C$5:C106,"&lt;="&amp;Settings!$B$5)=1),1,0)</f>
        <v>0</v>
      </c>
      <c r="N106" s="29" t="n">
        <f aca="false">IF(AND(D106="Feature Use",COUNTIFS($B$5:B106,B106,$D$5:D106,"Feature Use")=1),1,0)</f>
        <v>0</v>
      </c>
    </row>
    <row r="107" customFormat="false" ht="15" hidden="false" customHeight="false" outlineLevel="0" collapsed="false">
      <c r="A107" s="22" t="s">
        <v>412</v>
      </c>
      <c r="B107" s="22" t="s">
        <v>170</v>
      </c>
      <c r="C107" s="31" t="n">
        <v>46270</v>
      </c>
      <c r="D107" s="22" t="s">
        <v>300</v>
      </c>
      <c r="E107" s="22" t="s">
        <v>319</v>
      </c>
      <c r="F107" s="29" t="str">
        <f aca="false">IF(COUNTIF(Referral_Data!$C$5:$C$1000,B107)&gt;0,"Referred",IF(COUNTIF(Referral_Data!$B$5:$B$1000,B107)&gt;0,"Referrer","Organic"))</f>
        <v>Referrer</v>
      </c>
      <c r="G107" s="29" t="n">
        <f aca="false">IF(COUNTIFS($B$5:B107,B107,$C$5:C107,C107)=1,1,0)</f>
        <v>0</v>
      </c>
      <c r="H107" s="29" t="n">
        <f aca="false">IF(AND(G107=1,COUNTIFS($B$5:$B$1635,B107,$C$5:$C$1635,"&lt;"&amp;C107)&gt;0),1,0)</f>
        <v>0</v>
      </c>
      <c r="I107" s="29" t="n">
        <f aca="false">IF(AND(D107="Feature Use",COUNTIFS($B$5:B107,B107,$D$5:D107,"Feature Use",$E$5:E107,E107)=1),1,0)</f>
        <v>1</v>
      </c>
      <c r="J107" s="29" t="n">
        <f aca="false">IF(AND(D107="Feature Use",COUNTIFS($B$5:B107,B107,$D$5:D107,"Feature Use",$E$5:E107,E107)=2),1,0)</f>
        <v>0</v>
      </c>
      <c r="K107" s="29" t="n">
        <f aca="false">IF(COUNTIF($B$5:B107,B107)=1,1,0)</f>
        <v>0</v>
      </c>
      <c r="L107" s="29" t="n">
        <f aca="false">IF(AND(C107&gt;=Settings!$B$5-Settings!$B$8+1,C107&lt;=Settings!$B$5,COUNTIFS($B$5:B107,B107,$C$5:C107,"&gt;="&amp;(Settings!$B$5-Settings!$B$8+1),$C$5:C107,"&lt;="&amp;Settings!$B$5)=1),1,0)</f>
        <v>0</v>
      </c>
      <c r="M107" s="29" t="n">
        <f aca="false">IF(AND(C107&gt;=Settings!$B$5-Settings!$B$9+1,C107&lt;=Settings!$B$5,COUNTIFS($B$5:B107,B107,$C$5:C107,"&gt;="&amp;(Settings!$B$5-Settings!$B$9+1),$C$5:C107,"&lt;="&amp;Settings!$B$5)=1),1,0)</f>
        <v>0</v>
      </c>
      <c r="N107" s="29" t="n">
        <f aca="false">IF(AND(D107="Feature Use",COUNTIFS($B$5:B107,B107,$D$5:D107,"Feature Use")=1),1,0)</f>
        <v>0</v>
      </c>
    </row>
    <row r="108" customFormat="false" ht="15" hidden="false" customHeight="false" outlineLevel="0" collapsed="false">
      <c r="A108" s="22" t="s">
        <v>413</v>
      </c>
      <c r="B108" s="22" t="s">
        <v>170</v>
      </c>
      <c r="C108" s="31" t="n">
        <v>46270</v>
      </c>
      <c r="D108" s="22" t="s">
        <v>300</v>
      </c>
      <c r="E108" s="22" t="s">
        <v>319</v>
      </c>
      <c r="F108" s="29" t="str">
        <f aca="false">IF(COUNTIF(Referral_Data!$C$5:$C$1000,B108)&gt;0,"Referred",IF(COUNTIF(Referral_Data!$B$5:$B$1000,B108)&gt;0,"Referrer","Organic"))</f>
        <v>Referrer</v>
      </c>
      <c r="G108" s="29" t="n">
        <f aca="false">IF(COUNTIFS($B$5:B108,B108,$C$5:C108,C108)=1,1,0)</f>
        <v>0</v>
      </c>
      <c r="H108" s="29" t="n">
        <f aca="false">IF(AND(G108=1,COUNTIFS($B$5:$B$1635,B108,$C$5:$C$1635,"&lt;"&amp;C108)&gt;0),1,0)</f>
        <v>0</v>
      </c>
      <c r="I108" s="29" t="n">
        <f aca="false">IF(AND(D108="Feature Use",COUNTIFS($B$5:B108,B108,$D$5:D108,"Feature Use",$E$5:E108,E108)=1),1,0)</f>
        <v>0</v>
      </c>
      <c r="J108" s="29" t="n">
        <f aca="false">IF(AND(D108="Feature Use",COUNTIFS($B$5:B108,B108,$D$5:D108,"Feature Use",$E$5:E108,E108)=2),1,0)</f>
        <v>1</v>
      </c>
      <c r="K108" s="29" t="n">
        <f aca="false">IF(COUNTIF($B$5:B108,B108)=1,1,0)</f>
        <v>0</v>
      </c>
      <c r="L108" s="29" t="n">
        <f aca="false">IF(AND(C108&gt;=Settings!$B$5-Settings!$B$8+1,C108&lt;=Settings!$B$5,COUNTIFS($B$5:B108,B108,$C$5:C108,"&gt;="&amp;(Settings!$B$5-Settings!$B$8+1),$C$5:C108,"&lt;="&amp;Settings!$B$5)=1),1,0)</f>
        <v>0</v>
      </c>
      <c r="M108" s="29" t="n">
        <f aca="false">IF(AND(C108&gt;=Settings!$B$5-Settings!$B$9+1,C108&lt;=Settings!$B$5,COUNTIFS($B$5:B108,B108,$C$5:C108,"&gt;="&amp;(Settings!$B$5-Settings!$B$9+1),$C$5:C108,"&lt;="&amp;Settings!$B$5)=1),1,0)</f>
        <v>0</v>
      </c>
      <c r="N108" s="29" t="n">
        <f aca="false">IF(AND(D108="Feature Use",COUNTIFS($B$5:B108,B108,$D$5:D108,"Feature Use")=1),1,0)</f>
        <v>0</v>
      </c>
    </row>
    <row r="109" customFormat="false" ht="15" hidden="false" customHeight="false" outlineLevel="0" collapsed="false">
      <c r="A109" s="22" t="s">
        <v>414</v>
      </c>
      <c r="B109" s="22" t="s">
        <v>170</v>
      </c>
      <c r="C109" s="31" t="n">
        <v>46270</v>
      </c>
      <c r="D109" s="22" t="s">
        <v>308</v>
      </c>
      <c r="E109" s="22" t="s">
        <v>311</v>
      </c>
      <c r="F109" s="29" t="str">
        <f aca="false">IF(COUNTIF(Referral_Data!$C$5:$C$1000,B109)&gt;0,"Referred",IF(COUNTIF(Referral_Data!$B$5:$B$1000,B109)&gt;0,"Referrer","Organic"))</f>
        <v>Referrer</v>
      </c>
      <c r="G109" s="29" t="n">
        <f aca="false">IF(COUNTIFS($B$5:B109,B109,$C$5:C109,C109)=1,1,0)</f>
        <v>0</v>
      </c>
      <c r="H109" s="29" t="n">
        <f aca="false">IF(AND(G109=1,COUNTIFS($B$5:$B$1635,B109,$C$5:$C$1635,"&lt;"&amp;C109)&gt;0),1,0)</f>
        <v>0</v>
      </c>
      <c r="I109" s="29" t="n">
        <f aca="false">IF(AND(D109="Feature Use",COUNTIFS($B$5:B109,B109,$D$5:D109,"Feature Use",$E$5:E109,E109)=1),1,0)</f>
        <v>0</v>
      </c>
      <c r="J109" s="29" t="n">
        <f aca="false">IF(AND(D109="Feature Use",COUNTIFS($B$5:B109,B109,$D$5:D109,"Feature Use",$E$5:E109,E109)=2),1,0)</f>
        <v>0</v>
      </c>
      <c r="K109" s="29" t="n">
        <f aca="false">IF(COUNTIF($B$5:B109,B109)=1,1,0)</f>
        <v>0</v>
      </c>
      <c r="L109" s="29" t="n">
        <f aca="false">IF(AND(C109&gt;=Settings!$B$5-Settings!$B$8+1,C109&lt;=Settings!$B$5,COUNTIFS($B$5:B109,B109,$C$5:C109,"&gt;="&amp;(Settings!$B$5-Settings!$B$8+1),$C$5:C109,"&lt;="&amp;Settings!$B$5)=1),1,0)</f>
        <v>0</v>
      </c>
      <c r="M109" s="29" t="n">
        <f aca="false">IF(AND(C109&gt;=Settings!$B$5-Settings!$B$9+1,C109&lt;=Settings!$B$5,COUNTIFS($B$5:B109,B109,$C$5:C109,"&gt;="&amp;(Settings!$B$5-Settings!$B$9+1),$C$5:C109,"&lt;="&amp;Settings!$B$5)=1),1,0)</f>
        <v>0</v>
      </c>
      <c r="N109" s="29" t="n">
        <f aca="false">IF(AND(D109="Feature Use",COUNTIFS($B$5:B109,B109,$D$5:D109,"Feature Use")=1),1,0)</f>
        <v>0</v>
      </c>
    </row>
    <row r="110" customFormat="false" ht="15" hidden="false" customHeight="false" outlineLevel="0" collapsed="false">
      <c r="A110" s="22" t="s">
        <v>415</v>
      </c>
      <c r="B110" s="22" t="s">
        <v>200</v>
      </c>
      <c r="C110" s="31" t="n">
        <v>46270</v>
      </c>
      <c r="D110" s="22" t="s">
        <v>297</v>
      </c>
      <c r="E110" s="22" t="s">
        <v>298</v>
      </c>
      <c r="F110" s="29" t="str">
        <f aca="false">IF(COUNTIF(Referral_Data!$C$5:$C$1000,B110)&gt;0,"Referred",IF(COUNTIF(Referral_Data!$B$5:$B$1000,B110)&gt;0,"Referrer","Organic"))</f>
        <v>Referrer</v>
      </c>
      <c r="G110" s="29" t="n">
        <f aca="false">IF(COUNTIFS($B$5:B110,B110,$C$5:C110,C110)=1,1,0)</f>
        <v>1</v>
      </c>
      <c r="H110" s="29" t="n">
        <f aca="false">IF(AND(G110=1,COUNTIFS($B$5:$B$1635,B110,$C$5:$C$1635,"&lt;"&amp;C110)&gt;0),1,0)</f>
        <v>1</v>
      </c>
      <c r="I110" s="29" t="n">
        <f aca="false">IF(AND(D110="Feature Use",COUNTIFS($B$5:B110,B110,$D$5:D110,"Feature Use",$E$5:E110,E110)=1),1,0)</f>
        <v>0</v>
      </c>
      <c r="J110" s="29" t="n">
        <f aca="false">IF(AND(D110="Feature Use",COUNTIFS($B$5:B110,B110,$D$5:D110,"Feature Use",$E$5:E110,E110)=2),1,0)</f>
        <v>0</v>
      </c>
      <c r="K110" s="29" t="n">
        <f aca="false">IF(COUNTIF($B$5:B110,B110)=1,1,0)</f>
        <v>0</v>
      </c>
      <c r="L110" s="29" t="n">
        <f aca="false">IF(AND(C110&gt;=Settings!$B$5-Settings!$B$8+1,C110&lt;=Settings!$B$5,COUNTIFS($B$5:B110,B110,$C$5:C110,"&gt;="&amp;(Settings!$B$5-Settings!$B$8+1),$C$5:C110,"&lt;="&amp;Settings!$B$5)=1),1,0)</f>
        <v>0</v>
      </c>
      <c r="M110" s="29" t="n">
        <f aca="false">IF(AND(C110&gt;=Settings!$B$5-Settings!$B$9+1,C110&lt;=Settings!$B$5,COUNTIFS($B$5:B110,B110,$C$5:C110,"&gt;="&amp;(Settings!$B$5-Settings!$B$9+1),$C$5:C110,"&lt;="&amp;Settings!$B$5)=1),1,0)</f>
        <v>0</v>
      </c>
      <c r="N110" s="29" t="n">
        <f aca="false">IF(AND(D110="Feature Use",COUNTIFS($B$5:B110,B110,$D$5:D110,"Feature Use")=1),1,0)</f>
        <v>0</v>
      </c>
    </row>
    <row r="111" customFormat="false" ht="15" hidden="false" customHeight="false" outlineLevel="0" collapsed="false">
      <c r="A111" s="22" t="s">
        <v>416</v>
      </c>
      <c r="B111" s="22" t="s">
        <v>200</v>
      </c>
      <c r="C111" s="31" t="n">
        <v>46270</v>
      </c>
      <c r="D111" s="22" t="s">
        <v>300</v>
      </c>
      <c r="E111" s="22" t="s">
        <v>305</v>
      </c>
      <c r="F111" s="29" t="str">
        <f aca="false">IF(COUNTIF(Referral_Data!$C$5:$C$1000,B111)&gt;0,"Referred",IF(COUNTIF(Referral_Data!$B$5:$B$1000,B111)&gt;0,"Referrer","Organic"))</f>
        <v>Referrer</v>
      </c>
      <c r="G111" s="29" t="n">
        <f aca="false">IF(COUNTIFS($B$5:B111,B111,$C$5:C111,C111)=1,1,0)</f>
        <v>0</v>
      </c>
      <c r="H111" s="29" t="n">
        <f aca="false">IF(AND(G111=1,COUNTIFS($B$5:$B$1635,B111,$C$5:$C$1635,"&lt;"&amp;C111)&gt;0),1,0)</f>
        <v>0</v>
      </c>
      <c r="I111" s="29" t="n">
        <f aca="false">IF(AND(D111="Feature Use",COUNTIFS($B$5:B111,B111,$D$5:D111,"Feature Use",$E$5:E111,E111)=1),1,0)</f>
        <v>1</v>
      </c>
      <c r="J111" s="29" t="n">
        <f aca="false">IF(AND(D111="Feature Use",COUNTIFS($B$5:B111,B111,$D$5:D111,"Feature Use",$E$5:E111,E111)=2),1,0)</f>
        <v>0</v>
      </c>
      <c r="K111" s="29" t="n">
        <f aca="false">IF(COUNTIF($B$5:B111,B111)=1,1,0)</f>
        <v>0</v>
      </c>
      <c r="L111" s="29" t="n">
        <f aca="false">IF(AND(C111&gt;=Settings!$B$5-Settings!$B$8+1,C111&lt;=Settings!$B$5,COUNTIFS($B$5:B111,B111,$C$5:C111,"&gt;="&amp;(Settings!$B$5-Settings!$B$8+1),$C$5:C111,"&lt;="&amp;Settings!$B$5)=1),1,0)</f>
        <v>0</v>
      </c>
      <c r="M111" s="29" t="n">
        <f aca="false">IF(AND(C111&gt;=Settings!$B$5-Settings!$B$9+1,C111&lt;=Settings!$B$5,COUNTIFS($B$5:B111,B111,$C$5:C111,"&gt;="&amp;(Settings!$B$5-Settings!$B$9+1),$C$5:C111,"&lt;="&amp;Settings!$B$5)=1),1,0)</f>
        <v>0</v>
      </c>
      <c r="N111" s="29" t="n">
        <f aca="false">IF(AND(D111="Feature Use",COUNTIFS($B$5:B111,B111,$D$5:D111,"Feature Use")=1),1,0)</f>
        <v>0</v>
      </c>
    </row>
    <row r="112" customFormat="false" ht="15" hidden="false" customHeight="false" outlineLevel="0" collapsed="false">
      <c r="A112" s="22" t="s">
        <v>417</v>
      </c>
      <c r="B112" s="22" t="s">
        <v>200</v>
      </c>
      <c r="C112" s="31" t="n">
        <v>46270</v>
      </c>
      <c r="D112" s="22" t="s">
        <v>308</v>
      </c>
      <c r="E112" s="22" t="s">
        <v>301</v>
      </c>
      <c r="F112" s="29" t="str">
        <f aca="false">IF(COUNTIF(Referral_Data!$C$5:$C$1000,B112)&gt;0,"Referred",IF(COUNTIF(Referral_Data!$B$5:$B$1000,B112)&gt;0,"Referrer","Organic"))</f>
        <v>Referrer</v>
      </c>
      <c r="G112" s="29" t="n">
        <f aca="false">IF(COUNTIFS($B$5:B112,B112,$C$5:C112,C112)=1,1,0)</f>
        <v>0</v>
      </c>
      <c r="H112" s="29" t="n">
        <f aca="false">IF(AND(G112=1,COUNTIFS($B$5:$B$1635,B112,$C$5:$C$1635,"&lt;"&amp;C112)&gt;0),1,0)</f>
        <v>0</v>
      </c>
      <c r="I112" s="29" t="n">
        <f aca="false">IF(AND(D112="Feature Use",COUNTIFS($B$5:B112,B112,$D$5:D112,"Feature Use",$E$5:E112,E112)=1),1,0)</f>
        <v>0</v>
      </c>
      <c r="J112" s="29" t="n">
        <f aca="false">IF(AND(D112="Feature Use",COUNTIFS($B$5:B112,B112,$D$5:D112,"Feature Use",$E$5:E112,E112)=2),1,0)</f>
        <v>0</v>
      </c>
      <c r="K112" s="29" t="n">
        <f aca="false">IF(COUNTIF($B$5:B112,B112)=1,1,0)</f>
        <v>0</v>
      </c>
      <c r="L112" s="29" t="n">
        <f aca="false">IF(AND(C112&gt;=Settings!$B$5-Settings!$B$8+1,C112&lt;=Settings!$B$5,COUNTIFS($B$5:B112,B112,$C$5:C112,"&gt;="&amp;(Settings!$B$5-Settings!$B$8+1),$C$5:C112,"&lt;="&amp;Settings!$B$5)=1),1,0)</f>
        <v>0</v>
      </c>
      <c r="M112" s="29" t="n">
        <f aca="false">IF(AND(C112&gt;=Settings!$B$5-Settings!$B$9+1,C112&lt;=Settings!$B$5,COUNTIFS($B$5:B112,B112,$C$5:C112,"&gt;="&amp;(Settings!$B$5-Settings!$B$9+1),$C$5:C112,"&lt;="&amp;Settings!$B$5)=1),1,0)</f>
        <v>0</v>
      </c>
      <c r="N112" s="29" t="n">
        <f aca="false">IF(AND(D112="Feature Use",COUNTIFS($B$5:B112,B112,$D$5:D112,"Feature Use")=1),1,0)</f>
        <v>0</v>
      </c>
    </row>
    <row r="113" customFormat="false" ht="15" hidden="false" customHeight="false" outlineLevel="0" collapsed="false">
      <c r="A113" s="22" t="s">
        <v>418</v>
      </c>
      <c r="B113" s="22" t="s">
        <v>215</v>
      </c>
      <c r="C113" s="31" t="n">
        <v>46270</v>
      </c>
      <c r="D113" s="22" t="s">
        <v>297</v>
      </c>
      <c r="E113" s="22" t="s">
        <v>298</v>
      </c>
      <c r="F113" s="29" t="str">
        <f aca="false">IF(COUNTIF(Referral_Data!$C$5:$C$1000,B113)&gt;0,"Referred",IF(COUNTIF(Referral_Data!$B$5:$B$1000,B113)&gt;0,"Referrer","Organic"))</f>
        <v>Referrer</v>
      </c>
      <c r="G113" s="29" t="n">
        <f aca="false">IF(COUNTIFS($B$5:B113,B113,$C$5:C113,C113)=1,1,0)</f>
        <v>1</v>
      </c>
      <c r="H113" s="29" t="n">
        <f aca="false">IF(AND(G113=1,COUNTIFS($B$5:$B$1635,B113,$C$5:$C$1635,"&lt;"&amp;C113)&gt;0),1,0)</f>
        <v>1</v>
      </c>
      <c r="I113" s="29" t="n">
        <f aca="false">IF(AND(D113="Feature Use",COUNTIFS($B$5:B113,B113,$D$5:D113,"Feature Use",$E$5:E113,E113)=1),1,0)</f>
        <v>0</v>
      </c>
      <c r="J113" s="29" t="n">
        <f aca="false">IF(AND(D113="Feature Use",COUNTIFS($B$5:B113,B113,$D$5:D113,"Feature Use",$E$5:E113,E113)=2),1,0)</f>
        <v>0</v>
      </c>
      <c r="K113" s="29" t="n">
        <f aca="false">IF(COUNTIF($B$5:B113,B113)=1,1,0)</f>
        <v>0</v>
      </c>
      <c r="L113" s="29" t="n">
        <f aca="false">IF(AND(C113&gt;=Settings!$B$5-Settings!$B$8+1,C113&lt;=Settings!$B$5,COUNTIFS($B$5:B113,B113,$C$5:C113,"&gt;="&amp;(Settings!$B$5-Settings!$B$8+1),$C$5:C113,"&lt;="&amp;Settings!$B$5)=1),1,0)</f>
        <v>0</v>
      </c>
      <c r="M113" s="29" t="n">
        <f aca="false">IF(AND(C113&gt;=Settings!$B$5-Settings!$B$9+1,C113&lt;=Settings!$B$5,COUNTIFS($B$5:B113,B113,$C$5:C113,"&gt;="&amp;(Settings!$B$5-Settings!$B$9+1),$C$5:C113,"&lt;="&amp;Settings!$B$5)=1),1,0)</f>
        <v>0</v>
      </c>
      <c r="N113" s="29" t="n">
        <f aca="false">IF(AND(D113="Feature Use",COUNTIFS($B$5:B113,B113,$D$5:D113,"Feature Use")=1),1,0)</f>
        <v>0</v>
      </c>
    </row>
    <row r="114" customFormat="false" ht="15" hidden="false" customHeight="false" outlineLevel="0" collapsed="false">
      <c r="A114" s="22" t="s">
        <v>419</v>
      </c>
      <c r="B114" s="22" t="s">
        <v>215</v>
      </c>
      <c r="C114" s="31" t="n">
        <v>46270</v>
      </c>
      <c r="D114" s="22" t="s">
        <v>300</v>
      </c>
      <c r="E114" s="22" t="s">
        <v>301</v>
      </c>
      <c r="F114" s="29" t="str">
        <f aca="false">IF(COUNTIF(Referral_Data!$C$5:$C$1000,B114)&gt;0,"Referred",IF(COUNTIF(Referral_Data!$B$5:$B$1000,B114)&gt;0,"Referrer","Organic"))</f>
        <v>Referrer</v>
      </c>
      <c r="G114" s="29" t="n">
        <f aca="false">IF(COUNTIFS($B$5:B114,B114,$C$5:C114,C114)=1,1,0)</f>
        <v>0</v>
      </c>
      <c r="H114" s="29" t="n">
        <f aca="false">IF(AND(G114=1,COUNTIFS($B$5:$B$1635,B114,$C$5:$C$1635,"&lt;"&amp;C114)&gt;0),1,0)</f>
        <v>0</v>
      </c>
      <c r="I114" s="29" t="n">
        <f aca="false">IF(AND(D114="Feature Use",COUNTIFS($B$5:B114,B114,$D$5:D114,"Feature Use",$E$5:E114,E114)=1),1,0)</f>
        <v>0</v>
      </c>
      <c r="J114" s="29" t="n">
        <f aca="false">IF(AND(D114="Feature Use",COUNTIFS($B$5:B114,B114,$D$5:D114,"Feature Use",$E$5:E114,E114)=2),1,0)</f>
        <v>1</v>
      </c>
      <c r="K114" s="29" t="n">
        <f aca="false">IF(COUNTIF($B$5:B114,B114)=1,1,0)</f>
        <v>0</v>
      </c>
      <c r="L114" s="29" t="n">
        <f aca="false">IF(AND(C114&gt;=Settings!$B$5-Settings!$B$8+1,C114&lt;=Settings!$B$5,COUNTIFS($B$5:B114,B114,$C$5:C114,"&gt;="&amp;(Settings!$B$5-Settings!$B$8+1),$C$5:C114,"&lt;="&amp;Settings!$B$5)=1),1,0)</f>
        <v>0</v>
      </c>
      <c r="M114" s="29" t="n">
        <f aca="false">IF(AND(C114&gt;=Settings!$B$5-Settings!$B$9+1,C114&lt;=Settings!$B$5,COUNTIFS($B$5:B114,B114,$C$5:C114,"&gt;="&amp;(Settings!$B$5-Settings!$B$9+1),$C$5:C114,"&lt;="&amp;Settings!$B$5)=1),1,0)</f>
        <v>0</v>
      </c>
      <c r="N114" s="29" t="n">
        <f aca="false">IF(AND(D114="Feature Use",COUNTIFS($B$5:B114,B114,$D$5:D114,"Feature Use")=1),1,0)</f>
        <v>0</v>
      </c>
    </row>
    <row r="115" customFormat="false" ht="15" hidden="false" customHeight="false" outlineLevel="0" collapsed="false">
      <c r="A115" s="22" t="s">
        <v>420</v>
      </c>
      <c r="B115" s="22" t="s">
        <v>215</v>
      </c>
      <c r="C115" s="31" t="n">
        <v>46270</v>
      </c>
      <c r="D115" s="22" t="s">
        <v>300</v>
      </c>
      <c r="E115" s="22" t="s">
        <v>305</v>
      </c>
      <c r="F115" s="29" t="str">
        <f aca="false">IF(COUNTIF(Referral_Data!$C$5:$C$1000,B115)&gt;0,"Referred",IF(COUNTIF(Referral_Data!$B$5:$B$1000,B115)&gt;0,"Referrer","Organic"))</f>
        <v>Referrer</v>
      </c>
      <c r="G115" s="29" t="n">
        <f aca="false">IF(COUNTIFS($B$5:B115,B115,$C$5:C115,C115)=1,1,0)</f>
        <v>0</v>
      </c>
      <c r="H115" s="29" t="n">
        <f aca="false">IF(AND(G115=1,COUNTIFS($B$5:$B$1635,B115,$C$5:$C$1635,"&lt;"&amp;C115)&gt;0),1,0)</f>
        <v>0</v>
      </c>
      <c r="I115" s="29" t="n">
        <f aca="false">IF(AND(D115="Feature Use",COUNTIFS($B$5:B115,B115,$D$5:D115,"Feature Use",$E$5:E115,E115)=1),1,0)</f>
        <v>1</v>
      </c>
      <c r="J115" s="29" t="n">
        <f aca="false">IF(AND(D115="Feature Use",COUNTIFS($B$5:B115,B115,$D$5:D115,"Feature Use",$E$5:E115,E115)=2),1,0)</f>
        <v>0</v>
      </c>
      <c r="K115" s="29" t="n">
        <f aca="false">IF(COUNTIF($B$5:B115,B115)=1,1,0)</f>
        <v>0</v>
      </c>
      <c r="L115" s="29" t="n">
        <f aca="false">IF(AND(C115&gt;=Settings!$B$5-Settings!$B$8+1,C115&lt;=Settings!$B$5,COUNTIFS($B$5:B115,B115,$C$5:C115,"&gt;="&amp;(Settings!$B$5-Settings!$B$8+1),$C$5:C115,"&lt;="&amp;Settings!$B$5)=1),1,0)</f>
        <v>0</v>
      </c>
      <c r="M115" s="29" t="n">
        <f aca="false">IF(AND(C115&gt;=Settings!$B$5-Settings!$B$9+1,C115&lt;=Settings!$B$5,COUNTIFS($B$5:B115,B115,$C$5:C115,"&gt;="&amp;(Settings!$B$5-Settings!$B$9+1),$C$5:C115,"&lt;="&amp;Settings!$B$5)=1),1,0)</f>
        <v>0</v>
      </c>
      <c r="N115" s="29" t="n">
        <f aca="false">IF(AND(D115="Feature Use",COUNTIFS($B$5:B115,B115,$D$5:D115,"Feature Use")=1),1,0)</f>
        <v>0</v>
      </c>
    </row>
    <row r="116" customFormat="false" ht="15" hidden="false" customHeight="false" outlineLevel="0" collapsed="false">
      <c r="A116" s="22" t="s">
        <v>421</v>
      </c>
      <c r="B116" s="22" t="s">
        <v>175</v>
      </c>
      <c r="C116" s="31" t="n">
        <v>46270</v>
      </c>
      <c r="D116" s="22" t="s">
        <v>297</v>
      </c>
      <c r="E116" s="22" t="s">
        <v>298</v>
      </c>
      <c r="F116" s="29" t="str">
        <f aca="false">IF(COUNTIF(Referral_Data!$C$5:$C$1000,B116)&gt;0,"Referred",IF(COUNTIF(Referral_Data!$B$5:$B$1000,B116)&gt;0,"Referrer","Organic"))</f>
        <v>Referrer</v>
      </c>
      <c r="G116" s="29" t="n">
        <f aca="false">IF(COUNTIFS($B$5:B116,B116,$C$5:C116,C116)=1,1,0)</f>
        <v>1</v>
      </c>
      <c r="H116" s="29" t="n">
        <f aca="false">IF(AND(G116=1,COUNTIFS($B$5:$B$1635,B116,$C$5:$C$1635,"&lt;"&amp;C116)&gt;0),1,0)</f>
        <v>1</v>
      </c>
      <c r="I116" s="29" t="n">
        <f aca="false">IF(AND(D116="Feature Use",COUNTIFS($B$5:B116,B116,$D$5:D116,"Feature Use",$E$5:E116,E116)=1),1,0)</f>
        <v>0</v>
      </c>
      <c r="J116" s="29" t="n">
        <f aca="false">IF(AND(D116="Feature Use",COUNTIFS($B$5:B116,B116,$D$5:D116,"Feature Use",$E$5:E116,E116)=2),1,0)</f>
        <v>0</v>
      </c>
      <c r="K116" s="29" t="n">
        <f aca="false">IF(COUNTIF($B$5:B116,B116)=1,1,0)</f>
        <v>0</v>
      </c>
      <c r="L116" s="29" t="n">
        <f aca="false">IF(AND(C116&gt;=Settings!$B$5-Settings!$B$8+1,C116&lt;=Settings!$B$5,COUNTIFS($B$5:B116,B116,$C$5:C116,"&gt;="&amp;(Settings!$B$5-Settings!$B$8+1),$C$5:C116,"&lt;="&amp;Settings!$B$5)=1),1,0)</f>
        <v>0</v>
      </c>
      <c r="M116" s="29" t="n">
        <f aca="false">IF(AND(C116&gt;=Settings!$B$5-Settings!$B$9+1,C116&lt;=Settings!$B$5,COUNTIFS($B$5:B116,B116,$C$5:C116,"&gt;="&amp;(Settings!$B$5-Settings!$B$9+1),$C$5:C116,"&lt;="&amp;Settings!$B$5)=1),1,0)</f>
        <v>0</v>
      </c>
      <c r="N116" s="29" t="n">
        <f aca="false">IF(AND(D116="Feature Use",COUNTIFS($B$5:B116,B116,$D$5:D116,"Feature Use")=1),1,0)</f>
        <v>0</v>
      </c>
    </row>
    <row r="117" customFormat="false" ht="15" hidden="false" customHeight="false" outlineLevel="0" collapsed="false">
      <c r="A117" s="22" t="s">
        <v>422</v>
      </c>
      <c r="B117" s="22" t="s">
        <v>175</v>
      </c>
      <c r="C117" s="31" t="n">
        <v>46270</v>
      </c>
      <c r="D117" s="22" t="s">
        <v>300</v>
      </c>
      <c r="E117" s="22" t="s">
        <v>305</v>
      </c>
      <c r="F117" s="29" t="str">
        <f aca="false">IF(COUNTIF(Referral_Data!$C$5:$C$1000,B117)&gt;0,"Referred",IF(COUNTIF(Referral_Data!$B$5:$B$1000,B117)&gt;0,"Referrer","Organic"))</f>
        <v>Referrer</v>
      </c>
      <c r="G117" s="29" t="n">
        <f aca="false">IF(COUNTIFS($B$5:B117,B117,$C$5:C117,C117)=1,1,0)</f>
        <v>0</v>
      </c>
      <c r="H117" s="29" t="n">
        <f aca="false">IF(AND(G117=1,COUNTIFS($B$5:$B$1635,B117,$C$5:$C$1635,"&lt;"&amp;C117)&gt;0),1,0)</f>
        <v>0</v>
      </c>
      <c r="I117" s="29" t="n">
        <f aca="false">IF(AND(D117="Feature Use",COUNTIFS($B$5:B117,B117,$D$5:D117,"Feature Use",$E$5:E117,E117)=1),1,0)</f>
        <v>1</v>
      </c>
      <c r="J117" s="29" t="n">
        <f aca="false">IF(AND(D117="Feature Use",COUNTIFS($B$5:B117,B117,$D$5:D117,"Feature Use",$E$5:E117,E117)=2),1,0)</f>
        <v>0</v>
      </c>
      <c r="K117" s="29" t="n">
        <f aca="false">IF(COUNTIF($B$5:B117,B117)=1,1,0)</f>
        <v>0</v>
      </c>
      <c r="L117" s="29" t="n">
        <f aca="false">IF(AND(C117&gt;=Settings!$B$5-Settings!$B$8+1,C117&lt;=Settings!$B$5,COUNTIFS($B$5:B117,B117,$C$5:C117,"&gt;="&amp;(Settings!$B$5-Settings!$B$8+1),$C$5:C117,"&lt;="&amp;Settings!$B$5)=1),1,0)</f>
        <v>0</v>
      </c>
      <c r="M117" s="29" t="n">
        <f aca="false">IF(AND(C117&gt;=Settings!$B$5-Settings!$B$9+1,C117&lt;=Settings!$B$5,COUNTIFS($B$5:B117,B117,$C$5:C117,"&gt;="&amp;(Settings!$B$5-Settings!$B$9+1),$C$5:C117,"&lt;="&amp;Settings!$B$5)=1),1,0)</f>
        <v>0</v>
      </c>
      <c r="N117" s="29" t="n">
        <f aca="false">IF(AND(D117="Feature Use",COUNTIFS($B$5:B117,B117,$D$5:D117,"Feature Use")=1),1,0)</f>
        <v>0</v>
      </c>
    </row>
    <row r="118" customFormat="false" ht="15" hidden="false" customHeight="false" outlineLevel="0" collapsed="false">
      <c r="A118" s="22" t="s">
        <v>423</v>
      </c>
      <c r="B118" s="22" t="s">
        <v>175</v>
      </c>
      <c r="C118" s="31" t="n">
        <v>46270</v>
      </c>
      <c r="D118" s="22" t="s">
        <v>300</v>
      </c>
      <c r="E118" s="22" t="s">
        <v>305</v>
      </c>
      <c r="F118" s="29" t="str">
        <f aca="false">IF(COUNTIF(Referral_Data!$C$5:$C$1000,B118)&gt;0,"Referred",IF(COUNTIF(Referral_Data!$B$5:$B$1000,B118)&gt;0,"Referrer","Organic"))</f>
        <v>Referrer</v>
      </c>
      <c r="G118" s="29" t="n">
        <f aca="false">IF(COUNTIFS($B$5:B118,B118,$C$5:C118,C118)=1,1,0)</f>
        <v>0</v>
      </c>
      <c r="H118" s="29" t="n">
        <f aca="false">IF(AND(G118=1,COUNTIFS($B$5:$B$1635,B118,$C$5:$C$1635,"&lt;"&amp;C118)&gt;0),1,0)</f>
        <v>0</v>
      </c>
      <c r="I118" s="29" t="n">
        <f aca="false">IF(AND(D118="Feature Use",COUNTIFS($B$5:B118,B118,$D$5:D118,"Feature Use",$E$5:E118,E118)=1),1,0)</f>
        <v>0</v>
      </c>
      <c r="J118" s="29" t="n">
        <f aca="false">IF(AND(D118="Feature Use",COUNTIFS($B$5:B118,B118,$D$5:D118,"Feature Use",$E$5:E118,E118)=2),1,0)</f>
        <v>1</v>
      </c>
      <c r="K118" s="29" t="n">
        <f aca="false">IF(COUNTIF($B$5:B118,B118)=1,1,0)</f>
        <v>0</v>
      </c>
      <c r="L118" s="29" t="n">
        <f aca="false">IF(AND(C118&gt;=Settings!$B$5-Settings!$B$8+1,C118&lt;=Settings!$B$5,COUNTIFS($B$5:B118,B118,$C$5:C118,"&gt;="&amp;(Settings!$B$5-Settings!$B$8+1),$C$5:C118,"&lt;="&amp;Settings!$B$5)=1),1,0)</f>
        <v>0</v>
      </c>
      <c r="M118" s="29" t="n">
        <f aca="false">IF(AND(C118&gt;=Settings!$B$5-Settings!$B$9+1,C118&lt;=Settings!$B$5,COUNTIFS($B$5:B118,B118,$C$5:C118,"&gt;="&amp;(Settings!$B$5-Settings!$B$9+1),$C$5:C118,"&lt;="&amp;Settings!$B$5)=1),1,0)</f>
        <v>0</v>
      </c>
      <c r="N118" s="29" t="n">
        <f aca="false">IF(AND(D118="Feature Use",COUNTIFS($B$5:B118,B118,$D$5:D118,"Feature Use")=1),1,0)</f>
        <v>0</v>
      </c>
    </row>
    <row r="119" customFormat="false" ht="15" hidden="false" customHeight="false" outlineLevel="0" collapsed="false">
      <c r="A119" s="22" t="s">
        <v>424</v>
      </c>
      <c r="B119" s="22" t="s">
        <v>175</v>
      </c>
      <c r="C119" s="31" t="n">
        <v>46270</v>
      </c>
      <c r="D119" s="22" t="s">
        <v>308</v>
      </c>
      <c r="E119" s="22" t="s">
        <v>305</v>
      </c>
      <c r="F119" s="29" t="str">
        <f aca="false">IF(COUNTIF(Referral_Data!$C$5:$C$1000,B119)&gt;0,"Referred",IF(COUNTIF(Referral_Data!$B$5:$B$1000,B119)&gt;0,"Referrer","Organic"))</f>
        <v>Referrer</v>
      </c>
      <c r="G119" s="29" t="n">
        <f aca="false">IF(COUNTIFS($B$5:B119,B119,$C$5:C119,C119)=1,1,0)</f>
        <v>0</v>
      </c>
      <c r="H119" s="29" t="n">
        <f aca="false">IF(AND(G119=1,COUNTIFS($B$5:$B$1635,B119,$C$5:$C$1635,"&lt;"&amp;C119)&gt;0),1,0)</f>
        <v>0</v>
      </c>
      <c r="I119" s="29" t="n">
        <f aca="false">IF(AND(D119="Feature Use",COUNTIFS($B$5:B119,B119,$D$5:D119,"Feature Use",$E$5:E119,E119)=1),1,0)</f>
        <v>0</v>
      </c>
      <c r="J119" s="29" t="n">
        <f aca="false">IF(AND(D119="Feature Use",COUNTIFS($B$5:B119,B119,$D$5:D119,"Feature Use",$E$5:E119,E119)=2),1,0)</f>
        <v>0</v>
      </c>
      <c r="K119" s="29" t="n">
        <f aca="false">IF(COUNTIF($B$5:B119,B119)=1,1,0)</f>
        <v>0</v>
      </c>
      <c r="L119" s="29" t="n">
        <f aca="false">IF(AND(C119&gt;=Settings!$B$5-Settings!$B$8+1,C119&lt;=Settings!$B$5,COUNTIFS($B$5:B119,B119,$C$5:C119,"&gt;="&amp;(Settings!$B$5-Settings!$B$8+1),$C$5:C119,"&lt;="&amp;Settings!$B$5)=1),1,0)</f>
        <v>0</v>
      </c>
      <c r="M119" s="29" t="n">
        <f aca="false">IF(AND(C119&gt;=Settings!$B$5-Settings!$B$9+1,C119&lt;=Settings!$B$5,COUNTIFS($B$5:B119,B119,$C$5:C119,"&gt;="&amp;(Settings!$B$5-Settings!$B$9+1),$C$5:C119,"&lt;="&amp;Settings!$B$5)=1),1,0)</f>
        <v>0</v>
      </c>
      <c r="N119" s="29" t="n">
        <f aca="false">IF(AND(D119="Feature Use",COUNTIFS($B$5:B119,B119,$D$5:D119,"Feature Use")=1),1,0)</f>
        <v>0</v>
      </c>
    </row>
    <row r="120" customFormat="false" ht="15" hidden="false" customHeight="false" outlineLevel="0" collapsed="false">
      <c r="A120" s="22" t="s">
        <v>425</v>
      </c>
      <c r="B120" s="22" t="s">
        <v>175</v>
      </c>
      <c r="C120" s="31" t="n">
        <v>46270</v>
      </c>
      <c r="D120" s="22" t="s">
        <v>308</v>
      </c>
      <c r="E120" s="22" t="s">
        <v>305</v>
      </c>
      <c r="F120" s="29" t="str">
        <f aca="false">IF(COUNTIF(Referral_Data!$C$5:$C$1000,B120)&gt;0,"Referred",IF(COUNTIF(Referral_Data!$B$5:$B$1000,B120)&gt;0,"Referrer","Organic"))</f>
        <v>Referrer</v>
      </c>
      <c r="G120" s="29" t="n">
        <f aca="false">IF(COUNTIFS($B$5:B120,B120,$C$5:C120,C120)=1,1,0)</f>
        <v>0</v>
      </c>
      <c r="H120" s="29" t="n">
        <f aca="false">IF(AND(G120=1,COUNTIFS($B$5:$B$1635,B120,$C$5:$C$1635,"&lt;"&amp;C120)&gt;0),1,0)</f>
        <v>0</v>
      </c>
      <c r="I120" s="29" t="n">
        <f aca="false">IF(AND(D120="Feature Use",COUNTIFS($B$5:B120,B120,$D$5:D120,"Feature Use",$E$5:E120,E120)=1),1,0)</f>
        <v>0</v>
      </c>
      <c r="J120" s="29" t="n">
        <f aca="false">IF(AND(D120="Feature Use",COUNTIFS($B$5:B120,B120,$D$5:D120,"Feature Use",$E$5:E120,E120)=2),1,0)</f>
        <v>0</v>
      </c>
      <c r="K120" s="29" t="n">
        <f aca="false">IF(COUNTIF($B$5:B120,B120)=1,1,0)</f>
        <v>0</v>
      </c>
      <c r="L120" s="29" t="n">
        <f aca="false">IF(AND(C120&gt;=Settings!$B$5-Settings!$B$8+1,C120&lt;=Settings!$B$5,COUNTIFS($B$5:B120,B120,$C$5:C120,"&gt;="&amp;(Settings!$B$5-Settings!$B$8+1),$C$5:C120,"&lt;="&amp;Settings!$B$5)=1),1,0)</f>
        <v>0</v>
      </c>
      <c r="M120" s="29" t="n">
        <f aca="false">IF(AND(C120&gt;=Settings!$B$5-Settings!$B$9+1,C120&lt;=Settings!$B$5,COUNTIFS($B$5:B120,B120,$C$5:C120,"&gt;="&amp;(Settings!$B$5-Settings!$B$9+1),$C$5:C120,"&lt;="&amp;Settings!$B$5)=1),1,0)</f>
        <v>0</v>
      </c>
      <c r="N120" s="29" t="n">
        <f aca="false">IF(AND(D120="Feature Use",COUNTIFS($B$5:B120,B120,$D$5:D120,"Feature Use")=1),1,0)</f>
        <v>0</v>
      </c>
    </row>
    <row r="121" customFormat="false" ht="15" hidden="false" customHeight="false" outlineLevel="0" collapsed="false">
      <c r="A121" s="22" t="s">
        <v>426</v>
      </c>
      <c r="B121" s="22" t="s">
        <v>427</v>
      </c>
      <c r="C121" s="31" t="n">
        <v>46271</v>
      </c>
      <c r="D121" s="22" t="s">
        <v>297</v>
      </c>
      <c r="E121" s="22" t="s">
        <v>298</v>
      </c>
      <c r="F121" s="29" t="str">
        <f aca="false">IF(COUNTIF(Referral_Data!$C$5:$C$1000,B121)&gt;0,"Referred",IF(COUNTIF(Referral_Data!$B$5:$B$1000,B121)&gt;0,"Referrer","Organic"))</f>
        <v>Organic</v>
      </c>
      <c r="G121" s="29" t="n">
        <f aca="false">IF(COUNTIFS($B$5:B121,B121,$C$5:C121,C121)=1,1,0)</f>
        <v>1</v>
      </c>
      <c r="H121" s="29" t="n">
        <f aca="false">IF(AND(G121=1,COUNTIFS($B$5:$B$1635,B121,$C$5:$C$1635,"&lt;"&amp;C121)&gt;0),1,0)</f>
        <v>0</v>
      </c>
      <c r="I121" s="29" t="n">
        <f aca="false">IF(AND(D121="Feature Use",COUNTIFS($B$5:B121,B121,$D$5:D121,"Feature Use",$E$5:E121,E121)=1),1,0)</f>
        <v>0</v>
      </c>
      <c r="J121" s="29" t="n">
        <f aca="false">IF(AND(D121="Feature Use",COUNTIFS($B$5:B121,B121,$D$5:D121,"Feature Use",$E$5:E121,E121)=2),1,0)</f>
        <v>0</v>
      </c>
      <c r="K121" s="29" t="n">
        <f aca="false">IF(COUNTIF($B$5:B121,B121)=1,1,0)</f>
        <v>1</v>
      </c>
      <c r="L121" s="29" t="n">
        <f aca="false">IF(AND(C121&gt;=Settings!$B$5-Settings!$B$8+1,C121&lt;=Settings!$B$5,COUNTIFS($B$5:B121,B121,$C$5:C121,"&gt;="&amp;(Settings!$B$5-Settings!$B$8+1),$C$5:C121,"&lt;="&amp;Settings!$B$5)=1),1,0)</f>
        <v>0</v>
      </c>
      <c r="M121" s="29" t="n">
        <f aca="false">IF(AND(C121&gt;=Settings!$B$5-Settings!$B$9+1,C121&lt;=Settings!$B$5,COUNTIFS($B$5:B121,B121,$C$5:C121,"&gt;="&amp;(Settings!$B$5-Settings!$B$9+1),$C$5:C121,"&lt;="&amp;Settings!$B$5)=1),1,0)</f>
        <v>0</v>
      </c>
      <c r="N121" s="29" t="n">
        <f aca="false">IF(AND(D121="Feature Use",COUNTIFS($B$5:B121,B121,$D$5:D121,"Feature Use")=1),1,0)</f>
        <v>0</v>
      </c>
    </row>
    <row r="122" customFormat="false" ht="15" hidden="false" customHeight="false" outlineLevel="0" collapsed="false">
      <c r="A122" s="22" t="s">
        <v>428</v>
      </c>
      <c r="B122" s="22" t="s">
        <v>427</v>
      </c>
      <c r="C122" s="31" t="n">
        <v>46271</v>
      </c>
      <c r="D122" s="22" t="s">
        <v>300</v>
      </c>
      <c r="E122" s="22" t="s">
        <v>305</v>
      </c>
      <c r="F122" s="29" t="str">
        <f aca="false">IF(COUNTIF(Referral_Data!$C$5:$C$1000,B122)&gt;0,"Referred",IF(COUNTIF(Referral_Data!$B$5:$B$1000,B122)&gt;0,"Referrer","Organic"))</f>
        <v>Organic</v>
      </c>
      <c r="G122" s="29" t="n">
        <f aca="false">IF(COUNTIFS($B$5:B122,B122,$C$5:C122,C122)=1,1,0)</f>
        <v>0</v>
      </c>
      <c r="H122" s="29" t="n">
        <f aca="false">IF(AND(G122=1,COUNTIFS($B$5:$B$1635,B122,$C$5:$C$1635,"&lt;"&amp;C122)&gt;0),1,0)</f>
        <v>0</v>
      </c>
      <c r="I122" s="29" t="n">
        <f aca="false">IF(AND(D122="Feature Use",COUNTIFS($B$5:B122,B122,$D$5:D122,"Feature Use",$E$5:E122,E122)=1),1,0)</f>
        <v>1</v>
      </c>
      <c r="J122" s="29" t="n">
        <f aca="false">IF(AND(D122="Feature Use",COUNTIFS($B$5:B122,B122,$D$5:D122,"Feature Use",$E$5:E122,E122)=2),1,0)</f>
        <v>0</v>
      </c>
      <c r="K122" s="29" t="n">
        <f aca="false">IF(COUNTIF($B$5:B122,B122)=1,1,0)</f>
        <v>0</v>
      </c>
      <c r="L122" s="29" t="n">
        <f aca="false">IF(AND(C122&gt;=Settings!$B$5-Settings!$B$8+1,C122&lt;=Settings!$B$5,COUNTIFS($B$5:B122,B122,$C$5:C122,"&gt;="&amp;(Settings!$B$5-Settings!$B$8+1),$C$5:C122,"&lt;="&amp;Settings!$B$5)=1),1,0)</f>
        <v>0</v>
      </c>
      <c r="M122" s="29" t="n">
        <f aca="false">IF(AND(C122&gt;=Settings!$B$5-Settings!$B$9+1,C122&lt;=Settings!$B$5,COUNTIFS($B$5:B122,B122,$C$5:C122,"&gt;="&amp;(Settings!$B$5-Settings!$B$9+1),$C$5:C122,"&lt;="&amp;Settings!$B$5)=1),1,0)</f>
        <v>0</v>
      </c>
      <c r="N122" s="29" t="n">
        <f aca="false">IF(AND(D122="Feature Use",COUNTIFS($B$5:B122,B122,$D$5:D122,"Feature Use")=1),1,0)</f>
        <v>1</v>
      </c>
    </row>
    <row r="123" customFormat="false" ht="15" hidden="false" customHeight="false" outlineLevel="0" collapsed="false">
      <c r="A123" s="22" t="s">
        <v>429</v>
      </c>
      <c r="B123" s="22" t="s">
        <v>427</v>
      </c>
      <c r="C123" s="31" t="n">
        <v>46271</v>
      </c>
      <c r="D123" s="22" t="s">
        <v>308</v>
      </c>
      <c r="E123" s="22" t="s">
        <v>311</v>
      </c>
      <c r="F123" s="29" t="str">
        <f aca="false">IF(COUNTIF(Referral_Data!$C$5:$C$1000,B123)&gt;0,"Referred",IF(COUNTIF(Referral_Data!$B$5:$B$1000,B123)&gt;0,"Referrer","Organic"))</f>
        <v>Organic</v>
      </c>
      <c r="G123" s="29" t="n">
        <f aca="false">IF(COUNTIFS($B$5:B123,B123,$C$5:C123,C123)=1,1,0)</f>
        <v>0</v>
      </c>
      <c r="H123" s="29" t="n">
        <f aca="false">IF(AND(G123=1,COUNTIFS($B$5:$B$1635,B123,$C$5:$C$1635,"&lt;"&amp;C123)&gt;0),1,0)</f>
        <v>0</v>
      </c>
      <c r="I123" s="29" t="n">
        <f aca="false">IF(AND(D123="Feature Use",COUNTIFS($B$5:B123,B123,$D$5:D123,"Feature Use",$E$5:E123,E123)=1),1,0)</f>
        <v>0</v>
      </c>
      <c r="J123" s="29" t="n">
        <f aca="false">IF(AND(D123="Feature Use",COUNTIFS($B$5:B123,B123,$D$5:D123,"Feature Use",$E$5:E123,E123)=2),1,0)</f>
        <v>0</v>
      </c>
      <c r="K123" s="29" t="n">
        <f aca="false">IF(COUNTIF($B$5:B123,B123)=1,1,0)</f>
        <v>0</v>
      </c>
      <c r="L123" s="29" t="n">
        <f aca="false">IF(AND(C123&gt;=Settings!$B$5-Settings!$B$8+1,C123&lt;=Settings!$B$5,COUNTIFS($B$5:B123,B123,$C$5:C123,"&gt;="&amp;(Settings!$B$5-Settings!$B$8+1),$C$5:C123,"&lt;="&amp;Settings!$B$5)=1),1,0)</f>
        <v>0</v>
      </c>
      <c r="M123" s="29" t="n">
        <f aca="false">IF(AND(C123&gt;=Settings!$B$5-Settings!$B$9+1,C123&lt;=Settings!$B$5,COUNTIFS($B$5:B123,B123,$C$5:C123,"&gt;="&amp;(Settings!$B$5-Settings!$B$9+1),$C$5:C123,"&lt;="&amp;Settings!$B$5)=1),1,0)</f>
        <v>0</v>
      </c>
      <c r="N123" s="29" t="n">
        <f aca="false">IF(AND(D123="Feature Use",COUNTIFS($B$5:B123,B123,$D$5:D123,"Feature Use")=1),1,0)</f>
        <v>0</v>
      </c>
    </row>
    <row r="124" customFormat="false" ht="15" hidden="false" customHeight="false" outlineLevel="0" collapsed="false">
      <c r="A124" s="22" t="s">
        <v>430</v>
      </c>
      <c r="B124" s="22" t="s">
        <v>427</v>
      </c>
      <c r="C124" s="31" t="n">
        <v>46271</v>
      </c>
      <c r="D124" s="22" t="s">
        <v>308</v>
      </c>
      <c r="E124" s="22" t="s">
        <v>309</v>
      </c>
      <c r="F124" s="29" t="str">
        <f aca="false">IF(COUNTIF(Referral_Data!$C$5:$C$1000,B124)&gt;0,"Referred",IF(COUNTIF(Referral_Data!$B$5:$B$1000,B124)&gt;0,"Referrer","Organic"))</f>
        <v>Organic</v>
      </c>
      <c r="G124" s="29" t="n">
        <f aca="false">IF(COUNTIFS($B$5:B124,B124,$C$5:C124,C124)=1,1,0)</f>
        <v>0</v>
      </c>
      <c r="H124" s="29" t="n">
        <f aca="false">IF(AND(G124=1,COUNTIFS($B$5:$B$1635,B124,$C$5:$C$1635,"&lt;"&amp;C124)&gt;0),1,0)</f>
        <v>0</v>
      </c>
      <c r="I124" s="29" t="n">
        <f aca="false">IF(AND(D124="Feature Use",COUNTIFS($B$5:B124,B124,$D$5:D124,"Feature Use",$E$5:E124,E124)=1),1,0)</f>
        <v>0</v>
      </c>
      <c r="J124" s="29" t="n">
        <f aca="false">IF(AND(D124="Feature Use",COUNTIFS($B$5:B124,B124,$D$5:D124,"Feature Use",$E$5:E124,E124)=2),1,0)</f>
        <v>0</v>
      </c>
      <c r="K124" s="29" t="n">
        <f aca="false">IF(COUNTIF($B$5:B124,B124)=1,1,0)</f>
        <v>0</v>
      </c>
      <c r="L124" s="29" t="n">
        <f aca="false">IF(AND(C124&gt;=Settings!$B$5-Settings!$B$8+1,C124&lt;=Settings!$B$5,COUNTIFS($B$5:B124,B124,$C$5:C124,"&gt;="&amp;(Settings!$B$5-Settings!$B$8+1),$C$5:C124,"&lt;="&amp;Settings!$B$5)=1),1,0)</f>
        <v>0</v>
      </c>
      <c r="M124" s="29" t="n">
        <f aca="false">IF(AND(C124&gt;=Settings!$B$5-Settings!$B$9+1,C124&lt;=Settings!$B$5,COUNTIFS($B$5:B124,B124,$C$5:C124,"&gt;="&amp;(Settings!$B$5-Settings!$B$9+1),$C$5:C124,"&lt;="&amp;Settings!$B$5)=1),1,0)</f>
        <v>0</v>
      </c>
      <c r="N124" s="29" t="n">
        <f aca="false">IF(AND(D124="Feature Use",COUNTIFS($B$5:B124,B124,$D$5:D124,"Feature Use")=1),1,0)</f>
        <v>0</v>
      </c>
    </row>
    <row r="125" customFormat="false" ht="15" hidden="false" customHeight="false" outlineLevel="0" collapsed="false">
      <c r="A125" s="22" t="s">
        <v>431</v>
      </c>
      <c r="B125" s="22" t="s">
        <v>303</v>
      </c>
      <c r="C125" s="31" t="n">
        <v>46271</v>
      </c>
      <c r="D125" s="22" t="s">
        <v>297</v>
      </c>
      <c r="E125" s="22" t="s">
        <v>298</v>
      </c>
      <c r="F125" s="29" t="str">
        <f aca="false">IF(COUNTIF(Referral_Data!$C$5:$C$1000,B125)&gt;0,"Referred",IF(COUNTIF(Referral_Data!$B$5:$B$1000,B125)&gt;0,"Referrer","Organic"))</f>
        <v>Organic</v>
      </c>
      <c r="G125" s="29" t="n">
        <f aca="false">IF(COUNTIFS($B$5:B125,B125,$C$5:C125,C125)=1,1,0)</f>
        <v>1</v>
      </c>
      <c r="H125" s="29" t="n">
        <f aca="false">IF(AND(G125=1,COUNTIFS($B$5:$B$1635,B125,$C$5:$C$1635,"&lt;"&amp;C125)&gt;0),1,0)</f>
        <v>1</v>
      </c>
      <c r="I125" s="29" t="n">
        <f aca="false">IF(AND(D125="Feature Use",COUNTIFS($B$5:B125,B125,$D$5:D125,"Feature Use",$E$5:E125,E125)=1),1,0)</f>
        <v>0</v>
      </c>
      <c r="J125" s="29" t="n">
        <f aca="false">IF(AND(D125="Feature Use",COUNTIFS($B$5:B125,B125,$D$5:D125,"Feature Use",$E$5:E125,E125)=2),1,0)</f>
        <v>0</v>
      </c>
      <c r="K125" s="29" t="n">
        <f aca="false">IF(COUNTIF($B$5:B125,B125)=1,1,0)</f>
        <v>0</v>
      </c>
      <c r="L125" s="29" t="n">
        <f aca="false">IF(AND(C125&gt;=Settings!$B$5-Settings!$B$8+1,C125&lt;=Settings!$B$5,COUNTIFS($B$5:B125,B125,$C$5:C125,"&gt;="&amp;(Settings!$B$5-Settings!$B$8+1),$C$5:C125,"&lt;="&amp;Settings!$B$5)=1),1,0)</f>
        <v>0</v>
      </c>
      <c r="M125" s="29" t="n">
        <f aca="false">IF(AND(C125&gt;=Settings!$B$5-Settings!$B$9+1,C125&lt;=Settings!$B$5,COUNTIFS($B$5:B125,B125,$C$5:C125,"&gt;="&amp;(Settings!$B$5-Settings!$B$9+1),$C$5:C125,"&lt;="&amp;Settings!$B$5)=1),1,0)</f>
        <v>0</v>
      </c>
      <c r="N125" s="29" t="n">
        <f aca="false">IF(AND(D125="Feature Use",COUNTIFS($B$5:B125,B125,$D$5:D125,"Feature Use")=1),1,0)</f>
        <v>0</v>
      </c>
    </row>
    <row r="126" customFormat="false" ht="15" hidden="false" customHeight="false" outlineLevel="0" collapsed="false">
      <c r="A126" s="22" t="s">
        <v>432</v>
      </c>
      <c r="B126" s="22" t="s">
        <v>303</v>
      </c>
      <c r="C126" s="31" t="n">
        <v>46271</v>
      </c>
      <c r="D126" s="22" t="s">
        <v>300</v>
      </c>
      <c r="E126" s="22" t="s">
        <v>305</v>
      </c>
      <c r="F126" s="29" t="str">
        <f aca="false">IF(COUNTIF(Referral_Data!$C$5:$C$1000,B126)&gt;0,"Referred",IF(COUNTIF(Referral_Data!$B$5:$B$1000,B126)&gt;0,"Referrer","Organic"))</f>
        <v>Organic</v>
      </c>
      <c r="G126" s="29" t="n">
        <f aca="false">IF(COUNTIFS($B$5:B126,B126,$C$5:C126,C126)=1,1,0)</f>
        <v>0</v>
      </c>
      <c r="H126" s="29" t="n">
        <f aca="false">IF(AND(G126=1,COUNTIFS($B$5:$B$1635,B126,$C$5:$C$1635,"&lt;"&amp;C126)&gt;0),1,0)</f>
        <v>0</v>
      </c>
      <c r="I126" s="29" t="n">
        <f aca="false">IF(AND(D126="Feature Use",COUNTIFS($B$5:B126,B126,$D$5:D126,"Feature Use",$E$5:E126,E126)=1),1,0)</f>
        <v>0</v>
      </c>
      <c r="J126" s="29" t="n">
        <f aca="false">IF(AND(D126="Feature Use",COUNTIFS($B$5:B126,B126,$D$5:D126,"Feature Use",$E$5:E126,E126)=2),1,0)</f>
        <v>0</v>
      </c>
      <c r="K126" s="29" t="n">
        <f aca="false">IF(COUNTIF($B$5:B126,B126)=1,1,0)</f>
        <v>0</v>
      </c>
      <c r="L126" s="29" t="n">
        <f aca="false">IF(AND(C126&gt;=Settings!$B$5-Settings!$B$8+1,C126&lt;=Settings!$B$5,COUNTIFS($B$5:B126,B126,$C$5:C126,"&gt;="&amp;(Settings!$B$5-Settings!$B$8+1),$C$5:C126,"&lt;="&amp;Settings!$B$5)=1),1,0)</f>
        <v>0</v>
      </c>
      <c r="M126" s="29" t="n">
        <f aca="false">IF(AND(C126&gt;=Settings!$B$5-Settings!$B$9+1,C126&lt;=Settings!$B$5,COUNTIFS($B$5:B126,B126,$C$5:C126,"&gt;="&amp;(Settings!$B$5-Settings!$B$9+1),$C$5:C126,"&lt;="&amp;Settings!$B$5)=1),1,0)</f>
        <v>0</v>
      </c>
      <c r="N126" s="29" t="n">
        <f aca="false">IF(AND(D126="Feature Use",COUNTIFS($B$5:B126,B126,$D$5:D126,"Feature Use")=1),1,0)</f>
        <v>0</v>
      </c>
    </row>
    <row r="127" customFormat="false" ht="15" hidden="false" customHeight="false" outlineLevel="0" collapsed="false">
      <c r="A127" s="22" t="s">
        <v>433</v>
      </c>
      <c r="B127" s="22" t="s">
        <v>303</v>
      </c>
      <c r="C127" s="31" t="n">
        <v>46271</v>
      </c>
      <c r="D127" s="22" t="s">
        <v>300</v>
      </c>
      <c r="E127" s="22" t="s">
        <v>301</v>
      </c>
      <c r="F127" s="29" t="str">
        <f aca="false">IF(COUNTIF(Referral_Data!$C$5:$C$1000,B127)&gt;0,"Referred",IF(COUNTIF(Referral_Data!$B$5:$B$1000,B127)&gt;0,"Referrer","Organic"))</f>
        <v>Organic</v>
      </c>
      <c r="G127" s="29" t="n">
        <f aca="false">IF(COUNTIFS($B$5:B127,B127,$C$5:C127,C127)=1,1,0)</f>
        <v>0</v>
      </c>
      <c r="H127" s="29" t="n">
        <f aca="false">IF(AND(G127=1,COUNTIFS($B$5:$B$1635,B127,$C$5:$C$1635,"&lt;"&amp;C127)&gt;0),1,0)</f>
        <v>0</v>
      </c>
      <c r="I127" s="29" t="n">
        <f aca="false">IF(AND(D127="Feature Use",COUNTIFS($B$5:B127,B127,$D$5:D127,"Feature Use",$E$5:E127,E127)=1),1,0)</f>
        <v>1</v>
      </c>
      <c r="J127" s="29" t="n">
        <f aca="false">IF(AND(D127="Feature Use",COUNTIFS($B$5:B127,B127,$D$5:D127,"Feature Use",$E$5:E127,E127)=2),1,0)</f>
        <v>0</v>
      </c>
      <c r="K127" s="29" t="n">
        <f aca="false">IF(COUNTIF($B$5:B127,B127)=1,1,0)</f>
        <v>0</v>
      </c>
      <c r="L127" s="29" t="n">
        <f aca="false">IF(AND(C127&gt;=Settings!$B$5-Settings!$B$8+1,C127&lt;=Settings!$B$5,COUNTIFS($B$5:B127,B127,$C$5:C127,"&gt;="&amp;(Settings!$B$5-Settings!$B$8+1),$C$5:C127,"&lt;="&amp;Settings!$B$5)=1),1,0)</f>
        <v>0</v>
      </c>
      <c r="M127" s="29" t="n">
        <f aca="false">IF(AND(C127&gt;=Settings!$B$5-Settings!$B$9+1,C127&lt;=Settings!$B$5,COUNTIFS($B$5:B127,B127,$C$5:C127,"&gt;="&amp;(Settings!$B$5-Settings!$B$9+1),$C$5:C127,"&lt;="&amp;Settings!$B$5)=1),1,0)</f>
        <v>0</v>
      </c>
      <c r="N127" s="29" t="n">
        <f aca="false">IF(AND(D127="Feature Use",COUNTIFS($B$5:B127,B127,$D$5:D127,"Feature Use")=1),1,0)</f>
        <v>0</v>
      </c>
    </row>
    <row r="128" customFormat="false" ht="15" hidden="false" customHeight="false" outlineLevel="0" collapsed="false">
      <c r="A128" s="22" t="s">
        <v>434</v>
      </c>
      <c r="B128" s="22" t="s">
        <v>313</v>
      </c>
      <c r="C128" s="31" t="n">
        <v>46271</v>
      </c>
      <c r="D128" s="22" t="s">
        <v>297</v>
      </c>
      <c r="E128" s="22" t="s">
        <v>298</v>
      </c>
      <c r="F128" s="29" t="str">
        <f aca="false">IF(COUNTIF(Referral_Data!$C$5:$C$1000,B128)&gt;0,"Referred",IF(COUNTIF(Referral_Data!$B$5:$B$1000,B128)&gt;0,"Referrer","Organic"))</f>
        <v>Organic</v>
      </c>
      <c r="G128" s="29" t="n">
        <f aca="false">IF(COUNTIFS($B$5:B128,B128,$C$5:C128,C128)=1,1,0)</f>
        <v>1</v>
      </c>
      <c r="H128" s="29" t="n">
        <f aca="false">IF(AND(G128=1,COUNTIFS($B$5:$B$1635,B128,$C$5:$C$1635,"&lt;"&amp;C128)&gt;0),1,0)</f>
        <v>1</v>
      </c>
      <c r="I128" s="29" t="n">
        <f aca="false">IF(AND(D128="Feature Use",COUNTIFS($B$5:B128,B128,$D$5:D128,"Feature Use",$E$5:E128,E128)=1),1,0)</f>
        <v>0</v>
      </c>
      <c r="J128" s="29" t="n">
        <f aca="false">IF(AND(D128="Feature Use",COUNTIFS($B$5:B128,B128,$D$5:D128,"Feature Use",$E$5:E128,E128)=2),1,0)</f>
        <v>0</v>
      </c>
      <c r="K128" s="29" t="n">
        <f aca="false">IF(COUNTIF($B$5:B128,B128)=1,1,0)</f>
        <v>0</v>
      </c>
      <c r="L128" s="29" t="n">
        <f aca="false">IF(AND(C128&gt;=Settings!$B$5-Settings!$B$8+1,C128&lt;=Settings!$B$5,COUNTIFS($B$5:B128,B128,$C$5:C128,"&gt;="&amp;(Settings!$B$5-Settings!$B$8+1),$C$5:C128,"&lt;="&amp;Settings!$B$5)=1),1,0)</f>
        <v>0</v>
      </c>
      <c r="M128" s="29" t="n">
        <f aca="false">IF(AND(C128&gt;=Settings!$B$5-Settings!$B$9+1,C128&lt;=Settings!$B$5,COUNTIFS($B$5:B128,B128,$C$5:C128,"&gt;="&amp;(Settings!$B$5-Settings!$B$9+1),$C$5:C128,"&lt;="&amp;Settings!$B$5)=1),1,0)</f>
        <v>0</v>
      </c>
      <c r="N128" s="29" t="n">
        <f aca="false">IF(AND(D128="Feature Use",COUNTIFS($B$5:B128,B128,$D$5:D128,"Feature Use")=1),1,0)</f>
        <v>0</v>
      </c>
    </row>
    <row r="129" customFormat="false" ht="15" hidden="false" customHeight="false" outlineLevel="0" collapsed="false">
      <c r="A129" s="22" t="s">
        <v>435</v>
      </c>
      <c r="B129" s="22" t="s">
        <v>313</v>
      </c>
      <c r="C129" s="31" t="n">
        <v>46271</v>
      </c>
      <c r="D129" s="22" t="s">
        <v>300</v>
      </c>
      <c r="E129" s="22" t="s">
        <v>305</v>
      </c>
      <c r="F129" s="29" t="str">
        <f aca="false">IF(COUNTIF(Referral_Data!$C$5:$C$1000,B129)&gt;0,"Referred",IF(COUNTIF(Referral_Data!$B$5:$B$1000,B129)&gt;0,"Referrer","Organic"))</f>
        <v>Organic</v>
      </c>
      <c r="G129" s="29" t="n">
        <f aca="false">IF(COUNTIFS($B$5:B129,B129,$C$5:C129,C129)=1,1,0)</f>
        <v>0</v>
      </c>
      <c r="H129" s="29" t="n">
        <f aca="false">IF(AND(G129=1,COUNTIFS($B$5:$B$1635,B129,$C$5:$C$1635,"&lt;"&amp;C129)&gt;0),1,0)</f>
        <v>0</v>
      </c>
      <c r="I129" s="29" t="n">
        <f aca="false">IF(AND(D129="Feature Use",COUNTIFS($B$5:B129,B129,$D$5:D129,"Feature Use",$E$5:E129,E129)=1),1,0)</f>
        <v>1</v>
      </c>
      <c r="J129" s="29" t="n">
        <f aca="false">IF(AND(D129="Feature Use",COUNTIFS($B$5:B129,B129,$D$5:D129,"Feature Use",$E$5:E129,E129)=2),1,0)</f>
        <v>0</v>
      </c>
      <c r="K129" s="29" t="n">
        <f aca="false">IF(COUNTIF($B$5:B129,B129)=1,1,0)</f>
        <v>0</v>
      </c>
      <c r="L129" s="29" t="n">
        <f aca="false">IF(AND(C129&gt;=Settings!$B$5-Settings!$B$8+1,C129&lt;=Settings!$B$5,COUNTIFS($B$5:B129,B129,$C$5:C129,"&gt;="&amp;(Settings!$B$5-Settings!$B$8+1),$C$5:C129,"&lt;="&amp;Settings!$B$5)=1),1,0)</f>
        <v>0</v>
      </c>
      <c r="M129" s="29" t="n">
        <f aca="false">IF(AND(C129&gt;=Settings!$B$5-Settings!$B$9+1,C129&lt;=Settings!$B$5,COUNTIFS($B$5:B129,B129,$C$5:C129,"&gt;="&amp;(Settings!$B$5-Settings!$B$9+1),$C$5:C129,"&lt;="&amp;Settings!$B$5)=1),1,0)</f>
        <v>0</v>
      </c>
      <c r="N129" s="29" t="n">
        <f aca="false">IF(AND(D129="Feature Use",COUNTIFS($B$5:B129,B129,$D$5:D129,"Feature Use")=1),1,0)</f>
        <v>0</v>
      </c>
    </row>
    <row r="130" customFormat="false" ht="15" hidden="false" customHeight="false" outlineLevel="0" collapsed="false">
      <c r="A130" s="22" t="s">
        <v>436</v>
      </c>
      <c r="B130" s="22" t="s">
        <v>196</v>
      </c>
      <c r="C130" s="31" t="n">
        <v>46271</v>
      </c>
      <c r="D130" s="22" t="s">
        <v>297</v>
      </c>
      <c r="E130" s="22" t="s">
        <v>298</v>
      </c>
      <c r="F130" s="29" t="str">
        <f aca="false">IF(COUNTIF(Referral_Data!$C$5:$C$1000,B130)&gt;0,"Referred",IF(COUNTIF(Referral_Data!$B$5:$B$1000,B130)&gt;0,"Referrer","Organic"))</f>
        <v>Referrer</v>
      </c>
      <c r="G130" s="29" t="n">
        <f aca="false">IF(COUNTIFS($B$5:B130,B130,$C$5:C130,C130)=1,1,0)</f>
        <v>1</v>
      </c>
      <c r="H130" s="29" t="n">
        <f aca="false">IF(AND(G130=1,COUNTIFS($B$5:$B$1635,B130,$C$5:$C$1635,"&lt;"&amp;C130)&gt;0),1,0)</f>
        <v>1</v>
      </c>
      <c r="I130" s="29" t="n">
        <f aca="false">IF(AND(D130="Feature Use",COUNTIFS($B$5:B130,B130,$D$5:D130,"Feature Use",$E$5:E130,E130)=1),1,0)</f>
        <v>0</v>
      </c>
      <c r="J130" s="29" t="n">
        <f aca="false">IF(AND(D130="Feature Use",COUNTIFS($B$5:B130,B130,$D$5:D130,"Feature Use",$E$5:E130,E130)=2),1,0)</f>
        <v>0</v>
      </c>
      <c r="K130" s="29" t="n">
        <f aca="false">IF(COUNTIF($B$5:B130,B130)=1,1,0)</f>
        <v>0</v>
      </c>
      <c r="L130" s="29" t="n">
        <f aca="false">IF(AND(C130&gt;=Settings!$B$5-Settings!$B$8+1,C130&lt;=Settings!$B$5,COUNTIFS($B$5:B130,B130,$C$5:C130,"&gt;="&amp;(Settings!$B$5-Settings!$B$8+1),$C$5:C130,"&lt;="&amp;Settings!$B$5)=1),1,0)</f>
        <v>0</v>
      </c>
      <c r="M130" s="29" t="n">
        <f aca="false">IF(AND(C130&gt;=Settings!$B$5-Settings!$B$9+1,C130&lt;=Settings!$B$5,COUNTIFS($B$5:B130,B130,$C$5:C130,"&gt;="&amp;(Settings!$B$5-Settings!$B$9+1),$C$5:C130,"&lt;="&amp;Settings!$B$5)=1),1,0)</f>
        <v>0</v>
      </c>
      <c r="N130" s="29" t="n">
        <f aca="false">IF(AND(D130="Feature Use",COUNTIFS($B$5:B130,B130,$D$5:D130,"Feature Use")=1),1,0)</f>
        <v>0</v>
      </c>
    </row>
    <row r="131" customFormat="false" ht="15" hidden="false" customHeight="false" outlineLevel="0" collapsed="false">
      <c r="A131" s="22" t="s">
        <v>437</v>
      </c>
      <c r="B131" s="22" t="s">
        <v>196</v>
      </c>
      <c r="C131" s="31" t="n">
        <v>46271</v>
      </c>
      <c r="D131" s="22" t="s">
        <v>300</v>
      </c>
      <c r="E131" s="22" t="s">
        <v>305</v>
      </c>
      <c r="F131" s="29" t="str">
        <f aca="false">IF(COUNTIF(Referral_Data!$C$5:$C$1000,B131)&gt;0,"Referred",IF(COUNTIF(Referral_Data!$B$5:$B$1000,B131)&gt;0,"Referrer","Organic"))</f>
        <v>Referrer</v>
      </c>
      <c r="G131" s="29" t="n">
        <f aca="false">IF(COUNTIFS($B$5:B131,B131,$C$5:C131,C131)=1,1,0)</f>
        <v>0</v>
      </c>
      <c r="H131" s="29" t="n">
        <f aca="false">IF(AND(G131=1,COUNTIFS($B$5:$B$1635,B131,$C$5:$C$1635,"&lt;"&amp;C131)&gt;0),1,0)</f>
        <v>0</v>
      </c>
      <c r="I131" s="29" t="n">
        <f aca="false">IF(AND(D131="Feature Use",COUNTIFS($B$5:B131,B131,$D$5:D131,"Feature Use",$E$5:E131,E131)=1),1,0)</f>
        <v>0</v>
      </c>
      <c r="J131" s="29" t="n">
        <f aca="false">IF(AND(D131="Feature Use",COUNTIFS($B$5:B131,B131,$D$5:D131,"Feature Use",$E$5:E131,E131)=2),1,0)</f>
        <v>1</v>
      </c>
      <c r="K131" s="29" t="n">
        <f aca="false">IF(COUNTIF($B$5:B131,B131)=1,1,0)</f>
        <v>0</v>
      </c>
      <c r="L131" s="29" t="n">
        <f aca="false">IF(AND(C131&gt;=Settings!$B$5-Settings!$B$8+1,C131&lt;=Settings!$B$5,COUNTIFS($B$5:B131,B131,$C$5:C131,"&gt;="&amp;(Settings!$B$5-Settings!$B$8+1),$C$5:C131,"&lt;="&amp;Settings!$B$5)=1),1,0)</f>
        <v>0</v>
      </c>
      <c r="M131" s="29" t="n">
        <f aca="false">IF(AND(C131&gt;=Settings!$B$5-Settings!$B$9+1,C131&lt;=Settings!$B$5,COUNTIFS($B$5:B131,B131,$C$5:C131,"&gt;="&amp;(Settings!$B$5-Settings!$B$9+1),$C$5:C131,"&lt;="&amp;Settings!$B$5)=1),1,0)</f>
        <v>0</v>
      </c>
      <c r="N131" s="29" t="n">
        <f aca="false">IF(AND(D131="Feature Use",COUNTIFS($B$5:B131,B131,$D$5:D131,"Feature Use")=1),1,0)</f>
        <v>0</v>
      </c>
    </row>
    <row r="132" customFormat="false" ht="15" hidden="false" customHeight="false" outlineLevel="0" collapsed="false">
      <c r="A132" s="22" t="s">
        <v>438</v>
      </c>
      <c r="B132" s="22" t="s">
        <v>215</v>
      </c>
      <c r="C132" s="31" t="n">
        <v>46271</v>
      </c>
      <c r="D132" s="22" t="s">
        <v>297</v>
      </c>
      <c r="E132" s="22" t="s">
        <v>298</v>
      </c>
      <c r="F132" s="29" t="str">
        <f aca="false">IF(COUNTIF(Referral_Data!$C$5:$C$1000,B132)&gt;0,"Referred",IF(COUNTIF(Referral_Data!$B$5:$B$1000,B132)&gt;0,"Referrer","Organic"))</f>
        <v>Referrer</v>
      </c>
      <c r="G132" s="29" t="n">
        <f aca="false">IF(COUNTIFS($B$5:B132,B132,$C$5:C132,C132)=1,1,0)</f>
        <v>1</v>
      </c>
      <c r="H132" s="29" t="n">
        <f aca="false">IF(AND(G132=1,COUNTIFS($B$5:$B$1635,B132,$C$5:$C$1635,"&lt;"&amp;C132)&gt;0),1,0)</f>
        <v>1</v>
      </c>
      <c r="I132" s="29" t="n">
        <f aca="false">IF(AND(D132="Feature Use",COUNTIFS($B$5:B132,B132,$D$5:D132,"Feature Use",$E$5:E132,E132)=1),1,0)</f>
        <v>0</v>
      </c>
      <c r="J132" s="29" t="n">
        <f aca="false">IF(AND(D132="Feature Use",COUNTIFS($B$5:B132,B132,$D$5:D132,"Feature Use",$E$5:E132,E132)=2),1,0)</f>
        <v>0</v>
      </c>
      <c r="K132" s="29" t="n">
        <f aca="false">IF(COUNTIF($B$5:B132,B132)=1,1,0)</f>
        <v>0</v>
      </c>
      <c r="L132" s="29" t="n">
        <f aca="false">IF(AND(C132&gt;=Settings!$B$5-Settings!$B$8+1,C132&lt;=Settings!$B$5,COUNTIFS($B$5:B132,B132,$C$5:C132,"&gt;="&amp;(Settings!$B$5-Settings!$B$8+1),$C$5:C132,"&lt;="&amp;Settings!$B$5)=1),1,0)</f>
        <v>0</v>
      </c>
      <c r="M132" s="29" t="n">
        <f aca="false">IF(AND(C132&gt;=Settings!$B$5-Settings!$B$9+1,C132&lt;=Settings!$B$5,COUNTIFS($B$5:B132,B132,$C$5:C132,"&gt;="&amp;(Settings!$B$5-Settings!$B$9+1),$C$5:C132,"&lt;="&amp;Settings!$B$5)=1),1,0)</f>
        <v>0</v>
      </c>
      <c r="N132" s="29" t="n">
        <f aca="false">IF(AND(D132="Feature Use",COUNTIFS($B$5:B132,B132,$D$5:D132,"Feature Use")=1),1,0)</f>
        <v>0</v>
      </c>
    </row>
    <row r="133" customFormat="false" ht="15" hidden="false" customHeight="false" outlineLevel="0" collapsed="false">
      <c r="A133" s="22" t="s">
        <v>439</v>
      </c>
      <c r="B133" s="22" t="s">
        <v>215</v>
      </c>
      <c r="C133" s="31" t="n">
        <v>46271</v>
      </c>
      <c r="D133" s="22" t="s">
        <v>300</v>
      </c>
      <c r="E133" s="22" t="s">
        <v>301</v>
      </c>
      <c r="F133" s="29" t="str">
        <f aca="false">IF(COUNTIF(Referral_Data!$C$5:$C$1000,B133)&gt;0,"Referred",IF(COUNTIF(Referral_Data!$B$5:$B$1000,B133)&gt;0,"Referrer","Organic"))</f>
        <v>Referrer</v>
      </c>
      <c r="G133" s="29" t="n">
        <f aca="false">IF(COUNTIFS($B$5:B133,B133,$C$5:C133,C133)=1,1,0)</f>
        <v>0</v>
      </c>
      <c r="H133" s="29" t="n">
        <f aca="false">IF(AND(G133=1,COUNTIFS($B$5:$B$1635,B133,$C$5:$C$1635,"&lt;"&amp;C133)&gt;0),1,0)</f>
        <v>0</v>
      </c>
      <c r="I133" s="29" t="n">
        <f aca="false">IF(AND(D133="Feature Use",COUNTIFS($B$5:B133,B133,$D$5:D133,"Feature Use",$E$5:E133,E133)=1),1,0)</f>
        <v>0</v>
      </c>
      <c r="J133" s="29" t="n">
        <f aca="false">IF(AND(D133="Feature Use",COUNTIFS($B$5:B133,B133,$D$5:D133,"Feature Use",$E$5:E133,E133)=2),1,0)</f>
        <v>0</v>
      </c>
      <c r="K133" s="29" t="n">
        <f aca="false">IF(COUNTIF($B$5:B133,B133)=1,1,0)</f>
        <v>0</v>
      </c>
      <c r="L133" s="29" t="n">
        <f aca="false">IF(AND(C133&gt;=Settings!$B$5-Settings!$B$8+1,C133&lt;=Settings!$B$5,COUNTIFS($B$5:B133,B133,$C$5:C133,"&gt;="&amp;(Settings!$B$5-Settings!$B$8+1),$C$5:C133,"&lt;="&amp;Settings!$B$5)=1),1,0)</f>
        <v>0</v>
      </c>
      <c r="M133" s="29" t="n">
        <f aca="false">IF(AND(C133&gt;=Settings!$B$5-Settings!$B$9+1,C133&lt;=Settings!$B$5,COUNTIFS($B$5:B133,B133,$C$5:C133,"&gt;="&amp;(Settings!$B$5-Settings!$B$9+1),$C$5:C133,"&lt;="&amp;Settings!$B$5)=1),1,0)</f>
        <v>0</v>
      </c>
      <c r="N133" s="29" t="n">
        <f aca="false">IF(AND(D133="Feature Use",COUNTIFS($B$5:B133,B133,$D$5:D133,"Feature Use")=1),1,0)</f>
        <v>0</v>
      </c>
    </row>
    <row r="134" customFormat="false" ht="15" hidden="false" customHeight="false" outlineLevel="0" collapsed="false">
      <c r="A134" s="22" t="s">
        <v>440</v>
      </c>
      <c r="B134" s="22" t="s">
        <v>329</v>
      </c>
      <c r="C134" s="31" t="n">
        <v>46272</v>
      </c>
      <c r="D134" s="22" t="s">
        <v>297</v>
      </c>
      <c r="E134" s="22" t="s">
        <v>298</v>
      </c>
      <c r="F134" s="29" t="str">
        <f aca="false">IF(COUNTIF(Referral_Data!$C$5:$C$1000,B134)&gt;0,"Referred",IF(COUNTIF(Referral_Data!$B$5:$B$1000,B134)&gt;0,"Referrer","Organic"))</f>
        <v>Organic</v>
      </c>
      <c r="G134" s="29" t="n">
        <f aca="false">IF(COUNTIFS($B$5:B134,B134,$C$5:C134,C134)=1,1,0)</f>
        <v>1</v>
      </c>
      <c r="H134" s="29" t="n">
        <f aca="false">IF(AND(G134=1,COUNTIFS($B$5:$B$1635,B134,$C$5:$C$1635,"&lt;"&amp;C134)&gt;0),1,0)</f>
        <v>1</v>
      </c>
      <c r="I134" s="29" t="n">
        <f aca="false">IF(AND(D134="Feature Use",COUNTIFS($B$5:B134,B134,$D$5:D134,"Feature Use",$E$5:E134,E134)=1),1,0)</f>
        <v>0</v>
      </c>
      <c r="J134" s="29" t="n">
        <f aca="false">IF(AND(D134="Feature Use",COUNTIFS($B$5:B134,B134,$D$5:D134,"Feature Use",$E$5:E134,E134)=2),1,0)</f>
        <v>0</v>
      </c>
      <c r="K134" s="29" t="n">
        <f aca="false">IF(COUNTIF($B$5:B134,B134)=1,1,0)</f>
        <v>0</v>
      </c>
      <c r="L134" s="29" t="n">
        <f aca="false">IF(AND(C134&gt;=Settings!$B$5-Settings!$B$8+1,C134&lt;=Settings!$B$5,COUNTIFS($B$5:B134,B134,$C$5:C134,"&gt;="&amp;(Settings!$B$5-Settings!$B$8+1),$C$5:C134,"&lt;="&amp;Settings!$B$5)=1),1,0)</f>
        <v>0</v>
      </c>
      <c r="M134" s="29" t="n">
        <f aca="false">IF(AND(C134&gt;=Settings!$B$5-Settings!$B$9+1,C134&lt;=Settings!$B$5,COUNTIFS($B$5:B134,B134,$C$5:C134,"&gt;="&amp;(Settings!$B$5-Settings!$B$9+1),$C$5:C134,"&lt;="&amp;Settings!$B$5)=1),1,0)</f>
        <v>0</v>
      </c>
      <c r="N134" s="29" t="n">
        <f aca="false">IF(AND(D134="Feature Use",COUNTIFS($B$5:B134,B134,$D$5:D134,"Feature Use")=1),1,0)</f>
        <v>0</v>
      </c>
    </row>
    <row r="135" customFormat="false" ht="15" hidden="false" customHeight="false" outlineLevel="0" collapsed="false">
      <c r="A135" s="22" t="s">
        <v>441</v>
      </c>
      <c r="B135" s="22" t="s">
        <v>329</v>
      </c>
      <c r="C135" s="31" t="n">
        <v>46272</v>
      </c>
      <c r="D135" s="22" t="s">
        <v>300</v>
      </c>
      <c r="E135" s="22" t="s">
        <v>319</v>
      </c>
      <c r="F135" s="29" t="str">
        <f aca="false">IF(COUNTIF(Referral_Data!$C$5:$C$1000,B135)&gt;0,"Referred",IF(COUNTIF(Referral_Data!$B$5:$B$1000,B135)&gt;0,"Referrer","Organic"))</f>
        <v>Organic</v>
      </c>
      <c r="G135" s="29" t="n">
        <f aca="false">IF(COUNTIFS($B$5:B135,B135,$C$5:C135,C135)=1,1,0)</f>
        <v>0</v>
      </c>
      <c r="H135" s="29" t="n">
        <f aca="false">IF(AND(G135=1,COUNTIFS($B$5:$B$1635,B135,$C$5:$C$1635,"&lt;"&amp;C135)&gt;0),1,0)</f>
        <v>0</v>
      </c>
      <c r="I135" s="29" t="n">
        <f aca="false">IF(AND(D135="Feature Use",COUNTIFS($B$5:B135,B135,$D$5:D135,"Feature Use",$E$5:E135,E135)=1),1,0)</f>
        <v>0</v>
      </c>
      <c r="J135" s="29" t="n">
        <f aca="false">IF(AND(D135="Feature Use",COUNTIFS($B$5:B135,B135,$D$5:D135,"Feature Use",$E$5:E135,E135)=2),1,0)</f>
        <v>1</v>
      </c>
      <c r="K135" s="29" t="n">
        <f aca="false">IF(COUNTIF($B$5:B135,B135)=1,1,0)</f>
        <v>0</v>
      </c>
      <c r="L135" s="29" t="n">
        <f aca="false">IF(AND(C135&gt;=Settings!$B$5-Settings!$B$8+1,C135&lt;=Settings!$B$5,COUNTIFS($B$5:B135,B135,$C$5:C135,"&gt;="&amp;(Settings!$B$5-Settings!$B$8+1),$C$5:C135,"&lt;="&amp;Settings!$B$5)=1),1,0)</f>
        <v>0</v>
      </c>
      <c r="M135" s="29" t="n">
        <f aca="false">IF(AND(C135&gt;=Settings!$B$5-Settings!$B$9+1,C135&lt;=Settings!$B$5,COUNTIFS($B$5:B135,B135,$C$5:C135,"&gt;="&amp;(Settings!$B$5-Settings!$B$9+1),$C$5:C135,"&lt;="&amp;Settings!$B$5)=1),1,0)</f>
        <v>0</v>
      </c>
      <c r="N135" s="29" t="n">
        <f aca="false">IF(AND(D135="Feature Use",COUNTIFS($B$5:B135,B135,$D$5:D135,"Feature Use")=1),1,0)</f>
        <v>0</v>
      </c>
    </row>
    <row r="136" customFormat="false" ht="15" hidden="false" customHeight="false" outlineLevel="0" collapsed="false">
      <c r="A136" s="22" t="s">
        <v>442</v>
      </c>
      <c r="B136" s="22" t="s">
        <v>329</v>
      </c>
      <c r="C136" s="31" t="n">
        <v>46272</v>
      </c>
      <c r="D136" s="22" t="s">
        <v>300</v>
      </c>
      <c r="E136" s="22" t="s">
        <v>301</v>
      </c>
      <c r="F136" s="29" t="str">
        <f aca="false">IF(COUNTIF(Referral_Data!$C$5:$C$1000,B136)&gt;0,"Referred",IF(COUNTIF(Referral_Data!$B$5:$B$1000,B136)&gt;0,"Referrer","Organic"))</f>
        <v>Organic</v>
      </c>
      <c r="G136" s="29" t="n">
        <f aca="false">IF(COUNTIFS($B$5:B136,B136,$C$5:C136,C136)=1,1,0)</f>
        <v>0</v>
      </c>
      <c r="H136" s="29" t="n">
        <f aca="false">IF(AND(G136=1,COUNTIFS($B$5:$B$1635,B136,$C$5:$C$1635,"&lt;"&amp;C136)&gt;0),1,0)</f>
        <v>0</v>
      </c>
      <c r="I136" s="29" t="n">
        <f aca="false">IF(AND(D136="Feature Use",COUNTIFS($B$5:B136,B136,$D$5:D136,"Feature Use",$E$5:E136,E136)=1),1,0)</f>
        <v>1</v>
      </c>
      <c r="J136" s="29" t="n">
        <f aca="false">IF(AND(D136="Feature Use",COUNTIFS($B$5:B136,B136,$D$5:D136,"Feature Use",$E$5:E136,E136)=2),1,0)</f>
        <v>0</v>
      </c>
      <c r="K136" s="29" t="n">
        <f aca="false">IF(COUNTIF($B$5:B136,B136)=1,1,0)</f>
        <v>0</v>
      </c>
      <c r="L136" s="29" t="n">
        <f aca="false">IF(AND(C136&gt;=Settings!$B$5-Settings!$B$8+1,C136&lt;=Settings!$B$5,COUNTIFS($B$5:B136,B136,$C$5:C136,"&gt;="&amp;(Settings!$B$5-Settings!$B$8+1),$C$5:C136,"&lt;="&amp;Settings!$B$5)=1),1,0)</f>
        <v>0</v>
      </c>
      <c r="M136" s="29" t="n">
        <f aca="false">IF(AND(C136&gt;=Settings!$B$5-Settings!$B$9+1,C136&lt;=Settings!$B$5,COUNTIFS($B$5:B136,B136,$C$5:C136,"&gt;="&amp;(Settings!$B$5-Settings!$B$9+1),$C$5:C136,"&lt;="&amp;Settings!$B$5)=1),1,0)</f>
        <v>0</v>
      </c>
      <c r="N136" s="29" t="n">
        <f aca="false">IF(AND(D136="Feature Use",COUNTIFS($B$5:B136,B136,$D$5:D136,"Feature Use")=1),1,0)</f>
        <v>0</v>
      </c>
    </row>
    <row r="137" customFormat="false" ht="15" hidden="false" customHeight="false" outlineLevel="0" collapsed="false">
      <c r="A137" s="22" t="s">
        <v>443</v>
      </c>
      <c r="B137" s="22" t="s">
        <v>333</v>
      </c>
      <c r="C137" s="31" t="n">
        <v>46272</v>
      </c>
      <c r="D137" s="22" t="s">
        <v>297</v>
      </c>
      <c r="E137" s="22" t="s">
        <v>298</v>
      </c>
      <c r="F137" s="29" t="str">
        <f aca="false">IF(COUNTIF(Referral_Data!$C$5:$C$1000,B137)&gt;0,"Referred",IF(COUNTIF(Referral_Data!$B$5:$B$1000,B137)&gt;0,"Referrer","Organic"))</f>
        <v>Organic</v>
      </c>
      <c r="G137" s="29" t="n">
        <f aca="false">IF(COUNTIFS($B$5:B137,B137,$C$5:C137,C137)=1,1,0)</f>
        <v>1</v>
      </c>
      <c r="H137" s="29" t="n">
        <f aca="false">IF(AND(G137=1,COUNTIFS($B$5:$B$1635,B137,$C$5:$C$1635,"&lt;"&amp;C137)&gt;0),1,0)</f>
        <v>1</v>
      </c>
      <c r="I137" s="29" t="n">
        <f aca="false">IF(AND(D137="Feature Use",COUNTIFS($B$5:B137,B137,$D$5:D137,"Feature Use",$E$5:E137,E137)=1),1,0)</f>
        <v>0</v>
      </c>
      <c r="J137" s="29" t="n">
        <f aca="false">IF(AND(D137="Feature Use",COUNTIFS($B$5:B137,B137,$D$5:D137,"Feature Use",$E$5:E137,E137)=2),1,0)</f>
        <v>0</v>
      </c>
      <c r="K137" s="29" t="n">
        <f aca="false">IF(COUNTIF($B$5:B137,B137)=1,1,0)</f>
        <v>0</v>
      </c>
      <c r="L137" s="29" t="n">
        <f aca="false">IF(AND(C137&gt;=Settings!$B$5-Settings!$B$8+1,C137&lt;=Settings!$B$5,COUNTIFS($B$5:B137,B137,$C$5:C137,"&gt;="&amp;(Settings!$B$5-Settings!$B$8+1),$C$5:C137,"&lt;="&amp;Settings!$B$5)=1),1,0)</f>
        <v>0</v>
      </c>
      <c r="M137" s="29" t="n">
        <f aca="false">IF(AND(C137&gt;=Settings!$B$5-Settings!$B$9+1,C137&lt;=Settings!$B$5,COUNTIFS($B$5:B137,B137,$C$5:C137,"&gt;="&amp;(Settings!$B$5-Settings!$B$9+1),$C$5:C137,"&lt;="&amp;Settings!$B$5)=1),1,0)</f>
        <v>0</v>
      </c>
      <c r="N137" s="29" t="n">
        <f aca="false">IF(AND(D137="Feature Use",COUNTIFS($B$5:B137,B137,$D$5:D137,"Feature Use")=1),1,0)</f>
        <v>0</v>
      </c>
    </row>
    <row r="138" customFormat="false" ht="15" hidden="false" customHeight="false" outlineLevel="0" collapsed="false">
      <c r="A138" s="22" t="s">
        <v>444</v>
      </c>
      <c r="B138" s="22" t="s">
        <v>333</v>
      </c>
      <c r="C138" s="31" t="n">
        <v>46272</v>
      </c>
      <c r="D138" s="22" t="s">
        <v>300</v>
      </c>
      <c r="E138" s="22" t="s">
        <v>319</v>
      </c>
      <c r="F138" s="29" t="str">
        <f aca="false">IF(COUNTIF(Referral_Data!$C$5:$C$1000,B138)&gt;0,"Referred",IF(COUNTIF(Referral_Data!$B$5:$B$1000,B138)&gt;0,"Referrer","Organic"))</f>
        <v>Organic</v>
      </c>
      <c r="G138" s="29" t="n">
        <f aca="false">IF(COUNTIFS($B$5:B138,B138,$C$5:C138,C138)=1,1,0)</f>
        <v>0</v>
      </c>
      <c r="H138" s="29" t="n">
        <f aca="false">IF(AND(G138=1,COUNTIFS($B$5:$B$1635,B138,$C$5:$C$1635,"&lt;"&amp;C138)&gt;0),1,0)</f>
        <v>0</v>
      </c>
      <c r="I138" s="29" t="n">
        <f aca="false">IF(AND(D138="Feature Use",COUNTIFS($B$5:B138,B138,$D$5:D138,"Feature Use",$E$5:E138,E138)=1),1,0)</f>
        <v>1</v>
      </c>
      <c r="J138" s="29" t="n">
        <f aca="false">IF(AND(D138="Feature Use",COUNTIFS($B$5:B138,B138,$D$5:D138,"Feature Use",$E$5:E138,E138)=2),1,0)</f>
        <v>0</v>
      </c>
      <c r="K138" s="29" t="n">
        <f aca="false">IF(COUNTIF($B$5:B138,B138)=1,1,0)</f>
        <v>0</v>
      </c>
      <c r="L138" s="29" t="n">
        <f aca="false">IF(AND(C138&gt;=Settings!$B$5-Settings!$B$8+1,C138&lt;=Settings!$B$5,COUNTIFS($B$5:B138,B138,$C$5:C138,"&gt;="&amp;(Settings!$B$5-Settings!$B$8+1),$C$5:C138,"&lt;="&amp;Settings!$B$5)=1),1,0)</f>
        <v>0</v>
      </c>
      <c r="M138" s="29" t="n">
        <f aca="false">IF(AND(C138&gt;=Settings!$B$5-Settings!$B$9+1,C138&lt;=Settings!$B$5,COUNTIFS($B$5:B138,B138,$C$5:C138,"&gt;="&amp;(Settings!$B$5-Settings!$B$9+1),$C$5:C138,"&lt;="&amp;Settings!$B$5)=1),1,0)</f>
        <v>0</v>
      </c>
      <c r="N138" s="29" t="n">
        <f aca="false">IF(AND(D138="Feature Use",COUNTIFS($B$5:B138,B138,$D$5:D138,"Feature Use")=1),1,0)</f>
        <v>0</v>
      </c>
    </row>
    <row r="139" customFormat="false" ht="15" hidden="false" customHeight="false" outlineLevel="0" collapsed="false">
      <c r="A139" s="22" t="s">
        <v>445</v>
      </c>
      <c r="B139" s="22" t="s">
        <v>181</v>
      </c>
      <c r="C139" s="31" t="n">
        <v>46272</v>
      </c>
      <c r="D139" s="22" t="s">
        <v>297</v>
      </c>
      <c r="E139" s="22" t="s">
        <v>298</v>
      </c>
      <c r="F139" s="29" t="str">
        <f aca="false">IF(COUNTIF(Referral_Data!$C$5:$C$1000,B139)&gt;0,"Referred",IF(COUNTIF(Referral_Data!$B$5:$B$1000,B139)&gt;0,"Referrer","Organic"))</f>
        <v>Referred</v>
      </c>
      <c r="G139" s="29" t="n">
        <f aca="false">IF(COUNTIFS($B$5:B139,B139,$C$5:C139,C139)=1,1,0)</f>
        <v>1</v>
      </c>
      <c r="H139" s="29" t="n">
        <f aca="false">IF(AND(G139=1,COUNTIFS($B$5:$B$1635,B139,$C$5:$C$1635,"&lt;"&amp;C139)&gt;0),1,0)</f>
        <v>0</v>
      </c>
      <c r="I139" s="29" t="n">
        <f aca="false">IF(AND(D139="Feature Use",COUNTIFS($B$5:B139,B139,$D$5:D139,"Feature Use",$E$5:E139,E139)=1),1,0)</f>
        <v>0</v>
      </c>
      <c r="J139" s="29" t="n">
        <f aca="false">IF(AND(D139="Feature Use",COUNTIFS($B$5:B139,B139,$D$5:D139,"Feature Use",$E$5:E139,E139)=2),1,0)</f>
        <v>0</v>
      </c>
      <c r="K139" s="29" t="n">
        <f aca="false">IF(COUNTIF($B$5:B139,B139)=1,1,0)</f>
        <v>1</v>
      </c>
      <c r="L139" s="29" t="n">
        <f aca="false">IF(AND(C139&gt;=Settings!$B$5-Settings!$B$8+1,C139&lt;=Settings!$B$5,COUNTIFS($B$5:B139,B139,$C$5:C139,"&gt;="&amp;(Settings!$B$5-Settings!$B$8+1),$C$5:C139,"&lt;="&amp;Settings!$B$5)=1),1,0)</f>
        <v>0</v>
      </c>
      <c r="M139" s="29" t="n">
        <f aca="false">IF(AND(C139&gt;=Settings!$B$5-Settings!$B$9+1,C139&lt;=Settings!$B$5,COUNTIFS($B$5:B139,B139,$C$5:C139,"&gt;="&amp;(Settings!$B$5-Settings!$B$9+1),$C$5:C139,"&lt;="&amp;Settings!$B$5)=1),1,0)</f>
        <v>0</v>
      </c>
      <c r="N139" s="29" t="n">
        <f aca="false">IF(AND(D139="Feature Use",COUNTIFS($B$5:B139,B139,$D$5:D139,"Feature Use")=1),1,0)</f>
        <v>0</v>
      </c>
    </row>
    <row r="140" customFormat="false" ht="15" hidden="false" customHeight="false" outlineLevel="0" collapsed="false">
      <c r="A140" s="22" t="s">
        <v>446</v>
      </c>
      <c r="B140" s="22" t="s">
        <v>181</v>
      </c>
      <c r="C140" s="31" t="n">
        <v>46272</v>
      </c>
      <c r="D140" s="22" t="s">
        <v>300</v>
      </c>
      <c r="E140" s="22" t="s">
        <v>301</v>
      </c>
      <c r="F140" s="29" t="str">
        <f aca="false">IF(COUNTIF(Referral_Data!$C$5:$C$1000,B140)&gt;0,"Referred",IF(COUNTIF(Referral_Data!$B$5:$B$1000,B140)&gt;0,"Referrer","Organic"))</f>
        <v>Referred</v>
      </c>
      <c r="G140" s="29" t="n">
        <f aca="false">IF(COUNTIFS($B$5:B140,B140,$C$5:C140,C140)=1,1,0)</f>
        <v>0</v>
      </c>
      <c r="H140" s="29" t="n">
        <f aca="false">IF(AND(G140=1,COUNTIFS($B$5:$B$1635,B140,$C$5:$C$1635,"&lt;"&amp;C140)&gt;0),1,0)</f>
        <v>0</v>
      </c>
      <c r="I140" s="29" t="n">
        <f aca="false">IF(AND(D140="Feature Use",COUNTIFS($B$5:B140,B140,$D$5:D140,"Feature Use",$E$5:E140,E140)=1),1,0)</f>
        <v>1</v>
      </c>
      <c r="J140" s="29" t="n">
        <f aca="false">IF(AND(D140="Feature Use",COUNTIFS($B$5:B140,B140,$D$5:D140,"Feature Use",$E$5:E140,E140)=2),1,0)</f>
        <v>0</v>
      </c>
      <c r="K140" s="29" t="n">
        <f aca="false">IF(COUNTIF($B$5:B140,B140)=1,1,0)</f>
        <v>0</v>
      </c>
      <c r="L140" s="29" t="n">
        <f aca="false">IF(AND(C140&gt;=Settings!$B$5-Settings!$B$8+1,C140&lt;=Settings!$B$5,COUNTIFS($B$5:B140,B140,$C$5:C140,"&gt;="&amp;(Settings!$B$5-Settings!$B$8+1),$C$5:C140,"&lt;="&amp;Settings!$B$5)=1),1,0)</f>
        <v>0</v>
      </c>
      <c r="M140" s="29" t="n">
        <f aca="false">IF(AND(C140&gt;=Settings!$B$5-Settings!$B$9+1,C140&lt;=Settings!$B$5,COUNTIFS($B$5:B140,B140,$C$5:C140,"&gt;="&amp;(Settings!$B$5-Settings!$B$9+1),$C$5:C140,"&lt;="&amp;Settings!$B$5)=1),1,0)</f>
        <v>0</v>
      </c>
      <c r="N140" s="29" t="n">
        <f aca="false">IF(AND(D140="Feature Use",COUNTIFS($B$5:B140,B140,$D$5:D140,"Feature Use")=1),1,0)</f>
        <v>1</v>
      </c>
    </row>
    <row r="141" customFormat="false" ht="15" hidden="false" customHeight="false" outlineLevel="0" collapsed="false">
      <c r="A141" s="22" t="s">
        <v>447</v>
      </c>
      <c r="B141" s="22" t="s">
        <v>181</v>
      </c>
      <c r="C141" s="31" t="n">
        <v>46272</v>
      </c>
      <c r="D141" s="22" t="s">
        <v>308</v>
      </c>
      <c r="E141" s="22" t="s">
        <v>311</v>
      </c>
      <c r="F141" s="29" t="str">
        <f aca="false">IF(COUNTIF(Referral_Data!$C$5:$C$1000,B141)&gt;0,"Referred",IF(COUNTIF(Referral_Data!$B$5:$B$1000,B141)&gt;0,"Referrer","Organic"))</f>
        <v>Referred</v>
      </c>
      <c r="G141" s="29" t="n">
        <f aca="false">IF(COUNTIFS($B$5:B141,B141,$C$5:C141,C141)=1,1,0)</f>
        <v>0</v>
      </c>
      <c r="H141" s="29" t="n">
        <f aca="false">IF(AND(G141=1,COUNTIFS($B$5:$B$1635,B141,$C$5:$C$1635,"&lt;"&amp;C141)&gt;0),1,0)</f>
        <v>0</v>
      </c>
      <c r="I141" s="29" t="n">
        <f aca="false">IF(AND(D141="Feature Use",COUNTIFS($B$5:B141,B141,$D$5:D141,"Feature Use",$E$5:E141,E141)=1),1,0)</f>
        <v>0</v>
      </c>
      <c r="J141" s="29" t="n">
        <f aca="false">IF(AND(D141="Feature Use",COUNTIFS($B$5:B141,B141,$D$5:D141,"Feature Use",$E$5:E141,E141)=2),1,0)</f>
        <v>0</v>
      </c>
      <c r="K141" s="29" t="n">
        <f aca="false">IF(COUNTIF($B$5:B141,B141)=1,1,0)</f>
        <v>0</v>
      </c>
      <c r="L141" s="29" t="n">
        <f aca="false">IF(AND(C141&gt;=Settings!$B$5-Settings!$B$8+1,C141&lt;=Settings!$B$5,COUNTIFS($B$5:B141,B141,$C$5:C141,"&gt;="&amp;(Settings!$B$5-Settings!$B$8+1),$C$5:C141,"&lt;="&amp;Settings!$B$5)=1),1,0)</f>
        <v>0</v>
      </c>
      <c r="M141" s="29" t="n">
        <f aca="false">IF(AND(C141&gt;=Settings!$B$5-Settings!$B$9+1,C141&lt;=Settings!$B$5,COUNTIFS($B$5:B141,B141,$C$5:C141,"&gt;="&amp;(Settings!$B$5-Settings!$B$9+1),$C$5:C141,"&lt;="&amp;Settings!$B$5)=1),1,0)</f>
        <v>0</v>
      </c>
      <c r="N141" s="29" t="n">
        <f aca="false">IF(AND(D141="Feature Use",COUNTIFS($B$5:B141,B141,$D$5:D141,"Feature Use")=1),1,0)</f>
        <v>0</v>
      </c>
    </row>
    <row r="142" customFormat="false" ht="15" hidden="false" customHeight="false" outlineLevel="0" collapsed="false">
      <c r="A142" s="22" t="s">
        <v>448</v>
      </c>
      <c r="B142" s="22" t="s">
        <v>194</v>
      </c>
      <c r="C142" s="31" t="n">
        <v>46272</v>
      </c>
      <c r="D142" s="22" t="s">
        <v>297</v>
      </c>
      <c r="E142" s="22" t="s">
        <v>298</v>
      </c>
      <c r="F142" s="29" t="str">
        <f aca="false">IF(COUNTIF(Referral_Data!$C$5:$C$1000,B142)&gt;0,"Referred",IF(COUNTIF(Referral_Data!$B$5:$B$1000,B142)&gt;0,"Referrer","Organic"))</f>
        <v>Referred</v>
      </c>
      <c r="G142" s="29" t="n">
        <f aca="false">IF(COUNTIFS($B$5:B142,B142,$C$5:C142,C142)=1,1,0)</f>
        <v>1</v>
      </c>
      <c r="H142" s="29" t="n">
        <f aca="false">IF(AND(G142=1,COUNTIFS($B$5:$B$1635,B142,$C$5:$C$1635,"&lt;"&amp;C142)&gt;0),1,0)</f>
        <v>0</v>
      </c>
      <c r="I142" s="29" t="n">
        <f aca="false">IF(AND(D142="Feature Use",COUNTIFS($B$5:B142,B142,$D$5:D142,"Feature Use",$E$5:E142,E142)=1),1,0)</f>
        <v>0</v>
      </c>
      <c r="J142" s="29" t="n">
        <f aca="false">IF(AND(D142="Feature Use",COUNTIFS($B$5:B142,B142,$D$5:D142,"Feature Use",$E$5:E142,E142)=2),1,0)</f>
        <v>0</v>
      </c>
      <c r="K142" s="29" t="n">
        <f aca="false">IF(COUNTIF($B$5:B142,B142)=1,1,0)</f>
        <v>1</v>
      </c>
      <c r="L142" s="29" t="n">
        <f aca="false">IF(AND(C142&gt;=Settings!$B$5-Settings!$B$8+1,C142&lt;=Settings!$B$5,COUNTIFS($B$5:B142,B142,$C$5:C142,"&gt;="&amp;(Settings!$B$5-Settings!$B$8+1),$C$5:C142,"&lt;="&amp;Settings!$B$5)=1),1,0)</f>
        <v>0</v>
      </c>
      <c r="M142" s="29" t="n">
        <f aca="false">IF(AND(C142&gt;=Settings!$B$5-Settings!$B$9+1,C142&lt;=Settings!$B$5,COUNTIFS($B$5:B142,B142,$C$5:C142,"&gt;="&amp;(Settings!$B$5-Settings!$B$9+1),$C$5:C142,"&lt;="&amp;Settings!$B$5)=1),1,0)</f>
        <v>0</v>
      </c>
      <c r="N142" s="29" t="n">
        <f aca="false">IF(AND(D142="Feature Use",COUNTIFS($B$5:B142,B142,$D$5:D142,"Feature Use")=1),1,0)</f>
        <v>0</v>
      </c>
    </row>
    <row r="143" customFormat="false" ht="15" hidden="false" customHeight="false" outlineLevel="0" collapsed="false">
      <c r="A143" s="22" t="s">
        <v>449</v>
      </c>
      <c r="B143" s="22" t="s">
        <v>194</v>
      </c>
      <c r="C143" s="31" t="n">
        <v>46272</v>
      </c>
      <c r="D143" s="22" t="s">
        <v>300</v>
      </c>
      <c r="E143" s="22" t="s">
        <v>305</v>
      </c>
      <c r="F143" s="29" t="str">
        <f aca="false">IF(COUNTIF(Referral_Data!$C$5:$C$1000,B143)&gt;0,"Referred",IF(COUNTIF(Referral_Data!$B$5:$B$1000,B143)&gt;0,"Referrer","Organic"))</f>
        <v>Referred</v>
      </c>
      <c r="G143" s="29" t="n">
        <f aca="false">IF(COUNTIFS($B$5:B143,B143,$C$5:C143,C143)=1,1,0)</f>
        <v>0</v>
      </c>
      <c r="H143" s="29" t="n">
        <f aca="false">IF(AND(G143=1,COUNTIFS($B$5:$B$1635,B143,$C$5:$C$1635,"&lt;"&amp;C143)&gt;0),1,0)</f>
        <v>0</v>
      </c>
      <c r="I143" s="29" t="n">
        <f aca="false">IF(AND(D143="Feature Use",COUNTIFS($B$5:B143,B143,$D$5:D143,"Feature Use",$E$5:E143,E143)=1),1,0)</f>
        <v>1</v>
      </c>
      <c r="J143" s="29" t="n">
        <f aca="false">IF(AND(D143="Feature Use",COUNTIFS($B$5:B143,B143,$D$5:D143,"Feature Use",$E$5:E143,E143)=2),1,0)</f>
        <v>0</v>
      </c>
      <c r="K143" s="29" t="n">
        <f aca="false">IF(COUNTIF($B$5:B143,B143)=1,1,0)</f>
        <v>0</v>
      </c>
      <c r="L143" s="29" t="n">
        <f aca="false">IF(AND(C143&gt;=Settings!$B$5-Settings!$B$8+1,C143&lt;=Settings!$B$5,COUNTIFS($B$5:B143,B143,$C$5:C143,"&gt;="&amp;(Settings!$B$5-Settings!$B$8+1),$C$5:C143,"&lt;="&amp;Settings!$B$5)=1),1,0)</f>
        <v>0</v>
      </c>
      <c r="M143" s="29" t="n">
        <f aca="false">IF(AND(C143&gt;=Settings!$B$5-Settings!$B$9+1,C143&lt;=Settings!$B$5,COUNTIFS($B$5:B143,B143,$C$5:C143,"&gt;="&amp;(Settings!$B$5-Settings!$B$9+1),$C$5:C143,"&lt;="&amp;Settings!$B$5)=1),1,0)</f>
        <v>0</v>
      </c>
      <c r="N143" s="29" t="n">
        <f aca="false">IF(AND(D143="Feature Use",COUNTIFS($B$5:B143,B143,$D$5:D143,"Feature Use")=1),1,0)</f>
        <v>1</v>
      </c>
    </row>
    <row r="144" customFormat="false" ht="15" hidden="false" customHeight="false" outlineLevel="0" collapsed="false">
      <c r="A144" s="22" t="s">
        <v>450</v>
      </c>
      <c r="B144" s="22" t="s">
        <v>196</v>
      </c>
      <c r="C144" s="31" t="n">
        <v>46272</v>
      </c>
      <c r="D144" s="22" t="s">
        <v>297</v>
      </c>
      <c r="E144" s="22" t="s">
        <v>298</v>
      </c>
      <c r="F144" s="29" t="str">
        <f aca="false">IF(COUNTIF(Referral_Data!$C$5:$C$1000,B144)&gt;0,"Referred",IF(COUNTIF(Referral_Data!$B$5:$B$1000,B144)&gt;0,"Referrer","Organic"))</f>
        <v>Referrer</v>
      </c>
      <c r="G144" s="29" t="n">
        <f aca="false">IF(COUNTIFS($B$5:B144,B144,$C$5:C144,C144)=1,1,0)</f>
        <v>1</v>
      </c>
      <c r="H144" s="29" t="n">
        <f aca="false">IF(AND(G144=1,COUNTIFS($B$5:$B$1635,B144,$C$5:$C$1635,"&lt;"&amp;C144)&gt;0),1,0)</f>
        <v>1</v>
      </c>
      <c r="I144" s="29" t="n">
        <f aca="false">IF(AND(D144="Feature Use",COUNTIFS($B$5:B144,B144,$D$5:D144,"Feature Use",$E$5:E144,E144)=1),1,0)</f>
        <v>0</v>
      </c>
      <c r="J144" s="29" t="n">
        <f aca="false">IF(AND(D144="Feature Use",COUNTIFS($B$5:B144,B144,$D$5:D144,"Feature Use",$E$5:E144,E144)=2),1,0)</f>
        <v>0</v>
      </c>
      <c r="K144" s="29" t="n">
        <f aca="false">IF(COUNTIF($B$5:B144,B144)=1,1,0)</f>
        <v>0</v>
      </c>
      <c r="L144" s="29" t="n">
        <f aca="false">IF(AND(C144&gt;=Settings!$B$5-Settings!$B$8+1,C144&lt;=Settings!$B$5,COUNTIFS($B$5:B144,B144,$C$5:C144,"&gt;="&amp;(Settings!$B$5-Settings!$B$8+1),$C$5:C144,"&lt;="&amp;Settings!$B$5)=1),1,0)</f>
        <v>0</v>
      </c>
      <c r="M144" s="29" t="n">
        <f aca="false">IF(AND(C144&gt;=Settings!$B$5-Settings!$B$9+1,C144&lt;=Settings!$B$5,COUNTIFS($B$5:B144,B144,$C$5:C144,"&gt;="&amp;(Settings!$B$5-Settings!$B$9+1),$C$5:C144,"&lt;="&amp;Settings!$B$5)=1),1,0)</f>
        <v>0</v>
      </c>
      <c r="N144" s="29" t="n">
        <f aca="false">IF(AND(D144="Feature Use",COUNTIFS($B$5:B144,B144,$D$5:D144,"Feature Use")=1),1,0)</f>
        <v>0</v>
      </c>
    </row>
    <row r="145" customFormat="false" ht="15" hidden="false" customHeight="false" outlineLevel="0" collapsed="false">
      <c r="A145" s="22" t="s">
        <v>451</v>
      </c>
      <c r="B145" s="22" t="s">
        <v>196</v>
      </c>
      <c r="C145" s="31" t="n">
        <v>46272</v>
      </c>
      <c r="D145" s="22" t="s">
        <v>300</v>
      </c>
      <c r="E145" s="22" t="s">
        <v>311</v>
      </c>
      <c r="F145" s="29" t="str">
        <f aca="false">IF(COUNTIF(Referral_Data!$C$5:$C$1000,B145)&gt;0,"Referred",IF(COUNTIF(Referral_Data!$B$5:$B$1000,B145)&gt;0,"Referrer","Organic"))</f>
        <v>Referrer</v>
      </c>
      <c r="G145" s="29" t="n">
        <f aca="false">IF(COUNTIFS($B$5:B145,B145,$C$5:C145,C145)=1,1,0)</f>
        <v>0</v>
      </c>
      <c r="H145" s="29" t="n">
        <f aca="false">IF(AND(G145=1,COUNTIFS($B$5:$B$1635,B145,$C$5:$C$1635,"&lt;"&amp;C145)&gt;0),1,0)</f>
        <v>0</v>
      </c>
      <c r="I145" s="29" t="n">
        <f aca="false">IF(AND(D145="Feature Use",COUNTIFS($B$5:B145,B145,$D$5:D145,"Feature Use",$E$5:E145,E145)=1),1,0)</f>
        <v>0</v>
      </c>
      <c r="J145" s="29" t="n">
        <f aca="false">IF(AND(D145="Feature Use",COUNTIFS($B$5:B145,B145,$D$5:D145,"Feature Use",$E$5:E145,E145)=2),1,0)</f>
        <v>0</v>
      </c>
      <c r="K145" s="29" t="n">
        <f aca="false">IF(COUNTIF($B$5:B145,B145)=1,1,0)</f>
        <v>0</v>
      </c>
      <c r="L145" s="29" t="n">
        <f aca="false">IF(AND(C145&gt;=Settings!$B$5-Settings!$B$8+1,C145&lt;=Settings!$B$5,COUNTIFS($B$5:B145,B145,$C$5:C145,"&gt;="&amp;(Settings!$B$5-Settings!$B$8+1),$C$5:C145,"&lt;="&amp;Settings!$B$5)=1),1,0)</f>
        <v>0</v>
      </c>
      <c r="M145" s="29" t="n">
        <f aca="false">IF(AND(C145&gt;=Settings!$B$5-Settings!$B$9+1,C145&lt;=Settings!$B$5,COUNTIFS($B$5:B145,B145,$C$5:C145,"&gt;="&amp;(Settings!$B$5-Settings!$B$9+1),$C$5:C145,"&lt;="&amp;Settings!$B$5)=1),1,0)</f>
        <v>0</v>
      </c>
      <c r="N145" s="29" t="n">
        <f aca="false">IF(AND(D145="Feature Use",COUNTIFS($B$5:B145,B145,$D$5:D145,"Feature Use")=1),1,0)</f>
        <v>0</v>
      </c>
    </row>
    <row r="146" customFormat="false" ht="15" hidden="false" customHeight="false" outlineLevel="0" collapsed="false">
      <c r="A146" s="22" t="s">
        <v>452</v>
      </c>
      <c r="B146" s="22" t="s">
        <v>196</v>
      </c>
      <c r="C146" s="31" t="n">
        <v>46272</v>
      </c>
      <c r="D146" s="22" t="s">
        <v>308</v>
      </c>
      <c r="E146" s="22" t="s">
        <v>305</v>
      </c>
      <c r="F146" s="29" t="str">
        <f aca="false">IF(COUNTIF(Referral_Data!$C$5:$C$1000,B146)&gt;0,"Referred",IF(COUNTIF(Referral_Data!$B$5:$B$1000,B146)&gt;0,"Referrer","Organic"))</f>
        <v>Referrer</v>
      </c>
      <c r="G146" s="29" t="n">
        <f aca="false">IF(COUNTIFS($B$5:B146,B146,$C$5:C146,C146)=1,1,0)</f>
        <v>0</v>
      </c>
      <c r="H146" s="29" t="n">
        <f aca="false">IF(AND(G146=1,COUNTIFS($B$5:$B$1635,B146,$C$5:$C$1635,"&lt;"&amp;C146)&gt;0),1,0)</f>
        <v>0</v>
      </c>
      <c r="I146" s="29" t="n">
        <f aca="false">IF(AND(D146="Feature Use",COUNTIFS($B$5:B146,B146,$D$5:D146,"Feature Use",$E$5:E146,E146)=1),1,0)</f>
        <v>0</v>
      </c>
      <c r="J146" s="29" t="n">
        <f aca="false">IF(AND(D146="Feature Use",COUNTIFS($B$5:B146,B146,$D$5:D146,"Feature Use",$E$5:E146,E146)=2),1,0)</f>
        <v>0</v>
      </c>
      <c r="K146" s="29" t="n">
        <f aca="false">IF(COUNTIF($B$5:B146,B146)=1,1,0)</f>
        <v>0</v>
      </c>
      <c r="L146" s="29" t="n">
        <f aca="false">IF(AND(C146&gt;=Settings!$B$5-Settings!$B$8+1,C146&lt;=Settings!$B$5,COUNTIFS($B$5:B146,B146,$C$5:C146,"&gt;="&amp;(Settings!$B$5-Settings!$B$8+1),$C$5:C146,"&lt;="&amp;Settings!$B$5)=1),1,0)</f>
        <v>0</v>
      </c>
      <c r="M146" s="29" t="n">
        <f aca="false">IF(AND(C146&gt;=Settings!$B$5-Settings!$B$9+1,C146&lt;=Settings!$B$5,COUNTIFS($B$5:B146,B146,$C$5:C146,"&gt;="&amp;(Settings!$B$5-Settings!$B$9+1),$C$5:C146,"&lt;="&amp;Settings!$B$5)=1),1,0)</f>
        <v>0</v>
      </c>
      <c r="N146" s="29" t="n">
        <f aca="false">IF(AND(D146="Feature Use",COUNTIFS($B$5:B146,B146,$D$5:D146,"Feature Use")=1),1,0)</f>
        <v>0</v>
      </c>
    </row>
    <row r="147" customFormat="false" ht="15" hidden="false" customHeight="false" outlineLevel="0" collapsed="false">
      <c r="A147" s="22" t="s">
        <v>453</v>
      </c>
      <c r="B147" s="22" t="s">
        <v>173</v>
      </c>
      <c r="C147" s="31" t="n">
        <v>46272</v>
      </c>
      <c r="D147" s="22" t="s">
        <v>297</v>
      </c>
      <c r="E147" s="22" t="s">
        <v>298</v>
      </c>
      <c r="F147" s="29" t="str">
        <f aca="false">IF(COUNTIF(Referral_Data!$C$5:$C$1000,B147)&gt;0,"Referred",IF(COUNTIF(Referral_Data!$B$5:$B$1000,B147)&gt;0,"Referrer","Organic"))</f>
        <v>Referrer</v>
      </c>
      <c r="G147" s="29" t="n">
        <f aca="false">IF(COUNTIFS($B$5:B147,B147,$C$5:C147,C147)=1,1,0)</f>
        <v>1</v>
      </c>
      <c r="H147" s="29" t="n">
        <f aca="false">IF(AND(G147=1,COUNTIFS($B$5:$B$1635,B147,$C$5:$C$1635,"&lt;"&amp;C147)&gt;0),1,0)</f>
        <v>1</v>
      </c>
      <c r="I147" s="29" t="n">
        <f aca="false">IF(AND(D147="Feature Use",COUNTIFS($B$5:B147,B147,$D$5:D147,"Feature Use",$E$5:E147,E147)=1),1,0)</f>
        <v>0</v>
      </c>
      <c r="J147" s="29" t="n">
        <f aca="false">IF(AND(D147="Feature Use",COUNTIFS($B$5:B147,B147,$D$5:D147,"Feature Use",$E$5:E147,E147)=2),1,0)</f>
        <v>0</v>
      </c>
      <c r="K147" s="29" t="n">
        <f aca="false">IF(COUNTIF($B$5:B147,B147)=1,1,0)</f>
        <v>0</v>
      </c>
      <c r="L147" s="29" t="n">
        <f aca="false">IF(AND(C147&gt;=Settings!$B$5-Settings!$B$8+1,C147&lt;=Settings!$B$5,COUNTIFS($B$5:B147,B147,$C$5:C147,"&gt;="&amp;(Settings!$B$5-Settings!$B$8+1),$C$5:C147,"&lt;="&amp;Settings!$B$5)=1),1,0)</f>
        <v>0</v>
      </c>
      <c r="M147" s="29" t="n">
        <f aca="false">IF(AND(C147&gt;=Settings!$B$5-Settings!$B$9+1,C147&lt;=Settings!$B$5,COUNTIFS($B$5:B147,B147,$C$5:C147,"&gt;="&amp;(Settings!$B$5-Settings!$B$9+1),$C$5:C147,"&lt;="&amp;Settings!$B$5)=1),1,0)</f>
        <v>0</v>
      </c>
      <c r="N147" s="29" t="n">
        <f aca="false">IF(AND(D147="Feature Use",COUNTIFS($B$5:B147,B147,$D$5:D147,"Feature Use")=1),1,0)</f>
        <v>0</v>
      </c>
    </row>
    <row r="148" customFormat="false" ht="15" hidden="false" customHeight="false" outlineLevel="0" collapsed="false">
      <c r="A148" s="22" t="s">
        <v>454</v>
      </c>
      <c r="B148" s="22" t="s">
        <v>173</v>
      </c>
      <c r="C148" s="31" t="n">
        <v>46272</v>
      </c>
      <c r="D148" s="22" t="s">
        <v>300</v>
      </c>
      <c r="E148" s="22" t="s">
        <v>311</v>
      </c>
      <c r="F148" s="29" t="str">
        <f aca="false">IF(COUNTIF(Referral_Data!$C$5:$C$1000,B148)&gt;0,"Referred",IF(COUNTIF(Referral_Data!$B$5:$B$1000,B148)&gt;0,"Referrer","Organic"))</f>
        <v>Referrer</v>
      </c>
      <c r="G148" s="29" t="n">
        <f aca="false">IF(COUNTIFS($B$5:B148,B148,$C$5:C148,C148)=1,1,0)</f>
        <v>0</v>
      </c>
      <c r="H148" s="29" t="n">
        <f aca="false">IF(AND(G148=1,COUNTIFS($B$5:$B$1635,B148,$C$5:$C$1635,"&lt;"&amp;C148)&gt;0),1,0)</f>
        <v>0</v>
      </c>
      <c r="I148" s="29" t="n">
        <f aca="false">IF(AND(D148="Feature Use",COUNTIFS($B$5:B148,B148,$D$5:D148,"Feature Use",$E$5:E148,E148)=1),1,0)</f>
        <v>1</v>
      </c>
      <c r="J148" s="29" t="n">
        <f aca="false">IF(AND(D148="Feature Use",COUNTIFS($B$5:B148,B148,$D$5:D148,"Feature Use",$E$5:E148,E148)=2),1,0)</f>
        <v>0</v>
      </c>
      <c r="K148" s="29" t="n">
        <f aca="false">IF(COUNTIF($B$5:B148,B148)=1,1,0)</f>
        <v>0</v>
      </c>
      <c r="L148" s="29" t="n">
        <f aca="false">IF(AND(C148&gt;=Settings!$B$5-Settings!$B$8+1,C148&lt;=Settings!$B$5,COUNTIFS($B$5:B148,B148,$C$5:C148,"&gt;="&amp;(Settings!$B$5-Settings!$B$8+1),$C$5:C148,"&lt;="&amp;Settings!$B$5)=1),1,0)</f>
        <v>0</v>
      </c>
      <c r="M148" s="29" t="n">
        <f aca="false">IF(AND(C148&gt;=Settings!$B$5-Settings!$B$9+1,C148&lt;=Settings!$B$5,COUNTIFS($B$5:B148,B148,$C$5:C148,"&gt;="&amp;(Settings!$B$5-Settings!$B$9+1),$C$5:C148,"&lt;="&amp;Settings!$B$5)=1),1,0)</f>
        <v>0</v>
      </c>
      <c r="N148" s="29" t="n">
        <f aca="false">IF(AND(D148="Feature Use",COUNTIFS($B$5:B148,B148,$D$5:D148,"Feature Use")=1),1,0)</f>
        <v>0</v>
      </c>
    </row>
    <row r="149" customFormat="false" ht="15" hidden="false" customHeight="false" outlineLevel="0" collapsed="false">
      <c r="A149" s="22" t="s">
        <v>455</v>
      </c>
      <c r="B149" s="22" t="s">
        <v>208</v>
      </c>
      <c r="C149" s="31" t="n">
        <v>46272</v>
      </c>
      <c r="D149" s="22" t="s">
        <v>297</v>
      </c>
      <c r="E149" s="22" t="s">
        <v>298</v>
      </c>
      <c r="F149" s="29" t="str">
        <f aca="false">IF(COUNTIF(Referral_Data!$C$5:$C$1000,B149)&gt;0,"Referred",IF(COUNTIF(Referral_Data!$B$5:$B$1000,B149)&gt;0,"Referrer","Organic"))</f>
        <v>Referrer</v>
      </c>
      <c r="G149" s="29" t="n">
        <f aca="false">IF(COUNTIFS($B$5:B149,B149,$C$5:C149,C149)=1,1,0)</f>
        <v>1</v>
      </c>
      <c r="H149" s="29" t="n">
        <f aca="false">IF(AND(G149=1,COUNTIFS($B$5:$B$1635,B149,$C$5:$C$1635,"&lt;"&amp;C149)&gt;0),1,0)</f>
        <v>0</v>
      </c>
      <c r="I149" s="29" t="n">
        <f aca="false">IF(AND(D149="Feature Use",COUNTIFS($B$5:B149,B149,$D$5:D149,"Feature Use",$E$5:E149,E149)=1),1,0)</f>
        <v>0</v>
      </c>
      <c r="J149" s="29" t="n">
        <f aca="false">IF(AND(D149="Feature Use",COUNTIFS($B$5:B149,B149,$D$5:D149,"Feature Use",$E$5:E149,E149)=2),1,0)</f>
        <v>0</v>
      </c>
      <c r="K149" s="29" t="n">
        <f aca="false">IF(COUNTIF($B$5:B149,B149)=1,1,0)</f>
        <v>1</v>
      </c>
      <c r="L149" s="29" t="n">
        <f aca="false">IF(AND(C149&gt;=Settings!$B$5-Settings!$B$8+1,C149&lt;=Settings!$B$5,COUNTIFS($B$5:B149,B149,$C$5:C149,"&gt;="&amp;(Settings!$B$5-Settings!$B$8+1),$C$5:C149,"&lt;="&amp;Settings!$B$5)=1),1,0)</f>
        <v>0</v>
      </c>
      <c r="M149" s="29" t="n">
        <f aca="false">IF(AND(C149&gt;=Settings!$B$5-Settings!$B$9+1,C149&lt;=Settings!$B$5,COUNTIFS($B$5:B149,B149,$C$5:C149,"&gt;="&amp;(Settings!$B$5-Settings!$B$9+1),$C$5:C149,"&lt;="&amp;Settings!$B$5)=1),1,0)</f>
        <v>0</v>
      </c>
      <c r="N149" s="29" t="n">
        <f aca="false">IF(AND(D149="Feature Use",COUNTIFS($B$5:B149,B149,$D$5:D149,"Feature Use")=1),1,0)</f>
        <v>0</v>
      </c>
    </row>
    <row r="150" customFormat="false" ht="15" hidden="false" customHeight="false" outlineLevel="0" collapsed="false">
      <c r="A150" s="22" t="s">
        <v>456</v>
      </c>
      <c r="B150" s="22" t="s">
        <v>208</v>
      </c>
      <c r="C150" s="31" t="n">
        <v>46272</v>
      </c>
      <c r="D150" s="22" t="s">
        <v>300</v>
      </c>
      <c r="E150" s="22" t="s">
        <v>319</v>
      </c>
      <c r="F150" s="29" t="str">
        <f aca="false">IF(COUNTIF(Referral_Data!$C$5:$C$1000,B150)&gt;0,"Referred",IF(COUNTIF(Referral_Data!$B$5:$B$1000,B150)&gt;0,"Referrer","Organic"))</f>
        <v>Referrer</v>
      </c>
      <c r="G150" s="29" t="n">
        <f aca="false">IF(COUNTIFS($B$5:B150,B150,$C$5:C150,C150)=1,1,0)</f>
        <v>0</v>
      </c>
      <c r="H150" s="29" t="n">
        <f aca="false">IF(AND(G150=1,COUNTIFS($B$5:$B$1635,B150,$C$5:$C$1635,"&lt;"&amp;C150)&gt;0),1,0)</f>
        <v>0</v>
      </c>
      <c r="I150" s="29" t="n">
        <f aca="false">IF(AND(D150="Feature Use",COUNTIFS($B$5:B150,B150,$D$5:D150,"Feature Use",$E$5:E150,E150)=1),1,0)</f>
        <v>1</v>
      </c>
      <c r="J150" s="29" t="n">
        <f aca="false">IF(AND(D150="Feature Use",COUNTIFS($B$5:B150,B150,$D$5:D150,"Feature Use",$E$5:E150,E150)=2),1,0)</f>
        <v>0</v>
      </c>
      <c r="K150" s="29" t="n">
        <f aca="false">IF(COUNTIF($B$5:B150,B150)=1,1,0)</f>
        <v>0</v>
      </c>
      <c r="L150" s="29" t="n">
        <f aca="false">IF(AND(C150&gt;=Settings!$B$5-Settings!$B$8+1,C150&lt;=Settings!$B$5,COUNTIFS($B$5:B150,B150,$C$5:C150,"&gt;="&amp;(Settings!$B$5-Settings!$B$8+1),$C$5:C150,"&lt;="&amp;Settings!$B$5)=1),1,0)</f>
        <v>0</v>
      </c>
      <c r="M150" s="29" t="n">
        <f aca="false">IF(AND(C150&gt;=Settings!$B$5-Settings!$B$9+1,C150&lt;=Settings!$B$5,COUNTIFS($B$5:B150,B150,$C$5:C150,"&gt;="&amp;(Settings!$B$5-Settings!$B$9+1),$C$5:C150,"&lt;="&amp;Settings!$B$5)=1),1,0)</f>
        <v>0</v>
      </c>
      <c r="N150" s="29" t="n">
        <f aca="false">IF(AND(D150="Feature Use",COUNTIFS($B$5:B150,B150,$D$5:D150,"Feature Use")=1),1,0)</f>
        <v>1</v>
      </c>
    </row>
    <row r="151" customFormat="false" ht="15" hidden="false" customHeight="false" outlineLevel="0" collapsed="false">
      <c r="A151" s="22" t="s">
        <v>457</v>
      </c>
      <c r="B151" s="22" t="s">
        <v>208</v>
      </c>
      <c r="C151" s="31" t="n">
        <v>46272</v>
      </c>
      <c r="D151" s="22" t="s">
        <v>300</v>
      </c>
      <c r="E151" s="22" t="s">
        <v>305</v>
      </c>
      <c r="F151" s="29" t="str">
        <f aca="false">IF(COUNTIF(Referral_Data!$C$5:$C$1000,B151)&gt;0,"Referred",IF(COUNTIF(Referral_Data!$B$5:$B$1000,B151)&gt;0,"Referrer","Organic"))</f>
        <v>Referrer</v>
      </c>
      <c r="G151" s="29" t="n">
        <f aca="false">IF(COUNTIFS($B$5:B151,B151,$C$5:C151,C151)=1,1,0)</f>
        <v>0</v>
      </c>
      <c r="H151" s="29" t="n">
        <f aca="false">IF(AND(G151=1,COUNTIFS($B$5:$B$1635,B151,$C$5:$C$1635,"&lt;"&amp;C151)&gt;0),1,0)</f>
        <v>0</v>
      </c>
      <c r="I151" s="29" t="n">
        <f aca="false">IF(AND(D151="Feature Use",COUNTIFS($B$5:B151,B151,$D$5:D151,"Feature Use",$E$5:E151,E151)=1),1,0)</f>
        <v>1</v>
      </c>
      <c r="J151" s="29" t="n">
        <f aca="false">IF(AND(D151="Feature Use",COUNTIFS($B$5:B151,B151,$D$5:D151,"Feature Use",$E$5:E151,E151)=2),1,0)</f>
        <v>0</v>
      </c>
      <c r="K151" s="29" t="n">
        <f aca="false">IF(COUNTIF($B$5:B151,B151)=1,1,0)</f>
        <v>0</v>
      </c>
      <c r="L151" s="29" t="n">
        <f aca="false">IF(AND(C151&gt;=Settings!$B$5-Settings!$B$8+1,C151&lt;=Settings!$B$5,COUNTIFS($B$5:B151,B151,$C$5:C151,"&gt;="&amp;(Settings!$B$5-Settings!$B$8+1),$C$5:C151,"&lt;="&amp;Settings!$B$5)=1),1,0)</f>
        <v>0</v>
      </c>
      <c r="M151" s="29" t="n">
        <f aca="false">IF(AND(C151&gt;=Settings!$B$5-Settings!$B$9+1,C151&lt;=Settings!$B$5,COUNTIFS($B$5:B151,B151,$C$5:C151,"&gt;="&amp;(Settings!$B$5-Settings!$B$9+1),$C$5:C151,"&lt;="&amp;Settings!$B$5)=1),1,0)</f>
        <v>0</v>
      </c>
      <c r="N151" s="29" t="n">
        <f aca="false">IF(AND(D151="Feature Use",COUNTIFS($B$5:B151,B151,$D$5:D151,"Feature Use")=1),1,0)</f>
        <v>0</v>
      </c>
    </row>
    <row r="152" customFormat="false" ht="15" hidden="false" customHeight="false" outlineLevel="0" collapsed="false">
      <c r="A152" s="22" t="s">
        <v>458</v>
      </c>
      <c r="B152" s="22" t="s">
        <v>203</v>
      </c>
      <c r="C152" s="31" t="n">
        <v>46272</v>
      </c>
      <c r="D152" s="22" t="s">
        <v>297</v>
      </c>
      <c r="E152" s="22" t="s">
        <v>298</v>
      </c>
      <c r="F152" s="29" t="str">
        <f aca="false">IF(COUNTIF(Referral_Data!$C$5:$C$1000,B152)&gt;0,"Referred",IF(COUNTIF(Referral_Data!$B$5:$B$1000,B152)&gt;0,"Referrer","Organic"))</f>
        <v>Referrer</v>
      </c>
      <c r="G152" s="29" t="n">
        <f aca="false">IF(COUNTIFS($B$5:B152,B152,$C$5:C152,C152)=1,1,0)</f>
        <v>1</v>
      </c>
      <c r="H152" s="29" t="n">
        <f aca="false">IF(AND(G152=1,COUNTIFS($B$5:$B$1635,B152,$C$5:$C$1635,"&lt;"&amp;C152)&gt;0),1,0)</f>
        <v>1</v>
      </c>
      <c r="I152" s="29" t="n">
        <f aca="false">IF(AND(D152="Feature Use",COUNTIFS($B$5:B152,B152,$D$5:D152,"Feature Use",$E$5:E152,E152)=1),1,0)</f>
        <v>0</v>
      </c>
      <c r="J152" s="29" t="n">
        <f aca="false">IF(AND(D152="Feature Use",COUNTIFS($B$5:B152,B152,$D$5:D152,"Feature Use",$E$5:E152,E152)=2),1,0)</f>
        <v>0</v>
      </c>
      <c r="K152" s="29" t="n">
        <f aca="false">IF(COUNTIF($B$5:B152,B152)=1,1,0)</f>
        <v>0</v>
      </c>
      <c r="L152" s="29" t="n">
        <f aca="false">IF(AND(C152&gt;=Settings!$B$5-Settings!$B$8+1,C152&lt;=Settings!$B$5,COUNTIFS($B$5:B152,B152,$C$5:C152,"&gt;="&amp;(Settings!$B$5-Settings!$B$8+1),$C$5:C152,"&lt;="&amp;Settings!$B$5)=1),1,0)</f>
        <v>0</v>
      </c>
      <c r="M152" s="29" t="n">
        <f aca="false">IF(AND(C152&gt;=Settings!$B$5-Settings!$B$9+1,C152&lt;=Settings!$B$5,COUNTIFS($B$5:B152,B152,$C$5:C152,"&gt;="&amp;(Settings!$B$5-Settings!$B$9+1),$C$5:C152,"&lt;="&amp;Settings!$B$5)=1),1,0)</f>
        <v>0</v>
      </c>
      <c r="N152" s="29" t="n">
        <f aca="false">IF(AND(D152="Feature Use",COUNTIFS($B$5:B152,B152,$D$5:D152,"Feature Use")=1),1,0)</f>
        <v>0</v>
      </c>
    </row>
    <row r="153" customFormat="false" ht="15" hidden="false" customHeight="false" outlineLevel="0" collapsed="false">
      <c r="A153" s="22" t="s">
        <v>459</v>
      </c>
      <c r="B153" s="22" t="s">
        <v>203</v>
      </c>
      <c r="C153" s="31" t="n">
        <v>46272</v>
      </c>
      <c r="D153" s="22" t="s">
        <v>300</v>
      </c>
      <c r="E153" s="22" t="s">
        <v>305</v>
      </c>
      <c r="F153" s="29" t="str">
        <f aca="false">IF(COUNTIF(Referral_Data!$C$5:$C$1000,B153)&gt;0,"Referred",IF(COUNTIF(Referral_Data!$B$5:$B$1000,B153)&gt;0,"Referrer","Organic"))</f>
        <v>Referrer</v>
      </c>
      <c r="G153" s="29" t="n">
        <f aca="false">IF(COUNTIFS($B$5:B153,B153,$C$5:C153,C153)=1,1,0)</f>
        <v>0</v>
      </c>
      <c r="H153" s="29" t="n">
        <f aca="false">IF(AND(G153=1,COUNTIFS($B$5:$B$1635,B153,$C$5:$C$1635,"&lt;"&amp;C153)&gt;0),1,0)</f>
        <v>0</v>
      </c>
      <c r="I153" s="29" t="n">
        <f aca="false">IF(AND(D153="Feature Use",COUNTIFS($B$5:B153,B153,$D$5:D153,"Feature Use",$E$5:E153,E153)=1),1,0)</f>
        <v>0</v>
      </c>
      <c r="J153" s="29" t="n">
        <f aca="false">IF(AND(D153="Feature Use",COUNTIFS($B$5:B153,B153,$D$5:D153,"Feature Use",$E$5:E153,E153)=2),1,0)</f>
        <v>1</v>
      </c>
      <c r="K153" s="29" t="n">
        <f aca="false">IF(COUNTIF($B$5:B153,B153)=1,1,0)</f>
        <v>0</v>
      </c>
      <c r="L153" s="29" t="n">
        <f aca="false">IF(AND(C153&gt;=Settings!$B$5-Settings!$B$8+1,C153&lt;=Settings!$B$5,COUNTIFS($B$5:B153,B153,$C$5:C153,"&gt;="&amp;(Settings!$B$5-Settings!$B$8+1),$C$5:C153,"&lt;="&amp;Settings!$B$5)=1),1,0)</f>
        <v>0</v>
      </c>
      <c r="M153" s="29" t="n">
        <f aca="false">IF(AND(C153&gt;=Settings!$B$5-Settings!$B$9+1,C153&lt;=Settings!$B$5,COUNTIFS($B$5:B153,B153,$C$5:C153,"&gt;="&amp;(Settings!$B$5-Settings!$B$9+1),$C$5:C153,"&lt;="&amp;Settings!$B$5)=1),1,0)</f>
        <v>0</v>
      </c>
      <c r="N153" s="29" t="n">
        <f aca="false">IF(AND(D153="Feature Use",COUNTIFS($B$5:B153,B153,$D$5:D153,"Feature Use")=1),1,0)</f>
        <v>0</v>
      </c>
    </row>
    <row r="154" customFormat="false" ht="15" hidden="false" customHeight="false" outlineLevel="0" collapsed="false">
      <c r="A154" s="22" t="s">
        <v>460</v>
      </c>
      <c r="B154" s="22" t="s">
        <v>203</v>
      </c>
      <c r="C154" s="31" t="n">
        <v>46272</v>
      </c>
      <c r="D154" s="22" t="s">
        <v>308</v>
      </c>
      <c r="E154" s="22" t="s">
        <v>301</v>
      </c>
      <c r="F154" s="29" t="str">
        <f aca="false">IF(COUNTIF(Referral_Data!$C$5:$C$1000,B154)&gt;0,"Referred",IF(COUNTIF(Referral_Data!$B$5:$B$1000,B154)&gt;0,"Referrer","Organic"))</f>
        <v>Referrer</v>
      </c>
      <c r="G154" s="29" t="n">
        <f aca="false">IF(COUNTIFS($B$5:B154,B154,$C$5:C154,C154)=1,1,0)</f>
        <v>0</v>
      </c>
      <c r="H154" s="29" t="n">
        <f aca="false">IF(AND(G154=1,COUNTIFS($B$5:$B$1635,B154,$C$5:$C$1635,"&lt;"&amp;C154)&gt;0),1,0)</f>
        <v>0</v>
      </c>
      <c r="I154" s="29" t="n">
        <f aca="false">IF(AND(D154="Feature Use",COUNTIFS($B$5:B154,B154,$D$5:D154,"Feature Use",$E$5:E154,E154)=1),1,0)</f>
        <v>0</v>
      </c>
      <c r="J154" s="29" t="n">
        <f aca="false">IF(AND(D154="Feature Use",COUNTIFS($B$5:B154,B154,$D$5:D154,"Feature Use",$E$5:E154,E154)=2),1,0)</f>
        <v>0</v>
      </c>
      <c r="K154" s="29" t="n">
        <f aca="false">IF(COUNTIF($B$5:B154,B154)=1,1,0)</f>
        <v>0</v>
      </c>
      <c r="L154" s="29" t="n">
        <f aca="false">IF(AND(C154&gt;=Settings!$B$5-Settings!$B$8+1,C154&lt;=Settings!$B$5,COUNTIFS($B$5:B154,B154,$C$5:C154,"&gt;="&amp;(Settings!$B$5-Settings!$B$8+1),$C$5:C154,"&lt;="&amp;Settings!$B$5)=1),1,0)</f>
        <v>0</v>
      </c>
      <c r="M154" s="29" t="n">
        <f aca="false">IF(AND(C154&gt;=Settings!$B$5-Settings!$B$9+1,C154&lt;=Settings!$B$5,COUNTIFS($B$5:B154,B154,$C$5:C154,"&gt;="&amp;(Settings!$B$5-Settings!$B$9+1),$C$5:C154,"&lt;="&amp;Settings!$B$5)=1),1,0)</f>
        <v>0</v>
      </c>
      <c r="N154" s="29" t="n">
        <f aca="false">IF(AND(D154="Feature Use",COUNTIFS($B$5:B154,B154,$D$5:D154,"Feature Use")=1),1,0)</f>
        <v>0</v>
      </c>
    </row>
    <row r="155" customFormat="false" ht="15" hidden="false" customHeight="false" outlineLevel="0" collapsed="false">
      <c r="A155" s="22" t="s">
        <v>461</v>
      </c>
      <c r="B155" s="22" t="s">
        <v>203</v>
      </c>
      <c r="C155" s="31" t="n">
        <v>46272</v>
      </c>
      <c r="D155" s="22" t="s">
        <v>308</v>
      </c>
      <c r="E155" s="22" t="s">
        <v>301</v>
      </c>
      <c r="F155" s="29" t="str">
        <f aca="false">IF(COUNTIF(Referral_Data!$C$5:$C$1000,B155)&gt;0,"Referred",IF(COUNTIF(Referral_Data!$B$5:$B$1000,B155)&gt;0,"Referrer","Organic"))</f>
        <v>Referrer</v>
      </c>
      <c r="G155" s="29" t="n">
        <f aca="false">IF(COUNTIFS($B$5:B155,B155,$C$5:C155,C155)=1,1,0)</f>
        <v>0</v>
      </c>
      <c r="H155" s="29" t="n">
        <f aca="false">IF(AND(G155=1,COUNTIFS($B$5:$B$1635,B155,$C$5:$C$1635,"&lt;"&amp;C155)&gt;0),1,0)</f>
        <v>0</v>
      </c>
      <c r="I155" s="29" t="n">
        <f aca="false">IF(AND(D155="Feature Use",COUNTIFS($B$5:B155,B155,$D$5:D155,"Feature Use",$E$5:E155,E155)=1),1,0)</f>
        <v>0</v>
      </c>
      <c r="J155" s="29" t="n">
        <f aca="false">IF(AND(D155="Feature Use",COUNTIFS($B$5:B155,B155,$D$5:D155,"Feature Use",$E$5:E155,E155)=2),1,0)</f>
        <v>0</v>
      </c>
      <c r="K155" s="29" t="n">
        <f aca="false">IF(COUNTIF($B$5:B155,B155)=1,1,0)</f>
        <v>0</v>
      </c>
      <c r="L155" s="29" t="n">
        <f aca="false">IF(AND(C155&gt;=Settings!$B$5-Settings!$B$8+1,C155&lt;=Settings!$B$5,COUNTIFS($B$5:B155,B155,$C$5:C155,"&gt;="&amp;(Settings!$B$5-Settings!$B$8+1),$C$5:C155,"&lt;="&amp;Settings!$B$5)=1),1,0)</f>
        <v>0</v>
      </c>
      <c r="M155" s="29" t="n">
        <f aca="false">IF(AND(C155&gt;=Settings!$B$5-Settings!$B$9+1,C155&lt;=Settings!$B$5,COUNTIFS($B$5:B155,B155,$C$5:C155,"&gt;="&amp;(Settings!$B$5-Settings!$B$9+1),$C$5:C155,"&lt;="&amp;Settings!$B$5)=1),1,0)</f>
        <v>0</v>
      </c>
      <c r="N155" s="29" t="n">
        <f aca="false">IF(AND(D155="Feature Use",COUNTIFS($B$5:B155,B155,$D$5:D155,"Feature Use")=1),1,0)</f>
        <v>0</v>
      </c>
    </row>
    <row r="156" customFormat="false" ht="15" hidden="false" customHeight="false" outlineLevel="0" collapsed="false">
      <c r="A156" s="22" t="s">
        <v>462</v>
      </c>
      <c r="B156" s="22" t="s">
        <v>178</v>
      </c>
      <c r="C156" s="31" t="n">
        <v>46272</v>
      </c>
      <c r="D156" s="22" t="s">
        <v>297</v>
      </c>
      <c r="E156" s="22" t="s">
        <v>298</v>
      </c>
      <c r="F156" s="29" t="str">
        <f aca="false">IF(COUNTIF(Referral_Data!$C$5:$C$1000,B156)&gt;0,"Referred",IF(COUNTIF(Referral_Data!$B$5:$B$1000,B156)&gt;0,"Referrer","Organic"))</f>
        <v>Referrer</v>
      </c>
      <c r="G156" s="29" t="n">
        <f aca="false">IF(COUNTIFS($B$5:B156,B156,$C$5:C156,C156)=1,1,0)</f>
        <v>1</v>
      </c>
      <c r="H156" s="29" t="n">
        <f aca="false">IF(AND(G156=1,COUNTIFS($B$5:$B$1635,B156,$C$5:$C$1635,"&lt;"&amp;C156)&gt;0),1,0)</f>
        <v>1</v>
      </c>
      <c r="I156" s="29" t="n">
        <f aca="false">IF(AND(D156="Feature Use",COUNTIFS($B$5:B156,B156,$D$5:D156,"Feature Use",$E$5:E156,E156)=1),1,0)</f>
        <v>0</v>
      </c>
      <c r="J156" s="29" t="n">
        <f aca="false">IF(AND(D156="Feature Use",COUNTIFS($B$5:B156,B156,$D$5:D156,"Feature Use",$E$5:E156,E156)=2),1,0)</f>
        <v>0</v>
      </c>
      <c r="K156" s="29" t="n">
        <f aca="false">IF(COUNTIF($B$5:B156,B156)=1,1,0)</f>
        <v>0</v>
      </c>
      <c r="L156" s="29" t="n">
        <f aca="false">IF(AND(C156&gt;=Settings!$B$5-Settings!$B$8+1,C156&lt;=Settings!$B$5,COUNTIFS($B$5:B156,B156,$C$5:C156,"&gt;="&amp;(Settings!$B$5-Settings!$B$8+1),$C$5:C156,"&lt;="&amp;Settings!$B$5)=1),1,0)</f>
        <v>0</v>
      </c>
      <c r="M156" s="29" t="n">
        <f aca="false">IF(AND(C156&gt;=Settings!$B$5-Settings!$B$9+1,C156&lt;=Settings!$B$5,COUNTIFS($B$5:B156,B156,$C$5:C156,"&gt;="&amp;(Settings!$B$5-Settings!$B$9+1),$C$5:C156,"&lt;="&amp;Settings!$B$5)=1),1,0)</f>
        <v>0</v>
      </c>
      <c r="N156" s="29" t="n">
        <f aca="false">IF(AND(D156="Feature Use",COUNTIFS($B$5:B156,B156,$D$5:D156,"Feature Use")=1),1,0)</f>
        <v>0</v>
      </c>
    </row>
    <row r="157" customFormat="false" ht="15" hidden="false" customHeight="false" outlineLevel="0" collapsed="false">
      <c r="A157" s="22" t="s">
        <v>463</v>
      </c>
      <c r="B157" s="22" t="s">
        <v>178</v>
      </c>
      <c r="C157" s="31" t="n">
        <v>46272</v>
      </c>
      <c r="D157" s="22" t="s">
        <v>300</v>
      </c>
      <c r="E157" s="22" t="s">
        <v>305</v>
      </c>
      <c r="F157" s="29" t="str">
        <f aca="false">IF(COUNTIF(Referral_Data!$C$5:$C$1000,B157)&gt;0,"Referred",IF(COUNTIF(Referral_Data!$B$5:$B$1000,B157)&gt;0,"Referrer","Organic"))</f>
        <v>Referrer</v>
      </c>
      <c r="G157" s="29" t="n">
        <f aca="false">IF(COUNTIFS($B$5:B157,B157,$C$5:C157,C157)=1,1,0)</f>
        <v>0</v>
      </c>
      <c r="H157" s="29" t="n">
        <f aca="false">IF(AND(G157=1,COUNTIFS($B$5:$B$1635,B157,$C$5:$C$1635,"&lt;"&amp;C157)&gt;0),1,0)</f>
        <v>0</v>
      </c>
      <c r="I157" s="29" t="n">
        <f aca="false">IF(AND(D157="Feature Use",COUNTIFS($B$5:B157,B157,$D$5:D157,"Feature Use",$E$5:E157,E157)=1),1,0)</f>
        <v>0</v>
      </c>
      <c r="J157" s="29" t="n">
        <f aca="false">IF(AND(D157="Feature Use",COUNTIFS($B$5:B157,B157,$D$5:D157,"Feature Use",$E$5:E157,E157)=2),1,0)</f>
        <v>0</v>
      </c>
      <c r="K157" s="29" t="n">
        <f aca="false">IF(COUNTIF($B$5:B157,B157)=1,1,0)</f>
        <v>0</v>
      </c>
      <c r="L157" s="29" t="n">
        <f aca="false">IF(AND(C157&gt;=Settings!$B$5-Settings!$B$8+1,C157&lt;=Settings!$B$5,COUNTIFS($B$5:B157,B157,$C$5:C157,"&gt;="&amp;(Settings!$B$5-Settings!$B$8+1),$C$5:C157,"&lt;="&amp;Settings!$B$5)=1),1,0)</f>
        <v>0</v>
      </c>
      <c r="M157" s="29" t="n">
        <f aca="false">IF(AND(C157&gt;=Settings!$B$5-Settings!$B$9+1,C157&lt;=Settings!$B$5,COUNTIFS($B$5:B157,B157,$C$5:C157,"&gt;="&amp;(Settings!$B$5-Settings!$B$9+1),$C$5:C157,"&lt;="&amp;Settings!$B$5)=1),1,0)</f>
        <v>0</v>
      </c>
      <c r="N157" s="29" t="n">
        <f aca="false">IF(AND(D157="Feature Use",COUNTIFS($B$5:B157,B157,$D$5:D157,"Feature Use")=1),1,0)</f>
        <v>0</v>
      </c>
    </row>
    <row r="158" customFormat="false" ht="15" hidden="false" customHeight="false" outlineLevel="0" collapsed="false">
      <c r="A158" s="22" t="s">
        <v>464</v>
      </c>
      <c r="B158" s="22" t="s">
        <v>178</v>
      </c>
      <c r="C158" s="31" t="n">
        <v>46272</v>
      </c>
      <c r="D158" s="22" t="s">
        <v>300</v>
      </c>
      <c r="E158" s="22" t="s">
        <v>305</v>
      </c>
      <c r="F158" s="29" t="str">
        <f aca="false">IF(COUNTIF(Referral_Data!$C$5:$C$1000,B158)&gt;0,"Referred",IF(COUNTIF(Referral_Data!$B$5:$B$1000,B158)&gt;0,"Referrer","Organic"))</f>
        <v>Referrer</v>
      </c>
      <c r="G158" s="29" t="n">
        <f aca="false">IF(COUNTIFS($B$5:B158,B158,$C$5:C158,C158)=1,1,0)</f>
        <v>0</v>
      </c>
      <c r="H158" s="29" t="n">
        <f aca="false">IF(AND(G158=1,COUNTIFS($B$5:$B$1635,B158,$C$5:$C$1635,"&lt;"&amp;C158)&gt;0),1,0)</f>
        <v>0</v>
      </c>
      <c r="I158" s="29" t="n">
        <f aca="false">IF(AND(D158="Feature Use",COUNTIFS($B$5:B158,B158,$D$5:D158,"Feature Use",$E$5:E158,E158)=1),1,0)</f>
        <v>0</v>
      </c>
      <c r="J158" s="29" t="n">
        <f aca="false">IF(AND(D158="Feature Use",COUNTIFS($B$5:B158,B158,$D$5:D158,"Feature Use",$E$5:E158,E158)=2),1,0)</f>
        <v>0</v>
      </c>
      <c r="K158" s="29" t="n">
        <f aca="false">IF(COUNTIF($B$5:B158,B158)=1,1,0)</f>
        <v>0</v>
      </c>
      <c r="L158" s="29" t="n">
        <f aca="false">IF(AND(C158&gt;=Settings!$B$5-Settings!$B$8+1,C158&lt;=Settings!$B$5,COUNTIFS($B$5:B158,B158,$C$5:C158,"&gt;="&amp;(Settings!$B$5-Settings!$B$8+1),$C$5:C158,"&lt;="&amp;Settings!$B$5)=1),1,0)</f>
        <v>0</v>
      </c>
      <c r="M158" s="29" t="n">
        <f aca="false">IF(AND(C158&gt;=Settings!$B$5-Settings!$B$9+1,C158&lt;=Settings!$B$5,COUNTIFS($B$5:B158,B158,$C$5:C158,"&gt;="&amp;(Settings!$B$5-Settings!$B$9+1),$C$5:C158,"&lt;="&amp;Settings!$B$5)=1),1,0)</f>
        <v>0</v>
      </c>
      <c r="N158" s="29" t="n">
        <f aca="false">IF(AND(D158="Feature Use",COUNTIFS($B$5:B158,B158,$D$5:D158,"Feature Use")=1),1,0)</f>
        <v>0</v>
      </c>
    </row>
    <row r="159" customFormat="false" ht="15" hidden="false" customHeight="false" outlineLevel="0" collapsed="false">
      <c r="A159" s="22" t="s">
        <v>465</v>
      </c>
      <c r="B159" s="22" t="s">
        <v>170</v>
      </c>
      <c r="C159" s="31" t="n">
        <v>46272</v>
      </c>
      <c r="D159" s="22" t="s">
        <v>297</v>
      </c>
      <c r="E159" s="22" t="s">
        <v>298</v>
      </c>
      <c r="F159" s="29" t="str">
        <f aca="false">IF(COUNTIF(Referral_Data!$C$5:$C$1000,B159)&gt;0,"Referred",IF(COUNTIF(Referral_Data!$B$5:$B$1000,B159)&gt;0,"Referrer","Organic"))</f>
        <v>Referrer</v>
      </c>
      <c r="G159" s="29" t="n">
        <f aca="false">IF(COUNTIFS($B$5:B159,B159,$C$5:C159,C159)=1,1,0)</f>
        <v>1</v>
      </c>
      <c r="H159" s="29" t="n">
        <f aca="false">IF(AND(G159=1,COUNTIFS($B$5:$B$1635,B159,$C$5:$C$1635,"&lt;"&amp;C159)&gt;0),1,0)</f>
        <v>1</v>
      </c>
      <c r="I159" s="29" t="n">
        <f aca="false">IF(AND(D159="Feature Use",COUNTIFS($B$5:B159,B159,$D$5:D159,"Feature Use",$E$5:E159,E159)=1),1,0)</f>
        <v>0</v>
      </c>
      <c r="J159" s="29" t="n">
        <f aca="false">IF(AND(D159="Feature Use",COUNTIFS($B$5:B159,B159,$D$5:D159,"Feature Use",$E$5:E159,E159)=2),1,0)</f>
        <v>0</v>
      </c>
      <c r="K159" s="29" t="n">
        <f aca="false">IF(COUNTIF($B$5:B159,B159)=1,1,0)</f>
        <v>0</v>
      </c>
      <c r="L159" s="29" t="n">
        <f aca="false">IF(AND(C159&gt;=Settings!$B$5-Settings!$B$8+1,C159&lt;=Settings!$B$5,COUNTIFS($B$5:B159,B159,$C$5:C159,"&gt;="&amp;(Settings!$B$5-Settings!$B$8+1),$C$5:C159,"&lt;="&amp;Settings!$B$5)=1),1,0)</f>
        <v>0</v>
      </c>
      <c r="M159" s="29" t="n">
        <f aca="false">IF(AND(C159&gt;=Settings!$B$5-Settings!$B$9+1,C159&lt;=Settings!$B$5,COUNTIFS($B$5:B159,B159,$C$5:C159,"&gt;="&amp;(Settings!$B$5-Settings!$B$9+1),$C$5:C159,"&lt;="&amp;Settings!$B$5)=1),1,0)</f>
        <v>0</v>
      </c>
      <c r="N159" s="29" t="n">
        <f aca="false">IF(AND(D159="Feature Use",COUNTIFS($B$5:B159,B159,$D$5:D159,"Feature Use")=1),1,0)</f>
        <v>0</v>
      </c>
    </row>
    <row r="160" customFormat="false" ht="15" hidden="false" customHeight="false" outlineLevel="0" collapsed="false">
      <c r="A160" s="22" t="s">
        <v>466</v>
      </c>
      <c r="B160" s="22" t="s">
        <v>170</v>
      </c>
      <c r="C160" s="31" t="n">
        <v>46272</v>
      </c>
      <c r="D160" s="22" t="s">
        <v>300</v>
      </c>
      <c r="E160" s="22" t="s">
        <v>301</v>
      </c>
      <c r="F160" s="29" t="str">
        <f aca="false">IF(COUNTIF(Referral_Data!$C$5:$C$1000,B160)&gt;0,"Referred",IF(COUNTIF(Referral_Data!$B$5:$B$1000,B160)&gt;0,"Referrer","Organic"))</f>
        <v>Referrer</v>
      </c>
      <c r="G160" s="29" t="n">
        <f aca="false">IF(COUNTIFS($B$5:B160,B160,$C$5:C160,C160)=1,1,0)</f>
        <v>0</v>
      </c>
      <c r="H160" s="29" t="n">
        <f aca="false">IF(AND(G160=1,COUNTIFS($B$5:$B$1635,B160,$C$5:$C$1635,"&lt;"&amp;C160)&gt;0),1,0)</f>
        <v>0</v>
      </c>
      <c r="I160" s="29" t="n">
        <f aca="false">IF(AND(D160="Feature Use",COUNTIFS($B$5:B160,B160,$D$5:D160,"Feature Use",$E$5:E160,E160)=1),1,0)</f>
        <v>0</v>
      </c>
      <c r="J160" s="29" t="n">
        <f aca="false">IF(AND(D160="Feature Use",COUNTIFS($B$5:B160,B160,$D$5:D160,"Feature Use",$E$5:E160,E160)=2),1,0)</f>
        <v>1</v>
      </c>
      <c r="K160" s="29" t="n">
        <f aca="false">IF(COUNTIF($B$5:B160,B160)=1,1,0)</f>
        <v>0</v>
      </c>
      <c r="L160" s="29" t="n">
        <f aca="false">IF(AND(C160&gt;=Settings!$B$5-Settings!$B$8+1,C160&lt;=Settings!$B$5,COUNTIFS($B$5:B160,B160,$C$5:C160,"&gt;="&amp;(Settings!$B$5-Settings!$B$8+1),$C$5:C160,"&lt;="&amp;Settings!$B$5)=1),1,0)</f>
        <v>0</v>
      </c>
      <c r="M160" s="29" t="n">
        <f aca="false">IF(AND(C160&gt;=Settings!$B$5-Settings!$B$9+1,C160&lt;=Settings!$B$5,COUNTIFS($B$5:B160,B160,$C$5:C160,"&gt;="&amp;(Settings!$B$5-Settings!$B$9+1),$C$5:C160,"&lt;="&amp;Settings!$B$5)=1),1,0)</f>
        <v>0</v>
      </c>
      <c r="N160" s="29" t="n">
        <f aca="false">IF(AND(D160="Feature Use",COUNTIFS($B$5:B160,B160,$D$5:D160,"Feature Use")=1),1,0)</f>
        <v>0</v>
      </c>
    </row>
    <row r="161" customFormat="false" ht="15" hidden="false" customHeight="false" outlineLevel="0" collapsed="false">
      <c r="A161" s="22" t="s">
        <v>467</v>
      </c>
      <c r="B161" s="22" t="s">
        <v>170</v>
      </c>
      <c r="C161" s="31" t="n">
        <v>46272</v>
      </c>
      <c r="D161" s="22" t="s">
        <v>300</v>
      </c>
      <c r="E161" s="22" t="s">
        <v>305</v>
      </c>
      <c r="F161" s="29" t="str">
        <f aca="false">IF(COUNTIF(Referral_Data!$C$5:$C$1000,B161)&gt;0,"Referred",IF(COUNTIF(Referral_Data!$B$5:$B$1000,B161)&gt;0,"Referrer","Organic"))</f>
        <v>Referrer</v>
      </c>
      <c r="G161" s="29" t="n">
        <f aca="false">IF(COUNTIFS($B$5:B161,B161,$C$5:C161,C161)=1,1,0)</f>
        <v>0</v>
      </c>
      <c r="H161" s="29" t="n">
        <f aca="false">IF(AND(G161=1,COUNTIFS($B$5:$B$1635,B161,$C$5:$C$1635,"&lt;"&amp;C161)&gt;0),1,0)</f>
        <v>0</v>
      </c>
      <c r="I161" s="29" t="n">
        <f aca="false">IF(AND(D161="Feature Use",COUNTIFS($B$5:B161,B161,$D$5:D161,"Feature Use",$E$5:E161,E161)=1),1,0)</f>
        <v>1</v>
      </c>
      <c r="J161" s="29" t="n">
        <f aca="false">IF(AND(D161="Feature Use",COUNTIFS($B$5:B161,B161,$D$5:D161,"Feature Use",$E$5:E161,E161)=2),1,0)</f>
        <v>0</v>
      </c>
      <c r="K161" s="29" t="n">
        <f aca="false">IF(COUNTIF($B$5:B161,B161)=1,1,0)</f>
        <v>0</v>
      </c>
      <c r="L161" s="29" t="n">
        <f aca="false">IF(AND(C161&gt;=Settings!$B$5-Settings!$B$8+1,C161&lt;=Settings!$B$5,COUNTIFS($B$5:B161,B161,$C$5:C161,"&gt;="&amp;(Settings!$B$5-Settings!$B$8+1),$C$5:C161,"&lt;="&amp;Settings!$B$5)=1),1,0)</f>
        <v>0</v>
      </c>
      <c r="M161" s="29" t="n">
        <f aca="false">IF(AND(C161&gt;=Settings!$B$5-Settings!$B$9+1,C161&lt;=Settings!$B$5,COUNTIFS($B$5:B161,B161,$C$5:C161,"&gt;="&amp;(Settings!$B$5-Settings!$B$9+1),$C$5:C161,"&lt;="&amp;Settings!$B$5)=1),1,0)</f>
        <v>0</v>
      </c>
      <c r="N161" s="29" t="n">
        <f aca="false">IF(AND(D161="Feature Use",COUNTIFS($B$5:B161,B161,$D$5:D161,"Feature Use")=1),1,0)</f>
        <v>0</v>
      </c>
    </row>
    <row r="162" customFormat="false" ht="15" hidden="false" customHeight="false" outlineLevel="0" collapsed="false">
      <c r="A162" s="22" t="s">
        <v>468</v>
      </c>
      <c r="B162" s="22" t="s">
        <v>296</v>
      </c>
      <c r="C162" s="31" t="n">
        <v>46273</v>
      </c>
      <c r="D162" s="22" t="s">
        <v>297</v>
      </c>
      <c r="E162" s="22" t="s">
        <v>298</v>
      </c>
      <c r="F162" s="29" t="str">
        <f aca="false">IF(COUNTIF(Referral_Data!$C$5:$C$1000,B162)&gt;0,"Referred",IF(COUNTIF(Referral_Data!$B$5:$B$1000,B162)&gt;0,"Referrer","Organic"))</f>
        <v>Organic</v>
      </c>
      <c r="G162" s="29" t="n">
        <f aca="false">IF(COUNTIFS($B$5:B162,B162,$C$5:C162,C162)=1,1,0)</f>
        <v>1</v>
      </c>
      <c r="H162" s="29" t="n">
        <f aca="false">IF(AND(G162=1,COUNTIFS($B$5:$B$1635,B162,$C$5:$C$1635,"&lt;"&amp;C162)&gt;0),1,0)</f>
        <v>1</v>
      </c>
      <c r="I162" s="29" t="n">
        <f aca="false">IF(AND(D162="Feature Use",COUNTIFS($B$5:B162,B162,$D$5:D162,"Feature Use",$E$5:E162,E162)=1),1,0)</f>
        <v>0</v>
      </c>
      <c r="J162" s="29" t="n">
        <f aca="false">IF(AND(D162="Feature Use",COUNTIFS($B$5:B162,B162,$D$5:D162,"Feature Use",$E$5:E162,E162)=2),1,0)</f>
        <v>0</v>
      </c>
      <c r="K162" s="29" t="n">
        <f aca="false">IF(COUNTIF($B$5:B162,B162)=1,1,0)</f>
        <v>0</v>
      </c>
      <c r="L162" s="29" t="n">
        <f aca="false">IF(AND(C162&gt;=Settings!$B$5-Settings!$B$8+1,C162&lt;=Settings!$B$5,COUNTIFS($B$5:B162,B162,$C$5:C162,"&gt;="&amp;(Settings!$B$5-Settings!$B$8+1),$C$5:C162,"&lt;="&amp;Settings!$B$5)=1),1,0)</f>
        <v>0</v>
      </c>
      <c r="M162" s="29" t="n">
        <f aca="false">IF(AND(C162&gt;=Settings!$B$5-Settings!$B$9+1,C162&lt;=Settings!$B$5,COUNTIFS($B$5:B162,B162,$C$5:C162,"&gt;="&amp;(Settings!$B$5-Settings!$B$9+1),$C$5:C162,"&lt;="&amp;Settings!$B$5)=1),1,0)</f>
        <v>0</v>
      </c>
      <c r="N162" s="29" t="n">
        <f aca="false">IF(AND(D162="Feature Use",COUNTIFS($B$5:B162,B162,$D$5:D162,"Feature Use")=1),1,0)</f>
        <v>0</v>
      </c>
    </row>
    <row r="163" customFormat="false" ht="15" hidden="false" customHeight="false" outlineLevel="0" collapsed="false">
      <c r="A163" s="22" t="s">
        <v>469</v>
      </c>
      <c r="B163" s="22" t="s">
        <v>296</v>
      </c>
      <c r="C163" s="31" t="n">
        <v>46273</v>
      </c>
      <c r="D163" s="22" t="s">
        <v>300</v>
      </c>
      <c r="E163" s="22" t="s">
        <v>319</v>
      </c>
      <c r="F163" s="29" t="str">
        <f aca="false">IF(COUNTIF(Referral_Data!$C$5:$C$1000,B163)&gt;0,"Referred",IF(COUNTIF(Referral_Data!$B$5:$B$1000,B163)&gt;0,"Referrer","Organic"))</f>
        <v>Organic</v>
      </c>
      <c r="G163" s="29" t="n">
        <f aca="false">IF(COUNTIFS($B$5:B163,B163,$C$5:C163,C163)=1,1,0)</f>
        <v>0</v>
      </c>
      <c r="H163" s="29" t="n">
        <f aca="false">IF(AND(G163=1,COUNTIFS($B$5:$B$1635,B163,$C$5:$C$1635,"&lt;"&amp;C163)&gt;0),1,0)</f>
        <v>0</v>
      </c>
      <c r="I163" s="29" t="n">
        <f aca="false">IF(AND(D163="Feature Use",COUNTIFS($B$5:B163,B163,$D$5:D163,"Feature Use",$E$5:E163,E163)=1),1,0)</f>
        <v>1</v>
      </c>
      <c r="J163" s="29" t="n">
        <f aca="false">IF(AND(D163="Feature Use",COUNTIFS($B$5:B163,B163,$D$5:D163,"Feature Use",$E$5:E163,E163)=2),1,0)</f>
        <v>0</v>
      </c>
      <c r="K163" s="29" t="n">
        <f aca="false">IF(COUNTIF($B$5:B163,B163)=1,1,0)</f>
        <v>0</v>
      </c>
      <c r="L163" s="29" t="n">
        <f aca="false">IF(AND(C163&gt;=Settings!$B$5-Settings!$B$8+1,C163&lt;=Settings!$B$5,COUNTIFS($B$5:B163,B163,$C$5:C163,"&gt;="&amp;(Settings!$B$5-Settings!$B$8+1),$C$5:C163,"&lt;="&amp;Settings!$B$5)=1),1,0)</f>
        <v>0</v>
      </c>
      <c r="M163" s="29" t="n">
        <f aca="false">IF(AND(C163&gt;=Settings!$B$5-Settings!$B$9+1,C163&lt;=Settings!$B$5,COUNTIFS($B$5:B163,B163,$C$5:C163,"&gt;="&amp;(Settings!$B$5-Settings!$B$9+1),$C$5:C163,"&lt;="&amp;Settings!$B$5)=1),1,0)</f>
        <v>0</v>
      </c>
      <c r="N163" s="29" t="n">
        <f aca="false">IF(AND(D163="Feature Use",COUNTIFS($B$5:B163,B163,$D$5:D163,"Feature Use")=1),1,0)</f>
        <v>0</v>
      </c>
    </row>
    <row r="164" customFormat="false" ht="15" hidden="false" customHeight="false" outlineLevel="0" collapsed="false">
      <c r="A164" s="22" t="s">
        <v>470</v>
      </c>
      <c r="B164" s="22" t="s">
        <v>329</v>
      </c>
      <c r="C164" s="31" t="n">
        <v>46273</v>
      </c>
      <c r="D164" s="22" t="s">
        <v>297</v>
      </c>
      <c r="E164" s="22" t="s">
        <v>298</v>
      </c>
      <c r="F164" s="29" t="str">
        <f aca="false">IF(COUNTIF(Referral_Data!$C$5:$C$1000,B164)&gt;0,"Referred",IF(COUNTIF(Referral_Data!$B$5:$B$1000,B164)&gt;0,"Referrer","Organic"))</f>
        <v>Organic</v>
      </c>
      <c r="G164" s="29" t="n">
        <f aca="false">IF(COUNTIFS($B$5:B164,B164,$C$5:C164,C164)=1,1,0)</f>
        <v>1</v>
      </c>
      <c r="H164" s="29" t="n">
        <f aca="false">IF(AND(G164=1,COUNTIFS($B$5:$B$1635,B164,$C$5:$C$1635,"&lt;"&amp;C164)&gt;0),1,0)</f>
        <v>1</v>
      </c>
      <c r="I164" s="29" t="n">
        <f aca="false">IF(AND(D164="Feature Use",COUNTIFS($B$5:B164,B164,$D$5:D164,"Feature Use",$E$5:E164,E164)=1),1,0)</f>
        <v>0</v>
      </c>
      <c r="J164" s="29" t="n">
        <f aca="false">IF(AND(D164="Feature Use",COUNTIFS($B$5:B164,B164,$D$5:D164,"Feature Use",$E$5:E164,E164)=2),1,0)</f>
        <v>0</v>
      </c>
      <c r="K164" s="29" t="n">
        <f aca="false">IF(COUNTIF($B$5:B164,B164)=1,1,0)</f>
        <v>0</v>
      </c>
      <c r="L164" s="29" t="n">
        <f aca="false">IF(AND(C164&gt;=Settings!$B$5-Settings!$B$8+1,C164&lt;=Settings!$B$5,COUNTIFS($B$5:B164,B164,$C$5:C164,"&gt;="&amp;(Settings!$B$5-Settings!$B$8+1),$C$5:C164,"&lt;="&amp;Settings!$B$5)=1),1,0)</f>
        <v>0</v>
      </c>
      <c r="M164" s="29" t="n">
        <f aca="false">IF(AND(C164&gt;=Settings!$B$5-Settings!$B$9+1,C164&lt;=Settings!$B$5,COUNTIFS($B$5:B164,B164,$C$5:C164,"&gt;="&amp;(Settings!$B$5-Settings!$B$9+1),$C$5:C164,"&lt;="&amp;Settings!$B$5)=1),1,0)</f>
        <v>0</v>
      </c>
      <c r="N164" s="29" t="n">
        <f aca="false">IF(AND(D164="Feature Use",COUNTIFS($B$5:B164,B164,$D$5:D164,"Feature Use")=1),1,0)</f>
        <v>0</v>
      </c>
    </row>
    <row r="165" customFormat="false" ht="15" hidden="false" customHeight="false" outlineLevel="0" collapsed="false">
      <c r="A165" s="22" t="s">
        <v>471</v>
      </c>
      <c r="B165" s="22" t="s">
        <v>329</v>
      </c>
      <c r="C165" s="31" t="n">
        <v>46273</v>
      </c>
      <c r="D165" s="22" t="s">
        <v>300</v>
      </c>
      <c r="E165" s="22" t="s">
        <v>305</v>
      </c>
      <c r="F165" s="29" t="str">
        <f aca="false">IF(COUNTIF(Referral_Data!$C$5:$C$1000,B165)&gt;0,"Referred",IF(COUNTIF(Referral_Data!$B$5:$B$1000,B165)&gt;0,"Referrer","Organic"))</f>
        <v>Organic</v>
      </c>
      <c r="G165" s="29" t="n">
        <f aca="false">IF(COUNTIFS($B$5:B165,B165,$C$5:C165,C165)=1,1,0)</f>
        <v>0</v>
      </c>
      <c r="H165" s="29" t="n">
        <f aca="false">IF(AND(G165=1,COUNTIFS($B$5:$B$1635,B165,$C$5:$C$1635,"&lt;"&amp;C165)&gt;0),1,0)</f>
        <v>0</v>
      </c>
      <c r="I165" s="29" t="n">
        <f aca="false">IF(AND(D165="Feature Use",COUNTIFS($B$5:B165,B165,$D$5:D165,"Feature Use",$E$5:E165,E165)=1),1,0)</f>
        <v>0</v>
      </c>
      <c r="J165" s="29" t="n">
        <f aca="false">IF(AND(D165="Feature Use",COUNTIFS($B$5:B165,B165,$D$5:D165,"Feature Use",$E$5:E165,E165)=2),1,0)</f>
        <v>0</v>
      </c>
      <c r="K165" s="29" t="n">
        <f aca="false">IF(COUNTIF($B$5:B165,B165)=1,1,0)</f>
        <v>0</v>
      </c>
      <c r="L165" s="29" t="n">
        <f aca="false">IF(AND(C165&gt;=Settings!$B$5-Settings!$B$8+1,C165&lt;=Settings!$B$5,COUNTIFS($B$5:B165,B165,$C$5:C165,"&gt;="&amp;(Settings!$B$5-Settings!$B$8+1),$C$5:C165,"&lt;="&amp;Settings!$B$5)=1),1,0)</f>
        <v>0</v>
      </c>
      <c r="M165" s="29" t="n">
        <f aca="false">IF(AND(C165&gt;=Settings!$B$5-Settings!$B$9+1,C165&lt;=Settings!$B$5,COUNTIFS($B$5:B165,B165,$C$5:C165,"&gt;="&amp;(Settings!$B$5-Settings!$B$9+1),$C$5:C165,"&lt;="&amp;Settings!$B$5)=1),1,0)</f>
        <v>0</v>
      </c>
      <c r="N165" s="29" t="n">
        <f aca="false">IF(AND(D165="Feature Use",COUNTIFS($B$5:B165,B165,$D$5:D165,"Feature Use")=1),1,0)</f>
        <v>0</v>
      </c>
    </row>
    <row r="166" customFormat="false" ht="15" hidden="false" customHeight="false" outlineLevel="0" collapsed="false">
      <c r="A166" s="22" t="s">
        <v>472</v>
      </c>
      <c r="B166" s="22" t="s">
        <v>329</v>
      </c>
      <c r="C166" s="31" t="n">
        <v>46273</v>
      </c>
      <c r="D166" s="22" t="s">
        <v>300</v>
      </c>
      <c r="E166" s="22" t="s">
        <v>319</v>
      </c>
      <c r="F166" s="29" t="str">
        <f aca="false">IF(COUNTIF(Referral_Data!$C$5:$C$1000,B166)&gt;0,"Referred",IF(COUNTIF(Referral_Data!$B$5:$B$1000,B166)&gt;0,"Referrer","Organic"))</f>
        <v>Organic</v>
      </c>
      <c r="G166" s="29" t="n">
        <f aca="false">IF(COUNTIFS($B$5:B166,B166,$C$5:C166,C166)=1,1,0)</f>
        <v>0</v>
      </c>
      <c r="H166" s="29" t="n">
        <f aca="false">IF(AND(G166=1,COUNTIFS($B$5:$B$1635,B166,$C$5:$C$1635,"&lt;"&amp;C166)&gt;0),1,0)</f>
        <v>0</v>
      </c>
      <c r="I166" s="29" t="n">
        <f aca="false">IF(AND(D166="Feature Use",COUNTIFS($B$5:B166,B166,$D$5:D166,"Feature Use",$E$5:E166,E166)=1),1,0)</f>
        <v>0</v>
      </c>
      <c r="J166" s="29" t="n">
        <f aca="false">IF(AND(D166="Feature Use",COUNTIFS($B$5:B166,B166,$D$5:D166,"Feature Use",$E$5:E166,E166)=2),1,0)</f>
        <v>0</v>
      </c>
      <c r="K166" s="29" t="n">
        <f aca="false">IF(COUNTIF($B$5:B166,B166)=1,1,0)</f>
        <v>0</v>
      </c>
      <c r="L166" s="29" t="n">
        <f aca="false">IF(AND(C166&gt;=Settings!$B$5-Settings!$B$8+1,C166&lt;=Settings!$B$5,COUNTIFS($B$5:B166,B166,$C$5:C166,"&gt;="&amp;(Settings!$B$5-Settings!$B$8+1),$C$5:C166,"&lt;="&amp;Settings!$B$5)=1),1,0)</f>
        <v>0</v>
      </c>
      <c r="M166" s="29" t="n">
        <f aca="false">IF(AND(C166&gt;=Settings!$B$5-Settings!$B$9+1,C166&lt;=Settings!$B$5,COUNTIFS($B$5:B166,B166,$C$5:C166,"&gt;="&amp;(Settings!$B$5-Settings!$B$9+1),$C$5:C166,"&lt;="&amp;Settings!$B$5)=1),1,0)</f>
        <v>0</v>
      </c>
      <c r="N166" s="29" t="n">
        <f aca="false">IF(AND(D166="Feature Use",COUNTIFS($B$5:B166,B166,$D$5:D166,"Feature Use")=1),1,0)</f>
        <v>0</v>
      </c>
    </row>
    <row r="167" customFormat="false" ht="15" hidden="false" customHeight="false" outlineLevel="0" collapsed="false">
      <c r="A167" s="22" t="s">
        <v>473</v>
      </c>
      <c r="B167" s="22" t="s">
        <v>208</v>
      </c>
      <c r="C167" s="31" t="n">
        <v>46273</v>
      </c>
      <c r="D167" s="22" t="s">
        <v>297</v>
      </c>
      <c r="E167" s="22" t="s">
        <v>298</v>
      </c>
      <c r="F167" s="29" t="str">
        <f aca="false">IF(COUNTIF(Referral_Data!$C$5:$C$1000,B167)&gt;0,"Referred",IF(COUNTIF(Referral_Data!$B$5:$B$1000,B167)&gt;0,"Referrer","Organic"))</f>
        <v>Referrer</v>
      </c>
      <c r="G167" s="29" t="n">
        <f aca="false">IF(COUNTIFS($B$5:B167,B167,$C$5:C167,C167)=1,1,0)</f>
        <v>1</v>
      </c>
      <c r="H167" s="29" t="n">
        <f aca="false">IF(AND(G167=1,COUNTIFS($B$5:$B$1635,B167,$C$5:$C$1635,"&lt;"&amp;C167)&gt;0),1,0)</f>
        <v>1</v>
      </c>
      <c r="I167" s="29" t="n">
        <f aca="false">IF(AND(D167="Feature Use",COUNTIFS($B$5:B167,B167,$D$5:D167,"Feature Use",$E$5:E167,E167)=1),1,0)</f>
        <v>0</v>
      </c>
      <c r="J167" s="29" t="n">
        <f aca="false">IF(AND(D167="Feature Use",COUNTIFS($B$5:B167,B167,$D$5:D167,"Feature Use",$E$5:E167,E167)=2),1,0)</f>
        <v>0</v>
      </c>
      <c r="K167" s="29" t="n">
        <f aca="false">IF(COUNTIF($B$5:B167,B167)=1,1,0)</f>
        <v>0</v>
      </c>
      <c r="L167" s="29" t="n">
        <f aca="false">IF(AND(C167&gt;=Settings!$B$5-Settings!$B$8+1,C167&lt;=Settings!$B$5,COUNTIFS($B$5:B167,B167,$C$5:C167,"&gt;="&amp;(Settings!$B$5-Settings!$B$8+1),$C$5:C167,"&lt;="&amp;Settings!$B$5)=1),1,0)</f>
        <v>0</v>
      </c>
      <c r="M167" s="29" t="n">
        <f aca="false">IF(AND(C167&gt;=Settings!$B$5-Settings!$B$9+1,C167&lt;=Settings!$B$5,COUNTIFS($B$5:B167,B167,$C$5:C167,"&gt;="&amp;(Settings!$B$5-Settings!$B$9+1),$C$5:C167,"&lt;="&amp;Settings!$B$5)=1),1,0)</f>
        <v>0</v>
      </c>
      <c r="N167" s="29" t="n">
        <f aca="false">IF(AND(D167="Feature Use",COUNTIFS($B$5:B167,B167,$D$5:D167,"Feature Use")=1),1,0)</f>
        <v>0</v>
      </c>
    </row>
    <row r="168" customFormat="false" ht="15" hidden="false" customHeight="false" outlineLevel="0" collapsed="false">
      <c r="A168" s="22" t="s">
        <v>474</v>
      </c>
      <c r="B168" s="22" t="s">
        <v>208</v>
      </c>
      <c r="C168" s="31" t="n">
        <v>46273</v>
      </c>
      <c r="D168" s="22" t="s">
        <v>300</v>
      </c>
      <c r="E168" s="22" t="s">
        <v>311</v>
      </c>
      <c r="F168" s="29" t="str">
        <f aca="false">IF(COUNTIF(Referral_Data!$C$5:$C$1000,B168)&gt;0,"Referred",IF(COUNTIF(Referral_Data!$B$5:$B$1000,B168)&gt;0,"Referrer","Organic"))</f>
        <v>Referrer</v>
      </c>
      <c r="G168" s="29" t="n">
        <f aca="false">IF(COUNTIFS($B$5:B168,B168,$C$5:C168,C168)=1,1,0)</f>
        <v>0</v>
      </c>
      <c r="H168" s="29" t="n">
        <f aca="false">IF(AND(G168=1,COUNTIFS($B$5:$B$1635,B168,$C$5:$C$1635,"&lt;"&amp;C168)&gt;0),1,0)</f>
        <v>0</v>
      </c>
      <c r="I168" s="29" t="n">
        <f aca="false">IF(AND(D168="Feature Use",COUNTIFS($B$5:B168,B168,$D$5:D168,"Feature Use",$E$5:E168,E168)=1),1,0)</f>
        <v>1</v>
      </c>
      <c r="J168" s="29" t="n">
        <f aca="false">IF(AND(D168="Feature Use",COUNTIFS($B$5:B168,B168,$D$5:D168,"Feature Use",$E$5:E168,E168)=2),1,0)</f>
        <v>0</v>
      </c>
      <c r="K168" s="29" t="n">
        <f aca="false">IF(COUNTIF($B$5:B168,B168)=1,1,0)</f>
        <v>0</v>
      </c>
      <c r="L168" s="29" t="n">
        <f aca="false">IF(AND(C168&gt;=Settings!$B$5-Settings!$B$8+1,C168&lt;=Settings!$B$5,COUNTIFS($B$5:B168,B168,$C$5:C168,"&gt;="&amp;(Settings!$B$5-Settings!$B$8+1),$C$5:C168,"&lt;="&amp;Settings!$B$5)=1),1,0)</f>
        <v>0</v>
      </c>
      <c r="M168" s="29" t="n">
        <f aca="false">IF(AND(C168&gt;=Settings!$B$5-Settings!$B$9+1,C168&lt;=Settings!$B$5,COUNTIFS($B$5:B168,B168,$C$5:C168,"&gt;="&amp;(Settings!$B$5-Settings!$B$9+1),$C$5:C168,"&lt;="&amp;Settings!$B$5)=1),1,0)</f>
        <v>0</v>
      </c>
      <c r="N168" s="29" t="n">
        <f aca="false">IF(AND(D168="Feature Use",COUNTIFS($B$5:B168,B168,$D$5:D168,"Feature Use")=1),1,0)</f>
        <v>0</v>
      </c>
    </row>
    <row r="169" customFormat="false" ht="15" hidden="false" customHeight="false" outlineLevel="0" collapsed="false">
      <c r="A169" s="22" t="s">
        <v>475</v>
      </c>
      <c r="B169" s="22" t="s">
        <v>208</v>
      </c>
      <c r="C169" s="31" t="n">
        <v>46273</v>
      </c>
      <c r="D169" s="22" t="s">
        <v>300</v>
      </c>
      <c r="E169" s="22" t="s">
        <v>301</v>
      </c>
      <c r="F169" s="29" t="str">
        <f aca="false">IF(COUNTIF(Referral_Data!$C$5:$C$1000,B169)&gt;0,"Referred",IF(COUNTIF(Referral_Data!$B$5:$B$1000,B169)&gt;0,"Referrer","Organic"))</f>
        <v>Referrer</v>
      </c>
      <c r="G169" s="29" t="n">
        <f aca="false">IF(COUNTIFS($B$5:B169,B169,$C$5:C169,C169)=1,1,0)</f>
        <v>0</v>
      </c>
      <c r="H169" s="29" t="n">
        <f aca="false">IF(AND(G169=1,COUNTIFS($B$5:$B$1635,B169,$C$5:$C$1635,"&lt;"&amp;C169)&gt;0),1,0)</f>
        <v>0</v>
      </c>
      <c r="I169" s="29" t="n">
        <f aca="false">IF(AND(D169="Feature Use",COUNTIFS($B$5:B169,B169,$D$5:D169,"Feature Use",$E$5:E169,E169)=1),1,0)</f>
        <v>1</v>
      </c>
      <c r="J169" s="29" t="n">
        <f aca="false">IF(AND(D169="Feature Use",COUNTIFS($B$5:B169,B169,$D$5:D169,"Feature Use",$E$5:E169,E169)=2),1,0)</f>
        <v>0</v>
      </c>
      <c r="K169" s="29" t="n">
        <f aca="false">IF(COUNTIF($B$5:B169,B169)=1,1,0)</f>
        <v>0</v>
      </c>
      <c r="L169" s="29" t="n">
        <f aca="false">IF(AND(C169&gt;=Settings!$B$5-Settings!$B$8+1,C169&lt;=Settings!$B$5,COUNTIFS($B$5:B169,B169,$C$5:C169,"&gt;="&amp;(Settings!$B$5-Settings!$B$8+1),$C$5:C169,"&lt;="&amp;Settings!$B$5)=1),1,0)</f>
        <v>0</v>
      </c>
      <c r="M169" s="29" t="n">
        <f aca="false">IF(AND(C169&gt;=Settings!$B$5-Settings!$B$9+1,C169&lt;=Settings!$B$5,COUNTIFS($B$5:B169,B169,$C$5:C169,"&gt;="&amp;(Settings!$B$5-Settings!$B$9+1),$C$5:C169,"&lt;="&amp;Settings!$B$5)=1),1,0)</f>
        <v>0</v>
      </c>
      <c r="N169" s="29" t="n">
        <f aca="false">IF(AND(D169="Feature Use",COUNTIFS($B$5:B169,B169,$D$5:D169,"Feature Use")=1),1,0)</f>
        <v>0</v>
      </c>
    </row>
    <row r="170" customFormat="false" ht="15" hidden="false" customHeight="false" outlineLevel="0" collapsed="false">
      <c r="A170" s="22" t="s">
        <v>476</v>
      </c>
      <c r="B170" s="22" t="s">
        <v>203</v>
      </c>
      <c r="C170" s="31" t="n">
        <v>46273</v>
      </c>
      <c r="D170" s="22" t="s">
        <v>297</v>
      </c>
      <c r="E170" s="22" t="s">
        <v>298</v>
      </c>
      <c r="F170" s="29" t="str">
        <f aca="false">IF(COUNTIF(Referral_Data!$C$5:$C$1000,B170)&gt;0,"Referred",IF(COUNTIF(Referral_Data!$B$5:$B$1000,B170)&gt;0,"Referrer","Organic"))</f>
        <v>Referrer</v>
      </c>
      <c r="G170" s="29" t="n">
        <f aca="false">IF(COUNTIFS($B$5:B170,B170,$C$5:C170,C170)=1,1,0)</f>
        <v>1</v>
      </c>
      <c r="H170" s="29" t="n">
        <f aca="false">IF(AND(G170=1,COUNTIFS($B$5:$B$1635,B170,$C$5:$C$1635,"&lt;"&amp;C170)&gt;0),1,0)</f>
        <v>1</v>
      </c>
      <c r="I170" s="29" t="n">
        <f aca="false">IF(AND(D170="Feature Use",COUNTIFS($B$5:B170,B170,$D$5:D170,"Feature Use",$E$5:E170,E170)=1),1,0)</f>
        <v>0</v>
      </c>
      <c r="J170" s="29" t="n">
        <f aca="false">IF(AND(D170="Feature Use",COUNTIFS($B$5:B170,B170,$D$5:D170,"Feature Use",$E$5:E170,E170)=2),1,0)</f>
        <v>0</v>
      </c>
      <c r="K170" s="29" t="n">
        <f aca="false">IF(COUNTIF($B$5:B170,B170)=1,1,0)</f>
        <v>0</v>
      </c>
      <c r="L170" s="29" t="n">
        <f aca="false">IF(AND(C170&gt;=Settings!$B$5-Settings!$B$8+1,C170&lt;=Settings!$B$5,COUNTIFS($B$5:B170,B170,$C$5:C170,"&gt;="&amp;(Settings!$B$5-Settings!$B$8+1),$C$5:C170,"&lt;="&amp;Settings!$B$5)=1),1,0)</f>
        <v>0</v>
      </c>
      <c r="M170" s="29" t="n">
        <f aca="false">IF(AND(C170&gt;=Settings!$B$5-Settings!$B$9+1,C170&lt;=Settings!$B$5,COUNTIFS($B$5:B170,B170,$C$5:C170,"&gt;="&amp;(Settings!$B$5-Settings!$B$9+1),$C$5:C170,"&lt;="&amp;Settings!$B$5)=1),1,0)</f>
        <v>0</v>
      </c>
      <c r="N170" s="29" t="n">
        <f aca="false">IF(AND(D170="Feature Use",COUNTIFS($B$5:B170,B170,$D$5:D170,"Feature Use")=1),1,0)</f>
        <v>0</v>
      </c>
    </row>
    <row r="171" customFormat="false" ht="15" hidden="false" customHeight="false" outlineLevel="0" collapsed="false">
      <c r="A171" s="22" t="s">
        <v>477</v>
      </c>
      <c r="B171" s="22" t="s">
        <v>203</v>
      </c>
      <c r="C171" s="31" t="n">
        <v>46273</v>
      </c>
      <c r="D171" s="22" t="s">
        <v>300</v>
      </c>
      <c r="E171" s="22" t="s">
        <v>301</v>
      </c>
      <c r="F171" s="29" t="str">
        <f aca="false">IF(COUNTIF(Referral_Data!$C$5:$C$1000,B171)&gt;0,"Referred",IF(COUNTIF(Referral_Data!$B$5:$B$1000,B171)&gt;0,"Referrer","Organic"))</f>
        <v>Referrer</v>
      </c>
      <c r="G171" s="29" t="n">
        <f aca="false">IF(COUNTIFS($B$5:B171,B171,$C$5:C171,C171)=1,1,0)</f>
        <v>0</v>
      </c>
      <c r="H171" s="29" t="n">
        <f aca="false">IF(AND(G171=1,COUNTIFS($B$5:$B$1635,B171,$C$5:$C$1635,"&lt;"&amp;C171)&gt;0),1,0)</f>
        <v>0</v>
      </c>
      <c r="I171" s="29" t="n">
        <f aca="false">IF(AND(D171="Feature Use",COUNTIFS($B$5:B171,B171,$D$5:D171,"Feature Use",$E$5:E171,E171)=1),1,0)</f>
        <v>0</v>
      </c>
      <c r="J171" s="29" t="n">
        <f aca="false">IF(AND(D171="Feature Use",COUNTIFS($B$5:B171,B171,$D$5:D171,"Feature Use",$E$5:E171,E171)=2),1,0)</f>
        <v>1</v>
      </c>
      <c r="K171" s="29" t="n">
        <f aca="false">IF(COUNTIF($B$5:B171,B171)=1,1,0)</f>
        <v>0</v>
      </c>
      <c r="L171" s="29" t="n">
        <f aca="false">IF(AND(C171&gt;=Settings!$B$5-Settings!$B$8+1,C171&lt;=Settings!$B$5,COUNTIFS($B$5:B171,B171,$C$5:C171,"&gt;="&amp;(Settings!$B$5-Settings!$B$8+1),$C$5:C171,"&lt;="&amp;Settings!$B$5)=1),1,0)</f>
        <v>0</v>
      </c>
      <c r="M171" s="29" t="n">
        <f aca="false">IF(AND(C171&gt;=Settings!$B$5-Settings!$B$9+1,C171&lt;=Settings!$B$5,COUNTIFS($B$5:B171,B171,$C$5:C171,"&gt;="&amp;(Settings!$B$5-Settings!$B$9+1),$C$5:C171,"&lt;="&amp;Settings!$B$5)=1),1,0)</f>
        <v>0</v>
      </c>
      <c r="N171" s="29" t="n">
        <f aca="false">IF(AND(D171="Feature Use",COUNTIFS($B$5:B171,B171,$D$5:D171,"Feature Use")=1),1,0)</f>
        <v>0</v>
      </c>
    </row>
    <row r="172" customFormat="false" ht="15" hidden="false" customHeight="false" outlineLevel="0" collapsed="false">
      <c r="A172" s="22" t="s">
        <v>478</v>
      </c>
      <c r="B172" s="22" t="s">
        <v>203</v>
      </c>
      <c r="C172" s="31" t="n">
        <v>46273</v>
      </c>
      <c r="D172" s="22" t="s">
        <v>300</v>
      </c>
      <c r="E172" s="22" t="s">
        <v>309</v>
      </c>
      <c r="F172" s="29" t="str">
        <f aca="false">IF(COUNTIF(Referral_Data!$C$5:$C$1000,B172)&gt;0,"Referred",IF(COUNTIF(Referral_Data!$B$5:$B$1000,B172)&gt;0,"Referrer","Organic"))</f>
        <v>Referrer</v>
      </c>
      <c r="G172" s="29" t="n">
        <f aca="false">IF(COUNTIFS($B$5:B172,B172,$C$5:C172,C172)=1,1,0)</f>
        <v>0</v>
      </c>
      <c r="H172" s="29" t="n">
        <f aca="false">IF(AND(G172=1,COUNTIFS($B$5:$B$1635,B172,$C$5:$C$1635,"&lt;"&amp;C172)&gt;0),1,0)</f>
        <v>0</v>
      </c>
      <c r="I172" s="29" t="n">
        <f aca="false">IF(AND(D172="Feature Use",COUNTIFS($B$5:B172,B172,$D$5:D172,"Feature Use",$E$5:E172,E172)=1),1,0)</f>
        <v>0</v>
      </c>
      <c r="J172" s="29" t="n">
        <f aca="false">IF(AND(D172="Feature Use",COUNTIFS($B$5:B172,B172,$D$5:D172,"Feature Use",$E$5:E172,E172)=2),1,0)</f>
        <v>0</v>
      </c>
      <c r="K172" s="29" t="n">
        <f aca="false">IF(COUNTIF($B$5:B172,B172)=1,1,0)</f>
        <v>0</v>
      </c>
      <c r="L172" s="29" t="n">
        <f aca="false">IF(AND(C172&gt;=Settings!$B$5-Settings!$B$8+1,C172&lt;=Settings!$B$5,COUNTIFS($B$5:B172,B172,$C$5:C172,"&gt;="&amp;(Settings!$B$5-Settings!$B$8+1),$C$5:C172,"&lt;="&amp;Settings!$B$5)=1),1,0)</f>
        <v>0</v>
      </c>
      <c r="M172" s="29" t="n">
        <f aca="false">IF(AND(C172&gt;=Settings!$B$5-Settings!$B$9+1,C172&lt;=Settings!$B$5,COUNTIFS($B$5:B172,B172,$C$5:C172,"&gt;="&amp;(Settings!$B$5-Settings!$B$9+1),$C$5:C172,"&lt;="&amp;Settings!$B$5)=1),1,0)</f>
        <v>0</v>
      </c>
      <c r="N172" s="29" t="n">
        <f aca="false">IF(AND(D172="Feature Use",COUNTIFS($B$5:B172,B172,$D$5:D172,"Feature Use")=1),1,0)</f>
        <v>0</v>
      </c>
    </row>
    <row r="173" customFormat="false" ht="15" hidden="false" customHeight="false" outlineLevel="0" collapsed="false">
      <c r="A173" s="22" t="s">
        <v>479</v>
      </c>
      <c r="B173" s="22" t="s">
        <v>190</v>
      </c>
      <c r="C173" s="31" t="n">
        <v>46273</v>
      </c>
      <c r="D173" s="22" t="s">
        <v>297</v>
      </c>
      <c r="E173" s="22" t="s">
        <v>298</v>
      </c>
      <c r="F173" s="29" t="str">
        <f aca="false">IF(COUNTIF(Referral_Data!$C$5:$C$1000,B173)&gt;0,"Referred",IF(COUNTIF(Referral_Data!$B$5:$B$1000,B173)&gt;0,"Referrer","Organic"))</f>
        <v>Referrer</v>
      </c>
      <c r="G173" s="29" t="n">
        <f aca="false">IF(COUNTIFS($B$5:B173,B173,$C$5:C173,C173)=1,1,0)</f>
        <v>1</v>
      </c>
      <c r="H173" s="29" t="n">
        <f aca="false">IF(AND(G173=1,COUNTIFS($B$5:$B$1635,B173,$C$5:$C$1635,"&lt;"&amp;C173)&gt;0),1,0)</f>
        <v>1</v>
      </c>
      <c r="I173" s="29" t="n">
        <f aca="false">IF(AND(D173="Feature Use",COUNTIFS($B$5:B173,B173,$D$5:D173,"Feature Use",$E$5:E173,E173)=1),1,0)</f>
        <v>0</v>
      </c>
      <c r="J173" s="29" t="n">
        <f aca="false">IF(AND(D173="Feature Use",COUNTIFS($B$5:B173,B173,$D$5:D173,"Feature Use",$E$5:E173,E173)=2),1,0)</f>
        <v>0</v>
      </c>
      <c r="K173" s="29" t="n">
        <f aca="false">IF(COUNTIF($B$5:B173,B173)=1,1,0)</f>
        <v>0</v>
      </c>
      <c r="L173" s="29" t="n">
        <f aca="false">IF(AND(C173&gt;=Settings!$B$5-Settings!$B$8+1,C173&lt;=Settings!$B$5,COUNTIFS($B$5:B173,B173,$C$5:C173,"&gt;="&amp;(Settings!$B$5-Settings!$B$8+1),$C$5:C173,"&lt;="&amp;Settings!$B$5)=1),1,0)</f>
        <v>0</v>
      </c>
      <c r="M173" s="29" t="n">
        <f aca="false">IF(AND(C173&gt;=Settings!$B$5-Settings!$B$9+1,C173&lt;=Settings!$B$5,COUNTIFS($B$5:B173,B173,$C$5:C173,"&gt;="&amp;(Settings!$B$5-Settings!$B$9+1),$C$5:C173,"&lt;="&amp;Settings!$B$5)=1),1,0)</f>
        <v>0</v>
      </c>
      <c r="N173" s="29" t="n">
        <f aca="false">IF(AND(D173="Feature Use",COUNTIFS($B$5:B173,B173,$D$5:D173,"Feature Use")=1),1,0)</f>
        <v>0</v>
      </c>
    </row>
    <row r="174" customFormat="false" ht="15" hidden="false" customHeight="false" outlineLevel="0" collapsed="false">
      <c r="A174" s="22" t="s">
        <v>480</v>
      </c>
      <c r="B174" s="22" t="s">
        <v>190</v>
      </c>
      <c r="C174" s="31" t="n">
        <v>46273</v>
      </c>
      <c r="D174" s="22" t="s">
        <v>300</v>
      </c>
      <c r="E174" s="22" t="s">
        <v>301</v>
      </c>
      <c r="F174" s="29" t="str">
        <f aca="false">IF(COUNTIF(Referral_Data!$C$5:$C$1000,B174)&gt;0,"Referred",IF(COUNTIF(Referral_Data!$B$5:$B$1000,B174)&gt;0,"Referrer","Organic"))</f>
        <v>Referrer</v>
      </c>
      <c r="G174" s="29" t="n">
        <f aca="false">IF(COUNTIFS($B$5:B174,B174,$C$5:C174,C174)=1,1,0)</f>
        <v>0</v>
      </c>
      <c r="H174" s="29" t="n">
        <f aca="false">IF(AND(G174=1,COUNTIFS($B$5:$B$1635,B174,$C$5:$C$1635,"&lt;"&amp;C174)&gt;0),1,0)</f>
        <v>0</v>
      </c>
      <c r="I174" s="29" t="n">
        <f aca="false">IF(AND(D174="Feature Use",COUNTIFS($B$5:B174,B174,$D$5:D174,"Feature Use",$E$5:E174,E174)=1),1,0)</f>
        <v>0</v>
      </c>
      <c r="J174" s="29" t="n">
        <f aca="false">IF(AND(D174="Feature Use",COUNTIFS($B$5:B174,B174,$D$5:D174,"Feature Use",$E$5:E174,E174)=2),1,0)</f>
        <v>1</v>
      </c>
      <c r="K174" s="29" t="n">
        <f aca="false">IF(COUNTIF($B$5:B174,B174)=1,1,0)</f>
        <v>0</v>
      </c>
      <c r="L174" s="29" t="n">
        <f aca="false">IF(AND(C174&gt;=Settings!$B$5-Settings!$B$8+1,C174&lt;=Settings!$B$5,COUNTIFS($B$5:B174,B174,$C$5:C174,"&gt;="&amp;(Settings!$B$5-Settings!$B$8+1),$C$5:C174,"&lt;="&amp;Settings!$B$5)=1),1,0)</f>
        <v>0</v>
      </c>
      <c r="M174" s="29" t="n">
        <f aca="false">IF(AND(C174&gt;=Settings!$B$5-Settings!$B$9+1,C174&lt;=Settings!$B$5,COUNTIFS($B$5:B174,B174,$C$5:C174,"&gt;="&amp;(Settings!$B$5-Settings!$B$9+1),$C$5:C174,"&lt;="&amp;Settings!$B$5)=1),1,0)</f>
        <v>0</v>
      </c>
      <c r="N174" s="29" t="n">
        <f aca="false">IF(AND(D174="Feature Use",COUNTIFS($B$5:B174,B174,$D$5:D174,"Feature Use")=1),1,0)</f>
        <v>0</v>
      </c>
    </row>
    <row r="175" customFormat="false" ht="15" hidden="false" customHeight="false" outlineLevel="0" collapsed="false">
      <c r="A175" s="22" t="s">
        <v>481</v>
      </c>
      <c r="B175" s="22" t="s">
        <v>194</v>
      </c>
      <c r="C175" s="31" t="n">
        <v>46274</v>
      </c>
      <c r="D175" s="22" t="s">
        <v>297</v>
      </c>
      <c r="E175" s="22" t="s">
        <v>298</v>
      </c>
      <c r="F175" s="29" t="str">
        <f aca="false">IF(COUNTIF(Referral_Data!$C$5:$C$1000,B175)&gt;0,"Referred",IF(COUNTIF(Referral_Data!$B$5:$B$1000,B175)&gt;0,"Referrer","Organic"))</f>
        <v>Referred</v>
      </c>
      <c r="G175" s="29" t="n">
        <f aca="false">IF(COUNTIFS($B$5:B175,B175,$C$5:C175,C175)=1,1,0)</f>
        <v>1</v>
      </c>
      <c r="H175" s="29" t="n">
        <f aca="false">IF(AND(G175=1,COUNTIFS($B$5:$B$1635,B175,$C$5:$C$1635,"&lt;"&amp;C175)&gt;0),1,0)</f>
        <v>1</v>
      </c>
      <c r="I175" s="29" t="n">
        <f aca="false">IF(AND(D175="Feature Use",COUNTIFS($B$5:B175,B175,$D$5:D175,"Feature Use",$E$5:E175,E175)=1),1,0)</f>
        <v>0</v>
      </c>
      <c r="J175" s="29" t="n">
        <f aca="false">IF(AND(D175="Feature Use",COUNTIFS($B$5:B175,B175,$D$5:D175,"Feature Use",$E$5:E175,E175)=2),1,0)</f>
        <v>0</v>
      </c>
      <c r="K175" s="29" t="n">
        <f aca="false">IF(COUNTIF($B$5:B175,B175)=1,1,0)</f>
        <v>0</v>
      </c>
      <c r="L175" s="29" t="n">
        <f aca="false">IF(AND(C175&gt;=Settings!$B$5-Settings!$B$8+1,C175&lt;=Settings!$B$5,COUNTIFS($B$5:B175,B175,$C$5:C175,"&gt;="&amp;(Settings!$B$5-Settings!$B$8+1),$C$5:C175,"&lt;="&amp;Settings!$B$5)=1),1,0)</f>
        <v>0</v>
      </c>
      <c r="M175" s="29" t="n">
        <f aca="false">IF(AND(C175&gt;=Settings!$B$5-Settings!$B$9+1,C175&lt;=Settings!$B$5,COUNTIFS($B$5:B175,B175,$C$5:C175,"&gt;="&amp;(Settings!$B$5-Settings!$B$9+1),$C$5:C175,"&lt;="&amp;Settings!$B$5)=1),1,0)</f>
        <v>0</v>
      </c>
      <c r="N175" s="29" t="n">
        <f aca="false">IF(AND(D175="Feature Use",COUNTIFS($B$5:B175,B175,$D$5:D175,"Feature Use")=1),1,0)</f>
        <v>0</v>
      </c>
    </row>
    <row r="176" customFormat="false" ht="15" hidden="false" customHeight="false" outlineLevel="0" collapsed="false">
      <c r="A176" s="22" t="s">
        <v>482</v>
      </c>
      <c r="B176" s="22" t="s">
        <v>194</v>
      </c>
      <c r="C176" s="31" t="n">
        <v>46274</v>
      </c>
      <c r="D176" s="22" t="s">
        <v>300</v>
      </c>
      <c r="E176" s="22" t="s">
        <v>311</v>
      </c>
      <c r="F176" s="29" t="str">
        <f aca="false">IF(COUNTIF(Referral_Data!$C$5:$C$1000,B176)&gt;0,"Referred",IF(COUNTIF(Referral_Data!$B$5:$B$1000,B176)&gt;0,"Referrer","Organic"))</f>
        <v>Referred</v>
      </c>
      <c r="G176" s="29" t="n">
        <f aca="false">IF(COUNTIFS($B$5:B176,B176,$C$5:C176,C176)=1,1,0)</f>
        <v>0</v>
      </c>
      <c r="H176" s="29" t="n">
        <f aca="false">IF(AND(G176=1,COUNTIFS($B$5:$B$1635,B176,$C$5:$C$1635,"&lt;"&amp;C176)&gt;0),1,0)</f>
        <v>0</v>
      </c>
      <c r="I176" s="29" t="n">
        <f aca="false">IF(AND(D176="Feature Use",COUNTIFS($B$5:B176,B176,$D$5:D176,"Feature Use",$E$5:E176,E176)=1),1,0)</f>
        <v>1</v>
      </c>
      <c r="J176" s="29" t="n">
        <f aca="false">IF(AND(D176="Feature Use",COUNTIFS($B$5:B176,B176,$D$5:D176,"Feature Use",$E$5:E176,E176)=2),1,0)</f>
        <v>0</v>
      </c>
      <c r="K176" s="29" t="n">
        <f aca="false">IF(COUNTIF($B$5:B176,B176)=1,1,0)</f>
        <v>0</v>
      </c>
      <c r="L176" s="29" t="n">
        <f aca="false">IF(AND(C176&gt;=Settings!$B$5-Settings!$B$8+1,C176&lt;=Settings!$B$5,COUNTIFS($B$5:B176,B176,$C$5:C176,"&gt;="&amp;(Settings!$B$5-Settings!$B$8+1),$C$5:C176,"&lt;="&amp;Settings!$B$5)=1),1,0)</f>
        <v>0</v>
      </c>
      <c r="M176" s="29" t="n">
        <f aca="false">IF(AND(C176&gt;=Settings!$B$5-Settings!$B$9+1,C176&lt;=Settings!$B$5,COUNTIFS($B$5:B176,B176,$C$5:C176,"&gt;="&amp;(Settings!$B$5-Settings!$B$9+1),$C$5:C176,"&lt;="&amp;Settings!$B$5)=1),1,0)</f>
        <v>0</v>
      </c>
      <c r="N176" s="29" t="n">
        <f aca="false">IF(AND(D176="Feature Use",COUNTIFS($B$5:B176,B176,$D$5:D176,"Feature Use")=1),1,0)</f>
        <v>0</v>
      </c>
    </row>
    <row r="177" customFormat="false" ht="15" hidden="false" customHeight="false" outlineLevel="0" collapsed="false">
      <c r="A177" s="22" t="s">
        <v>483</v>
      </c>
      <c r="B177" s="22" t="s">
        <v>194</v>
      </c>
      <c r="C177" s="31" t="n">
        <v>46274</v>
      </c>
      <c r="D177" s="22" t="s">
        <v>300</v>
      </c>
      <c r="E177" s="22" t="s">
        <v>305</v>
      </c>
      <c r="F177" s="29" t="str">
        <f aca="false">IF(COUNTIF(Referral_Data!$C$5:$C$1000,B177)&gt;0,"Referred",IF(COUNTIF(Referral_Data!$B$5:$B$1000,B177)&gt;0,"Referrer","Organic"))</f>
        <v>Referred</v>
      </c>
      <c r="G177" s="29" t="n">
        <f aca="false">IF(COUNTIFS($B$5:B177,B177,$C$5:C177,C177)=1,1,0)</f>
        <v>0</v>
      </c>
      <c r="H177" s="29" t="n">
        <f aca="false">IF(AND(G177=1,COUNTIFS($B$5:$B$1635,B177,$C$5:$C$1635,"&lt;"&amp;C177)&gt;0),1,0)</f>
        <v>0</v>
      </c>
      <c r="I177" s="29" t="n">
        <f aca="false">IF(AND(D177="Feature Use",COUNTIFS($B$5:B177,B177,$D$5:D177,"Feature Use",$E$5:E177,E177)=1),1,0)</f>
        <v>0</v>
      </c>
      <c r="J177" s="29" t="n">
        <f aca="false">IF(AND(D177="Feature Use",COUNTIFS($B$5:B177,B177,$D$5:D177,"Feature Use",$E$5:E177,E177)=2),1,0)</f>
        <v>1</v>
      </c>
      <c r="K177" s="29" t="n">
        <f aca="false">IF(COUNTIF($B$5:B177,B177)=1,1,0)</f>
        <v>0</v>
      </c>
      <c r="L177" s="29" t="n">
        <f aca="false">IF(AND(C177&gt;=Settings!$B$5-Settings!$B$8+1,C177&lt;=Settings!$B$5,COUNTIFS($B$5:B177,B177,$C$5:C177,"&gt;="&amp;(Settings!$B$5-Settings!$B$8+1),$C$5:C177,"&lt;="&amp;Settings!$B$5)=1),1,0)</f>
        <v>0</v>
      </c>
      <c r="M177" s="29" t="n">
        <f aca="false">IF(AND(C177&gt;=Settings!$B$5-Settings!$B$9+1,C177&lt;=Settings!$B$5,COUNTIFS($B$5:B177,B177,$C$5:C177,"&gt;="&amp;(Settings!$B$5-Settings!$B$9+1),$C$5:C177,"&lt;="&amp;Settings!$B$5)=1),1,0)</f>
        <v>0</v>
      </c>
      <c r="N177" s="29" t="n">
        <f aca="false">IF(AND(D177="Feature Use",COUNTIFS($B$5:B177,B177,$D$5:D177,"Feature Use")=1),1,0)</f>
        <v>0</v>
      </c>
    </row>
    <row r="178" customFormat="false" ht="15" hidden="false" customHeight="false" outlineLevel="0" collapsed="false">
      <c r="A178" s="22" t="s">
        <v>484</v>
      </c>
      <c r="B178" s="22" t="s">
        <v>194</v>
      </c>
      <c r="C178" s="31" t="n">
        <v>46274</v>
      </c>
      <c r="D178" s="22" t="s">
        <v>308</v>
      </c>
      <c r="E178" s="22" t="s">
        <v>305</v>
      </c>
      <c r="F178" s="29" t="str">
        <f aca="false">IF(COUNTIF(Referral_Data!$C$5:$C$1000,B178)&gt;0,"Referred",IF(COUNTIF(Referral_Data!$B$5:$B$1000,B178)&gt;0,"Referrer","Organic"))</f>
        <v>Referred</v>
      </c>
      <c r="G178" s="29" t="n">
        <f aca="false">IF(COUNTIFS($B$5:B178,B178,$C$5:C178,C178)=1,1,0)</f>
        <v>0</v>
      </c>
      <c r="H178" s="29" t="n">
        <f aca="false">IF(AND(G178=1,COUNTIFS($B$5:$B$1635,B178,$C$5:$C$1635,"&lt;"&amp;C178)&gt;0),1,0)</f>
        <v>0</v>
      </c>
      <c r="I178" s="29" t="n">
        <f aca="false">IF(AND(D178="Feature Use",COUNTIFS($B$5:B178,B178,$D$5:D178,"Feature Use",$E$5:E178,E178)=1),1,0)</f>
        <v>0</v>
      </c>
      <c r="J178" s="29" t="n">
        <f aca="false">IF(AND(D178="Feature Use",COUNTIFS($B$5:B178,B178,$D$5:D178,"Feature Use",$E$5:E178,E178)=2),1,0)</f>
        <v>0</v>
      </c>
      <c r="K178" s="29" t="n">
        <f aca="false">IF(COUNTIF($B$5:B178,B178)=1,1,0)</f>
        <v>0</v>
      </c>
      <c r="L178" s="29" t="n">
        <f aca="false">IF(AND(C178&gt;=Settings!$B$5-Settings!$B$8+1,C178&lt;=Settings!$B$5,COUNTIFS($B$5:B178,B178,$C$5:C178,"&gt;="&amp;(Settings!$B$5-Settings!$B$8+1),$C$5:C178,"&lt;="&amp;Settings!$B$5)=1),1,0)</f>
        <v>0</v>
      </c>
      <c r="M178" s="29" t="n">
        <f aca="false">IF(AND(C178&gt;=Settings!$B$5-Settings!$B$9+1,C178&lt;=Settings!$B$5,COUNTIFS($B$5:B178,B178,$C$5:C178,"&gt;="&amp;(Settings!$B$5-Settings!$B$9+1),$C$5:C178,"&lt;="&amp;Settings!$B$5)=1),1,0)</f>
        <v>0</v>
      </c>
      <c r="N178" s="29" t="n">
        <f aca="false">IF(AND(D178="Feature Use",COUNTIFS($B$5:B178,B178,$D$5:D178,"Feature Use")=1),1,0)</f>
        <v>0</v>
      </c>
    </row>
    <row r="179" customFormat="false" ht="15" hidden="false" customHeight="false" outlineLevel="0" collapsed="false">
      <c r="A179" s="22" t="s">
        <v>485</v>
      </c>
      <c r="B179" s="22" t="s">
        <v>194</v>
      </c>
      <c r="C179" s="31" t="n">
        <v>46274</v>
      </c>
      <c r="D179" s="22" t="s">
        <v>308</v>
      </c>
      <c r="E179" s="22" t="s">
        <v>305</v>
      </c>
      <c r="F179" s="29" t="str">
        <f aca="false">IF(COUNTIF(Referral_Data!$C$5:$C$1000,B179)&gt;0,"Referred",IF(COUNTIF(Referral_Data!$B$5:$B$1000,B179)&gt;0,"Referrer","Organic"))</f>
        <v>Referred</v>
      </c>
      <c r="G179" s="29" t="n">
        <f aca="false">IF(COUNTIFS($B$5:B179,B179,$C$5:C179,C179)=1,1,0)</f>
        <v>0</v>
      </c>
      <c r="H179" s="29" t="n">
        <f aca="false">IF(AND(G179=1,COUNTIFS($B$5:$B$1635,B179,$C$5:$C$1635,"&lt;"&amp;C179)&gt;0),1,0)</f>
        <v>0</v>
      </c>
      <c r="I179" s="29" t="n">
        <f aca="false">IF(AND(D179="Feature Use",COUNTIFS($B$5:B179,B179,$D$5:D179,"Feature Use",$E$5:E179,E179)=1),1,0)</f>
        <v>0</v>
      </c>
      <c r="J179" s="29" t="n">
        <f aca="false">IF(AND(D179="Feature Use",COUNTIFS($B$5:B179,B179,$D$5:D179,"Feature Use",$E$5:E179,E179)=2),1,0)</f>
        <v>0</v>
      </c>
      <c r="K179" s="29" t="n">
        <f aca="false">IF(COUNTIF($B$5:B179,B179)=1,1,0)</f>
        <v>0</v>
      </c>
      <c r="L179" s="29" t="n">
        <f aca="false">IF(AND(C179&gt;=Settings!$B$5-Settings!$B$8+1,C179&lt;=Settings!$B$5,COUNTIFS($B$5:B179,B179,$C$5:C179,"&gt;="&amp;(Settings!$B$5-Settings!$B$8+1),$C$5:C179,"&lt;="&amp;Settings!$B$5)=1),1,0)</f>
        <v>0</v>
      </c>
      <c r="M179" s="29" t="n">
        <f aca="false">IF(AND(C179&gt;=Settings!$B$5-Settings!$B$9+1,C179&lt;=Settings!$B$5,COUNTIFS($B$5:B179,B179,$C$5:C179,"&gt;="&amp;(Settings!$B$5-Settings!$B$9+1),$C$5:C179,"&lt;="&amp;Settings!$B$5)=1),1,0)</f>
        <v>0</v>
      </c>
      <c r="N179" s="29" t="n">
        <f aca="false">IF(AND(D179="Feature Use",COUNTIFS($B$5:B179,B179,$D$5:D179,"Feature Use")=1),1,0)</f>
        <v>0</v>
      </c>
    </row>
    <row r="180" customFormat="false" ht="15" hidden="false" customHeight="false" outlineLevel="0" collapsed="false">
      <c r="A180" s="22" t="s">
        <v>486</v>
      </c>
      <c r="B180" s="22" t="s">
        <v>170</v>
      </c>
      <c r="C180" s="31" t="n">
        <v>46274</v>
      </c>
      <c r="D180" s="22" t="s">
        <v>297</v>
      </c>
      <c r="E180" s="22" t="s">
        <v>298</v>
      </c>
      <c r="F180" s="29" t="str">
        <f aca="false">IF(COUNTIF(Referral_Data!$C$5:$C$1000,B180)&gt;0,"Referred",IF(COUNTIF(Referral_Data!$B$5:$B$1000,B180)&gt;0,"Referrer","Organic"))</f>
        <v>Referrer</v>
      </c>
      <c r="G180" s="29" t="n">
        <f aca="false">IF(COUNTIFS($B$5:B180,B180,$C$5:C180,C180)=1,1,0)</f>
        <v>1</v>
      </c>
      <c r="H180" s="29" t="n">
        <f aca="false">IF(AND(G180=1,COUNTIFS($B$5:$B$1635,B180,$C$5:$C$1635,"&lt;"&amp;C180)&gt;0),1,0)</f>
        <v>1</v>
      </c>
      <c r="I180" s="29" t="n">
        <f aca="false">IF(AND(D180="Feature Use",COUNTIFS($B$5:B180,B180,$D$5:D180,"Feature Use",$E$5:E180,E180)=1),1,0)</f>
        <v>0</v>
      </c>
      <c r="J180" s="29" t="n">
        <f aca="false">IF(AND(D180="Feature Use",COUNTIFS($B$5:B180,B180,$D$5:D180,"Feature Use",$E$5:E180,E180)=2),1,0)</f>
        <v>0</v>
      </c>
      <c r="K180" s="29" t="n">
        <f aca="false">IF(COUNTIF($B$5:B180,B180)=1,1,0)</f>
        <v>0</v>
      </c>
      <c r="L180" s="29" t="n">
        <f aca="false">IF(AND(C180&gt;=Settings!$B$5-Settings!$B$8+1,C180&lt;=Settings!$B$5,COUNTIFS($B$5:B180,B180,$C$5:C180,"&gt;="&amp;(Settings!$B$5-Settings!$B$8+1),$C$5:C180,"&lt;="&amp;Settings!$B$5)=1),1,0)</f>
        <v>0</v>
      </c>
      <c r="M180" s="29" t="n">
        <f aca="false">IF(AND(C180&gt;=Settings!$B$5-Settings!$B$9+1,C180&lt;=Settings!$B$5,COUNTIFS($B$5:B180,B180,$C$5:C180,"&gt;="&amp;(Settings!$B$5-Settings!$B$9+1),$C$5:C180,"&lt;="&amp;Settings!$B$5)=1),1,0)</f>
        <v>0</v>
      </c>
      <c r="N180" s="29" t="n">
        <f aca="false">IF(AND(D180="Feature Use",COUNTIFS($B$5:B180,B180,$D$5:D180,"Feature Use")=1),1,0)</f>
        <v>0</v>
      </c>
    </row>
    <row r="181" customFormat="false" ht="15" hidden="false" customHeight="false" outlineLevel="0" collapsed="false">
      <c r="A181" s="22" t="s">
        <v>487</v>
      </c>
      <c r="B181" s="22" t="s">
        <v>170</v>
      </c>
      <c r="C181" s="31" t="n">
        <v>46274</v>
      </c>
      <c r="D181" s="22" t="s">
        <v>300</v>
      </c>
      <c r="E181" s="22" t="s">
        <v>311</v>
      </c>
      <c r="F181" s="29" t="str">
        <f aca="false">IF(COUNTIF(Referral_Data!$C$5:$C$1000,B181)&gt;0,"Referred",IF(COUNTIF(Referral_Data!$B$5:$B$1000,B181)&gt;0,"Referrer","Organic"))</f>
        <v>Referrer</v>
      </c>
      <c r="G181" s="29" t="n">
        <f aca="false">IF(COUNTIFS($B$5:B181,B181,$C$5:C181,C181)=1,1,0)</f>
        <v>0</v>
      </c>
      <c r="H181" s="29" t="n">
        <f aca="false">IF(AND(G181=1,COUNTIFS($B$5:$B$1635,B181,$C$5:$C$1635,"&lt;"&amp;C181)&gt;0),1,0)</f>
        <v>0</v>
      </c>
      <c r="I181" s="29" t="n">
        <f aca="false">IF(AND(D181="Feature Use",COUNTIFS($B$5:B181,B181,$D$5:D181,"Feature Use",$E$5:E181,E181)=1),1,0)</f>
        <v>0</v>
      </c>
      <c r="J181" s="29" t="n">
        <f aca="false">IF(AND(D181="Feature Use",COUNTIFS($B$5:B181,B181,$D$5:D181,"Feature Use",$E$5:E181,E181)=2),1,0)</f>
        <v>1</v>
      </c>
      <c r="K181" s="29" t="n">
        <f aca="false">IF(COUNTIF($B$5:B181,B181)=1,1,0)</f>
        <v>0</v>
      </c>
      <c r="L181" s="29" t="n">
        <f aca="false">IF(AND(C181&gt;=Settings!$B$5-Settings!$B$8+1,C181&lt;=Settings!$B$5,COUNTIFS($B$5:B181,B181,$C$5:C181,"&gt;="&amp;(Settings!$B$5-Settings!$B$8+1),$C$5:C181,"&lt;="&amp;Settings!$B$5)=1),1,0)</f>
        <v>0</v>
      </c>
      <c r="M181" s="29" t="n">
        <f aca="false">IF(AND(C181&gt;=Settings!$B$5-Settings!$B$9+1,C181&lt;=Settings!$B$5,COUNTIFS($B$5:B181,B181,$C$5:C181,"&gt;="&amp;(Settings!$B$5-Settings!$B$9+1),$C$5:C181,"&lt;="&amp;Settings!$B$5)=1),1,0)</f>
        <v>0</v>
      </c>
      <c r="N181" s="29" t="n">
        <f aca="false">IF(AND(D181="Feature Use",COUNTIFS($B$5:B181,B181,$D$5:D181,"Feature Use")=1),1,0)</f>
        <v>0</v>
      </c>
    </row>
    <row r="182" customFormat="false" ht="15" hidden="false" customHeight="false" outlineLevel="0" collapsed="false">
      <c r="A182" s="22" t="s">
        <v>488</v>
      </c>
      <c r="B182" s="22" t="s">
        <v>170</v>
      </c>
      <c r="C182" s="31" t="n">
        <v>46274</v>
      </c>
      <c r="D182" s="22" t="s">
        <v>308</v>
      </c>
      <c r="E182" s="22" t="s">
        <v>301</v>
      </c>
      <c r="F182" s="29" t="str">
        <f aca="false">IF(COUNTIF(Referral_Data!$C$5:$C$1000,B182)&gt;0,"Referred",IF(COUNTIF(Referral_Data!$B$5:$B$1000,B182)&gt;0,"Referrer","Organic"))</f>
        <v>Referrer</v>
      </c>
      <c r="G182" s="29" t="n">
        <f aca="false">IF(COUNTIFS($B$5:B182,B182,$C$5:C182,C182)=1,1,0)</f>
        <v>0</v>
      </c>
      <c r="H182" s="29" t="n">
        <f aca="false">IF(AND(G182=1,COUNTIFS($B$5:$B$1635,B182,$C$5:$C$1635,"&lt;"&amp;C182)&gt;0),1,0)</f>
        <v>0</v>
      </c>
      <c r="I182" s="29" t="n">
        <f aca="false">IF(AND(D182="Feature Use",COUNTIFS($B$5:B182,B182,$D$5:D182,"Feature Use",$E$5:E182,E182)=1),1,0)</f>
        <v>0</v>
      </c>
      <c r="J182" s="29" t="n">
        <f aca="false">IF(AND(D182="Feature Use",COUNTIFS($B$5:B182,B182,$D$5:D182,"Feature Use",$E$5:E182,E182)=2),1,0)</f>
        <v>0</v>
      </c>
      <c r="K182" s="29" t="n">
        <f aca="false">IF(COUNTIF($B$5:B182,B182)=1,1,0)</f>
        <v>0</v>
      </c>
      <c r="L182" s="29" t="n">
        <f aca="false">IF(AND(C182&gt;=Settings!$B$5-Settings!$B$8+1,C182&lt;=Settings!$B$5,COUNTIFS($B$5:B182,B182,$C$5:C182,"&gt;="&amp;(Settings!$B$5-Settings!$B$8+1),$C$5:C182,"&lt;="&amp;Settings!$B$5)=1),1,0)</f>
        <v>0</v>
      </c>
      <c r="M182" s="29" t="n">
        <f aca="false">IF(AND(C182&gt;=Settings!$B$5-Settings!$B$9+1,C182&lt;=Settings!$B$5,COUNTIFS($B$5:B182,B182,$C$5:C182,"&gt;="&amp;(Settings!$B$5-Settings!$B$9+1),$C$5:C182,"&lt;="&amp;Settings!$B$5)=1),1,0)</f>
        <v>0</v>
      </c>
      <c r="N182" s="29" t="n">
        <f aca="false">IF(AND(D182="Feature Use",COUNTIFS($B$5:B182,B182,$D$5:D182,"Feature Use")=1),1,0)</f>
        <v>0</v>
      </c>
    </row>
    <row r="183" customFormat="false" ht="15" hidden="false" customHeight="false" outlineLevel="0" collapsed="false">
      <c r="A183" s="22" t="s">
        <v>489</v>
      </c>
      <c r="B183" s="22" t="s">
        <v>200</v>
      </c>
      <c r="C183" s="31" t="n">
        <v>46274</v>
      </c>
      <c r="D183" s="22" t="s">
        <v>297</v>
      </c>
      <c r="E183" s="22" t="s">
        <v>298</v>
      </c>
      <c r="F183" s="29" t="str">
        <f aca="false">IF(COUNTIF(Referral_Data!$C$5:$C$1000,B183)&gt;0,"Referred",IF(COUNTIF(Referral_Data!$B$5:$B$1000,B183)&gt;0,"Referrer","Organic"))</f>
        <v>Referrer</v>
      </c>
      <c r="G183" s="29" t="n">
        <f aca="false">IF(COUNTIFS($B$5:B183,B183,$C$5:C183,C183)=1,1,0)</f>
        <v>1</v>
      </c>
      <c r="H183" s="29" t="n">
        <f aca="false">IF(AND(G183=1,COUNTIFS($B$5:$B$1635,B183,$C$5:$C$1635,"&lt;"&amp;C183)&gt;0),1,0)</f>
        <v>1</v>
      </c>
      <c r="I183" s="29" t="n">
        <f aca="false">IF(AND(D183="Feature Use",COUNTIFS($B$5:B183,B183,$D$5:D183,"Feature Use",$E$5:E183,E183)=1),1,0)</f>
        <v>0</v>
      </c>
      <c r="J183" s="29" t="n">
        <f aca="false">IF(AND(D183="Feature Use",COUNTIFS($B$5:B183,B183,$D$5:D183,"Feature Use",$E$5:E183,E183)=2),1,0)</f>
        <v>0</v>
      </c>
      <c r="K183" s="29" t="n">
        <f aca="false">IF(COUNTIF($B$5:B183,B183)=1,1,0)</f>
        <v>0</v>
      </c>
      <c r="L183" s="29" t="n">
        <f aca="false">IF(AND(C183&gt;=Settings!$B$5-Settings!$B$8+1,C183&lt;=Settings!$B$5,COUNTIFS($B$5:B183,B183,$C$5:C183,"&gt;="&amp;(Settings!$B$5-Settings!$B$8+1),$C$5:C183,"&lt;="&amp;Settings!$B$5)=1),1,0)</f>
        <v>0</v>
      </c>
      <c r="M183" s="29" t="n">
        <f aca="false">IF(AND(C183&gt;=Settings!$B$5-Settings!$B$9+1,C183&lt;=Settings!$B$5,COUNTIFS($B$5:B183,B183,$C$5:C183,"&gt;="&amp;(Settings!$B$5-Settings!$B$9+1),$C$5:C183,"&lt;="&amp;Settings!$B$5)=1),1,0)</f>
        <v>0</v>
      </c>
      <c r="N183" s="29" t="n">
        <f aca="false">IF(AND(D183="Feature Use",COUNTIFS($B$5:B183,B183,$D$5:D183,"Feature Use")=1),1,0)</f>
        <v>0</v>
      </c>
    </row>
    <row r="184" customFormat="false" ht="15" hidden="false" customHeight="false" outlineLevel="0" collapsed="false">
      <c r="A184" s="22" t="s">
        <v>490</v>
      </c>
      <c r="B184" s="22" t="s">
        <v>200</v>
      </c>
      <c r="C184" s="31" t="n">
        <v>46274</v>
      </c>
      <c r="D184" s="22" t="s">
        <v>300</v>
      </c>
      <c r="E184" s="22" t="s">
        <v>305</v>
      </c>
      <c r="F184" s="29" t="str">
        <f aca="false">IF(COUNTIF(Referral_Data!$C$5:$C$1000,B184)&gt;0,"Referred",IF(COUNTIF(Referral_Data!$B$5:$B$1000,B184)&gt;0,"Referrer","Organic"))</f>
        <v>Referrer</v>
      </c>
      <c r="G184" s="29" t="n">
        <f aca="false">IF(COUNTIFS($B$5:B184,B184,$C$5:C184,C184)=1,1,0)</f>
        <v>0</v>
      </c>
      <c r="H184" s="29" t="n">
        <f aca="false">IF(AND(G184=1,COUNTIFS($B$5:$B$1635,B184,$C$5:$C$1635,"&lt;"&amp;C184)&gt;0),1,0)</f>
        <v>0</v>
      </c>
      <c r="I184" s="29" t="n">
        <f aca="false">IF(AND(D184="Feature Use",COUNTIFS($B$5:B184,B184,$D$5:D184,"Feature Use",$E$5:E184,E184)=1),1,0)</f>
        <v>0</v>
      </c>
      <c r="J184" s="29" t="n">
        <f aca="false">IF(AND(D184="Feature Use",COUNTIFS($B$5:B184,B184,$D$5:D184,"Feature Use",$E$5:E184,E184)=2),1,0)</f>
        <v>1</v>
      </c>
      <c r="K184" s="29" t="n">
        <f aca="false">IF(COUNTIF($B$5:B184,B184)=1,1,0)</f>
        <v>0</v>
      </c>
      <c r="L184" s="29" t="n">
        <f aca="false">IF(AND(C184&gt;=Settings!$B$5-Settings!$B$8+1,C184&lt;=Settings!$B$5,COUNTIFS($B$5:B184,B184,$C$5:C184,"&gt;="&amp;(Settings!$B$5-Settings!$B$8+1),$C$5:C184,"&lt;="&amp;Settings!$B$5)=1),1,0)</f>
        <v>0</v>
      </c>
      <c r="M184" s="29" t="n">
        <f aca="false">IF(AND(C184&gt;=Settings!$B$5-Settings!$B$9+1,C184&lt;=Settings!$B$5,COUNTIFS($B$5:B184,B184,$C$5:C184,"&gt;="&amp;(Settings!$B$5-Settings!$B$9+1),$C$5:C184,"&lt;="&amp;Settings!$B$5)=1),1,0)</f>
        <v>0</v>
      </c>
      <c r="N184" s="29" t="n">
        <f aca="false">IF(AND(D184="Feature Use",COUNTIFS($B$5:B184,B184,$D$5:D184,"Feature Use")=1),1,0)</f>
        <v>0</v>
      </c>
    </row>
    <row r="185" customFormat="false" ht="15" hidden="false" customHeight="false" outlineLevel="0" collapsed="false">
      <c r="A185" s="22" t="s">
        <v>491</v>
      </c>
      <c r="B185" s="22" t="s">
        <v>200</v>
      </c>
      <c r="C185" s="31" t="n">
        <v>46274</v>
      </c>
      <c r="D185" s="22" t="s">
        <v>308</v>
      </c>
      <c r="E185" s="22" t="s">
        <v>305</v>
      </c>
      <c r="F185" s="29" t="str">
        <f aca="false">IF(COUNTIF(Referral_Data!$C$5:$C$1000,B185)&gt;0,"Referred",IF(COUNTIF(Referral_Data!$B$5:$B$1000,B185)&gt;0,"Referrer","Organic"))</f>
        <v>Referrer</v>
      </c>
      <c r="G185" s="29" t="n">
        <f aca="false">IF(COUNTIFS($B$5:B185,B185,$C$5:C185,C185)=1,1,0)</f>
        <v>0</v>
      </c>
      <c r="H185" s="29" t="n">
        <f aca="false">IF(AND(G185=1,COUNTIFS($B$5:$B$1635,B185,$C$5:$C$1635,"&lt;"&amp;C185)&gt;0),1,0)</f>
        <v>0</v>
      </c>
      <c r="I185" s="29" t="n">
        <f aca="false">IF(AND(D185="Feature Use",COUNTIFS($B$5:B185,B185,$D$5:D185,"Feature Use",$E$5:E185,E185)=1),1,0)</f>
        <v>0</v>
      </c>
      <c r="J185" s="29" t="n">
        <f aca="false">IF(AND(D185="Feature Use",COUNTIFS($B$5:B185,B185,$D$5:D185,"Feature Use",$E$5:E185,E185)=2),1,0)</f>
        <v>0</v>
      </c>
      <c r="K185" s="29" t="n">
        <f aca="false">IF(COUNTIF($B$5:B185,B185)=1,1,0)</f>
        <v>0</v>
      </c>
      <c r="L185" s="29" t="n">
        <f aca="false">IF(AND(C185&gt;=Settings!$B$5-Settings!$B$8+1,C185&lt;=Settings!$B$5,COUNTIFS($B$5:B185,B185,$C$5:C185,"&gt;="&amp;(Settings!$B$5-Settings!$B$8+1),$C$5:C185,"&lt;="&amp;Settings!$B$5)=1),1,0)</f>
        <v>0</v>
      </c>
      <c r="M185" s="29" t="n">
        <f aca="false">IF(AND(C185&gt;=Settings!$B$5-Settings!$B$9+1,C185&lt;=Settings!$B$5,COUNTIFS($B$5:B185,B185,$C$5:C185,"&gt;="&amp;(Settings!$B$5-Settings!$B$9+1),$C$5:C185,"&lt;="&amp;Settings!$B$5)=1),1,0)</f>
        <v>0</v>
      </c>
      <c r="N185" s="29" t="n">
        <f aca="false">IF(AND(D185="Feature Use",COUNTIFS($B$5:B185,B185,$D$5:D185,"Feature Use")=1),1,0)</f>
        <v>0</v>
      </c>
    </row>
    <row r="186" customFormat="false" ht="15" hidden="false" customHeight="false" outlineLevel="0" collapsed="false">
      <c r="A186" s="22" t="s">
        <v>492</v>
      </c>
      <c r="B186" s="22" t="s">
        <v>329</v>
      </c>
      <c r="C186" s="31" t="n">
        <v>46275</v>
      </c>
      <c r="D186" s="22" t="s">
        <v>297</v>
      </c>
      <c r="E186" s="22" t="s">
        <v>298</v>
      </c>
      <c r="F186" s="29" t="str">
        <f aca="false">IF(COUNTIF(Referral_Data!$C$5:$C$1000,B186)&gt;0,"Referred",IF(COUNTIF(Referral_Data!$B$5:$B$1000,B186)&gt;0,"Referrer","Organic"))</f>
        <v>Organic</v>
      </c>
      <c r="G186" s="29" t="n">
        <f aca="false">IF(COUNTIFS($B$5:B186,B186,$C$5:C186,C186)=1,1,0)</f>
        <v>1</v>
      </c>
      <c r="H186" s="29" t="n">
        <f aca="false">IF(AND(G186=1,COUNTIFS($B$5:$B$1635,B186,$C$5:$C$1635,"&lt;"&amp;C186)&gt;0),1,0)</f>
        <v>1</v>
      </c>
      <c r="I186" s="29" t="n">
        <f aca="false">IF(AND(D186="Feature Use",COUNTIFS($B$5:B186,B186,$D$5:D186,"Feature Use",$E$5:E186,E186)=1),1,0)</f>
        <v>0</v>
      </c>
      <c r="J186" s="29" t="n">
        <f aca="false">IF(AND(D186="Feature Use",COUNTIFS($B$5:B186,B186,$D$5:D186,"Feature Use",$E$5:E186,E186)=2),1,0)</f>
        <v>0</v>
      </c>
      <c r="K186" s="29" t="n">
        <f aca="false">IF(COUNTIF($B$5:B186,B186)=1,1,0)</f>
        <v>0</v>
      </c>
      <c r="L186" s="29" t="n">
        <f aca="false">IF(AND(C186&gt;=Settings!$B$5-Settings!$B$8+1,C186&lt;=Settings!$B$5,COUNTIFS($B$5:B186,B186,$C$5:C186,"&gt;="&amp;(Settings!$B$5-Settings!$B$8+1),$C$5:C186,"&lt;="&amp;Settings!$B$5)=1),1,0)</f>
        <v>0</v>
      </c>
      <c r="M186" s="29" t="n">
        <f aca="false">IF(AND(C186&gt;=Settings!$B$5-Settings!$B$9+1,C186&lt;=Settings!$B$5,COUNTIFS($B$5:B186,B186,$C$5:C186,"&gt;="&amp;(Settings!$B$5-Settings!$B$9+1),$C$5:C186,"&lt;="&amp;Settings!$B$5)=1),1,0)</f>
        <v>0</v>
      </c>
      <c r="N186" s="29" t="n">
        <f aca="false">IF(AND(D186="Feature Use",COUNTIFS($B$5:B186,B186,$D$5:D186,"Feature Use")=1),1,0)</f>
        <v>0</v>
      </c>
    </row>
    <row r="187" customFormat="false" ht="15" hidden="false" customHeight="false" outlineLevel="0" collapsed="false">
      <c r="A187" s="22" t="s">
        <v>493</v>
      </c>
      <c r="B187" s="22" t="s">
        <v>329</v>
      </c>
      <c r="C187" s="31" t="n">
        <v>46275</v>
      </c>
      <c r="D187" s="22" t="s">
        <v>300</v>
      </c>
      <c r="E187" s="22" t="s">
        <v>311</v>
      </c>
      <c r="F187" s="29" t="str">
        <f aca="false">IF(COUNTIF(Referral_Data!$C$5:$C$1000,B187)&gt;0,"Referred",IF(COUNTIF(Referral_Data!$B$5:$B$1000,B187)&gt;0,"Referrer","Organic"))</f>
        <v>Organic</v>
      </c>
      <c r="G187" s="29" t="n">
        <f aca="false">IF(COUNTIFS($B$5:B187,B187,$C$5:C187,C187)=1,1,0)</f>
        <v>0</v>
      </c>
      <c r="H187" s="29" t="n">
        <f aca="false">IF(AND(G187=1,COUNTIFS($B$5:$B$1635,B187,$C$5:$C$1635,"&lt;"&amp;C187)&gt;0),1,0)</f>
        <v>0</v>
      </c>
      <c r="I187" s="29" t="n">
        <f aca="false">IF(AND(D187="Feature Use",COUNTIFS($B$5:B187,B187,$D$5:D187,"Feature Use",$E$5:E187,E187)=1),1,0)</f>
        <v>1</v>
      </c>
      <c r="J187" s="29" t="n">
        <f aca="false">IF(AND(D187="Feature Use",COUNTIFS($B$5:B187,B187,$D$5:D187,"Feature Use",$E$5:E187,E187)=2),1,0)</f>
        <v>0</v>
      </c>
      <c r="K187" s="29" t="n">
        <f aca="false">IF(COUNTIF($B$5:B187,B187)=1,1,0)</f>
        <v>0</v>
      </c>
      <c r="L187" s="29" t="n">
        <f aca="false">IF(AND(C187&gt;=Settings!$B$5-Settings!$B$8+1,C187&lt;=Settings!$B$5,COUNTIFS($B$5:B187,B187,$C$5:C187,"&gt;="&amp;(Settings!$B$5-Settings!$B$8+1),$C$5:C187,"&lt;="&amp;Settings!$B$5)=1),1,0)</f>
        <v>0</v>
      </c>
      <c r="M187" s="29" t="n">
        <f aca="false">IF(AND(C187&gt;=Settings!$B$5-Settings!$B$9+1,C187&lt;=Settings!$B$5,COUNTIFS($B$5:B187,B187,$C$5:C187,"&gt;="&amp;(Settings!$B$5-Settings!$B$9+1),$C$5:C187,"&lt;="&amp;Settings!$B$5)=1),1,0)</f>
        <v>0</v>
      </c>
      <c r="N187" s="29" t="n">
        <f aca="false">IF(AND(D187="Feature Use",COUNTIFS($B$5:B187,B187,$D$5:D187,"Feature Use")=1),1,0)</f>
        <v>0</v>
      </c>
    </row>
    <row r="188" customFormat="false" ht="15" hidden="false" customHeight="false" outlineLevel="0" collapsed="false">
      <c r="A188" s="22" t="s">
        <v>494</v>
      </c>
      <c r="B188" s="22" t="s">
        <v>329</v>
      </c>
      <c r="C188" s="31" t="n">
        <v>46275</v>
      </c>
      <c r="D188" s="22" t="s">
        <v>300</v>
      </c>
      <c r="E188" s="22" t="s">
        <v>305</v>
      </c>
      <c r="F188" s="29" t="str">
        <f aca="false">IF(COUNTIF(Referral_Data!$C$5:$C$1000,B188)&gt;0,"Referred",IF(COUNTIF(Referral_Data!$B$5:$B$1000,B188)&gt;0,"Referrer","Organic"))</f>
        <v>Organic</v>
      </c>
      <c r="G188" s="29" t="n">
        <f aca="false">IF(COUNTIFS($B$5:B188,B188,$C$5:C188,C188)=1,1,0)</f>
        <v>0</v>
      </c>
      <c r="H188" s="29" t="n">
        <f aca="false">IF(AND(G188=1,COUNTIFS($B$5:$B$1635,B188,$C$5:$C$1635,"&lt;"&amp;C188)&gt;0),1,0)</f>
        <v>0</v>
      </c>
      <c r="I188" s="29" t="n">
        <f aca="false">IF(AND(D188="Feature Use",COUNTIFS($B$5:B188,B188,$D$5:D188,"Feature Use",$E$5:E188,E188)=1),1,0)</f>
        <v>0</v>
      </c>
      <c r="J188" s="29" t="n">
        <f aca="false">IF(AND(D188="Feature Use",COUNTIFS($B$5:B188,B188,$D$5:D188,"Feature Use",$E$5:E188,E188)=2),1,0)</f>
        <v>0</v>
      </c>
      <c r="K188" s="29" t="n">
        <f aca="false">IF(COUNTIF($B$5:B188,B188)=1,1,0)</f>
        <v>0</v>
      </c>
      <c r="L188" s="29" t="n">
        <f aca="false">IF(AND(C188&gt;=Settings!$B$5-Settings!$B$8+1,C188&lt;=Settings!$B$5,COUNTIFS($B$5:B188,B188,$C$5:C188,"&gt;="&amp;(Settings!$B$5-Settings!$B$8+1),$C$5:C188,"&lt;="&amp;Settings!$B$5)=1),1,0)</f>
        <v>0</v>
      </c>
      <c r="M188" s="29" t="n">
        <f aca="false">IF(AND(C188&gt;=Settings!$B$5-Settings!$B$9+1,C188&lt;=Settings!$B$5,COUNTIFS($B$5:B188,B188,$C$5:C188,"&gt;="&amp;(Settings!$B$5-Settings!$B$9+1),$C$5:C188,"&lt;="&amp;Settings!$B$5)=1),1,0)</f>
        <v>0</v>
      </c>
      <c r="N188" s="29" t="n">
        <f aca="false">IF(AND(D188="Feature Use",COUNTIFS($B$5:B188,B188,$D$5:D188,"Feature Use")=1),1,0)</f>
        <v>0</v>
      </c>
    </row>
    <row r="189" customFormat="false" ht="15" hidden="false" customHeight="false" outlineLevel="0" collapsed="false">
      <c r="A189" s="22" t="s">
        <v>495</v>
      </c>
      <c r="B189" s="22" t="s">
        <v>329</v>
      </c>
      <c r="C189" s="31" t="n">
        <v>46275</v>
      </c>
      <c r="D189" s="22" t="s">
        <v>308</v>
      </c>
      <c r="E189" s="22" t="s">
        <v>301</v>
      </c>
      <c r="F189" s="29" t="str">
        <f aca="false">IF(COUNTIF(Referral_Data!$C$5:$C$1000,B189)&gt;0,"Referred",IF(COUNTIF(Referral_Data!$B$5:$B$1000,B189)&gt;0,"Referrer","Organic"))</f>
        <v>Organic</v>
      </c>
      <c r="G189" s="29" t="n">
        <f aca="false">IF(COUNTIFS($B$5:B189,B189,$C$5:C189,C189)=1,1,0)</f>
        <v>0</v>
      </c>
      <c r="H189" s="29" t="n">
        <f aca="false">IF(AND(G189=1,COUNTIFS($B$5:$B$1635,B189,$C$5:$C$1635,"&lt;"&amp;C189)&gt;0),1,0)</f>
        <v>0</v>
      </c>
      <c r="I189" s="29" t="n">
        <f aca="false">IF(AND(D189="Feature Use",COUNTIFS($B$5:B189,B189,$D$5:D189,"Feature Use",$E$5:E189,E189)=1),1,0)</f>
        <v>0</v>
      </c>
      <c r="J189" s="29" t="n">
        <f aca="false">IF(AND(D189="Feature Use",COUNTIFS($B$5:B189,B189,$D$5:D189,"Feature Use",$E$5:E189,E189)=2),1,0)</f>
        <v>0</v>
      </c>
      <c r="K189" s="29" t="n">
        <f aca="false">IF(COUNTIF($B$5:B189,B189)=1,1,0)</f>
        <v>0</v>
      </c>
      <c r="L189" s="29" t="n">
        <f aca="false">IF(AND(C189&gt;=Settings!$B$5-Settings!$B$8+1,C189&lt;=Settings!$B$5,COUNTIFS($B$5:B189,B189,$C$5:C189,"&gt;="&amp;(Settings!$B$5-Settings!$B$8+1),$C$5:C189,"&lt;="&amp;Settings!$B$5)=1),1,0)</f>
        <v>0</v>
      </c>
      <c r="M189" s="29" t="n">
        <f aca="false">IF(AND(C189&gt;=Settings!$B$5-Settings!$B$9+1,C189&lt;=Settings!$B$5,COUNTIFS($B$5:B189,B189,$C$5:C189,"&gt;="&amp;(Settings!$B$5-Settings!$B$9+1),$C$5:C189,"&lt;="&amp;Settings!$B$5)=1),1,0)</f>
        <v>0</v>
      </c>
      <c r="N189" s="29" t="n">
        <f aca="false">IF(AND(D189="Feature Use",COUNTIFS($B$5:B189,B189,$D$5:D189,"Feature Use")=1),1,0)</f>
        <v>0</v>
      </c>
    </row>
    <row r="190" customFormat="false" ht="15" hidden="false" customHeight="false" outlineLevel="0" collapsed="false">
      <c r="A190" s="22" t="s">
        <v>496</v>
      </c>
      <c r="B190" s="22" t="s">
        <v>329</v>
      </c>
      <c r="C190" s="31" t="n">
        <v>46275</v>
      </c>
      <c r="D190" s="22" t="s">
        <v>308</v>
      </c>
      <c r="E190" s="22" t="s">
        <v>319</v>
      </c>
      <c r="F190" s="29" t="str">
        <f aca="false">IF(COUNTIF(Referral_Data!$C$5:$C$1000,B190)&gt;0,"Referred",IF(COUNTIF(Referral_Data!$B$5:$B$1000,B190)&gt;0,"Referrer","Organic"))</f>
        <v>Organic</v>
      </c>
      <c r="G190" s="29" t="n">
        <f aca="false">IF(COUNTIFS($B$5:B190,B190,$C$5:C190,C190)=1,1,0)</f>
        <v>0</v>
      </c>
      <c r="H190" s="29" t="n">
        <f aca="false">IF(AND(G190=1,COUNTIFS($B$5:$B$1635,B190,$C$5:$C$1635,"&lt;"&amp;C190)&gt;0),1,0)</f>
        <v>0</v>
      </c>
      <c r="I190" s="29" t="n">
        <f aca="false">IF(AND(D190="Feature Use",COUNTIFS($B$5:B190,B190,$D$5:D190,"Feature Use",$E$5:E190,E190)=1),1,0)</f>
        <v>0</v>
      </c>
      <c r="J190" s="29" t="n">
        <f aca="false">IF(AND(D190="Feature Use",COUNTIFS($B$5:B190,B190,$D$5:D190,"Feature Use",$E$5:E190,E190)=2),1,0)</f>
        <v>0</v>
      </c>
      <c r="K190" s="29" t="n">
        <f aca="false">IF(COUNTIF($B$5:B190,B190)=1,1,0)</f>
        <v>0</v>
      </c>
      <c r="L190" s="29" t="n">
        <f aca="false">IF(AND(C190&gt;=Settings!$B$5-Settings!$B$8+1,C190&lt;=Settings!$B$5,COUNTIFS($B$5:B190,B190,$C$5:C190,"&gt;="&amp;(Settings!$B$5-Settings!$B$8+1),$C$5:C190,"&lt;="&amp;Settings!$B$5)=1),1,0)</f>
        <v>0</v>
      </c>
      <c r="M190" s="29" t="n">
        <f aca="false">IF(AND(C190&gt;=Settings!$B$5-Settings!$B$9+1,C190&lt;=Settings!$B$5,COUNTIFS($B$5:B190,B190,$C$5:C190,"&gt;="&amp;(Settings!$B$5-Settings!$B$9+1),$C$5:C190,"&lt;="&amp;Settings!$B$5)=1),1,0)</f>
        <v>0</v>
      </c>
      <c r="N190" s="29" t="n">
        <f aca="false">IF(AND(D190="Feature Use",COUNTIFS($B$5:B190,B190,$D$5:D190,"Feature Use")=1),1,0)</f>
        <v>0</v>
      </c>
    </row>
    <row r="191" customFormat="false" ht="15" hidden="false" customHeight="false" outlineLevel="0" collapsed="false">
      <c r="A191" s="22" t="s">
        <v>497</v>
      </c>
      <c r="B191" s="22" t="s">
        <v>168</v>
      </c>
      <c r="C191" s="31" t="n">
        <v>46275</v>
      </c>
      <c r="D191" s="22" t="s">
        <v>297</v>
      </c>
      <c r="E191" s="22" t="s">
        <v>298</v>
      </c>
      <c r="F191" s="29" t="str">
        <f aca="false">IF(COUNTIF(Referral_Data!$C$5:$C$1000,B191)&gt;0,"Referred",IF(COUNTIF(Referral_Data!$B$5:$B$1000,B191)&gt;0,"Referrer","Organic"))</f>
        <v>Referred</v>
      </c>
      <c r="G191" s="29" t="n">
        <f aca="false">IF(COUNTIFS($B$5:B191,B191,$C$5:C191,C191)=1,1,0)</f>
        <v>1</v>
      </c>
      <c r="H191" s="29" t="n">
        <f aca="false">IF(AND(G191=1,COUNTIFS($B$5:$B$1635,B191,$C$5:$C$1635,"&lt;"&amp;C191)&gt;0),1,0)</f>
        <v>0</v>
      </c>
      <c r="I191" s="29" t="n">
        <f aca="false">IF(AND(D191="Feature Use",COUNTIFS($B$5:B191,B191,$D$5:D191,"Feature Use",$E$5:E191,E191)=1),1,0)</f>
        <v>0</v>
      </c>
      <c r="J191" s="29" t="n">
        <f aca="false">IF(AND(D191="Feature Use",COUNTIFS($B$5:B191,B191,$D$5:D191,"Feature Use",$E$5:E191,E191)=2),1,0)</f>
        <v>0</v>
      </c>
      <c r="K191" s="29" t="n">
        <f aca="false">IF(COUNTIF($B$5:B191,B191)=1,1,0)</f>
        <v>1</v>
      </c>
      <c r="L191" s="29" t="n">
        <f aca="false">IF(AND(C191&gt;=Settings!$B$5-Settings!$B$8+1,C191&lt;=Settings!$B$5,COUNTIFS($B$5:B191,B191,$C$5:C191,"&gt;="&amp;(Settings!$B$5-Settings!$B$8+1),$C$5:C191,"&lt;="&amp;Settings!$B$5)=1),1,0)</f>
        <v>0</v>
      </c>
      <c r="M191" s="29" t="n">
        <f aca="false">IF(AND(C191&gt;=Settings!$B$5-Settings!$B$9+1,C191&lt;=Settings!$B$5,COUNTIFS($B$5:B191,B191,$C$5:C191,"&gt;="&amp;(Settings!$B$5-Settings!$B$9+1),$C$5:C191,"&lt;="&amp;Settings!$B$5)=1),1,0)</f>
        <v>0</v>
      </c>
      <c r="N191" s="29" t="n">
        <f aca="false">IF(AND(D191="Feature Use",COUNTIFS($B$5:B191,B191,$D$5:D191,"Feature Use")=1),1,0)</f>
        <v>0</v>
      </c>
    </row>
    <row r="192" customFormat="false" ht="15" hidden="false" customHeight="false" outlineLevel="0" collapsed="false">
      <c r="A192" s="22" t="s">
        <v>498</v>
      </c>
      <c r="B192" s="22" t="s">
        <v>168</v>
      </c>
      <c r="C192" s="31" t="n">
        <v>46275</v>
      </c>
      <c r="D192" s="22" t="s">
        <v>300</v>
      </c>
      <c r="E192" s="22" t="s">
        <v>305</v>
      </c>
      <c r="F192" s="29" t="str">
        <f aca="false">IF(COUNTIF(Referral_Data!$C$5:$C$1000,B192)&gt;0,"Referred",IF(COUNTIF(Referral_Data!$B$5:$B$1000,B192)&gt;0,"Referrer","Organic"))</f>
        <v>Referred</v>
      </c>
      <c r="G192" s="29" t="n">
        <f aca="false">IF(COUNTIFS($B$5:B192,B192,$C$5:C192,C192)=1,1,0)</f>
        <v>0</v>
      </c>
      <c r="H192" s="29" t="n">
        <f aca="false">IF(AND(G192=1,COUNTIFS($B$5:$B$1635,B192,$C$5:$C$1635,"&lt;"&amp;C192)&gt;0),1,0)</f>
        <v>0</v>
      </c>
      <c r="I192" s="29" t="n">
        <f aca="false">IF(AND(D192="Feature Use",COUNTIFS($B$5:B192,B192,$D$5:D192,"Feature Use",$E$5:E192,E192)=1),1,0)</f>
        <v>1</v>
      </c>
      <c r="J192" s="29" t="n">
        <f aca="false">IF(AND(D192="Feature Use",COUNTIFS($B$5:B192,B192,$D$5:D192,"Feature Use",$E$5:E192,E192)=2),1,0)</f>
        <v>0</v>
      </c>
      <c r="K192" s="29" t="n">
        <f aca="false">IF(COUNTIF($B$5:B192,B192)=1,1,0)</f>
        <v>0</v>
      </c>
      <c r="L192" s="29" t="n">
        <f aca="false">IF(AND(C192&gt;=Settings!$B$5-Settings!$B$8+1,C192&lt;=Settings!$B$5,COUNTIFS($B$5:B192,B192,$C$5:C192,"&gt;="&amp;(Settings!$B$5-Settings!$B$8+1),$C$5:C192,"&lt;="&amp;Settings!$B$5)=1),1,0)</f>
        <v>0</v>
      </c>
      <c r="M192" s="29" t="n">
        <f aca="false">IF(AND(C192&gt;=Settings!$B$5-Settings!$B$9+1,C192&lt;=Settings!$B$5,COUNTIFS($B$5:B192,B192,$C$5:C192,"&gt;="&amp;(Settings!$B$5-Settings!$B$9+1),$C$5:C192,"&lt;="&amp;Settings!$B$5)=1),1,0)</f>
        <v>0</v>
      </c>
      <c r="N192" s="29" t="n">
        <f aca="false">IF(AND(D192="Feature Use",COUNTIFS($B$5:B192,B192,$D$5:D192,"Feature Use")=1),1,0)</f>
        <v>1</v>
      </c>
    </row>
    <row r="193" customFormat="false" ht="15" hidden="false" customHeight="false" outlineLevel="0" collapsed="false">
      <c r="A193" s="22" t="s">
        <v>499</v>
      </c>
      <c r="B193" s="22" t="s">
        <v>168</v>
      </c>
      <c r="C193" s="31" t="n">
        <v>46275</v>
      </c>
      <c r="D193" s="22" t="s">
        <v>300</v>
      </c>
      <c r="E193" s="22" t="s">
        <v>311</v>
      </c>
      <c r="F193" s="29" t="str">
        <f aca="false">IF(COUNTIF(Referral_Data!$C$5:$C$1000,B193)&gt;0,"Referred",IF(COUNTIF(Referral_Data!$B$5:$B$1000,B193)&gt;0,"Referrer","Organic"))</f>
        <v>Referred</v>
      </c>
      <c r="G193" s="29" t="n">
        <f aca="false">IF(COUNTIFS($B$5:B193,B193,$C$5:C193,C193)=1,1,0)</f>
        <v>0</v>
      </c>
      <c r="H193" s="29" t="n">
        <f aca="false">IF(AND(G193=1,COUNTIFS($B$5:$B$1635,B193,$C$5:$C$1635,"&lt;"&amp;C193)&gt;0),1,0)</f>
        <v>0</v>
      </c>
      <c r="I193" s="29" t="n">
        <f aca="false">IF(AND(D193="Feature Use",COUNTIFS($B$5:B193,B193,$D$5:D193,"Feature Use",$E$5:E193,E193)=1),1,0)</f>
        <v>1</v>
      </c>
      <c r="J193" s="29" t="n">
        <f aca="false">IF(AND(D193="Feature Use",COUNTIFS($B$5:B193,B193,$D$5:D193,"Feature Use",$E$5:E193,E193)=2),1,0)</f>
        <v>0</v>
      </c>
      <c r="K193" s="29" t="n">
        <f aca="false">IF(COUNTIF($B$5:B193,B193)=1,1,0)</f>
        <v>0</v>
      </c>
      <c r="L193" s="29" t="n">
        <f aca="false">IF(AND(C193&gt;=Settings!$B$5-Settings!$B$8+1,C193&lt;=Settings!$B$5,COUNTIFS($B$5:B193,B193,$C$5:C193,"&gt;="&amp;(Settings!$B$5-Settings!$B$8+1),$C$5:C193,"&lt;="&amp;Settings!$B$5)=1),1,0)</f>
        <v>0</v>
      </c>
      <c r="M193" s="29" t="n">
        <f aca="false">IF(AND(C193&gt;=Settings!$B$5-Settings!$B$9+1,C193&lt;=Settings!$B$5,COUNTIFS($B$5:B193,B193,$C$5:C193,"&gt;="&amp;(Settings!$B$5-Settings!$B$9+1),$C$5:C193,"&lt;="&amp;Settings!$B$5)=1),1,0)</f>
        <v>0</v>
      </c>
      <c r="N193" s="29" t="n">
        <f aca="false">IF(AND(D193="Feature Use",COUNTIFS($B$5:B193,B193,$D$5:D193,"Feature Use")=1),1,0)</f>
        <v>0</v>
      </c>
    </row>
    <row r="194" customFormat="false" ht="15" hidden="false" customHeight="false" outlineLevel="0" collapsed="false">
      <c r="A194" s="22" t="s">
        <v>500</v>
      </c>
      <c r="B194" s="22" t="s">
        <v>181</v>
      </c>
      <c r="C194" s="31" t="n">
        <v>46275</v>
      </c>
      <c r="D194" s="22" t="s">
        <v>297</v>
      </c>
      <c r="E194" s="22" t="s">
        <v>298</v>
      </c>
      <c r="F194" s="29" t="str">
        <f aca="false">IF(COUNTIF(Referral_Data!$C$5:$C$1000,B194)&gt;0,"Referred",IF(COUNTIF(Referral_Data!$B$5:$B$1000,B194)&gt;0,"Referrer","Organic"))</f>
        <v>Referred</v>
      </c>
      <c r="G194" s="29" t="n">
        <f aca="false">IF(COUNTIFS($B$5:B194,B194,$C$5:C194,C194)=1,1,0)</f>
        <v>1</v>
      </c>
      <c r="H194" s="29" t="n">
        <f aca="false">IF(AND(G194=1,COUNTIFS($B$5:$B$1635,B194,$C$5:$C$1635,"&lt;"&amp;C194)&gt;0),1,0)</f>
        <v>1</v>
      </c>
      <c r="I194" s="29" t="n">
        <f aca="false">IF(AND(D194="Feature Use",COUNTIFS($B$5:B194,B194,$D$5:D194,"Feature Use",$E$5:E194,E194)=1),1,0)</f>
        <v>0</v>
      </c>
      <c r="J194" s="29" t="n">
        <f aca="false">IF(AND(D194="Feature Use",COUNTIFS($B$5:B194,B194,$D$5:D194,"Feature Use",$E$5:E194,E194)=2),1,0)</f>
        <v>0</v>
      </c>
      <c r="K194" s="29" t="n">
        <f aca="false">IF(COUNTIF($B$5:B194,B194)=1,1,0)</f>
        <v>0</v>
      </c>
      <c r="L194" s="29" t="n">
        <f aca="false">IF(AND(C194&gt;=Settings!$B$5-Settings!$B$8+1,C194&lt;=Settings!$B$5,COUNTIFS($B$5:B194,B194,$C$5:C194,"&gt;="&amp;(Settings!$B$5-Settings!$B$8+1),$C$5:C194,"&lt;="&amp;Settings!$B$5)=1),1,0)</f>
        <v>0</v>
      </c>
      <c r="M194" s="29" t="n">
        <f aca="false">IF(AND(C194&gt;=Settings!$B$5-Settings!$B$9+1,C194&lt;=Settings!$B$5,COUNTIFS($B$5:B194,B194,$C$5:C194,"&gt;="&amp;(Settings!$B$5-Settings!$B$9+1),$C$5:C194,"&lt;="&amp;Settings!$B$5)=1),1,0)</f>
        <v>0</v>
      </c>
      <c r="N194" s="29" t="n">
        <f aca="false">IF(AND(D194="Feature Use",COUNTIFS($B$5:B194,B194,$D$5:D194,"Feature Use")=1),1,0)</f>
        <v>0</v>
      </c>
    </row>
    <row r="195" customFormat="false" ht="15" hidden="false" customHeight="false" outlineLevel="0" collapsed="false">
      <c r="A195" s="22" t="s">
        <v>501</v>
      </c>
      <c r="B195" s="22" t="s">
        <v>181</v>
      </c>
      <c r="C195" s="31" t="n">
        <v>46275</v>
      </c>
      <c r="D195" s="22" t="s">
        <v>300</v>
      </c>
      <c r="E195" s="22" t="s">
        <v>319</v>
      </c>
      <c r="F195" s="29" t="str">
        <f aca="false">IF(COUNTIF(Referral_Data!$C$5:$C$1000,B195)&gt;0,"Referred",IF(COUNTIF(Referral_Data!$B$5:$B$1000,B195)&gt;0,"Referrer","Organic"))</f>
        <v>Referred</v>
      </c>
      <c r="G195" s="29" t="n">
        <f aca="false">IF(COUNTIFS($B$5:B195,B195,$C$5:C195,C195)=1,1,0)</f>
        <v>0</v>
      </c>
      <c r="H195" s="29" t="n">
        <f aca="false">IF(AND(G195=1,COUNTIFS($B$5:$B$1635,B195,$C$5:$C$1635,"&lt;"&amp;C195)&gt;0),1,0)</f>
        <v>0</v>
      </c>
      <c r="I195" s="29" t="n">
        <f aca="false">IF(AND(D195="Feature Use",COUNTIFS($B$5:B195,B195,$D$5:D195,"Feature Use",$E$5:E195,E195)=1),1,0)</f>
        <v>1</v>
      </c>
      <c r="J195" s="29" t="n">
        <f aca="false">IF(AND(D195="Feature Use",COUNTIFS($B$5:B195,B195,$D$5:D195,"Feature Use",$E$5:E195,E195)=2),1,0)</f>
        <v>0</v>
      </c>
      <c r="K195" s="29" t="n">
        <f aca="false">IF(COUNTIF($B$5:B195,B195)=1,1,0)</f>
        <v>0</v>
      </c>
      <c r="L195" s="29" t="n">
        <f aca="false">IF(AND(C195&gt;=Settings!$B$5-Settings!$B$8+1,C195&lt;=Settings!$B$5,COUNTIFS($B$5:B195,B195,$C$5:C195,"&gt;="&amp;(Settings!$B$5-Settings!$B$8+1),$C$5:C195,"&lt;="&amp;Settings!$B$5)=1),1,0)</f>
        <v>0</v>
      </c>
      <c r="M195" s="29" t="n">
        <f aca="false">IF(AND(C195&gt;=Settings!$B$5-Settings!$B$9+1,C195&lt;=Settings!$B$5,COUNTIFS($B$5:B195,B195,$C$5:C195,"&gt;="&amp;(Settings!$B$5-Settings!$B$9+1),$C$5:C195,"&lt;="&amp;Settings!$B$5)=1),1,0)</f>
        <v>0</v>
      </c>
      <c r="N195" s="29" t="n">
        <f aca="false">IF(AND(D195="Feature Use",COUNTIFS($B$5:B195,B195,$D$5:D195,"Feature Use")=1),1,0)</f>
        <v>0</v>
      </c>
    </row>
    <row r="196" customFormat="false" ht="15" hidden="false" customHeight="false" outlineLevel="0" collapsed="false">
      <c r="A196" s="22" t="s">
        <v>502</v>
      </c>
      <c r="B196" s="22" t="s">
        <v>181</v>
      </c>
      <c r="C196" s="31" t="n">
        <v>46275</v>
      </c>
      <c r="D196" s="22" t="s">
        <v>300</v>
      </c>
      <c r="E196" s="22" t="s">
        <v>311</v>
      </c>
      <c r="F196" s="29" t="str">
        <f aca="false">IF(COUNTIF(Referral_Data!$C$5:$C$1000,B196)&gt;0,"Referred",IF(COUNTIF(Referral_Data!$B$5:$B$1000,B196)&gt;0,"Referrer","Organic"))</f>
        <v>Referred</v>
      </c>
      <c r="G196" s="29" t="n">
        <f aca="false">IF(COUNTIFS($B$5:B196,B196,$C$5:C196,C196)=1,1,0)</f>
        <v>0</v>
      </c>
      <c r="H196" s="29" t="n">
        <f aca="false">IF(AND(G196=1,COUNTIFS($B$5:$B$1635,B196,$C$5:$C$1635,"&lt;"&amp;C196)&gt;0),1,0)</f>
        <v>0</v>
      </c>
      <c r="I196" s="29" t="n">
        <f aca="false">IF(AND(D196="Feature Use",COUNTIFS($B$5:B196,B196,$D$5:D196,"Feature Use",$E$5:E196,E196)=1),1,0)</f>
        <v>1</v>
      </c>
      <c r="J196" s="29" t="n">
        <f aca="false">IF(AND(D196="Feature Use",COUNTIFS($B$5:B196,B196,$D$5:D196,"Feature Use",$E$5:E196,E196)=2),1,0)</f>
        <v>0</v>
      </c>
      <c r="K196" s="29" t="n">
        <f aca="false">IF(COUNTIF($B$5:B196,B196)=1,1,0)</f>
        <v>0</v>
      </c>
      <c r="L196" s="29" t="n">
        <f aca="false">IF(AND(C196&gt;=Settings!$B$5-Settings!$B$8+1,C196&lt;=Settings!$B$5,COUNTIFS($B$5:B196,B196,$C$5:C196,"&gt;="&amp;(Settings!$B$5-Settings!$B$8+1),$C$5:C196,"&lt;="&amp;Settings!$B$5)=1),1,0)</f>
        <v>0</v>
      </c>
      <c r="M196" s="29" t="n">
        <f aca="false">IF(AND(C196&gt;=Settings!$B$5-Settings!$B$9+1,C196&lt;=Settings!$B$5,COUNTIFS($B$5:B196,B196,$C$5:C196,"&gt;="&amp;(Settings!$B$5-Settings!$B$9+1),$C$5:C196,"&lt;="&amp;Settings!$B$5)=1),1,0)</f>
        <v>0</v>
      </c>
      <c r="N196" s="29" t="n">
        <f aca="false">IF(AND(D196="Feature Use",COUNTIFS($B$5:B196,B196,$D$5:D196,"Feature Use")=1),1,0)</f>
        <v>0</v>
      </c>
    </row>
    <row r="197" customFormat="false" ht="15" hidden="false" customHeight="false" outlineLevel="0" collapsed="false">
      <c r="A197" s="22" t="s">
        <v>503</v>
      </c>
      <c r="B197" s="22" t="s">
        <v>181</v>
      </c>
      <c r="C197" s="31" t="n">
        <v>46275</v>
      </c>
      <c r="D197" s="22" t="s">
        <v>308</v>
      </c>
      <c r="E197" s="22" t="s">
        <v>311</v>
      </c>
      <c r="F197" s="29" t="str">
        <f aca="false">IF(COUNTIF(Referral_Data!$C$5:$C$1000,B197)&gt;0,"Referred",IF(COUNTIF(Referral_Data!$B$5:$B$1000,B197)&gt;0,"Referrer","Organic"))</f>
        <v>Referred</v>
      </c>
      <c r="G197" s="29" t="n">
        <f aca="false">IF(COUNTIFS($B$5:B197,B197,$C$5:C197,C197)=1,1,0)</f>
        <v>0</v>
      </c>
      <c r="H197" s="29" t="n">
        <f aca="false">IF(AND(G197=1,COUNTIFS($B$5:$B$1635,B197,$C$5:$C$1635,"&lt;"&amp;C197)&gt;0),1,0)</f>
        <v>0</v>
      </c>
      <c r="I197" s="29" t="n">
        <f aca="false">IF(AND(D197="Feature Use",COUNTIFS($B$5:B197,B197,$D$5:D197,"Feature Use",$E$5:E197,E197)=1),1,0)</f>
        <v>0</v>
      </c>
      <c r="J197" s="29" t="n">
        <f aca="false">IF(AND(D197="Feature Use",COUNTIFS($B$5:B197,B197,$D$5:D197,"Feature Use",$E$5:E197,E197)=2),1,0)</f>
        <v>0</v>
      </c>
      <c r="K197" s="29" t="n">
        <f aca="false">IF(COUNTIF($B$5:B197,B197)=1,1,0)</f>
        <v>0</v>
      </c>
      <c r="L197" s="29" t="n">
        <f aca="false">IF(AND(C197&gt;=Settings!$B$5-Settings!$B$8+1,C197&lt;=Settings!$B$5,COUNTIFS($B$5:B197,B197,$C$5:C197,"&gt;="&amp;(Settings!$B$5-Settings!$B$8+1),$C$5:C197,"&lt;="&amp;Settings!$B$5)=1),1,0)</f>
        <v>0</v>
      </c>
      <c r="M197" s="29" t="n">
        <f aca="false">IF(AND(C197&gt;=Settings!$B$5-Settings!$B$9+1,C197&lt;=Settings!$B$5,COUNTIFS($B$5:B197,B197,$C$5:C197,"&gt;="&amp;(Settings!$B$5-Settings!$B$9+1),$C$5:C197,"&lt;="&amp;Settings!$B$5)=1),1,0)</f>
        <v>0</v>
      </c>
      <c r="N197" s="29" t="n">
        <f aca="false">IF(AND(D197="Feature Use",COUNTIFS($B$5:B197,B197,$D$5:D197,"Feature Use")=1),1,0)</f>
        <v>0</v>
      </c>
    </row>
    <row r="198" customFormat="false" ht="15" hidden="false" customHeight="false" outlineLevel="0" collapsed="false">
      <c r="A198" s="22" t="s">
        <v>504</v>
      </c>
      <c r="B198" s="22" t="s">
        <v>181</v>
      </c>
      <c r="C198" s="31" t="n">
        <v>46275</v>
      </c>
      <c r="D198" s="22" t="s">
        <v>308</v>
      </c>
      <c r="E198" s="22" t="s">
        <v>305</v>
      </c>
      <c r="F198" s="29" t="str">
        <f aca="false">IF(COUNTIF(Referral_Data!$C$5:$C$1000,B198)&gt;0,"Referred",IF(COUNTIF(Referral_Data!$B$5:$B$1000,B198)&gt;0,"Referrer","Organic"))</f>
        <v>Referred</v>
      </c>
      <c r="G198" s="29" t="n">
        <f aca="false">IF(COUNTIFS($B$5:B198,B198,$C$5:C198,C198)=1,1,0)</f>
        <v>0</v>
      </c>
      <c r="H198" s="29" t="n">
        <f aca="false">IF(AND(G198=1,COUNTIFS($B$5:$B$1635,B198,$C$5:$C$1635,"&lt;"&amp;C198)&gt;0),1,0)</f>
        <v>0</v>
      </c>
      <c r="I198" s="29" t="n">
        <f aca="false">IF(AND(D198="Feature Use",COUNTIFS($B$5:B198,B198,$D$5:D198,"Feature Use",$E$5:E198,E198)=1),1,0)</f>
        <v>0</v>
      </c>
      <c r="J198" s="29" t="n">
        <f aca="false">IF(AND(D198="Feature Use",COUNTIFS($B$5:B198,B198,$D$5:D198,"Feature Use",$E$5:E198,E198)=2),1,0)</f>
        <v>0</v>
      </c>
      <c r="K198" s="29" t="n">
        <f aca="false">IF(COUNTIF($B$5:B198,B198)=1,1,0)</f>
        <v>0</v>
      </c>
      <c r="L198" s="29" t="n">
        <f aca="false">IF(AND(C198&gt;=Settings!$B$5-Settings!$B$8+1,C198&lt;=Settings!$B$5,COUNTIFS($B$5:B198,B198,$C$5:C198,"&gt;="&amp;(Settings!$B$5-Settings!$B$8+1),$C$5:C198,"&lt;="&amp;Settings!$B$5)=1),1,0)</f>
        <v>0</v>
      </c>
      <c r="M198" s="29" t="n">
        <f aca="false">IF(AND(C198&gt;=Settings!$B$5-Settings!$B$9+1,C198&lt;=Settings!$B$5,COUNTIFS($B$5:B198,B198,$C$5:C198,"&gt;="&amp;(Settings!$B$5-Settings!$B$9+1),$C$5:C198,"&lt;="&amp;Settings!$B$5)=1),1,0)</f>
        <v>0</v>
      </c>
      <c r="N198" s="29" t="n">
        <f aca="false">IF(AND(D198="Feature Use",COUNTIFS($B$5:B198,B198,$D$5:D198,"Feature Use")=1),1,0)</f>
        <v>0</v>
      </c>
    </row>
    <row r="199" customFormat="false" ht="15" hidden="false" customHeight="false" outlineLevel="0" collapsed="false">
      <c r="A199" s="22" t="s">
        <v>505</v>
      </c>
      <c r="B199" s="22" t="s">
        <v>204</v>
      </c>
      <c r="C199" s="31" t="n">
        <v>46275</v>
      </c>
      <c r="D199" s="22" t="s">
        <v>297</v>
      </c>
      <c r="E199" s="22" t="s">
        <v>298</v>
      </c>
      <c r="F199" s="29" t="str">
        <f aca="false">IF(COUNTIF(Referral_Data!$C$5:$C$1000,B199)&gt;0,"Referred",IF(COUNTIF(Referral_Data!$B$5:$B$1000,B199)&gt;0,"Referrer","Organic"))</f>
        <v>Referred</v>
      </c>
      <c r="G199" s="29" t="n">
        <f aca="false">IF(COUNTIFS($B$5:B199,B199,$C$5:C199,C199)=1,1,0)</f>
        <v>1</v>
      </c>
      <c r="H199" s="29" t="n">
        <f aca="false">IF(AND(G199=1,COUNTIFS($B$5:$B$1635,B199,$C$5:$C$1635,"&lt;"&amp;C199)&gt;0),1,0)</f>
        <v>0</v>
      </c>
      <c r="I199" s="29" t="n">
        <f aca="false">IF(AND(D199="Feature Use",COUNTIFS($B$5:B199,B199,$D$5:D199,"Feature Use",$E$5:E199,E199)=1),1,0)</f>
        <v>0</v>
      </c>
      <c r="J199" s="29" t="n">
        <f aca="false">IF(AND(D199="Feature Use",COUNTIFS($B$5:B199,B199,$D$5:D199,"Feature Use",$E$5:E199,E199)=2),1,0)</f>
        <v>0</v>
      </c>
      <c r="K199" s="29" t="n">
        <f aca="false">IF(COUNTIF($B$5:B199,B199)=1,1,0)</f>
        <v>1</v>
      </c>
      <c r="L199" s="29" t="n">
        <f aca="false">IF(AND(C199&gt;=Settings!$B$5-Settings!$B$8+1,C199&lt;=Settings!$B$5,COUNTIFS($B$5:B199,B199,$C$5:C199,"&gt;="&amp;(Settings!$B$5-Settings!$B$8+1),$C$5:C199,"&lt;="&amp;Settings!$B$5)=1),1,0)</f>
        <v>0</v>
      </c>
      <c r="M199" s="29" t="n">
        <f aca="false">IF(AND(C199&gt;=Settings!$B$5-Settings!$B$9+1,C199&lt;=Settings!$B$5,COUNTIFS($B$5:B199,B199,$C$5:C199,"&gt;="&amp;(Settings!$B$5-Settings!$B$9+1),$C$5:C199,"&lt;="&amp;Settings!$B$5)=1),1,0)</f>
        <v>0</v>
      </c>
      <c r="N199" s="29" t="n">
        <f aca="false">IF(AND(D199="Feature Use",COUNTIFS($B$5:B199,B199,$D$5:D199,"Feature Use")=1),1,0)</f>
        <v>0</v>
      </c>
    </row>
    <row r="200" customFormat="false" ht="15" hidden="false" customHeight="false" outlineLevel="0" collapsed="false">
      <c r="A200" s="22" t="s">
        <v>506</v>
      </c>
      <c r="B200" s="22" t="s">
        <v>204</v>
      </c>
      <c r="C200" s="31" t="n">
        <v>46275</v>
      </c>
      <c r="D200" s="22" t="s">
        <v>300</v>
      </c>
      <c r="E200" s="22" t="s">
        <v>305</v>
      </c>
      <c r="F200" s="29" t="str">
        <f aca="false">IF(COUNTIF(Referral_Data!$C$5:$C$1000,B200)&gt;0,"Referred",IF(COUNTIF(Referral_Data!$B$5:$B$1000,B200)&gt;0,"Referrer","Organic"))</f>
        <v>Referred</v>
      </c>
      <c r="G200" s="29" t="n">
        <f aca="false">IF(COUNTIFS($B$5:B200,B200,$C$5:C200,C200)=1,1,0)</f>
        <v>0</v>
      </c>
      <c r="H200" s="29" t="n">
        <f aca="false">IF(AND(G200=1,COUNTIFS($B$5:$B$1635,B200,$C$5:$C$1635,"&lt;"&amp;C200)&gt;0),1,0)</f>
        <v>0</v>
      </c>
      <c r="I200" s="29" t="n">
        <f aca="false">IF(AND(D200="Feature Use",COUNTIFS($B$5:B200,B200,$D$5:D200,"Feature Use",$E$5:E200,E200)=1),1,0)</f>
        <v>1</v>
      </c>
      <c r="J200" s="29" t="n">
        <f aca="false">IF(AND(D200="Feature Use",COUNTIFS($B$5:B200,B200,$D$5:D200,"Feature Use",$E$5:E200,E200)=2),1,0)</f>
        <v>0</v>
      </c>
      <c r="K200" s="29" t="n">
        <f aca="false">IF(COUNTIF($B$5:B200,B200)=1,1,0)</f>
        <v>0</v>
      </c>
      <c r="L200" s="29" t="n">
        <f aca="false">IF(AND(C200&gt;=Settings!$B$5-Settings!$B$8+1,C200&lt;=Settings!$B$5,COUNTIFS($B$5:B200,B200,$C$5:C200,"&gt;="&amp;(Settings!$B$5-Settings!$B$8+1),$C$5:C200,"&lt;="&amp;Settings!$B$5)=1),1,0)</f>
        <v>0</v>
      </c>
      <c r="M200" s="29" t="n">
        <f aca="false">IF(AND(C200&gt;=Settings!$B$5-Settings!$B$9+1,C200&lt;=Settings!$B$5,COUNTIFS($B$5:B200,B200,$C$5:C200,"&gt;="&amp;(Settings!$B$5-Settings!$B$9+1),$C$5:C200,"&lt;="&amp;Settings!$B$5)=1),1,0)</f>
        <v>0</v>
      </c>
      <c r="N200" s="29" t="n">
        <f aca="false">IF(AND(D200="Feature Use",COUNTIFS($B$5:B200,B200,$D$5:D200,"Feature Use")=1),1,0)</f>
        <v>1</v>
      </c>
    </row>
    <row r="201" customFormat="false" ht="15" hidden="false" customHeight="false" outlineLevel="0" collapsed="false">
      <c r="A201" s="22" t="s">
        <v>507</v>
      </c>
      <c r="B201" s="22" t="s">
        <v>204</v>
      </c>
      <c r="C201" s="31" t="n">
        <v>46275</v>
      </c>
      <c r="D201" s="22" t="s">
        <v>308</v>
      </c>
      <c r="E201" s="22" t="s">
        <v>309</v>
      </c>
      <c r="F201" s="29" t="str">
        <f aca="false">IF(COUNTIF(Referral_Data!$C$5:$C$1000,B201)&gt;0,"Referred",IF(COUNTIF(Referral_Data!$B$5:$B$1000,B201)&gt;0,"Referrer","Organic"))</f>
        <v>Referred</v>
      </c>
      <c r="G201" s="29" t="n">
        <f aca="false">IF(COUNTIFS($B$5:B201,B201,$C$5:C201,C201)=1,1,0)</f>
        <v>0</v>
      </c>
      <c r="H201" s="29" t="n">
        <f aca="false">IF(AND(G201=1,COUNTIFS($B$5:$B$1635,B201,$C$5:$C$1635,"&lt;"&amp;C201)&gt;0),1,0)</f>
        <v>0</v>
      </c>
      <c r="I201" s="29" t="n">
        <f aca="false">IF(AND(D201="Feature Use",COUNTIFS($B$5:B201,B201,$D$5:D201,"Feature Use",$E$5:E201,E201)=1),1,0)</f>
        <v>0</v>
      </c>
      <c r="J201" s="29" t="n">
        <f aca="false">IF(AND(D201="Feature Use",COUNTIFS($B$5:B201,B201,$D$5:D201,"Feature Use",$E$5:E201,E201)=2),1,0)</f>
        <v>0</v>
      </c>
      <c r="K201" s="29" t="n">
        <f aca="false">IF(COUNTIF($B$5:B201,B201)=1,1,0)</f>
        <v>0</v>
      </c>
      <c r="L201" s="29" t="n">
        <f aca="false">IF(AND(C201&gt;=Settings!$B$5-Settings!$B$8+1,C201&lt;=Settings!$B$5,COUNTIFS($B$5:B201,B201,$C$5:C201,"&gt;="&amp;(Settings!$B$5-Settings!$B$8+1),$C$5:C201,"&lt;="&amp;Settings!$B$5)=1),1,0)</f>
        <v>0</v>
      </c>
      <c r="M201" s="29" t="n">
        <f aca="false">IF(AND(C201&gt;=Settings!$B$5-Settings!$B$9+1,C201&lt;=Settings!$B$5,COUNTIFS($B$5:B201,B201,$C$5:C201,"&gt;="&amp;(Settings!$B$5-Settings!$B$9+1),$C$5:C201,"&lt;="&amp;Settings!$B$5)=1),1,0)</f>
        <v>0</v>
      </c>
      <c r="N201" s="29" t="n">
        <f aca="false">IF(AND(D201="Feature Use",COUNTIFS($B$5:B201,B201,$D$5:D201,"Feature Use")=1),1,0)</f>
        <v>0</v>
      </c>
    </row>
    <row r="202" customFormat="false" ht="15" hidden="false" customHeight="false" outlineLevel="0" collapsed="false">
      <c r="A202" s="22" t="s">
        <v>508</v>
      </c>
      <c r="B202" s="22" t="s">
        <v>196</v>
      </c>
      <c r="C202" s="31" t="n">
        <v>46275</v>
      </c>
      <c r="D202" s="22" t="s">
        <v>297</v>
      </c>
      <c r="E202" s="22" t="s">
        <v>298</v>
      </c>
      <c r="F202" s="29" t="str">
        <f aca="false">IF(COUNTIF(Referral_Data!$C$5:$C$1000,B202)&gt;0,"Referred",IF(COUNTIF(Referral_Data!$B$5:$B$1000,B202)&gt;0,"Referrer","Organic"))</f>
        <v>Referrer</v>
      </c>
      <c r="G202" s="29" t="n">
        <f aca="false">IF(COUNTIFS($B$5:B202,B202,$C$5:C202,C202)=1,1,0)</f>
        <v>1</v>
      </c>
      <c r="H202" s="29" t="n">
        <f aca="false">IF(AND(G202=1,COUNTIFS($B$5:$B$1635,B202,$C$5:$C$1635,"&lt;"&amp;C202)&gt;0),1,0)</f>
        <v>1</v>
      </c>
      <c r="I202" s="29" t="n">
        <f aca="false">IF(AND(D202="Feature Use",COUNTIFS($B$5:B202,B202,$D$5:D202,"Feature Use",$E$5:E202,E202)=1),1,0)</f>
        <v>0</v>
      </c>
      <c r="J202" s="29" t="n">
        <f aca="false">IF(AND(D202="Feature Use",COUNTIFS($B$5:B202,B202,$D$5:D202,"Feature Use",$E$5:E202,E202)=2),1,0)</f>
        <v>0</v>
      </c>
      <c r="K202" s="29" t="n">
        <f aca="false">IF(COUNTIF($B$5:B202,B202)=1,1,0)</f>
        <v>0</v>
      </c>
      <c r="L202" s="29" t="n">
        <f aca="false">IF(AND(C202&gt;=Settings!$B$5-Settings!$B$8+1,C202&lt;=Settings!$B$5,COUNTIFS($B$5:B202,B202,$C$5:C202,"&gt;="&amp;(Settings!$B$5-Settings!$B$8+1),$C$5:C202,"&lt;="&amp;Settings!$B$5)=1),1,0)</f>
        <v>0</v>
      </c>
      <c r="M202" s="29" t="n">
        <f aca="false">IF(AND(C202&gt;=Settings!$B$5-Settings!$B$9+1,C202&lt;=Settings!$B$5,COUNTIFS($B$5:B202,B202,$C$5:C202,"&gt;="&amp;(Settings!$B$5-Settings!$B$9+1),$C$5:C202,"&lt;="&amp;Settings!$B$5)=1),1,0)</f>
        <v>0</v>
      </c>
      <c r="N202" s="29" t="n">
        <f aca="false">IF(AND(D202="Feature Use",COUNTIFS($B$5:B202,B202,$D$5:D202,"Feature Use")=1),1,0)</f>
        <v>0</v>
      </c>
    </row>
    <row r="203" customFormat="false" ht="15" hidden="false" customHeight="false" outlineLevel="0" collapsed="false">
      <c r="A203" s="22" t="s">
        <v>509</v>
      </c>
      <c r="B203" s="22" t="s">
        <v>196</v>
      </c>
      <c r="C203" s="31" t="n">
        <v>46275</v>
      </c>
      <c r="D203" s="22" t="s">
        <v>300</v>
      </c>
      <c r="E203" s="22" t="s">
        <v>305</v>
      </c>
      <c r="F203" s="29" t="str">
        <f aca="false">IF(COUNTIF(Referral_Data!$C$5:$C$1000,B203)&gt;0,"Referred",IF(COUNTIF(Referral_Data!$B$5:$B$1000,B203)&gt;0,"Referrer","Organic"))</f>
        <v>Referrer</v>
      </c>
      <c r="G203" s="29" t="n">
        <f aca="false">IF(COUNTIFS($B$5:B203,B203,$C$5:C203,C203)=1,1,0)</f>
        <v>0</v>
      </c>
      <c r="H203" s="29" t="n">
        <f aca="false">IF(AND(G203=1,COUNTIFS($B$5:$B$1635,B203,$C$5:$C$1635,"&lt;"&amp;C203)&gt;0),1,0)</f>
        <v>0</v>
      </c>
      <c r="I203" s="29" t="n">
        <f aca="false">IF(AND(D203="Feature Use",COUNTIFS($B$5:B203,B203,$D$5:D203,"Feature Use",$E$5:E203,E203)=1),1,0)</f>
        <v>0</v>
      </c>
      <c r="J203" s="29" t="n">
        <f aca="false">IF(AND(D203="Feature Use",COUNTIFS($B$5:B203,B203,$D$5:D203,"Feature Use",$E$5:E203,E203)=2),1,0)</f>
        <v>0</v>
      </c>
      <c r="K203" s="29" t="n">
        <f aca="false">IF(COUNTIF($B$5:B203,B203)=1,1,0)</f>
        <v>0</v>
      </c>
      <c r="L203" s="29" t="n">
        <f aca="false">IF(AND(C203&gt;=Settings!$B$5-Settings!$B$8+1,C203&lt;=Settings!$B$5,COUNTIFS($B$5:B203,B203,$C$5:C203,"&gt;="&amp;(Settings!$B$5-Settings!$B$8+1),$C$5:C203,"&lt;="&amp;Settings!$B$5)=1),1,0)</f>
        <v>0</v>
      </c>
      <c r="M203" s="29" t="n">
        <f aca="false">IF(AND(C203&gt;=Settings!$B$5-Settings!$B$9+1,C203&lt;=Settings!$B$5,COUNTIFS($B$5:B203,B203,$C$5:C203,"&gt;="&amp;(Settings!$B$5-Settings!$B$9+1),$C$5:C203,"&lt;="&amp;Settings!$B$5)=1),1,0)</f>
        <v>0</v>
      </c>
      <c r="N203" s="29" t="n">
        <f aca="false">IF(AND(D203="Feature Use",COUNTIFS($B$5:B203,B203,$D$5:D203,"Feature Use")=1),1,0)</f>
        <v>0</v>
      </c>
    </row>
    <row r="204" customFormat="false" ht="15" hidden="false" customHeight="false" outlineLevel="0" collapsed="false">
      <c r="A204" s="22" t="s">
        <v>510</v>
      </c>
      <c r="B204" s="22" t="s">
        <v>173</v>
      </c>
      <c r="C204" s="31" t="n">
        <v>46275</v>
      </c>
      <c r="D204" s="22" t="s">
        <v>297</v>
      </c>
      <c r="E204" s="22" t="s">
        <v>298</v>
      </c>
      <c r="F204" s="29" t="str">
        <f aca="false">IF(COUNTIF(Referral_Data!$C$5:$C$1000,B204)&gt;0,"Referred",IF(COUNTIF(Referral_Data!$B$5:$B$1000,B204)&gt;0,"Referrer","Organic"))</f>
        <v>Referrer</v>
      </c>
      <c r="G204" s="29" t="n">
        <f aca="false">IF(COUNTIFS($B$5:B204,B204,$C$5:C204,C204)=1,1,0)</f>
        <v>1</v>
      </c>
      <c r="H204" s="29" t="n">
        <f aca="false">IF(AND(G204=1,COUNTIFS($B$5:$B$1635,B204,$C$5:$C$1635,"&lt;"&amp;C204)&gt;0),1,0)</f>
        <v>1</v>
      </c>
      <c r="I204" s="29" t="n">
        <f aca="false">IF(AND(D204="Feature Use",COUNTIFS($B$5:B204,B204,$D$5:D204,"Feature Use",$E$5:E204,E204)=1),1,0)</f>
        <v>0</v>
      </c>
      <c r="J204" s="29" t="n">
        <f aca="false">IF(AND(D204="Feature Use",COUNTIFS($B$5:B204,B204,$D$5:D204,"Feature Use",$E$5:E204,E204)=2),1,0)</f>
        <v>0</v>
      </c>
      <c r="K204" s="29" t="n">
        <f aca="false">IF(COUNTIF($B$5:B204,B204)=1,1,0)</f>
        <v>0</v>
      </c>
      <c r="L204" s="29" t="n">
        <f aca="false">IF(AND(C204&gt;=Settings!$B$5-Settings!$B$8+1,C204&lt;=Settings!$B$5,COUNTIFS($B$5:B204,B204,$C$5:C204,"&gt;="&amp;(Settings!$B$5-Settings!$B$8+1),$C$5:C204,"&lt;="&amp;Settings!$B$5)=1),1,0)</f>
        <v>0</v>
      </c>
      <c r="M204" s="29" t="n">
        <f aca="false">IF(AND(C204&gt;=Settings!$B$5-Settings!$B$9+1,C204&lt;=Settings!$B$5,COUNTIFS($B$5:B204,B204,$C$5:C204,"&gt;="&amp;(Settings!$B$5-Settings!$B$9+1),$C$5:C204,"&lt;="&amp;Settings!$B$5)=1),1,0)</f>
        <v>0</v>
      </c>
      <c r="N204" s="29" t="n">
        <f aca="false">IF(AND(D204="Feature Use",COUNTIFS($B$5:B204,B204,$D$5:D204,"Feature Use")=1),1,0)</f>
        <v>0</v>
      </c>
    </row>
    <row r="205" customFormat="false" ht="15" hidden="false" customHeight="false" outlineLevel="0" collapsed="false">
      <c r="A205" s="22" t="s">
        <v>511</v>
      </c>
      <c r="B205" s="22" t="s">
        <v>173</v>
      </c>
      <c r="C205" s="31" t="n">
        <v>46275</v>
      </c>
      <c r="D205" s="22" t="s">
        <v>300</v>
      </c>
      <c r="E205" s="22" t="s">
        <v>305</v>
      </c>
      <c r="F205" s="29" t="str">
        <f aca="false">IF(COUNTIF(Referral_Data!$C$5:$C$1000,B205)&gt;0,"Referred",IF(COUNTIF(Referral_Data!$B$5:$B$1000,B205)&gt;0,"Referrer","Organic"))</f>
        <v>Referrer</v>
      </c>
      <c r="G205" s="29" t="n">
        <f aca="false">IF(COUNTIFS($B$5:B205,B205,$C$5:C205,C205)=1,1,0)</f>
        <v>0</v>
      </c>
      <c r="H205" s="29" t="n">
        <f aca="false">IF(AND(G205=1,COUNTIFS($B$5:$B$1635,B205,$C$5:$C$1635,"&lt;"&amp;C205)&gt;0),1,0)</f>
        <v>0</v>
      </c>
      <c r="I205" s="29" t="n">
        <f aca="false">IF(AND(D205="Feature Use",COUNTIFS($B$5:B205,B205,$D$5:D205,"Feature Use",$E$5:E205,E205)=1),1,0)</f>
        <v>0</v>
      </c>
      <c r="J205" s="29" t="n">
        <f aca="false">IF(AND(D205="Feature Use",COUNTIFS($B$5:B205,B205,$D$5:D205,"Feature Use",$E$5:E205,E205)=2),1,0)</f>
        <v>1</v>
      </c>
      <c r="K205" s="29" t="n">
        <f aca="false">IF(COUNTIF($B$5:B205,B205)=1,1,0)</f>
        <v>0</v>
      </c>
      <c r="L205" s="29" t="n">
        <f aca="false">IF(AND(C205&gt;=Settings!$B$5-Settings!$B$8+1,C205&lt;=Settings!$B$5,COUNTIFS($B$5:B205,B205,$C$5:C205,"&gt;="&amp;(Settings!$B$5-Settings!$B$8+1),$C$5:C205,"&lt;="&amp;Settings!$B$5)=1),1,0)</f>
        <v>0</v>
      </c>
      <c r="M205" s="29" t="n">
        <f aca="false">IF(AND(C205&gt;=Settings!$B$5-Settings!$B$9+1,C205&lt;=Settings!$B$5,COUNTIFS($B$5:B205,B205,$C$5:C205,"&gt;="&amp;(Settings!$B$5-Settings!$B$9+1),$C$5:C205,"&lt;="&amp;Settings!$B$5)=1),1,0)</f>
        <v>0</v>
      </c>
      <c r="N205" s="29" t="n">
        <f aca="false">IF(AND(D205="Feature Use",COUNTIFS($B$5:B205,B205,$D$5:D205,"Feature Use")=1),1,0)</f>
        <v>0</v>
      </c>
    </row>
    <row r="206" customFormat="false" ht="15" hidden="false" customHeight="false" outlineLevel="0" collapsed="false">
      <c r="A206" s="22" t="s">
        <v>512</v>
      </c>
      <c r="B206" s="22" t="s">
        <v>173</v>
      </c>
      <c r="C206" s="31" t="n">
        <v>46275</v>
      </c>
      <c r="D206" s="22" t="s">
        <v>308</v>
      </c>
      <c r="E206" s="22" t="s">
        <v>309</v>
      </c>
      <c r="F206" s="29" t="str">
        <f aca="false">IF(COUNTIF(Referral_Data!$C$5:$C$1000,B206)&gt;0,"Referred",IF(COUNTIF(Referral_Data!$B$5:$B$1000,B206)&gt;0,"Referrer","Organic"))</f>
        <v>Referrer</v>
      </c>
      <c r="G206" s="29" t="n">
        <f aca="false">IF(COUNTIFS($B$5:B206,B206,$C$5:C206,C206)=1,1,0)</f>
        <v>0</v>
      </c>
      <c r="H206" s="29" t="n">
        <f aca="false">IF(AND(G206=1,COUNTIFS($B$5:$B$1635,B206,$C$5:$C$1635,"&lt;"&amp;C206)&gt;0),1,0)</f>
        <v>0</v>
      </c>
      <c r="I206" s="29" t="n">
        <f aca="false">IF(AND(D206="Feature Use",COUNTIFS($B$5:B206,B206,$D$5:D206,"Feature Use",$E$5:E206,E206)=1),1,0)</f>
        <v>0</v>
      </c>
      <c r="J206" s="29" t="n">
        <f aca="false">IF(AND(D206="Feature Use",COUNTIFS($B$5:B206,B206,$D$5:D206,"Feature Use",$E$5:E206,E206)=2),1,0)</f>
        <v>0</v>
      </c>
      <c r="K206" s="29" t="n">
        <f aca="false">IF(COUNTIF($B$5:B206,B206)=1,1,0)</f>
        <v>0</v>
      </c>
      <c r="L206" s="29" t="n">
        <f aca="false">IF(AND(C206&gt;=Settings!$B$5-Settings!$B$8+1,C206&lt;=Settings!$B$5,COUNTIFS($B$5:B206,B206,$C$5:C206,"&gt;="&amp;(Settings!$B$5-Settings!$B$8+1),$C$5:C206,"&lt;="&amp;Settings!$B$5)=1),1,0)</f>
        <v>0</v>
      </c>
      <c r="M206" s="29" t="n">
        <f aca="false">IF(AND(C206&gt;=Settings!$B$5-Settings!$B$9+1,C206&lt;=Settings!$B$5,COUNTIFS($B$5:B206,B206,$C$5:C206,"&gt;="&amp;(Settings!$B$5-Settings!$B$9+1),$C$5:C206,"&lt;="&amp;Settings!$B$5)=1),1,0)</f>
        <v>0</v>
      </c>
      <c r="N206" s="29" t="n">
        <f aca="false">IF(AND(D206="Feature Use",COUNTIFS($B$5:B206,B206,$D$5:D206,"Feature Use")=1),1,0)</f>
        <v>0</v>
      </c>
    </row>
    <row r="207" customFormat="false" ht="15" hidden="false" customHeight="false" outlineLevel="0" collapsed="false">
      <c r="A207" s="22" t="s">
        <v>513</v>
      </c>
      <c r="B207" s="22" t="s">
        <v>173</v>
      </c>
      <c r="C207" s="31" t="n">
        <v>46275</v>
      </c>
      <c r="D207" s="22" t="s">
        <v>308</v>
      </c>
      <c r="E207" s="22" t="s">
        <v>311</v>
      </c>
      <c r="F207" s="29" t="str">
        <f aca="false">IF(COUNTIF(Referral_Data!$C$5:$C$1000,B207)&gt;0,"Referred",IF(COUNTIF(Referral_Data!$B$5:$B$1000,B207)&gt;0,"Referrer","Organic"))</f>
        <v>Referrer</v>
      </c>
      <c r="G207" s="29" t="n">
        <f aca="false">IF(COUNTIFS($B$5:B207,B207,$C$5:C207,C207)=1,1,0)</f>
        <v>0</v>
      </c>
      <c r="H207" s="29" t="n">
        <f aca="false">IF(AND(G207=1,COUNTIFS($B$5:$B$1635,B207,$C$5:$C$1635,"&lt;"&amp;C207)&gt;0),1,0)</f>
        <v>0</v>
      </c>
      <c r="I207" s="29" t="n">
        <f aca="false">IF(AND(D207="Feature Use",COUNTIFS($B$5:B207,B207,$D$5:D207,"Feature Use",$E$5:E207,E207)=1),1,0)</f>
        <v>0</v>
      </c>
      <c r="J207" s="29" t="n">
        <f aca="false">IF(AND(D207="Feature Use",COUNTIFS($B$5:B207,B207,$D$5:D207,"Feature Use",$E$5:E207,E207)=2),1,0)</f>
        <v>0</v>
      </c>
      <c r="K207" s="29" t="n">
        <f aca="false">IF(COUNTIF($B$5:B207,B207)=1,1,0)</f>
        <v>0</v>
      </c>
      <c r="L207" s="29" t="n">
        <f aca="false">IF(AND(C207&gt;=Settings!$B$5-Settings!$B$8+1,C207&lt;=Settings!$B$5,COUNTIFS($B$5:B207,B207,$C$5:C207,"&gt;="&amp;(Settings!$B$5-Settings!$B$8+1),$C$5:C207,"&lt;="&amp;Settings!$B$5)=1),1,0)</f>
        <v>0</v>
      </c>
      <c r="M207" s="29" t="n">
        <f aca="false">IF(AND(C207&gt;=Settings!$B$5-Settings!$B$9+1,C207&lt;=Settings!$B$5,COUNTIFS($B$5:B207,B207,$C$5:C207,"&gt;="&amp;(Settings!$B$5-Settings!$B$9+1),$C$5:C207,"&lt;="&amp;Settings!$B$5)=1),1,0)</f>
        <v>0</v>
      </c>
      <c r="N207" s="29" t="n">
        <f aca="false">IF(AND(D207="Feature Use",COUNTIFS($B$5:B207,B207,$D$5:D207,"Feature Use")=1),1,0)</f>
        <v>0</v>
      </c>
    </row>
    <row r="208" customFormat="false" ht="15" hidden="false" customHeight="false" outlineLevel="0" collapsed="false">
      <c r="A208" s="22" t="s">
        <v>514</v>
      </c>
      <c r="B208" s="22" t="s">
        <v>208</v>
      </c>
      <c r="C208" s="31" t="n">
        <v>46275</v>
      </c>
      <c r="D208" s="22" t="s">
        <v>297</v>
      </c>
      <c r="E208" s="22" t="s">
        <v>298</v>
      </c>
      <c r="F208" s="29" t="str">
        <f aca="false">IF(COUNTIF(Referral_Data!$C$5:$C$1000,B208)&gt;0,"Referred",IF(COUNTIF(Referral_Data!$B$5:$B$1000,B208)&gt;0,"Referrer","Organic"))</f>
        <v>Referrer</v>
      </c>
      <c r="G208" s="29" t="n">
        <f aca="false">IF(COUNTIFS($B$5:B208,B208,$C$5:C208,C208)=1,1,0)</f>
        <v>1</v>
      </c>
      <c r="H208" s="29" t="n">
        <f aca="false">IF(AND(G208=1,COUNTIFS($B$5:$B$1635,B208,$C$5:$C$1635,"&lt;"&amp;C208)&gt;0),1,0)</f>
        <v>1</v>
      </c>
      <c r="I208" s="29" t="n">
        <f aca="false">IF(AND(D208="Feature Use",COUNTIFS($B$5:B208,B208,$D$5:D208,"Feature Use",$E$5:E208,E208)=1),1,0)</f>
        <v>0</v>
      </c>
      <c r="J208" s="29" t="n">
        <f aca="false">IF(AND(D208="Feature Use",COUNTIFS($B$5:B208,B208,$D$5:D208,"Feature Use",$E$5:E208,E208)=2),1,0)</f>
        <v>0</v>
      </c>
      <c r="K208" s="29" t="n">
        <f aca="false">IF(COUNTIF($B$5:B208,B208)=1,1,0)</f>
        <v>0</v>
      </c>
      <c r="L208" s="29" t="n">
        <f aca="false">IF(AND(C208&gt;=Settings!$B$5-Settings!$B$8+1,C208&lt;=Settings!$B$5,COUNTIFS($B$5:B208,B208,$C$5:C208,"&gt;="&amp;(Settings!$B$5-Settings!$B$8+1),$C$5:C208,"&lt;="&amp;Settings!$B$5)=1),1,0)</f>
        <v>0</v>
      </c>
      <c r="M208" s="29" t="n">
        <f aca="false">IF(AND(C208&gt;=Settings!$B$5-Settings!$B$9+1,C208&lt;=Settings!$B$5,COUNTIFS($B$5:B208,B208,$C$5:C208,"&gt;="&amp;(Settings!$B$5-Settings!$B$9+1),$C$5:C208,"&lt;="&amp;Settings!$B$5)=1),1,0)</f>
        <v>0</v>
      </c>
      <c r="N208" s="29" t="n">
        <f aca="false">IF(AND(D208="Feature Use",COUNTIFS($B$5:B208,B208,$D$5:D208,"Feature Use")=1),1,0)</f>
        <v>0</v>
      </c>
    </row>
    <row r="209" customFormat="false" ht="15" hidden="false" customHeight="false" outlineLevel="0" collapsed="false">
      <c r="A209" s="22" t="s">
        <v>515</v>
      </c>
      <c r="B209" s="22" t="s">
        <v>208</v>
      </c>
      <c r="C209" s="31" t="n">
        <v>46275</v>
      </c>
      <c r="D209" s="22" t="s">
        <v>300</v>
      </c>
      <c r="E209" s="22" t="s">
        <v>305</v>
      </c>
      <c r="F209" s="29" t="str">
        <f aca="false">IF(COUNTIF(Referral_Data!$C$5:$C$1000,B209)&gt;0,"Referred",IF(COUNTIF(Referral_Data!$B$5:$B$1000,B209)&gt;0,"Referrer","Organic"))</f>
        <v>Referrer</v>
      </c>
      <c r="G209" s="29" t="n">
        <f aca="false">IF(COUNTIFS($B$5:B209,B209,$C$5:C209,C209)=1,1,0)</f>
        <v>0</v>
      </c>
      <c r="H209" s="29" t="n">
        <f aca="false">IF(AND(G209=1,COUNTIFS($B$5:$B$1635,B209,$C$5:$C$1635,"&lt;"&amp;C209)&gt;0),1,0)</f>
        <v>0</v>
      </c>
      <c r="I209" s="29" t="n">
        <f aca="false">IF(AND(D209="Feature Use",COUNTIFS($B$5:B209,B209,$D$5:D209,"Feature Use",$E$5:E209,E209)=1),1,0)</f>
        <v>0</v>
      </c>
      <c r="J209" s="29" t="n">
        <f aca="false">IF(AND(D209="Feature Use",COUNTIFS($B$5:B209,B209,$D$5:D209,"Feature Use",$E$5:E209,E209)=2),1,0)</f>
        <v>1</v>
      </c>
      <c r="K209" s="29" t="n">
        <f aca="false">IF(COUNTIF($B$5:B209,B209)=1,1,0)</f>
        <v>0</v>
      </c>
      <c r="L209" s="29" t="n">
        <f aca="false">IF(AND(C209&gt;=Settings!$B$5-Settings!$B$8+1,C209&lt;=Settings!$B$5,COUNTIFS($B$5:B209,B209,$C$5:C209,"&gt;="&amp;(Settings!$B$5-Settings!$B$8+1),$C$5:C209,"&lt;="&amp;Settings!$B$5)=1),1,0)</f>
        <v>0</v>
      </c>
      <c r="M209" s="29" t="n">
        <f aca="false">IF(AND(C209&gt;=Settings!$B$5-Settings!$B$9+1,C209&lt;=Settings!$B$5,COUNTIFS($B$5:B209,B209,$C$5:C209,"&gt;="&amp;(Settings!$B$5-Settings!$B$9+1),$C$5:C209,"&lt;="&amp;Settings!$B$5)=1),1,0)</f>
        <v>0</v>
      </c>
      <c r="N209" s="29" t="n">
        <f aca="false">IF(AND(D209="Feature Use",COUNTIFS($B$5:B209,B209,$D$5:D209,"Feature Use")=1),1,0)</f>
        <v>0</v>
      </c>
    </row>
    <row r="210" customFormat="false" ht="15" hidden="false" customHeight="false" outlineLevel="0" collapsed="false">
      <c r="A210" s="22" t="s">
        <v>516</v>
      </c>
      <c r="B210" s="22" t="s">
        <v>178</v>
      </c>
      <c r="C210" s="31" t="n">
        <v>46275</v>
      </c>
      <c r="D210" s="22" t="s">
        <v>297</v>
      </c>
      <c r="E210" s="22" t="s">
        <v>298</v>
      </c>
      <c r="F210" s="29" t="str">
        <f aca="false">IF(COUNTIF(Referral_Data!$C$5:$C$1000,B210)&gt;0,"Referred",IF(COUNTIF(Referral_Data!$B$5:$B$1000,B210)&gt;0,"Referrer","Organic"))</f>
        <v>Referrer</v>
      </c>
      <c r="G210" s="29" t="n">
        <f aca="false">IF(COUNTIFS($B$5:B210,B210,$C$5:C210,C210)=1,1,0)</f>
        <v>1</v>
      </c>
      <c r="H210" s="29" t="n">
        <f aca="false">IF(AND(G210=1,COUNTIFS($B$5:$B$1635,B210,$C$5:$C$1635,"&lt;"&amp;C210)&gt;0),1,0)</f>
        <v>1</v>
      </c>
      <c r="I210" s="29" t="n">
        <f aca="false">IF(AND(D210="Feature Use",COUNTIFS($B$5:B210,B210,$D$5:D210,"Feature Use",$E$5:E210,E210)=1),1,0)</f>
        <v>0</v>
      </c>
      <c r="J210" s="29" t="n">
        <f aca="false">IF(AND(D210="Feature Use",COUNTIFS($B$5:B210,B210,$D$5:D210,"Feature Use",$E$5:E210,E210)=2),1,0)</f>
        <v>0</v>
      </c>
      <c r="K210" s="29" t="n">
        <f aca="false">IF(COUNTIF($B$5:B210,B210)=1,1,0)</f>
        <v>0</v>
      </c>
      <c r="L210" s="29" t="n">
        <f aca="false">IF(AND(C210&gt;=Settings!$B$5-Settings!$B$8+1,C210&lt;=Settings!$B$5,COUNTIFS($B$5:B210,B210,$C$5:C210,"&gt;="&amp;(Settings!$B$5-Settings!$B$8+1),$C$5:C210,"&lt;="&amp;Settings!$B$5)=1),1,0)</f>
        <v>0</v>
      </c>
      <c r="M210" s="29" t="n">
        <f aca="false">IF(AND(C210&gt;=Settings!$B$5-Settings!$B$9+1,C210&lt;=Settings!$B$5,COUNTIFS($B$5:B210,B210,$C$5:C210,"&gt;="&amp;(Settings!$B$5-Settings!$B$9+1),$C$5:C210,"&lt;="&amp;Settings!$B$5)=1),1,0)</f>
        <v>0</v>
      </c>
      <c r="N210" s="29" t="n">
        <f aca="false">IF(AND(D210="Feature Use",COUNTIFS($B$5:B210,B210,$D$5:D210,"Feature Use")=1),1,0)</f>
        <v>0</v>
      </c>
    </row>
    <row r="211" customFormat="false" ht="15" hidden="false" customHeight="false" outlineLevel="0" collapsed="false">
      <c r="A211" s="22" t="s">
        <v>517</v>
      </c>
      <c r="B211" s="22" t="s">
        <v>178</v>
      </c>
      <c r="C211" s="31" t="n">
        <v>46275</v>
      </c>
      <c r="D211" s="22" t="s">
        <v>300</v>
      </c>
      <c r="E211" s="22" t="s">
        <v>319</v>
      </c>
      <c r="F211" s="29" t="str">
        <f aca="false">IF(COUNTIF(Referral_Data!$C$5:$C$1000,B211)&gt;0,"Referred",IF(COUNTIF(Referral_Data!$B$5:$B$1000,B211)&gt;0,"Referrer","Organic"))</f>
        <v>Referrer</v>
      </c>
      <c r="G211" s="29" t="n">
        <f aca="false">IF(COUNTIFS($B$5:B211,B211,$C$5:C211,C211)=1,1,0)</f>
        <v>0</v>
      </c>
      <c r="H211" s="29" t="n">
        <f aca="false">IF(AND(G211=1,COUNTIFS($B$5:$B$1635,B211,$C$5:$C$1635,"&lt;"&amp;C211)&gt;0),1,0)</f>
        <v>0</v>
      </c>
      <c r="I211" s="29" t="n">
        <f aca="false">IF(AND(D211="Feature Use",COUNTIFS($B$5:B211,B211,$D$5:D211,"Feature Use",$E$5:E211,E211)=1),1,0)</f>
        <v>0</v>
      </c>
      <c r="J211" s="29" t="n">
        <f aca="false">IF(AND(D211="Feature Use",COUNTIFS($B$5:B211,B211,$D$5:D211,"Feature Use",$E$5:E211,E211)=2),1,0)</f>
        <v>1</v>
      </c>
      <c r="K211" s="29" t="n">
        <f aca="false">IF(COUNTIF($B$5:B211,B211)=1,1,0)</f>
        <v>0</v>
      </c>
      <c r="L211" s="29" t="n">
        <f aca="false">IF(AND(C211&gt;=Settings!$B$5-Settings!$B$8+1,C211&lt;=Settings!$B$5,COUNTIFS($B$5:B211,B211,$C$5:C211,"&gt;="&amp;(Settings!$B$5-Settings!$B$8+1),$C$5:C211,"&lt;="&amp;Settings!$B$5)=1),1,0)</f>
        <v>0</v>
      </c>
      <c r="M211" s="29" t="n">
        <f aca="false">IF(AND(C211&gt;=Settings!$B$5-Settings!$B$9+1,C211&lt;=Settings!$B$5,COUNTIFS($B$5:B211,B211,$C$5:C211,"&gt;="&amp;(Settings!$B$5-Settings!$B$9+1),$C$5:C211,"&lt;="&amp;Settings!$B$5)=1),1,0)</f>
        <v>0</v>
      </c>
      <c r="N211" s="29" t="n">
        <f aca="false">IF(AND(D211="Feature Use",COUNTIFS($B$5:B211,B211,$D$5:D211,"Feature Use")=1),1,0)</f>
        <v>0</v>
      </c>
    </row>
    <row r="212" customFormat="false" ht="15" hidden="false" customHeight="false" outlineLevel="0" collapsed="false">
      <c r="A212" s="22" t="s">
        <v>518</v>
      </c>
      <c r="B212" s="22" t="s">
        <v>178</v>
      </c>
      <c r="C212" s="31" t="n">
        <v>46275</v>
      </c>
      <c r="D212" s="22" t="s">
        <v>308</v>
      </c>
      <c r="E212" s="22" t="s">
        <v>301</v>
      </c>
      <c r="F212" s="29" t="str">
        <f aca="false">IF(COUNTIF(Referral_Data!$C$5:$C$1000,B212)&gt;0,"Referred",IF(COUNTIF(Referral_Data!$B$5:$B$1000,B212)&gt;0,"Referrer","Organic"))</f>
        <v>Referrer</v>
      </c>
      <c r="G212" s="29" t="n">
        <f aca="false">IF(COUNTIFS($B$5:B212,B212,$C$5:C212,C212)=1,1,0)</f>
        <v>0</v>
      </c>
      <c r="H212" s="29" t="n">
        <f aca="false">IF(AND(G212=1,COUNTIFS($B$5:$B$1635,B212,$C$5:$C$1635,"&lt;"&amp;C212)&gt;0),1,0)</f>
        <v>0</v>
      </c>
      <c r="I212" s="29" t="n">
        <f aca="false">IF(AND(D212="Feature Use",COUNTIFS($B$5:B212,B212,$D$5:D212,"Feature Use",$E$5:E212,E212)=1),1,0)</f>
        <v>0</v>
      </c>
      <c r="J212" s="29" t="n">
        <f aca="false">IF(AND(D212="Feature Use",COUNTIFS($B$5:B212,B212,$D$5:D212,"Feature Use",$E$5:E212,E212)=2),1,0)</f>
        <v>0</v>
      </c>
      <c r="K212" s="29" t="n">
        <f aca="false">IF(COUNTIF($B$5:B212,B212)=1,1,0)</f>
        <v>0</v>
      </c>
      <c r="L212" s="29" t="n">
        <f aca="false">IF(AND(C212&gt;=Settings!$B$5-Settings!$B$8+1,C212&lt;=Settings!$B$5,COUNTIFS($B$5:B212,B212,$C$5:C212,"&gt;="&amp;(Settings!$B$5-Settings!$B$8+1),$C$5:C212,"&lt;="&amp;Settings!$B$5)=1),1,0)</f>
        <v>0</v>
      </c>
      <c r="M212" s="29" t="n">
        <f aca="false">IF(AND(C212&gt;=Settings!$B$5-Settings!$B$9+1,C212&lt;=Settings!$B$5,COUNTIFS($B$5:B212,B212,$C$5:C212,"&gt;="&amp;(Settings!$B$5-Settings!$B$9+1),$C$5:C212,"&lt;="&amp;Settings!$B$5)=1),1,0)</f>
        <v>0</v>
      </c>
      <c r="N212" s="29" t="n">
        <f aca="false">IF(AND(D212="Feature Use",COUNTIFS($B$5:B212,B212,$D$5:D212,"Feature Use")=1),1,0)</f>
        <v>0</v>
      </c>
    </row>
    <row r="213" customFormat="false" ht="15" hidden="false" customHeight="false" outlineLevel="0" collapsed="false">
      <c r="A213" s="22" t="s">
        <v>519</v>
      </c>
      <c r="B213" s="22" t="s">
        <v>178</v>
      </c>
      <c r="C213" s="31" t="n">
        <v>46275</v>
      </c>
      <c r="D213" s="22" t="s">
        <v>308</v>
      </c>
      <c r="E213" s="22" t="s">
        <v>301</v>
      </c>
      <c r="F213" s="29" t="str">
        <f aca="false">IF(COUNTIF(Referral_Data!$C$5:$C$1000,B213)&gt;0,"Referred",IF(COUNTIF(Referral_Data!$B$5:$B$1000,B213)&gt;0,"Referrer","Organic"))</f>
        <v>Referrer</v>
      </c>
      <c r="G213" s="29" t="n">
        <f aca="false">IF(COUNTIFS($B$5:B213,B213,$C$5:C213,C213)=1,1,0)</f>
        <v>0</v>
      </c>
      <c r="H213" s="29" t="n">
        <f aca="false">IF(AND(G213=1,COUNTIFS($B$5:$B$1635,B213,$C$5:$C$1635,"&lt;"&amp;C213)&gt;0),1,0)</f>
        <v>0</v>
      </c>
      <c r="I213" s="29" t="n">
        <f aca="false">IF(AND(D213="Feature Use",COUNTIFS($B$5:B213,B213,$D$5:D213,"Feature Use",$E$5:E213,E213)=1),1,0)</f>
        <v>0</v>
      </c>
      <c r="J213" s="29" t="n">
        <f aca="false">IF(AND(D213="Feature Use",COUNTIFS($B$5:B213,B213,$D$5:D213,"Feature Use",$E$5:E213,E213)=2),1,0)</f>
        <v>0</v>
      </c>
      <c r="K213" s="29" t="n">
        <f aca="false">IF(COUNTIF($B$5:B213,B213)=1,1,0)</f>
        <v>0</v>
      </c>
      <c r="L213" s="29" t="n">
        <f aca="false">IF(AND(C213&gt;=Settings!$B$5-Settings!$B$8+1,C213&lt;=Settings!$B$5,COUNTIFS($B$5:B213,B213,$C$5:C213,"&gt;="&amp;(Settings!$B$5-Settings!$B$8+1),$C$5:C213,"&lt;="&amp;Settings!$B$5)=1),1,0)</f>
        <v>0</v>
      </c>
      <c r="M213" s="29" t="n">
        <f aca="false">IF(AND(C213&gt;=Settings!$B$5-Settings!$B$9+1,C213&lt;=Settings!$B$5,COUNTIFS($B$5:B213,B213,$C$5:C213,"&gt;="&amp;(Settings!$B$5-Settings!$B$9+1),$C$5:C213,"&lt;="&amp;Settings!$B$5)=1),1,0)</f>
        <v>0</v>
      </c>
      <c r="N213" s="29" t="n">
        <f aca="false">IF(AND(D213="Feature Use",COUNTIFS($B$5:B213,B213,$D$5:D213,"Feature Use")=1),1,0)</f>
        <v>0</v>
      </c>
    </row>
    <row r="214" customFormat="false" ht="15" hidden="false" customHeight="false" outlineLevel="0" collapsed="false">
      <c r="A214" s="22" t="s">
        <v>520</v>
      </c>
      <c r="B214" s="22" t="s">
        <v>183</v>
      </c>
      <c r="C214" s="31" t="n">
        <v>46275</v>
      </c>
      <c r="D214" s="22" t="s">
        <v>297</v>
      </c>
      <c r="E214" s="22" t="s">
        <v>298</v>
      </c>
      <c r="F214" s="29" t="str">
        <f aca="false">IF(COUNTIF(Referral_Data!$C$5:$C$1000,B214)&gt;0,"Referred",IF(COUNTIF(Referral_Data!$B$5:$B$1000,B214)&gt;0,"Referrer","Organic"))</f>
        <v>Referrer</v>
      </c>
      <c r="G214" s="29" t="n">
        <f aca="false">IF(COUNTIFS($B$5:B214,B214,$C$5:C214,C214)=1,1,0)</f>
        <v>1</v>
      </c>
      <c r="H214" s="29" t="n">
        <f aca="false">IF(AND(G214=1,COUNTIFS($B$5:$B$1635,B214,$C$5:$C$1635,"&lt;"&amp;C214)&gt;0),1,0)</f>
        <v>1</v>
      </c>
      <c r="I214" s="29" t="n">
        <f aca="false">IF(AND(D214="Feature Use",COUNTIFS($B$5:B214,B214,$D$5:D214,"Feature Use",$E$5:E214,E214)=1),1,0)</f>
        <v>0</v>
      </c>
      <c r="J214" s="29" t="n">
        <f aca="false">IF(AND(D214="Feature Use",COUNTIFS($B$5:B214,B214,$D$5:D214,"Feature Use",$E$5:E214,E214)=2),1,0)</f>
        <v>0</v>
      </c>
      <c r="K214" s="29" t="n">
        <f aca="false">IF(COUNTIF($B$5:B214,B214)=1,1,0)</f>
        <v>0</v>
      </c>
      <c r="L214" s="29" t="n">
        <f aca="false">IF(AND(C214&gt;=Settings!$B$5-Settings!$B$8+1,C214&lt;=Settings!$B$5,COUNTIFS($B$5:B214,B214,$C$5:C214,"&gt;="&amp;(Settings!$B$5-Settings!$B$8+1),$C$5:C214,"&lt;="&amp;Settings!$B$5)=1),1,0)</f>
        <v>0</v>
      </c>
      <c r="M214" s="29" t="n">
        <f aca="false">IF(AND(C214&gt;=Settings!$B$5-Settings!$B$9+1,C214&lt;=Settings!$B$5,COUNTIFS($B$5:B214,B214,$C$5:C214,"&gt;="&amp;(Settings!$B$5-Settings!$B$9+1),$C$5:C214,"&lt;="&amp;Settings!$B$5)=1),1,0)</f>
        <v>0</v>
      </c>
      <c r="N214" s="29" t="n">
        <f aca="false">IF(AND(D214="Feature Use",COUNTIFS($B$5:B214,B214,$D$5:D214,"Feature Use")=1),1,0)</f>
        <v>0</v>
      </c>
    </row>
    <row r="215" customFormat="false" ht="15" hidden="false" customHeight="false" outlineLevel="0" collapsed="false">
      <c r="A215" s="22" t="s">
        <v>521</v>
      </c>
      <c r="B215" s="22" t="s">
        <v>183</v>
      </c>
      <c r="C215" s="31" t="n">
        <v>46275</v>
      </c>
      <c r="D215" s="22" t="s">
        <v>300</v>
      </c>
      <c r="E215" s="22" t="s">
        <v>319</v>
      </c>
      <c r="F215" s="29" t="str">
        <f aca="false">IF(COUNTIF(Referral_Data!$C$5:$C$1000,B215)&gt;0,"Referred",IF(COUNTIF(Referral_Data!$B$5:$B$1000,B215)&gt;0,"Referrer","Organic"))</f>
        <v>Referrer</v>
      </c>
      <c r="G215" s="29" t="n">
        <f aca="false">IF(COUNTIFS($B$5:B215,B215,$C$5:C215,C215)=1,1,0)</f>
        <v>0</v>
      </c>
      <c r="H215" s="29" t="n">
        <f aca="false">IF(AND(G215=1,COUNTIFS($B$5:$B$1635,B215,$C$5:$C$1635,"&lt;"&amp;C215)&gt;0),1,0)</f>
        <v>0</v>
      </c>
      <c r="I215" s="29" t="n">
        <f aca="false">IF(AND(D215="Feature Use",COUNTIFS($B$5:B215,B215,$D$5:D215,"Feature Use",$E$5:E215,E215)=1),1,0)</f>
        <v>0</v>
      </c>
      <c r="J215" s="29" t="n">
        <f aca="false">IF(AND(D215="Feature Use",COUNTIFS($B$5:B215,B215,$D$5:D215,"Feature Use",$E$5:E215,E215)=2),1,0)</f>
        <v>1</v>
      </c>
      <c r="K215" s="29" t="n">
        <f aca="false">IF(COUNTIF($B$5:B215,B215)=1,1,0)</f>
        <v>0</v>
      </c>
      <c r="L215" s="29" t="n">
        <f aca="false">IF(AND(C215&gt;=Settings!$B$5-Settings!$B$8+1,C215&lt;=Settings!$B$5,COUNTIFS($B$5:B215,B215,$C$5:C215,"&gt;="&amp;(Settings!$B$5-Settings!$B$8+1),$C$5:C215,"&lt;="&amp;Settings!$B$5)=1),1,0)</f>
        <v>0</v>
      </c>
      <c r="M215" s="29" t="n">
        <f aca="false">IF(AND(C215&gt;=Settings!$B$5-Settings!$B$9+1,C215&lt;=Settings!$B$5,COUNTIFS($B$5:B215,B215,$C$5:C215,"&gt;="&amp;(Settings!$B$5-Settings!$B$9+1),$C$5:C215,"&lt;="&amp;Settings!$B$5)=1),1,0)</f>
        <v>0</v>
      </c>
      <c r="N215" s="29" t="n">
        <f aca="false">IF(AND(D215="Feature Use",COUNTIFS($B$5:B215,B215,$D$5:D215,"Feature Use")=1),1,0)</f>
        <v>0</v>
      </c>
    </row>
    <row r="216" customFormat="false" ht="15" hidden="false" customHeight="false" outlineLevel="0" collapsed="false">
      <c r="A216" s="22" t="s">
        <v>522</v>
      </c>
      <c r="B216" s="22" t="s">
        <v>183</v>
      </c>
      <c r="C216" s="31" t="n">
        <v>46275</v>
      </c>
      <c r="D216" s="22" t="s">
        <v>308</v>
      </c>
      <c r="E216" s="22" t="s">
        <v>309</v>
      </c>
      <c r="F216" s="29" t="str">
        <f aca="false">IF(COUNTIF(Referral_Data!$C$5:$C$1000,B216)&gt;0,"Referred",IF(COUNTIF(Referral_Data!$B$5:$B$1000,B216)&gt;0,"Referrer","Organic"))</f>
        <v>Referrer</v>
      </c>
      <c r="G216" s="29" t="n">
        <f aca="false">IF(COUNTIFS($B$5:B216,B216,$C$5:C216,C216)=1,1,0)</f>
        <v>0</v>
      </c>
      <c r="H216" s="29" t="n">
        <f aca="false">IF(AND(G216=1,COUNTIFS($B$5:$B$1635,B216,$C$5:$C$1635,"&lt;"&amp;C216)&gt;0),1,0)</f>
        <v>0</v>
      </c>
      <c r="I216" s="29" t="n">
        <f aca="false">IF(AND(D216="Feature Use",COUNTIFS($B$5:B216,B216,$D$5:D216,"Feature Use",$E$5:E216,E216)=1),1,0)</f>
        <v>0</v>
      </c>
      <c r="J216" s="29" t="n">
        <f aca="false">IF(AND(D216="Feature Use",COUNTIFS($B$5:B216,B216,$D$5:D216,"Feature Use",$E$5:E216,E216)=2),1,0)</f>
        <v>0</v>
      </c>
      <c r="K216" s="29" t="n">
        <f aca="false">IF(COUNTIF($B$5:B216,B216)=1,1,0)</f>
        <v>0</v>
      </c>
      <c r="L216" s="29" t="n">
        <f aca="false">IF(AND(C216&gt;=Settings!$B$5-Settings!$B$8+1,C216&lt;=Settings!$B$5,COUNTIFS($B$5:B216,B216,$C$5:C216,"&gt;="&amp;(Settings!$B$5-Settings!$B$8+1),$C$5:C216,"&lt;="&amp;Settings!$B$5)=1),1,0)</f>
        <v>0</v>
      </c>
      <c r="M216" s="29" t="n">
        <f aca="false">IF(AND(C216&gt;=Settings!$B$5-Settings!$B$9+1,C216&lt;=Settings!$B$5,COUNTIFS($B$5:B216,B216,$C$5:C216,"&gt;="&amp;(Settings!$B$5-Settings!$B$9+1),$C$5:C216,"&lt;="&amp;Settings!$B$5)=1),1,0)</f>
        <v>0</v>
      </c>
      <c r="N216" s="29" t="n">
        <f aca="false">IF(AND(D216="Feature Use",COUNTIFS($B$5:B216,B216,$D$5:D216,"Feature Use")=1),1,0)</f>
        <v>0</v>
      </c>
    </row>
    <row r="217" customFormat="false" ht="15" hidden="false" customHeight="false" outlineLevel="0" collapsed="false">
      <c r="A217" s="22" t="s">
        <v>523</v>
      </c>
      <c r="B217" s="22" t="s">
        <v>183</v>
      </c>
      <c r="C217" s="31" t="n">
        <v>46275</v>
      </c>
      <c r="D217" s="22" t="s">
        <v>308</v>
      </c>
      <c r="E217" s="22" t="s">
        <v>305</v>
      </c>
      <c r="F217" s="29" t="str">
        <f aca="false">IF(COUNTIF(Referral_Data!$C$5:$C$1000,B217)&gt;0,"Referred",IF(COUNTIF(Referral_Data!$B$5:$B$1000,B217)&gt;0,"Referrer","Organic"))</f>
        <v>Referrer</v>
      </c>
      <c r="G217" s="29" t="n">
        <f aca="false">IF(COUNTIFS($B$5:B217,B217,$C$5:C217,C217)=1,1,0)</f>
        <v>0</v>
      </c>
      <c r="H217" s="29" t="n">
        <f aca="false">IF(AND(G217=1,COUNTIFS($B$5:$B$1635,B217,$C$5:$C$1635,"&lt;"&amp;C217)&gt;0),1,0)</f>
        <v>0</v>
      </c>
      <c r="I217" s="29" t="n">
        <f aca="false">IF(AND(D217="Feature Use",COUNTIFS($B$5:B217,B217,$D$5:D217,"Feature Use",$E$5:E217,E217)=1),1,0)</f>
        <v>0</v>
      </c>
      <c r="J217" s="29" t="n">
        <f aca="false">IF(AND(D217="Feature Use",COUNTIFS($B$5:B217,B217,$D$5:D217,"Feature Use",$E$5:E217,E217)=2),1,0)</f>
        <v>0</v>
      </c>
      <c r="K217" s="29" t="n">
        <f aca="false">IF(COUNTIF($B$5:B217,B217)=1,1,0)</f>
        <v>0</v>
      </c>
      <c r="L217" s="29" t="n">
        <f aca="false">IF(AND(C217&gt;=Settings!$B$5-Settings!$B$8+1,C217&lt;=Settings!$B$5,COUNTIFS($B$5:B217,B217,$C$5:C217,"&gt;="&amp;(Settings!$B$5-Settings!$B$8+1),$C$5:C217,"&lt;="&amp;Settings!$B$5)=1),1,0)</f>
        <v>0</v>
      </c>
      <c r="M217" s="29" t="n">
        <f aca="false">IF(AND(C217&gt;=Settings!$B$5-Settings!$B$9+1,C217&lt;=Settings!$B$5,COUNTIFS($B$5:B217,B217,$C$5:C217,"&gt;="&amp;(Settings!$B$5-Settings!$B$9+1),$C$5:C217,"&lt;="&amp;Settings!$B$5)=1),1,0)</f>
        <v>0</v>
      </c>
      <c r="N217" s="29" t="n">
        <f aca="false">IF(AND(D217="Feature Use",COUNTIFS($B$5:B217,B217,$D$5:D217,"Feature Use")=1),1,0)</f>
        <v>0</v>
      </c>
    </row>
    <row r="218" customFormat="false" ht="15" hidden="false" customHeight="false" outlineLevel="0" collapsed="false">
      <c r="A218" s="22" t="s">
        <v>524</v>
      </c>
      <c r="B218" s="22" t="s">
        <v>329</v>
      </c>
      <c r="C218" s="31" t="n">
        <v>46276</v>
      </c>
      <c r="D218" s="22" t="s">
        <v>297</v>
      </c>
      <c r="E218" s="22" t="s">
        <v>298</v>
      </c>
      <c r="F218" s="29" t="str">
        <f aca="false">IF(COUNTIF(Referral_Data!$C$5:$C$1000,B218)&gt;0,"Referred",IF(COUNTIF(Referral_Data!$B$5:$B$1000,B218)&gt;0,"Referrer","Organic"))</f>
        <v>Organic</v>
      </c>
      <c r="G218" s="29" t="n">
        <f aca="false">IF(COUNTIFS($B$5:B218,B218,$C$5:C218,C218)=1,1,0)</f>
        <v>1</v>
      </c>
      <c r="H218" s="29" t="n">
        <f aca="false">IF(AND(G218=1,COUNTIFS($B$5:$B$1635,B218,$C$5:$C$1635,"&lt;"&amp;C218)&gt;0),1,0)</f>
        <v>1</v>
      </c>
      <c r="I218" s="29" t="n">
        <f aca="false">IF(AND(D218="Feature Use",COUNTIFS($B$5:B218,B218,$D$5:D218,"Feature Use",$E$5:E218,E218)=1),1,0)</f>
        <v>0</v>
      </c>
      <c r="J218" s="29" t="n">
        <f aca="false">IF(AND(D218="Feature Use",COUNTIFS($B$5:B218,B218,$D$5:D218,"Feature Use",$E$5:E218,E218)=2),1,0)</f>
        <v>0</v>
      </c>
      <c r="K218" s="29" t="n">
        <f aca="false">IF(COUNTIF($B$5:B218,B218)=1,1,0)</f>
        <v>0</v>
      </c>
      <c r="L218" s="29" t="n">
        <f aca="false">IF(AND(C218&gt;=Settings!$B$5-Settings!$B$8+1,C218&lt;=Settings!$B$5,COUNTIFS($B$5:B218,B218,$C$5:C218,"&gt;="&amp;(Settings!$B$5-Settings!$B$8+1),$C$5:C218,"&lt;="&amp;Settings!$B$5)=1),1,0)</f>
        <v>0</v>
      </c>
      <c r="M218" s="29" t="n">
        <f aca="false">IF(AND(C218&gt;=Settings!$B$5-Settings!$B$9+1,C218&lt;=Settings!$B$5,COUNTIFS($B$5:B218,B218,$C$5:C218,"&gt;="&amp;(Settings!$B$5-Settings!$B$9+1),$C$5:C218,"&lt;="&amp;Settings!$B$5)=1),1,0)</f>
        <v>0</v>
      </c>
      <c r="N218" s="29" t="n">
        <f aca="false">IF(AND(D218="Feature Use",COUNTIFS($B$5:B218,B218,$D$5:D218,"Feature Use")=1),1,0)</f>
        <v>0</v>
      </c>
    </row>
    <row r="219" customFormat="false" ht="15" hidden="false" customHeight="false" outlineLevel="0" collapsed="false">
      <c r="A219" s="22" t="s">
        <v>525</v>
      </c>
      <c r="B219" s="22" t="s">
        <v>329</v>
      </c>
      <c r="C219" s="31" t="n">
        <v>46276</v>
      </c>
      <c r="D219" s="22" t="s">
        <v>300</v>
      </c>
      <c r="E219" s="22" t="s">
        <v>301</v>
      </c>
      <c r="F219" s="29" t="str">
        <f aca="false">IF(COUNTIF(Referral_Data!$C$5:$C$1000,B219)&gt;0,"Referred",IF(COUNTIF(Referral_Data!$B$5:$B$1000,B219)&gt;0,"Referrer","Organic"))</f>
        <v>Organic</v>
      </c>
      <c r="G219" s="29" t="n">
        <f aca="false">IF(COUNTIFS($B$5:B219,B219,$C$5:C219,C219)=1,1,0)</f>
        <v>0</v>
      </c>
      <c r="H219" s="29" t="n">
        <f aca="false">IF(AND(G219=1,COUNTIFS($B$5:$B$1635,B219,$C$5:$C$1635,"&lt;"&amp;C219)&gt;0),1,0)</f>
        <v>0</v>
      </c>
      <c r="I219" s="29" t="n">
        <f aca="false">IF(AND(D219="Feature Use",COUNTIFS($B$5:B219,B219,$D$5:D219,"Feature Use",$E$5:E219,E219)=1),1,0)</f>
        <v>0</v>
      </c>
      <c r="J219" s="29" t="n">
        <f aca="false">IF(AND(D219="Feature Use",COUNTIFS($B$5:B219,B219,$D$5:D219,"Feature Use",$E$5:E219,E219)=2),1,0)</f>
        <v>1</v>
      </c>
      <c r="K219" s="29" t="n">
        <f aca="false">IF(COUNTIF($B$5:B219,B219)=1,1,0)</f>
        <v>0</v>
      </c>
      <c r="L219" s="29" t="n">
        <f aca="false">IF(AND(C219&gt;=Settings!$B$5-Settings!$B$8+1,C219&lt;=Settings!$B$5,COUNTIFS($B$5:B219,B219,$C$5:C219,"&gt;="&amp;(Settings!$B$5-Settings!$B$8+1),$C$5:C219,"&lt;="&amp;Settings!$B$5)=1),1,0)</f>
        <v>0</v>
      </c>
      <c r="M219" s="29" t="n">
        <f aca="false">IF(AND(C219&gt;=Settings!$B$5-Settings!$B$9+1,C219&lt;=Settings!$B$5,COUNTIFS($B$5:B219,B219,$C$5:C219,"&gt;="&amp;(Settings!$B$5-Settings!$B$9+1),$C$5:C219,"&lt;="&amp;Settings!$B$5)=1),1,0)</f>
        <v>0</v>
      </c>
      <c r="N219" s="29" t="n">
        <f aca="false">IF(AND(D219="Feature Use",COUNTIFS($B$5:B219,B219,$D$5:D219,"Feature Use")=1),1,0)</f>
        <v>0</v>
      </c>
    </row>
    <row r="220" customFormat="false" ht="15" hidden="false" customHeight="false" outlineLevel="0" collapsed="false">
      <c r="A220" s="22" t="s">
        <v>526</v>
      </c>
      <c r="B220" s="22" t="s">
        <v>333</v>
      </c>
      <c r="C220" s="31" t="n">
        <v>46276</v>
      </c>
      <c r="D220" s="22" t="s">
        <v>297</v>
      </c>
      <c r="E220" s="22" t="s">
        <v>298</v>
      </c>
      <c r="F220" s="29" t="str">
        <f aca="false">IF(COUNTIF(Referral_Data!$C$5:$C$1000,B220)&gt;0,"Referred",IF(COUNTIF(Referral_Data!$B$5:$B$1000,B220)&gt;0,"Referrer","Organic"))</f>
        <v>Organic</v>
      </c>
      <c r="G220" s="29" t="n">
        <f aca="false">IF(COUNTIFS($B$5:B220,B220,$C$5:C220,C220)=1,1,0)</f>
        <v>1</v>
      </c>
      <c r="H220" s="29" t="n">
        <f aca="false">IF(AND(G220=1,COUNTIFS($B$5:$B$1635,B220,$C$5:$C$1635,"&lt;"&amp;C220)&gt;0),1,0)</f>
        <v>1</v>
      </c>
      <c r="I220" s="29" t="n">
        <f aca="false">IF(AND(D220="Feature Use",COUNTIFS($B$5:B220,B220,$D$5:D220,"Feature Use",$E$5:E220,E220)=1),1,0)</f>
        <v>0</v>
      </c>
      <c r="J220" s="29" t="n">
        <f aca="false">IF(AND(D220="Feature Use",COUNTIFS($B$5:B220,B220,$D$5:D220,"Feature Use",$E$5:E220,E220)=2),1,0)</f>
        <v>0</v>
      </c>
      <c r="K220" s="29" t="n">
        <f aca="false">IF(COUNTIF($B$5:B220,B220)=1,1,0)</f>
        <v>0</v>
      </c>
      <c r="L220" s="29" t="n">
        <f aca="false">IF(AND(C220&gt;=Settings!$B$5-Settings!$B$8+1,C220&lt;=Settings!$B$5,COUNTIFS($B$5:B220,B220,$C$5:C220,"&gt;="&amp;(Settings!$B$5-Settings!$B$8+1),$C$5:C220,"&lt;="&amp;Settings!$B$5)=1),1,0)</f>
        <v>0</v>
      </c>
      <c r="M220" s="29" t="n">
        <f aca="false">IF(AND(C220&gt;=Settings!$B$5-Settings!$B$9+1,C220&lt;=Settings!$B$5,COUNTIFS($B$5:B220,B220,$C$5:C220,"&gt;="&amp;(Settings!$B$5-Settings!$B$9+1),$C$5:C220,"&lt;="&amp;Settings!$B$5)=1),1,0)</f>
        <v>0</v>
      </c>
      <c r="N220" s="29" t="n">
        <f aca="false">IF(AND(D220="Feature Use",COUNTIFS($B$5:B220,B220,$D$5:D220,"Feature Use")=1),1,0)</f>
        <v>0</v>
      </c>
    </row>
    <row r="221" customFormat="false" ht="15" hidden="false" customHeight="false" outlineLevel="0" collapsed="false">
      <c r="A221" s="22" t="s">
        <v>527</v>
      </c>
      <c r="B221" s="22" t="s">
        <v>333</v>
      </c>
      <c r="C221" s="31" t="n">
        <v>46276</v>
      </c>
      <c r="D221" s="22" t="s">
        <v>300</v>
      </c>
      <c r="E221" s="22" t="s">
        <v>311</v>
      </c>
      <c r="F221" s="29" t="str">
        <f aca="false">IF(COUNTIF(Referral_Data!$C$5:$C$1000,B221)&gt;0,"Referred",IF(COUNTIF(Referral_Data!$B$5:$B$1000,B221)&gt;0,"Referrer","Organic"))</f>
        <v>Organic</v>
      </c>
      <c r="G221" s="29" t="n">
        <f aca="false">IF(COUNTIFS($B$5:B221,B221,$C$5:C221,C221)=1,1,0)</f>
        <v>0</v>
      </c>
      <c r="H221" s="29" t="n">
        <f aca="false">IF(AND(G221=1,COUNTIFS($B$5:$B$1635,B221,$C$5:$C$1635,"&lt;"&amp;C221)&gt;0),1,0)</f>
        <v>0</v>
      </c>
      <c r="I221" s="29" t="n">
        <f aca="false">IF(AND(D221="Feature Use",COUNTIFS($B$5:B221,B221,$D$5:D221,"Feature Use",$E$5:E221,E221)=1),1,0)</f>
        <v>0</v>
      </c>
      <c r="J221" s="29" t="n">
        <f aca="false">IF(AND(D221="Feature Use",COUNTIFS($B$5:B221,B221,$D$5:D221,"Feature Use",$E$5:E221,E221)=2),1,0)</f>
        <v>1</v>
      </c>
      <c r="K221" s="29" t="n">
        <f aca="false">IF(COUNTIF($B$5:B221,B221)=1,1,0)</f>
        <v>0</v>
      </c>
      <c r="L221" s="29" t="n">
        <f aca="false">IF(AND(C221&gt;=Settings!$B$5-Settings!$B$8+1,C221&lt;=Settings!$B$5,COUNTIFS($B$5:B221,B221,$C$5:C221,"&gt;="&amp;(Settings!$B$5-Settings!$B$8+1),$C$5:C221,"&lt;="&amp;Settings!$B$5)=1),1,0)</f>
        <v>0</v>
      </c>
      <c r="M221" s="29" t="n">
        <f aca="false">IF(AND(C221&gt;=Settings!$B$5-Settings!$B$9+1,C221&lt;=Settings!$B$5,COUNTIFS($B$5:B221,B221,$C$5:C221,"&gt;="&amp;(Settings!$B$5-Settings!$B$9+1),$C$5:C221,"&lt;="&amp;Settings!$B$5)=1),1,0)</f>
        <v>0</v>
      </c>
      <c r="N221" s="29" t="n">
        <f aca="false">IF(AND(D221="Feature Use",COUNTIFS($B$5:B221,B221,$D$5:D221,"Feature Use")=1),1,0)</f>
        <v>0</v>
      </c>
    </row>
    <row r="222" customFormat="false" ht="15" hidden="false" customHeight="false" outlineLevel="0" collapsed="false">
      <c r="A222" s="22" t="s">
        <v>528</v>
      </c>
      <c r="B222" s="22" t="s">
        <v>333</v>
      </c>
      <c r="C222" s="31" t="n">
        <v>46276</v>
      </c>
      <c r="D222" s="22" t="s">
        <v>300</v>
      </c>
      <c r="E222" s="22" t="s">
        <v>305</v>
      </c>
      <c r="F222" s="29" t="str">
        <f aca="false">IF(COUNTIF(Referral_Data!$C$5:$C$1000,B222)&gt;0,"Referred",IF(COUNTIF(Referral_Data!$B$5:$B$1000,B222)&gt;0,"Referrer","Organic"))</f>
        <v>Organic</v>
      </c>
      <c r="G222" s="29" t="n">
        <f aca="false">IF(COUNTIFS($B$5:B222,B222,$C$5:C222,C222)=1,1,0)</f>
        <v>0</v>
      </c>
      <c r="H222" s="29" t="n">
        <f aca="false">IF(AND(G222=1,COUNTIFS($B$5:$B$1635,B222,$C$5:$C$1635,"&lt;"&amp;C222)&gt;0),1,0)</f>
        <v>0</v>
      </c>
      <c r="I222" s="29" t="n">
        <f aca="false">IF(AND(D222="Feature Use",COUNTIFS($B$5:B222,B222,$D$5:D222,"Feature Use",$E$5:E222,E222)=1),1,0)</f>
        <v>1</v>
      </c>
      <c r="J222" s="29" t="n">
        <f aca="false">IF(AND(D222="Feature Use",COUNTIFS($B$5:B222,B222,$D$5:D222,"Feature Use",$E$5:E222,E222)=2),1,0)</f>
        <v>0</v>
      </c>
      <c r="K222" s="29" t="n">
        <f aca="false">IF(COUNTIF($B$5:B222,B222)=1,1,0)</f>
        <v>0</v>
      </c>
      <c r="L222" s="29" t="n">
        <f aca="false">IF(AND(C222&gt;=Settings!$B$5-Settings!$B$8+1,C222&lt;=Settings!$B$5,COUNTIFS($B$5:B222,B222,$C$5:C222,"&gt;="&amp;(Settings!$B$5-Settings!$B$8+1),$C$5:C222,"&lt;="&amp;Settings!$B$5)=1),1,0)</f>
        <v>0</v>
      </c>
      <c r="M222" s="29" t="n">
        <f aca="false">IF(AND(C222&gt;=Settings!$B$5-Settings!$B$9+1,C222&lt;=Settings!$B$5,COUNTIFS($B$5:B222,B222,$C$5:C222,"&gt;="&amp;(Settings!$B$5-Settings!$B$9+1),$C$5:C222,"&lt;="&amp;Settings!$B$5)=1),1,0)</f>
        <v>0</v>
      </c>
      <c r="N222" s="29" t="n">
        <f aca="false">IF(AND(D222="Feature Use",COUNTIFS($B$5:B222,B222,$D$5:D222,"Feature Use")=1),1,0)</f>
        <v>0</v>
      </c>
    </row>
    <row r="223" customFormat="false" ht="15" hidden="false" customHeight="false" outlineLevel="0" collapsed="false">
      <c r="A223" s="22" t="s">
        <v>529</v>
      </c>
      <c r="B223" s="22" t="s">
        <v>530</v>
      </c>
      <c r="C223" s="31" t="n">
        <v>46276</v>
      </c>
      <c r="D223" s="22" t="s">
        <v>297</v>
      </c>
      <c r="E223" s="22" t="s">
        <v>298</v>
      </c>
      <c r="F223" s="29" t="str">
        <f aca="false">IF(COUNTIF(Referral_Data!$C$5:$C$1000,B223)&gt;0,"Referred",IF(COUNTIF(Referral_Data!$B$5:$B$1000,B223)&gt;0,"Referrer","Organic"))</f>
        <v>Organic</v>
      </c>
      <c r="G223" s="29" t="n">
        <f aca="false">IF(COUNTIFS($B$5:B223,B223,$C$5:C223,C223)=1,1,0)</f>
        <v>1</v>
      </c>
      <c r="H223" s="29" t="n">
        <f aca="false">IF(AND(G223=1,COUNTIFS($B$5:$B$1635,B223,$C$5:$C$1635,"&lt;"&amp;C223)&gt;0),1,0)</f>
        <v>0</v>
      </c>
      <c r="I223" s="29" t="n">
        <f aca="false">IF(AND(D223="Feature Use",COUNTIFS($B$5:B223,B223,$D$5:D223,"Feature Use",$E$5:E223,E223)=1),1,0)</f>
        <v>0</v>
      </c>
      <c r="J223" s="29" t="n">
        <f aca="false">IF(AND(D223="Feature Use",COUNTIFS($B$5:B223,B223,$D$5:D223,"Feature Use",$E$5:E223,E223)=2),1,0)</f>
        <v>0</v>
      </c>
      <c r="K223" s="29" t="n">
        <f aca="false">IF(COUNTIF($B$5:B223,B223)=1,1,0)</f>
        <v>1</v>
      </c>
      <c r="L223" s="29" t="n">
        <f aca="false">IF(AND(C223&gt;=Settings!$B$5-Settings!$B$8+1,C223&lt;=Settings!$B$5,COUNTIFS($B$5:B223,B223,$C$5:C223,"&gt;="&amp;(Settings!$B$5-Settings!$B$8+1),$C$5:C223,"&lt;="&amp;Settings!$B$5)=1),1,0)</f>
        <v>0</v>
      </c>
      <c r="M223" s="29" t="n">
        <f aca="false">IF(AND(C223&gt;=Settings!$B$5-Settings!$B$9+1,C223&lt;=Settings!$B$5,COUNTIFS($B$5:B223,B223,$C$5:C223,"&gt;="&amp;(Settings!$B$5-Settings!$B$9+1),$C$5:C223,"&lt;="&amp;Settings!$B$5)=1),1,0)</f>
        <v>0</v>
      </c>
      <c r="N223" s="29" t="n">
        <f aca="false">IF(AND(D223="Feature Use",COUNTIFS($B$5:B223,B223,$D$5:D223,"Feature Use")=1),1,0)</f>
        <v>0</v>
      </c>
    </row>
    <row r="224" customFormat="false" ht="15" hidden="false" customHeight="false" outlineLevel="0" collapsed="false">
      <c r="A224" s="22" t="s">
        <v>531</v>
      </c>
      <c r="B224" s="22" t="s">
        <v>530</v>
      </c>
      <c r="C224" s="31" t="n">
        <v>46276</v>
      </c>
      <c r="D224" s="22" t="s">
        <v>300</v>
      </c>
      <c r="E224" s="22" t="s">
        <v>305</v>
      </c>
      <c r="F224" s="29" t="str">
        <f aca="false">IF(COUNTIF(Referral_Data!$C$5:$C$1000,B224)&gt;0,"Referred",IF(COUNTIF(Referral_Data!$B$5:$B$1000,B224)&gt;0,"Referrer","Organic"))</f>
        <v>Organic</v>
      </c>
      <c r="G224" s="29" t="n">
        <f aca="false">IF(COUNTIFS($B$5:B224,B224,$C$5:C224,C224)=1,1,0)</f>
        <v>0</v>
      </c>
      <c r="H224" s="29" t="n">
        <f aca="false">IF(AND(G224=1,COUNTIFS($B$5:$B$1635,B224,$C$5:$C$1635,"&lt;"&amp;C224)&gt;0),1,0)</f>
        <v>0</v>
      </c>
      <c r="I224" s="29" t="n">
        <f aca="false">IF(AND(D224="Feature Use",COUNTIFS($B$5:B224,B224,$D$5:D224,"Feature Use",$E$5:E224,E224)=1),1,0)</f>
        <v>1</v>
      </c>
      <c r="J224" s="29" t="n">
        <f aca="false">IF(AND(D224="Feature Use",COUNTIFS($B$5:B224,B224,$D$5:D224,"Feature Use",$E$5:E224,E224)=2),1,0)</f>
        <v>0</v>
      </c>
      <c r="K224" s="29" t="n">
        <f aca="false">IF(COUNTIF($B$5:B224,B224)=1,1,0)</f>
        <v>0</v>
      </c>
      <c r="L224" s="29" t="n">
        <f aca="false">IF(AND(C224&gt;=Settings!$B$5-Settings!$B$8+1,C224&lt;=Settings!$B$5,COUNTIFS($B$5:B224,B224,$C$5:C224,"&gt;="&amp;(Settings!$B$5-Settings!$B$8+1),$C$5:C224,"&lt;="&amp;Settings!$B$5)=1),1,0)</f>
        <v>0</v>
      </c>
      <c r="M224" s="29" t="n">
        <f aca="false">IF(AND(C224&gt;=Settings!$B$5-Settings!$B$9+1,C224&lt;=Settings!$B$5,COUNTIFS($B$5:B224,B224,$C$5:C224,"&gt;="&amp;(Settings!$B$5-Settings!$B$9+1),$C$5:C224,"&lt;="&amp;Settings!$B$5)=1),1,0)</f>
        <v>0</v>
      </c>
      <c r="N224" s="29" t="n">
        <f aca="false">IF(AND(D224="Feature Use",COUNTIFS($B$5:B224,B224,$D$5:D224,"Feature Use")=1),1,0)</f>
        <v>1</v>
      </c>
    </row>
    <row r="225" customFormat="false" ht="15" hidden="false" customHeight="false" outlineLevel="0" collapsed="false">
      <c r="A225" s="22" t="s">
        <v>532</v>
      </c>
      <c r="B225" s="22" t="s">
        <v>313</v>
      </c>
      <c r="C225" s="31" t="n">
        <v>46276</v>
      </c>
      <c r="D225" s="22" t="s">
        <v>297</v>
      </c>
      <c r="E225" s="22" t="s">
        <v>298</v>
      </c>
      <c r="F225" s="29" t="str">
        <f aca="false">IF(COUNTIF(Referral_Data!$C$5:$C$1000,B225)&gt;0,"Referred",IF(COUNTIF(Referral_Data!$B$5:$B$1000,B225)&gt;0,"Referrer","Organic"))</f>
        <v>Organic</v>
      </c>
      <c r="G225" s="29" t="n">
        <f aca="false">IF(COUNTIFS($B$5:B225,B225,$C$5:C225,C225)=1,1,0)</f>
        <v>1</v>
      </c>
      <c r="H225" s="29" t="n">
        <f aca="false">IF(AND(G225=1,COUNTIFS($B$5:$B$1635,B225,$C$5:$C$1635,"&lt;"&amp;C225)&gt;0),1,0)</f>
        <v>1</v>
      </c>
      <c r="I225" s="29" t="n">
        <f aca="false">IF(AND(D225="Feature Use",COUNTIFS($B$5:B225,B225,$D$5:D225,"Feature Use",$E$5:E225,E225)=1),1,0)</f>
        <v>0</v>
      </c>
      <c r="J225" s="29" t="n">
        <f aca="false">IF(AND(D225="Feature Use",COUNTIFS($B$5:B225,B225,$D$5:D225,"Feature Use",$E$5:E225,E225)=2),1,0)</f>
        <v>0</v>
      </c>
      <c r="K225" s="29" t="n">
        <f aca="false">IF(COUNTIF($B$5:B225,B225)=1,1,0)</f>
        <v>0</v>
      </c>
      <c r="L225" s="29" t="n">
        <f aca="false">IF(AND(C225&gt;=Settings!$B$5-Settings!$B$8+1,C225&lt;=Settings!$B$5,COUNTIFS($B$5:B225,B225,$C$5:C225,"&gt;="&amp;(Settings!$B$5-Settings!$B$8+1),$C$5:C225,"&lt;="&amp;Settings!$B$5)=1),1,0)</f>
        <v>0</v>
      </c>
      <c r="M225" s="29" t="n">
        <f aca="false">IF(AND(C225&gt;=Settings!$B$5-Settings!$B$9+1,C225&lt;=Settings!$B$5,COUNTIFS($B$5:B225,B225,$C$5:C225,"&gt;="&amp;(Settings!$B$5-Settings!$B$9+1),$C$5:C225,"&lt;="&amp;Settings!$B$5)=1),1,0)</f>
        <v>0</v>
      </c>
      <c r="N225" s="29" t="n">
        <f aca="false">IF(AND(D225="Feature Use",COUNTIFS($B$5:B225,B225,$D$5:D225,"Feature Use")=1),1,0)</f>
        <v>0</v>
      </c>
    </row>
    <row r="226" customFormat="false" ht="15" hidden="false" customHeight="false" outlineLevel="0" collapsed="false">
      <c r="A226" s="22" t="s">
        <v>533</v>
      </c>
      <c r="B226" s="22" t="s">
        <v>313</v>
      </c>
      <c r="C226" s="31" t="n">
        <v>46276</v>
      </c>
      <c r="D226" s="22" t="s">
        <v>300</v>
      </c>
      <c r="E226" s="22" t="s">
        <v>319</v>
      </c>
      <c r="F226" s="29" t="str">
        <f aca="false">IF(COUNTIF(Referral_Data!$C$5:$C$1000,B226)&gt;0,"Referred",IF(COUNTIF(Referral_Data!$B$5:$B$1000,B226)&gt;0,"Referrer","Organic"))</f>
        <v>Organic</v>
      </c>
      <c r="G226" s="29" t="n">
        <f aca="false">IF(COUNTIFS($B$5:B226,B226,$C$5:C226,C226)=1,1,0)</f>
        <v>0</v>
      </c>
      <c r="H226" s="29" t="n">
        <f aca="false">IF(AND(G226=1,COUNTIFS($B$5:$B$1635,B226,$C$5:$C$1635,"&lt;"&amp;C226)&gt;0),1,0)</f>
        <v>0</v>
      </c>
      <c r="I226" s="29" t="n">
        <f aca="false">IF(AND(D226="Feature Use",COUNTIFS($B$5:B226,B226,$D$5:D226,"Feature Use",$E$5:E226,E226)=1),1,0)</f>
        <v>0</v>
      </c>
      <c r="J226" s="29" t="n">
        <f aca="false">IF(AND(D226="Feature Use",COUNTIFS($B$5:B226,B226,$D$5:D226,"Feature Use",$E$5:E226,E226)=2),1,0)</f>
        <v>1</v>
      </c>
      <c r="K226" s="29" t="n">
        <f aca="false">IF(COUNTIF($B$5:B226,B226)=1,1,0)</f>
        <v>0</v>
      </c>
      <c r="L226" s="29" t="n">
        <f aca="false">IF(AND(C226&gt;=Settings!$B$5-Settings!$B$8+1,C226&lt;=Settings!$B$5,COUNTIFS($B$5:B226,B226,$C$5:C226,"&gt;="&amp;(Settings!$B$5-Settings!$B$8+1),$C$5:C226,"&lt;="&amp;Settings!$B$5)=1),1,0)</f>
        <v>0</v>
      </c>
      <c r="M226" s="29" t="n">
        <f aca="false">IF(AND(C226&gt;=Settings!$B$5-Settings!$B$9+1,C226&lt;=Settings!$B$5,COUNTIFS($B$5:B226,B226,$C$5:C226,"&gt;="&amp;(Settings!$B$5-Settings!$B$9+1),$C$5:C226,"&lt;="&amp;Settings!$B$5)=1),1,0)</f>
        <v>0</v>
      </c>
      <c r="N226" s="29" t="n">
        <f aca="false">IF(AND(D226="Feature Use",COUNTIFS($B$5:B226,B226,$D$5:D226,"Feature Use")=1),1,0)</f>
        <v>0</v>
      </c>
    </row>
    <row r="227" customFormat="false" ht="15" hidden="false" customHeight="false" outlineLevel="0" collapsed="false">
      <c r="A227" s="22" t="s">
        <v>534</v>
      </c>
      <c r="B227" s="22" t="s">
        <v>313</v>
      </c>
      <c r="C227" s="31" t="n">
        <v>46276</v>
      </c>
      <c r="D227" s="22" t="s">
        <v>300</v>
      </c>
      <c r="E227" s="22" t="s">
        <v>301</v>
      </c>
      <c r="F227" s="29" t="str">
        <f aca="false">IF(COUNTIF(Referral_Data!$C$5:$C$1000,B227)&gt;0,"Referred",IF(COUNTIF(Referral_Data!$B$5:$B$1000,B227)&gt;0,"Referrer","Organic"))</f>
        <v>Organic</v>
      </c>
      <c r="G227" s="29" t="n">
        <f aca="false">IF(COUNTIFS($B$5:B227,B227,$C$5:C227,C227)=1,1,0)</f>
        <v>0</v>
      </c>
      <c r="H227" s="29" t="n">
        <f aca="false">IF(AND(G227=1,COUNTIFS($B$5:$B$1635,B227,$C$5:$C$1635,"&lt;"&amp;C227)&gt;0),1,0)</f>
        <v>0</v>
      </c>
      <c r="I227" s="29" t="n">
        <f aca="false">IF(AND(D227="Feature Use",COUNTIFS($B$5:B227,B227,$D$5:D227,"Feature Use",$E$5:E227,E227)=1),1,0)</f>
        <v>0</v>
      </c>
      <c r="J227" s="29" t="n">
        <f aca="false">IF(AND(D227="Feature Use",COUNTIFS($B$5:B227,B227,$D$5:D227,"Feature Use",$E$5:E227,E227)=2),1,0)</f>
        <v>1</v>
      </c>
      <c r="K227" s="29" t="n">
        <f aca="false">IF(COUNTIF($B$5:B227,B227)=1,1,0)</f>
        <v>0</v>
      </c>
      <c r="L227" s="29" t="n">
        <f aca="false">IF(AND(C227&gt;=Settings!$B$5-Settings!$B$8+1,C227&lt;=Settings!$B$5,COUNTIFS($B$5:B227,B227,$C$5:C227,"&gt;="&amp;(Settings!$B$5-Settings!$B$8+1),$C$5:C227,"&lt;="&amp;Settings!$B$5)=1),1,0)</f>
        <v>0</v>
      </c>
      <c r="M227" s="29" t="n">
        <f aca="false">IF(AND(C227&gt;=Settings!$B$5-Settings!$B$9+1,C227&lt;=Settings!$B$5,COUNTIFS($B$5:B227,B227,$C$5:C227,"&gt;="&amp;(Settings!$B$5-Settings!$B$9+1),$C$5:C227,"&lt;="&amp;Settings!$B$5)=1),1,0)</f>
        <v>0</v>
      </c>
      <c r="N227" s="29" t="n">
        <f aca="false">IF(AND(D227="Feature Use",COUNTIFS($B$5:B227,B227,$D$5:D227,"Feature Use")=1),1,0)</f>
        <v>0</v>
      </c>
    </row>
    <row r="228" customFormat="false" ht="15" hidden="false" customHeight="false" outlineLevel="0" collapsed="false">
      <c r="A228" s="22" t="s">
        <v>535</v>
      </c>
      <c r="B228" s="22" t="s">
        <v>168</v>
      </c>
      <c r="C228" s="31" t="n">
        <v>46276</v>
      </c>
      <c r="D228" s="22" t="s">
        <v>297</v>
      </c>
      <c r="E228" s="22" t="s">
        <v>298</v>
      </c>
      <c r="F228" s="29" t="str">
        <f aca="false">IF(COUNTIF(Referral_Data!$C$5:$C$1000,B228)&gt;0,"Referred",IF(COUNTIF(Referral_Data!$B$5:$B$1000,B228)&gt;0,"Referrer","Organic"))</f>
        <v>Referred</v>
      </c>
      <c r="G228" s="29" t="n">
        <f aca="false">IF(COUNTIFS($B$5:B228,B228,$C$5:C228,C228)=1,1,0)</f>
        <v>1</v>
      </c>
      <c r="H228" s="29" t="n">
        <f aca="false">IF(AND(G228=1,COUNTIFS($B$5:$B$1635,B228,$C$5:$C$1635,"&lt;"&amp;C228)&gt;0),1,0)</f>
        <v>1</v>
      </c>
      <c r="I228" s="29" t="n">
        <f aca="false">IF(AND(D228="Feature Use",COUNTIFS($B$5:B228,B228,$D$5:D228,"Feature Use",$E$5:E228,E228)=1),1,0)</f>
        <v>0</v>
      </c>
      <c r="J228" s="29" t="n">
        <f aca="false">IF(AND(D228="Feature Use",COUNTIFS($B$5:B228,B228,$D$5:D228,"Feature Use",$E$5:E228,E228)=2),1,0)</f>
        <v>0</v>
      </c>
      <c r="K228" s="29" t="n">
        <f aca="false">IF(COUNTIF($B$5:B228,B228)=1,1,0)</f>
        <v>0</v>
      </c>
      <c r="L228" s="29" t="n">
        <f aca="false">IF(AND(C228&gt;=Settings!$B$5-Settings!$B$8+1,C228&lt;=Settings!$B$5,COUNTIFS($B$5:B228,B228,$C$5:C228,"&gt;="&amp;(Settings!$B$5-Settings!$B$8+1),$C$5:C228,"&lt;="&amp;Settings!$B$5)=1),1,0)</f>
        <v>0</v>
      </c>
      <c r="M228" s="29" t="n">
        <f aca="false">IF(AND(C228&gt;=Settings!$B$5-Settings!$B$9+1,C228&lt;=Settings!$B$5,COUNTIFS($B$5:B228,B228,$C$5:C228,"&gt;="&amp;(Settings!$B$5-Settings!$B$9+1),$C$5:C228,"&lt;="&amp;Settings!$B$5)=1),1,0)</f>
        <v>0</v>
      </c>
      <c r="N228" s="29" t="n">
        <f aca="false">IF(AND(D228="Feature Use",COUNTIFS($B$5:B228,B228,$D$5:D228,"Feature Use")=1),1,0)</f>
        <v>0</v>
      </c>
    </row>
    <row r="229" customFormat="false" ht="15" hidden="false" customHeight="false" outlineLevel="0" collapsed="false">
      <c r="A229" s="22" t="s">
        <v>536</v>
      </c>
      <c r="B229" s="22" t="s">
        <v>168</v>
      </c>
      <c r="C229" s="31" t="n">
        <v>46276</v>
      </c>
      <c r="D229" s="22" t="s">
        <v>300</v>
      </c>
      <c r="E229" s="22" t="s">
        <v>311</v>
      </c>
      <c r="F229" s="29" t="str">
        <f aca="false">IF(COUNTIF(Referral_Data!$C$5:$C$1000,B229)&gt;0,"Referred",IF(COUNTIF(Referral_Data!$B$5:$B$1000,B229)&gt;0,"Referrer","Organic"))</f>
        <v>Referred</v>
      </c>
      <c r="G229" s="29" t="n">
        <f aca="false">IF(COUNTIFS($B$5:B229,B229,$C$5:C229,C229)=1,1,0)</f>
        <v>0</v>
      </c>
      <c r="H229" s="29" t="n">
        <f aca="false">IF(AND(G229=1,COUNTIFS($B$5:$B$1635,B229,$C$5:$C$1635,"&lt;"&amp;C229)&gt;0),1,0)</f>
        <v>0</v>
      </c>
      <c r="I229" s="29" t="n">
        <f aca="false">IF(AND(D229="Feature Use",COUNTIFS($B$5:B229,B229,$D$5:D229,"Feature Use",$E$5:E229,E229)=1),1,0)</f>
        <v>0</v>
      </c>
      <c r="J229" s="29" t="n">
        <f aca="false">IF(AND(D229="Feature Use",COUNTIFS($B$5:B229,B229,$D$5:D229,"Feature Use",$E$5:E229,E229)=2),1,0)</f>
        <v>1</v>
      </c>
      <c r="K229" s="29" t="n">
        <f aca="false">IF(COUNTIF($B$5:B229,B229)=1,1,0)</f>
        <v>0</v>
      </c>
      <c r="L229" s="29" t="n">
        <f aca="false">IF(AND(C229&gt;=Settings!$B$5-Settings!$B$8+1,C229&lt;=Settings!$B$5,COUNTIFS($B$5:B229,B229,$C$5:C229,"&gt;="&amp;(Settings!$B$5-Settings!$B$8+1),$C$5:C229,"&lt;="&amp;Settings!$B$5)=1),1,0)</f>
        <v>0</v>
      </c>
      <c r="M229" s="29" t="n">
        <f aca="false">IF(AND(C229&gt;=Settings!$B$5-Settings!$B$9+1,C229&lt;=Settings!$B$5,COUNTIFS($B$5:B229,B229,$C$5:C229,"&gt;="&amp;(Settings!$B$5-Settings!$B$9+1),$C$5:C229,"&lt;="&amp;Settings!$B$5)=1),1,0)</f>
        <v>0</v>
      </c>
      <c r="N229" s="29" t="n">
        <f aca="false">IF(AND(D229="Feature Use",COUNTIFS($B$5:B229,B229,$D$5:D229,"Feature Use")=1),1,0)</f>
        <v>0</v>
      </c>
    </row>
    <row r="230" customFormat="false" ht="15" hidden="false" customHeight="false" outlineLevel="0" collapsed="false">
      <c r="A230" s="22" t="s">
        <v>537</v>
      </c>
      <c r="B230" s="22" t="s">
        <v>181</v>
      </c>
      <c r="C230" s="31" t="n">
        <v>46276</v>
      </c>
      <c r="D230" s="22" t="s">
        <v>297</v>
      </c>
      <c r="E230" s="22" t="s">
        <v>298</v>
      </c>
      <c r="F230" s="29" t="str">
        <f aca="false">IF(COUNTIF(Referral_Data!$C$5:$C$1000,B230)&gt;0,"Referred",IF(COUNTIF(Referral_Data!$B$5:$B$1000,B230)&gt;0,"Referrer","Organic"))</f>
        <v>Referred</v>
      </c>
      <c r="G230" s="29" t="n">
        <f aca="false">IF(COUNTIFS($B$5:B230,B230,$C$5:C230,C230)=1,1,0)</f>
        <v>1</v>
      </c>
      <c r="H230" s="29" t="n">
        <f aca="false">IF(AND(G230=1,COUNTIFS($B$5:$B$1635,B230,$C$5:$C$1635,"&lt;"&amp;C230)&gt;0),1,0)</f>
        <v>1</v>
      </c>
      <c r="I230" s="29" t="n">
        <f aca="false">IF(AND(D230="Feature Use",COUNTIFS($B$5:B230,B230,$D$5:D230,"Feature Use",$E$5:E230,E230)=1),1,0)</f>
        <v>0</v>
      </c>
      <c r="J230" s="29" t="n">
        <f aca="false">IF(AND(D230="Feature Use",COUNTIFS($B$5:B230,B230,$D$5:D230,"Feature Use",$E$5:E230,E230)=2),1,0)</f>
        <v>0</v>
      </c>
      <c r="K230" s="29" t="n">
        <f aca="false">IF(COUNTIF($B$5:B230,B230)=1,1,0)</f>
        <v>0</v>
      </c>
      <c r="L230" s="29" t="n">
        <f aca="false">IF(AND(C230&gt;=Settings!$B$5-Settings!$B$8+1,C230&lt;=Settings!$B$5,COUNTIFS($B$5:B230,B230,$C$5:C230,"&gt;="&amp;(Settings!$B$5-Settings!$B$8+1),$C$5:C230,"&lt;="&amp;Settings!$B$5)=1),1,0)</f>
        <v>0</v>
      </c>
      <c r="M230" s="29" t="n">
        <f aca="false">IF(AND(C230&gt;=Settings!$B$5-Settings!$B$9+1,C230&lt;=Settings!$B$5,COUNTIFS($B$5:B230,B230,$C$5:C230,"&gt;="&amp;(Settings!$B$5-Settings!$B$9+1),$C$5:C230,"&lt;="&amp;Settings!$B$5)=1),1,0)</f>
        <v>0</v>
      </c>
      <c r="N230" s="29" t="n">
        <f aca="false">IF(AND(D230="Feature Use",COUNTIFS($B$5:B230,B230,$D$5:D230,"Feature Use")=1),1,0)</f>
        <v>0</v>
      </c>
    </row>
    <row r="231" customFormat="false" ht="15" hidden="false" customHeight="false" outlineLevel="0" collapsed="false">
      <c r="A231" s="22" t="s">
        <v>538</v>
      </c>
      <c r="B231" s="22" t="s">
        <v>181</v>
      </c>
      <c r="C231" s="31" t="n">
        <v>46276</v>
      </c>
      <c r="D231" s="22" t="s">
        <v>300</v>
      </c>
      <c r="E231" s="22" t="s">
        <v>305</v>
      </c>
      <c r="F231" s="29" t="str">
        <f aca="false">IF(COUNTIF(Referral_Data!$C$5:$C$1000,B231)&gt;0,"Referred",IF(COUNTIF(Referral_Data!$B$5:$B$1000,B231)&gt;0,"Referrer","Organic"))</f>
        <v>Referred</v>
      </c>
      <c r="G231" s="29" t="n">
        <f aca="false">IF(COUNTIFS($B$5:B231,B231,$C$5:C231,C231)=1,1,0)</f>
        <v>0</v>
      </c>
      <c r="H231" s="29" t="n">
        <f aca="false">IF(AND(G231=1,COUNTIFS($B$5:$B$1635,B231,$C$5:$C$1635,"&lt;"&amp;C231)&gt;0),1,0)</f>
        <v>0</v>
      </c>
      <c r="I231" s="29" t="n">
        <f aca="false">IF(AND(D231="Feature Use",COUNTIFS($B$5:B231,B231,$D$5:D231,"Feature Use",$E$5:E231,E231)=1),1,0)</f>
        <v>1</v>
      </c>
      <c r="J231" s="29" t="n">
        <f aca="false">IF(AND(D231="Feature Use",COUNTIFS($B$5:B231,B231,$D$5:D231,"Feature Use",$E$5:E231,E231)=2),1,0)</f>
        <v>0</v>
      </c>
      <c r="K231" s="29" t="n">
        <f aca="false">IF(COUNTIF($B$5:B231,B231)=1,1,0)</f>
        <v>0</v>
      </c>
      <c r="L231" s="29" t="n">
        <f aca="false">IF(AND(C231&gt;=Settings!$B$5-Settings!$B$8+1,C231&lt;=Settings!$B$5,COUNTIFS($B$5:B231,B231,$C$5:C231,"&gt;="&amp;(Settings!$B$5-Settings!$B$8+1),$C$5:C231,"&lt;="&amp;Settings!$B$5)=1),1,0)</f>
        <v>0</v>
      </c>
      <c r="M231" s="29" t="n">
        <f aca="false">IF(AND(C231&gt;=Settings!$B$5-Settings!$B$9+1,C231&lt;=Settings!$B$5,COUNTIFS($B$5:B231,B231,$C$5:C231,"&gt;="&amp;(Settings!$B$5-Settings!$B$9+1),$C$5:C231,"&lt;="&amp;Settings!$B$5)=1),1,0)</f>
        <v>0</v>
      </c>
      <c r="N231" s="29" t="n">
        <f aca="false">IF(AND(D231="Feature Use",COUNTIFS($B$5:B231,B231,$D$5:D231,"Feature Use")=1),1,0)</f>
        <v>0</v>
      </c>
    </row>
    <row r="232" customFormat="false" ht="15" hidden="false" customHeight="false" outlineLevel="0" collapsed="false">
      <c r="A232" s="22" t="s">
        <v>539</v>
      </c>
      <c r="B232" s="22" t="s">
        <v>192</v>
      </c>
      <c r="C232" s="31" t="n">
        <v>46276</v>
      </c>
      <c r="D232" s="22" t="s">
        <v>297</v>
      </c>
      <c r="E232" s="22" t="s">
        <v>298</v>
      </c>
      <c r="F232" s="29" t="str">
        <f aca="false">IF(COUNTIF(Referral_Data!$C$5:$C$1000,B232)&gt;0,"Referred",IF(COUNTIF(Referral_Data!$B$5:$B$1000,B232)&gt;0,"Referrer","Organic"))</f>
        <v>Referred</v>
      </c>
      <c r="G232" s="29" t="n">
        <f aca="false">IF(COUNTIFS($B$5:B232,B232,$C$5:C232,C232)=1,1,0)</f>
        <v>1</v>
      </c>
      <c r="H232" s="29" t="n">
        <f aca="false">IF(AND(G232=1,COUNTIFS($B$5:$B$1635,B232,$C$5:$C$1635,"&lt;"&amp;C232)&gt;0),1,0)</f>
        <v>0</v>
      </c>
      <c r="I232" s="29" t="n">
        <f aca="false">IF(AND(D232="Feature Use",COUNTIFS($B$5:B232,B232,$D$5:D232,"Feature Use",$E$5:E232,E232)=1),1,0)</f>
        <v>0</v>
      </c>
      <c r="J232" s="29" t="n">
        <f aca="false">IF(AND(D232="Feature Use",COUNTIFS($B$5:B232,B232,$D$5:D232,"Feature Use",$E$5:E232,E232)=2),1,0)</f>
        <v>0</v>
      </c>
      <c r="K232" s="29" t="n">
        <f aca="false">IF(COUNTIF($B$5:B232,B232)=1,1,0)</f>
        <v>1</v>
      </c>
      <c r="L232" s="29" t="n">
        <f aca="false">IF(AND(C232&gt;=Settings!$B$5-Settings!$B$8+1,C232&lt;=Settings!$B$5,COUNTIFS($B$5:B232,B232,$C$5:C232,"&gt;="&amp;(Settings!$B$5-Settings!$B$8+1),$C$5:C232,"&lt;="&amp;Settings!$B$5)=1),1,0)</f>
        <v>0</v>
      </c>
      <c r="M232" s="29" t="n">
        <f aca="false">IF(AND(C232&gt;=Settings!$B$5-Settings!$B$9+1,C232&lt;=Settings!$B$5,COUNTIFS($B$5:B232,B232,$C$5:C232,"&gt;="&amp;(Settings!$B$5-Settings!$B$9+1),$C$5:C232,"&lt;="&amp;Settings!$B$5)=1),1,0)</f>
        <v>0</v>
      </c>
      <c r="N232" s="29" t="n">
        <f aca="false">IF(AND(D232="Feature Use",COUNTIFS($B$5:B232,B232,$D$5:D232,"Feature Use")=1),1,0)</f>
        <v>0</v>
      </c>
    </row>
    <row r="233" customFormat="false" ht="15" hidden="false" customHeight="false" outlineLevel="0" collapsed="false">
      <c r="A233" s="22" t="s">
        <v>540</v>
      </c>
      <c r="B233" s="22" t="s">
        <v>192</v>
      </c>
      <c r="C233" s="31" t="n">
        <v>46276</v>
      </c>
      <c r="D233" s="22" t="s">
        <v>300</v>
      </c>
      <c r="E233" s="22" t="s">
        <v>319</v>
      </c>
      <c r="F233" s="29" t="str">
        <f aca="false">IF(COUNTIF(Referral_Data!$C$5:$C$1000,B233)&gt;0,"Referred",IF(COUNTIF(Referral_Data!$B$5:$B$1000,B233)&gt;0,"Referrer","Organic"))</f>
        <v>Referred</v>
      </c>
      <c r="G233" s="29" t="n">
        <f aca="false">IF(COUNTIFS($B$5:B233,B233,$C$5:C233,C233)=1,1,0)</f>
        <v>0</v>
      </c>
      <c r="H233" s="29" t="n">
        <f aca="false">IF(AND(G233=1,COUNTIFS($B$5:$B$1635,B233,$C$5:$C$1635,"&lt;"&amp;C233)&gt;0),1,0)</f>
        <v>0</v>
      </c>
      <c r="I233" s="29" t="n">
        <f aca="false">IF(AND(D233="Feature Use",COUNTIFS($B$5:B233,B233,$D$5:D233,"Feature Use",$E$5:E233,E233)=1),1,0)</f>
        <v>1</v>
      </c>
      <c r="J233" s="29" t="n">
        <f aca="false">IF(AND(D233="Feature Use",COUNTIFS($B$5:B233,B233,$D$5:D233,"Feature Use",$E$5:E233,E233)=2),1,0)</f>
        <v>0</v>
      </c>
      <c r="K233" s="29" t="n">
        <f aca="false">IF(COUNTIF($B$5:B233,B233)=1,1,0)</f>
        <v>0</v>
      </c>
      <c r="L233" s="29" t="n">
        <f aca="false">IF(AND(C233&gt;=Settings!$B$5-Settings!$B$8+1,C233&lt;=Settings!$B$5,COUNTIFS($B$5:B233,B233,$C$5:C233,"&gt;="&amp;(Settings!$B$5-Settings!$B$8+1),$C$5:C233,"&lt;="&amp;Settings!$B$5)=1),1,0)</f>
        <v>0</v>
      </c>
      <c r="M233" s="29" t="n">
        <f aca="false">IF(AND(C233&gt;=Settings!$B$5-Settings!$B$9+1,C233&lt;=Settings!$B$5,COUNTIFS($B$5:B233,B233,$C$5:C233,"&gt;="&amp;(Settings!$B$5-Settings!$B$9+1),$C$5:C233,"&lt;="&amp;Settings!$B$5)=1),1,0)</f>
        <v>0</v>
      </c>
      <c r="N233" s="29" t="n">
        <f aca="false">IF(AND(D233="Feature Use",COUNTIFS($B$5:B233,B233,$D$5:D233,"Feature Use")=1),1,0)</f>
        <v>1</v>
      </c>
    </row>
    <row r="234" customFormat="false" ht="15" hidden="false" customHeight="false" outlineLevel="0" collapsed="false">
      <c r="A234" s="22" t="s">
        <v>541</v>
      </c>
      <c r="B234" s="22" t="s">
        <v>204</v>
      </c>
      <c r="C234" s="31" t="n">
        <v>46276</v>
      </c>
      <c r="D234" s="22" t="s">
        <v>297</v>
      </c>
      <c r="E234" s="22" t="s">
        <v>298</v>
      </c>
      <c r="F234" s="29" t="str">
        <f aca="false">IF(COUNTIF(Referral_Data!$C$5:$C$1000,B234)&gt;0,"Referred",IF(COUNTIF(Referral_Data!$B$5:$B$1000,B234)&gt;0,"Referrer","Organic"))</f>
        <v>Referred</v>
      </c>
      <c r="G234" s="29" t="n">
        <f aca="false">IF(COUNTIFS($B$5:B234,B234,$C$5:C234,C234)=1,1,0)</f>
        <v>1</v>
      </c>
      <c r="H234" s="29" t="n">
        <f aca="false">IF(AND(G234=1,COUNTIFS($B$5:$B$1635,B234,$C$5:$C$1635,"&lt;"&amp;C234)&gt;0),1,0)</f>
        <v>1</v>
      </c>
      <c r="I234" s="29" t="n">
        <f aca="false">IF(AND(D234="Feature Use",COUNTIFS($B$5:B234,B234,$D$5:D234,"Feature Use",$E$5:E234,E234)=1),1,0)</f>
        <v>0</v>
      </c>
      <c r="J234" s="29" t="n">
        <f aca="false">IF(AND(D234="Feature Use",COUNTIFS($B$5:B234,B234,$D$5:D234,"Feature Use",$E$5:E234,E234)=2),1,0)</f>
        <v>0</v>
      </c>
      <c r="K234" s="29" t="n">
        <f aca="false">IF(COUNTIF($B$5:B234,B234)=1,1,0)</f>
        <v>0</v>
      </c>
      <c r="L234" s="29" t="n">
        <f aca="false">IF(AND(C234&gt;=Settings!$B$5-Settings!$B$8+1,C234&lt;=Settings!$B$5,COUNTIFS($B$5:B234,B234,$C$5:C234,"&gt;="&amp;(Settings!$B$5-Settings!$B$8+1),$C$5:C234,"&lt;="&amp;Settings!$B$5)=1),1,0)</f>
        <v>0</v>
      </c>
      <c r="M234" s="29" t="n">
        <f aca="false">IF(AND(C234&gt;=Settings!$B$5-Settings!$B$9+1,C234&lt;=Settings!$B$5,COUNTIFS($B$5:B234,B234,$C$5:C234,"&gt;="&amp;(Settings!$B$5-Settings!$B$9+1),$C$5:C234,"&lt;="&amp;Settings!$B$5)=1),1,0)</f>
        <v>0</v>
      </c>
      <c r="N234" s="29" t="n">
        <f aca="false">IF(AND(D234="Feature Use",COUNTIFS($B$5:B234,B234,$D$5:D234,"Feature Use")=1),1,0)</f>
        <v>0</v>
      </c>
    </row>
    <row r="235" customFormat="false" ht="15" hidden="false" customHeight="false" outlineLevel="0" collapsed="false">
      <c r="A235" s="22" t="s">
        <v>542</v>
      </c>
      <c r="B235" s="22" t="s">
        <v>204</v>
      </c>
      <c r="C235" s="31" t="n">
        <v>46276</v>
      </c>
      <c r="D235" s="22" t="s">
        <v>300</v>
      </c>
      <c r="E235" s="22" t="s">
        <v>305</v>
      </c>
      <c r="F235" s="29" t="str">
        <f aca="false">IF(COUNTIF(Referral_Data!$C$5:$C$1000,B235)&gt;0,"Referred",IF(COUNTIF(Referral_Data!$B$5:$B$1000,B235)&gt;0,"Referrer","Organic"))</f>
        <v>Referred</v>
      </c>
      <c r="G235" s="29" t="n">
        <f aca="false">IF(COUNTIFS($B$5:B235,B235,$C$5:C235,C235)=1,1,0)</f>
        <v>0</v>
      </c>
      <c r="H235" s="29" t="n">
        <f aca="false">IF(AND(G235=1,COUNTIFS($B$5:$B$1635,B235,$C$5:$C$1635,"&lt;"&amp;C235)&gt;0),1,0)</f>
        <v>0</v>
      </c>
      <c r="I235" s="29" t="n">
        <f aca="false">IF(AND(D235="Feature Use",COUNTIFS($B$5:B235,B235,$D$5:D235,"Feature Use",$E$5:E235,E235)=1),1,0)</f>
        <v>0</v>
      </c>
      <c r="J235" s="29" t="n">
        <f aca="false">IF(AND(D235="Feature Use",COUNTIFS($B$5:B235,B235,$D$5:D235,"Feature Use",$E$5:E235,E235)=2),1,0)</f>
        <v>1</v>
      </c>
      <c r="K235" s="29" t="n">
        <f aca="false">IF(COUNTIF($B$5:B235,B235)=1,1,0)</f>
        <v>0</v>
      </c>
      <c r="L235" s="29" t="n">
        <f aca="false">IF(AND(C235&gt;=Settings!$B$5-Settings!$B$8+1,C235&lt;=Settings!$B$5,COUNTIFS($B$5:B235,B235,$C$5:C235,"&gt;="&amp;(Settings!$B$5-Settings!$B$8+1),$C$5:C235,"&lt;="&amp;Settings!$B$5)=1),1,0)</f>
        <v>0</v>
      </c>
      <c r="M235" s="29" t="n">
        <f aca="false">IF(AND(C235&gt;=Settings!$B$5-Settings!$B$9+1,C235&lt;=Settings!$B$5,COUNTIFS($B$5:B235,B235,$C$5:C235,"&gt;="&amp;(Settings!$B$5-Settings!$B$9+1),$C$5:C235,"&lt;="&amp;Settings!$B$5)=1),1,0)</f>
        <v>0</v>
      </c>
      <c r="N235" s="29" t="n">
        <f aca="false">IF(AND(D235="Feature Use",COUNTIFS($B$5:B235,B235,$D$5:D235,"Feature Use")=1),1,0)</f>
        <v>0</v>
      </c>
    </row>
    <row r="236" customFormat="false" ht="15" hidden="false" customHeight="false" outlineLevel="0" collapsed="false">
      <c r="A236" s="22" t="s">
        <v>543</v>
      </c>
      <c r="B236" s="22" t="s">
        <v>204</v>
      </c>
      <c r="C236" s="31" t="n">
        <v>46276</v>
      </c>
      <c r="D236" s="22" t="s">
        <v>300</v>
      </c>
      <c r="E236" s="22" t="s">
        <v>301</v>
      </c>
      <c r="F236" s="29" t="str">
        <f aca="false">IF(COUNTIF(Referral_Data!$C$5:$C$1000,B236)&gt;0,"Referred",IF(COUNTIF(Referral_Data!$B$5:$B$1000,B236)&gt;0,"Referrer","Organic"))</f>
        <v>Referred</v>
      </c>
      <c r="G236" s="29" t="n">
        <f aca="false">IF(COUNTIFS($B$5:B236,B236,$C$5:C236,C236)=1,1,0)</f>
        <v>0</v>
      </c>
      <c r="H236" s="29" t="n">
        <f aca="false">IF(AND(G236=1,COUNTIFS($B$5:$B$1635,B236,$C$5:$C$1635,"&lt;"&amp;C236)&gt;0),1,0)</f>
        <v>0</v>
      </c>
      <c r="I236" s="29" t="n">
        <f aca="false">IF(AND(D236="Feature Use",COUNTIFS($B$5:B236,B236,$D$5:D236,"Feature Use",$E$5:E236,E236)=1),1,0)</f>
        <v>1</v>
      </c>
      <c r="J236" s="29" t="n">
        <f aca="false">IF(AND(D236="Feature Use",COUNTIFS($B$5:B236,B236,$D$5:D236,"Feature Use",$E$5:E236,E236)=2),1,0)</f>
        <v>0</v>
      </c>
      <c r="K236" s="29" t="n">
        <f aca="false">IF(COUNTIF($B$5:B236,B236)=1,1,0)</f>
        <v>0</v>
      </c>
      <c r="L236" s="29" t="n">
        <f aca="false">IF(AND(C236&gt;=Settings!$B$5-Settings!$B$8+1,C236&lt;=Settings!$B$5,COUNTIFS($B$5:B236,B236,$C$5:C236,"&gt;="&amp;(Settings!$B$5-Settings!$B$8+1),$C$5:C236,"&lt;="&amp;Settings!$B$5)=1),1,0)</f>
        <v>0</v>
      </c>
      <c r="M236" s="29" t="n">
        <f aca="false">IF(AND(C236&gt;=Settings!$B$5-Settings!$B$9+1,C236&lt;=Settings!$B$5,COUNTIFS($B$5:B236,B236,$C$5:C236,"&gt;="&amp;(Settings!$B$5-Settings!$B$9+1),$C$5:C236,"&lt;="&amp;Settings!$B$5)=1),1,0)</f>
        <v>0</v>
      </c>
      <c r="N236" s="29" t="n">
        <f aca="false">IF(AND(D236="Feature Use",COUNTIFS($B$5:B236,B236,$D$5:D236,"Feature Use")=1),1,0)</f>
        <v>0</v>
      </c>
    </row>
    <row r="237" customFormat="false" ht="15" hidden="false" customHeight="false" outlineLevel="0" collapsed="false">
      <c r="A237" s="22" t="s">
        <v>544</v>
      </c>
      <c r="B237" s="22" t="s">
        <v>204</v>
      </c>
      <c r="C237" s="31" t="n">
        <v>46276</v>
      </c>
      <c r="D237" s="22" t="s">
        <v>308</v>
      </c>
      <c r="E237" s="22" t="s">
        <v>319</v>
      </c>
      <c r="F237" s="29" t="str">
        <f aca="false">IF(COUNTIF(Referral_Data!$C$5:$C$1000,B237)&gt;0,"Referred",IF(COUNTIF(Referral_Data!$B$5:$B$1000,B237)&gt;0,"Referrer","Organic"))</f>
        <v>Referred</v>
      </c>
      <c r="G237" s="29" t="n">
        <f aca="false">IF(COUNTIFS($B$5:B237,B237,$C$5:C237,C237)=1,1,0)</f>
        <v>0</v>
      </c>
      <c r="H237" s="29" t="n">
        <f aca="false">IF(AND(G237=1,COUNTIFS($B$5:$B$1635,B237,$C$5:$C$1635,"&lt;"&amp;C237)&gt;0),1,0)</f>
        <v>0</v>
      </c>
      <c r="I237" s="29" t="n">
        <f aca="false">IF(AND(D237="Feature Use",COUNTIFS($B$5:B237,B237,$D$5:D237,"Feature Use",$E$5:E237,E237)=1),1,0)</f>
        <v>0</v>
      </c>
      <c r="J237" s="29" t="n">
        <f aca="false">IF(AND(D237="Feature Use",COUNTIFS($B$5:B237,B237,$D$5:D237,"Feature Use",$E$5:E237,E237)=2),1,0)</f>
        <v>0</v>
      </c>
      <c r="K237" s="29" t="n">
        <f aca="false">IF(COUNTIF($B$5:B237,B237)=1,1,0)</f>
        <v>0</v>
      </c>
      <c r="L237" s="29" t="n">
        <f aca="false">IF(AND(C237&gt;=Settings!$B$5-Settings!$B$8+1,C237&lt;=Settings!$B$5,COUNTIFS($B$5:B237,B237,$C$5:C237,"&gt;="&amp;(Settings!$B$5-Settings!$B$8+1),$C$5:C237,"&lt;="&amp;Settings!$B$5)=1),1,0)</f>
        <v>0</v>
      </c>
      <c r="M237" s="29" t="n">
        <f aca="false">IF(AND(C237&gt;=Settings!$B$5-Settings!$B$9+1,C237&lt;=Settings!$B$5,COUNTIFS($B$5:B237,B237,$C$5:C237,"&gt;="&amp;(Settings!$B$5-Settings!$B$9+1),$C$5:C237,"&lt;="&amp;Settings!$B$5)=1),1,0)</f>
        <v>0</v>
      </c>
      <c r="N237" s="29" t="n">
        <f aca="false">IF(AND(D237="Feature Use",COUNTIFS($B$5:B237,B237,$D$5:D237,"Feature Use")=1),1,0)</f>
        <v>0</v>
      </c>
    </row>
    <row r="238" customFormat="false" ht="15" hidden="false" customHeight="false" outlineLevel="0" collapsed="false">
      <c r="A238" s="22" t="s">
        <v>545</v>
      </c>
      <c r="B238" s="22" t="s">
        <v>204</v>
      </c>
      <c r="C238" s="31" t="n">
        <v>46276</v>
      </c>
      <c r="D238" s="22" t="s">
        <v>308</v>
      </c>
      <c r="E238" s="22" t="s">
        <v>305</v>
      </c>
      <c r="F238" s="29" t="str">
        <f aca="false">IF(COUNTIF(Referral_Data!$C$5:$C$1000,B238)&gt;0,"Referred",IF(COUNTIF(Referral_Data!$B$5:$B$1000,B238)&gt;0,"Referrer","Organic"))</f>
        <v>Referred</v>
      </c>
      <c r="G238" s="29" t="n">
        <f aca="false">IF(COUNTIFS($B$5:B238,B238,$C$5:C238,C238)=1,1,0)</f>
        <v>0</v>
      </c>
      <c r="H238" s="29" t="n">
        <f aca="false">IF(AND(G238=1,COUNTIFS($B$5:$B$1635,B238,$C$5:$C$1635,"&lt;"&amp;C238)&gt;0),1,0)</f>
        <v>0</v>
      </c>
      <c r="I238" s="29" t="n">
        <f aca="false">IF(AND(D238="Feature Use",COUNTIFS($B$5:B238,B238,$D$5:D238,"Feature Use",$E$5:E238,E238)=1),1,0)</f>
        <v>0</v>
      </c>
      <c r="J238" s="29" t="n">
        <f aca="false">IF(AND(D238="Feature Use",COUNTIFS($B$5:B238,B238,$D$5:D238,"Feature Use",$E$5:E238,E238)=2),1,0)</f>
        <v>0</v>
      </c>
      <c r="K238" s="29" t="n">
        <f aca="false">IF(COUNTIF($B$5:B238,B238)=1,1,0)</f>
        <v>0</v>
      </c>
      <c r="L238" s="29" t="n">
        <f aca="false">IF(AND(C238&gt;=Settings!$B$5-Settings!$B$8+1,C238&lt;=Settings!$B$5,COUNTIFS($B$5:B238,B238,$C$5:C238,"&gt;="&amp;(Settings!$B$5-Settings!$B$8+1),$C$5:C238,"&lt;="&amp;Settings!$B$5)=1),1,0)</f>
        <v>0</v>
      </c>
      <c r="M238" s="29" t="n">
        <f aca="false">IF(AND(C238&gt;=Settings!$B$5-Settings!$B$9+1,C238&lt;=Settings!$B$5,COUNTIFS($B$5:B238,B238,$C$5:C238,"&gt;="&amp;(Settings!$B$5-Settings!$B$9+1),$C$5:C238,"&lt;="&amp;Settings!$B$5)=1),1,0)</f>
        <v>0</v>
      </c>
      <c r="N238" s="29" t="n">
        <f aca="false">IF(AND(D238="Feature Use",COUNTIFS($B$5:B238,B238,$D$5:D238,"Feature Use")=1),1,0)</f>
        <v>0</v>
      </c>
    </row>
    <row r="239" customFormat="false" ht="15" hidden="false" customHeight="false" outlineLevel="0" collapsed="false">
      <c r="A239" s="22" t="s">
        <v>546</v>
      </c>
      <c r="B239" s="22" t="s">
        <v>213</v>
      </c>
      <c r="C239" s="31" t="n">
        <v>46276</v>
      </c>
      <c r="D239" s="22" t="s">
        <v>297</v>
      </c>
      <c r="E239" s="22" t="s">
        <v>298</v>
      </c>
      <c r="F239" s="29" t="str">
        <f aca="false">IF(COUNTIF(Referral_Data!$C$5:$C$1000,B239)&gt;0,"Referred",IF(COUNTIF(Referral_Data!$B$5:$B$1000,B239)&gt;0,"Referrer","Organic"))</f>
        <v>Referred</v>
      </c>
      <c r="G239" s="29" t="n">
        <f aca="false">IF(COUNTIFS($B$5:B239,B239,$C$5:C239,C239)=1,1,0)</f>
        <v>1</v>
      </c>
      <c r="H239" s="29" t="n">
        <f aca="false">IF(AND(G239=1,COUNTIFS($B$5:$B$1635,B239,$C$5:$C$1635,"&lt;"&amp;C239)&gt;0),1,0)</f>
        <v>1</v>
      </c>
      <c r="I239" s="29" t="n">
        <f aca="false">IF(AND(D239="Feature Use",COUNTIFS($B$5:B239,B239,$D$5:D239,"Feature Use",$E$5:E239,E239)=1),1,0)</f>
        <v>0</v>
      </c>
      <c r="J239" s="29" t="n">
        <f aca="false">IF(AND(D239="Feature Use",COUNTIFS($B$5:B239,B239,$D$5:D239,"Feature Use",$E$5:E239,E239)=2),1,0)</f>
        <v>0</v>
      </c>
      <c r="K239" s="29" t="n">
        <f aca="false">IF(COUNTIF($B$5:B239,B239)=1,1,0)</f>
        <v>0</v>
      </c>
      <c r="L239" s="29" t="n">
        <f aca="false">IF(AND(C239&gt;=Settings!$B$5-Settings!$B$8+1,C239&lt;=Settings!$B$5,COUNTIFS($B$5:B239,B239,$C$5:C239,"&gt;="&amp;(Settings!$B$5-Settings!$B$8+1),$C$5:C239,"&lt;="&amp;Settings!$B$5)=1),1,0)</f>
        <v>0</v>
      </c>
      <c r="M239" s="29" t="n">
        <f aca="false">IF(AND(C239&gt;=Settings!$B$5-Settings!$B$9+1,C239&lt;=Settings!$B$5,COUNTIFS($B$5:B239,B239,$C$5:C239,"&gt;="&amp;(Settings!$B$5-Settings!$B$9+1),$C$5:C239,"&lt;="&amp;Settings!$B$5)=1),1,0)</f>
        <v>0</v>
      </c>
      <c r="N239" s="29" t="n">
        <f aca="false">IF(AND(D239="Feature Use",COUNTIFS($B$5:B239,B239,$D$5:D239,"Feature Use")=1),1,0)</f>
        <v>0</v>
      </c>
    </row>
    <row r="240" customFormat="false" ht="15" hidden="false" customHeight="false" outlineLevel="0" collapsed="false">
      <c r="A240" s="22" t="s">
        <v>547</v>
      </c>
      <c r="B240" s="22" t="s">
        <v>213</v>
      </c>
      <c r="C240" s="31" t="n">
        <v>46276</v>
      </c>
      <c r="D240" s="22" t="s">
        <v>300</v>
      </c>
      <c r="E240" s="22" t="s">
        <v>305</v>
      </c>
      <c r="F240" s="29" t="str">
        <f aca="false">IF(COUNTIF(Referral_Data!$C$5:$C$1000,B240)&gt;0,"Referred",IF(COUNTIF(Referral_Data!$B$5:$B$1000,B240)&gt;0,"Referrer","Organic"))</f>
        <v>Referred</v>
      </c>
      <c r="G240" s="29" t="n">
        <f aca="false">IF(COUNTIFS($B$5:B240,B240,$C$5:C240,C240)=1,1,0)</f>
        <v>0</v>
      </c>
      <c r="H240" s="29" t="n">
        <f aca="false">IF(AND(G240=1,COUNTIFS($B$5:$B$1635,B240,$C$5:$C$1635,"&lt;"&amp;C240)&gt;0),1,0)</f>
        <v>0</v>
      </c>
      <c r="I240" s="29" t="n">
        <f aca="false">IF(AND(D240="Feature Use",COUNTIFS($B$5:B240,B240,$D$5:D240,"Feature Use",$E$5:E240,E240)=1),1,0)</f>
        <v>0</v>
      </c>
      <c r="J240" s="29" t="n">
        <f aca="false">IF(AND(D240="Feature Use",COUNTIFS($B$5:B240,B240,$D$5:D240,"Feature Use",$E$5:E240,E240)=2),1,0)</f>
        <v>1</v>
      </c>
      <c r="K240" s="29" t="n">
        <f aca="false">IF(COUNTIF($B$5:B240,B240)=1,1,0)</f>
        <v>0</v>
      </c>
      <c r="L240" s="29" t="n">
        <f aca="false">IF(AND(C240&gt;=Settings!$B$5-Settings!$B$8+1,C240&lt;=Settings!$B$5,COUNTIFS($B$5:B240,B240,$C$5:C240,"&gt;="&amp;(Settings!$B$5-Settings!$B$8+1),$C$5:C240,"&lt;="&amp;Settings!$B$5)=1),1,0)</f>
        <v>0</v>
      </c>
      <c r="M240" s="29" t="n">
        <f aca="false">IF(AND(C240&gt;=Settings!$B$5-Settings!$B$9+1,C240&lt;=Settings!$B$5,COUNTIFS($B$5:B240,B240,$C$5:C240,"&gt;="&amp;(Settings!$B$5-Settings!$B$9+1),$C$5:C240,"&lt;="&amp;Settings!$B$5)=1),1,0)</f>
        <v>0</v>
      </c>
      <c r="N240" s="29" t="n">
        <f aca="false">IF(AND(D240="Feature Use",COUNTIFS($B$5:B240,B240,$D$5:D240,"Feature Use")=1),1,0)</f>
        <v>0</v>
      </c>
    </row>
    <row r="241" customFormat="false" ht="15" hidden="false" customHeight="false" outlineLevel="0" collapsed="false">
      <c r="A241" s="22" t="s">
        <v>548</v>
      </c>
      <c r="B241" s="22" t="s">
        <v>213</v>
      </c>
      <c r="C241" s="31" t="n">
        <v>46276</v>
      </c>
      <c r="D241" s="22" t="s">
        <v>300</v>
      </c>
      <c r="E241" s="22" t="s">
        <v>311</v>
      </c>
      <c r="F241" s="29" t="str">
        <f aca="false">IF(COUNTIF(Referral_Data!$C$5:$C$1000,B241)&gt;0,"Referred",IF(COUNTIF(Referral_Data!$B$5:$B$1000,B241)&gt;0,"Referrer","Organic"))</f>
        <v>Referred</v>
      </c>
      <c r="G241" s="29" t="n">
        <f aca="false">IF(COUNTIFS($B$5:B241,B241,$C$5:C241,C241)=1,1,0)</f>
        <v>0</v>
      </c>
      <c r="H241" s="29" t="n">
        <f aca="false">IF(AND(G241=1,COUNTIFS($B$5:$B$1635,B241,$C$5:$C$1635,"&lt;"&amp;C241)&gt;0),1,0)</f>
        <v>0</v>
      </c>
      <c r="I241" s="29" t="n">
        <f aca="false">IF(AND(D241="Feature Use",COUNTIFS($B$5:B241,B241,$D$5:D241,"Feature Use",$E$5:E241,E241)=1),1,0)</f>
        <v>1</v>
      </c>
      <c r="J241" s="29" t="n">
        <f aca="false">IF(AND(D241="Feature Use",COUNTIFS($B$5:B241,B241,$D$5:D241,"Feature Use",$E$5:E241,E241)=2),1,0)</f>
        <v>0</v>
      </c>
      <c r="K241" s="29" t="n">
        <f aca="false">IF(COUNTIF($B$5:B241,B241)=1,1,0)</f>
        <v>0</v>
      </c>
      <c r="L241" s="29" t="n">
        <f aca="false">IF(AND(C241&gt;=Settings!$B$5-Settings!$B$8+1,C241&lt;=Settings!$B$5,COUNTIFS($B$5:B241,B241,$C$5:C241,"&gt;="&amp;(Settings!$B$5-Settings!$B$8+1),$C$5:C241,"&lt;="&amp;Settings!$B$5)=1),1,0)</f>
        <v>0</v>
      </c>
      <c r="M241" s="29" t="n">
        <f aca="false">IF(AND(C241&gt;=Settings!$B$5-Settings!$B$9+1,C241&lt;=Settings!$B$5,COUNTIFS($B$5:B241,B241,$C$5:C241,"&gt;="&amp;(Settings!$B$5-Settings!$B$9+1),$C$5:C241,"&lt;="&amp;Settings!$B$5)=1),1,0)</f>
        <v>0</v>
      </c>
      <c r="N241" s="29" t="n">
        <f aca="false">IF(AND(D241="Feature Use",COUNTIFS($B$5:B241,B241,$D$5:D241,"Feature Use")=1),1,0)</f>
        <v>0</v>
      </c>
    </row>
    <row r="242" customFormat="false" ht="15" hidden="false" customHeight="false" outlineLevel="0" collapsed="false">
      <c r="A242" s="22" t="s">
        <v>549</v>
      </c>
      <c r="B242" s="22" t="s">
        <v>252</v>
      </c>
      <c r="C242" s="31" t="n">
        <v>46276</v>
      </c>
      <c r="D242" s="22" t="s">
        <v>297</v>
      </c>
      <c r="E242" s="22" t="s">
        <v>298</v>
      </c>
      <c r="F242" s="29" t="str">
        <f aca="false">IF(COUNTIF(Referral_Data!$C$5:$C$1000,B242)&gt;0,"Referred",IF(COUNTIF(Referral_Data!$B$5:$B$1000,B242)&gt;0,"Referrer","Organic"))</f>
        <v>Referred</v>
      </c>
      <c r="G242" s="29" t="n">
        <f aca="false">IF(COUNTIFS($B$5:B242,B242,$C$5:C242,C242)=1,1,0)</f>
        <v>1</v>
      </c>
      <c r="H242" s="29" t="n">
        <f aca="false">IF(AND(G242=1,COUNTIFS($B$5:$B$1635,B242,$C$5:$C$1635,"&lt;"&amp;C242)&gt;0),1,0)</f>
        <v>0</v>
      </c>
      <c r="I242" s="29" t="n">
        <f aca="false">IF(AND(D242="Feature Use",COUNTIFS($B$5:B242,B242,$D$5:D242,"Feature Use",$E$5:E242,E242)=1),1,0)</f>
        <v>0</v>
      </c>
      <c r="J242" s="29" t="n">
        <f aca="false">IF(AND(D242="Feature Use",COUNTIFS($B$5:B242,B242,$D$5:D242,"Feature Use",$E$5:E242,E242)=2),1,0)</f>
        <v>0</v>
      </c>
      <c r="K242" s="29" t="n">
        <f aca="false">IF(COUNTIF($B$5:B242,B242)=1,1,0)</f>
        <v>1</v>
      </c>
      <c r="L242" s="29" t="n">
        <f aca="false">IF(AND(C242&gt;=Settings!$B$5-Settings!$B$8+1,C242&lt;=Settings!$B$5,COUNTIFS($B$5:B242,B242,$C$5:C242,"&gt;="&amp;(Settings!$B$5-Settings!$B$8+1),$C$5:C242,"&lt;="&amp;Settings!$B$5)=1),1,0)</f>
        <v>0</v>
      </c>
      <c r="M242" s="29" t="n">
        <f aca="false">IF(AND(C242&gt;=Settings!$B$5-Settings!$B$9+1,C242&lt;=Settings!$B$5,COUNTIFS($B$5:B242,B242,$C$5:C242,"&gt;="&amp;(Settings!$B$5-Settings!$B$9+1),$C$5:C242,"&lt;="&amp;Settings!$B$5)=1),1,0)</f>
        <v>0</v>
      </c>
      <c r="N242" s="29" t="n">
        <f aca="false">IF(AND(D242="Feature Use",COUNTIFS($B$5:B242,B242,$D$5:D242,"Feature Use")=1),1,0)</f>
        <v>0</v>
      </c>
    </row>
    <row r="243" customFormat="false" ht="15" hidden="false" customHeight="false" outlineLevel="0" collapsed="false">
      <c r="A243" s="22" t="s">
        <v>550</v>
      </c>
      <c r="B243" s="22" t="s">
        <v>252</v>
      </c>
      <c r="C243" s="31" t="n">
        <v>46276</v>
      </c>
      <c r="D243" s="22" t="s">
        <v>300</v>
      </c>
      <c r="E243" s="22" t="s">
        <v>311</v>
      </c>
      <c r="F243" s="29" t="str">
        <f aca="false">IF(COUNTIF(Referral_Data!$C$5:$C$1000,B243)&gt;0,"Referred",IF(COUNTIF(Referral_Data!$B$5:$B$1000,B243)&gt;0,"Referrer","Organic"))</f>
        <v>Referred</v>
      </c>
      <c r="G243" s="29" t="n">
        <f aca="false">IF(COUNTIFS($B$5:B243,B243,$C$5:C243,C243)=1,1,0)</f>
        <v>0</v>
      </c>
      <c r="H243" s="29" t="n">
        <f aca="false">IF(AND(G243=1,COUNTIFS($B$5:$B$1635,B243,$C$5:$C$1635,"&lt;"&amp;C243)&gt;0),1,0)</f>
        <v>0</v>
      </c>
      <c r="I243" s="29" t="n">
        <f aca="false">IF(AND(D243="Feature Use",COUNTIFS($B$5:B243,B243,$D$5:D243,"Feature Use",$E$5:E243,E243)=1),1,0)</f>
        <v>1</v>
      </c>
      <c r="J243" s="29" t="n">
        <f aca="false">IF(AND(D243="Feature Use",COUNTIFS($B$5:B243,B243,$D$5:D243,"Feature Use",$E$5:E243,E243)=2),1,0)</f>
        <v>0</v>
      </c>
      <c r="K243" s="29" t="n">
        <f aca="false">IF(COUNTIF($B$5:B243,B243)=1,1,0)</f>
        <v>0</v>
      </c>
      <c r="L243" s="29" t="n">
        <f aca="false">IF(AND(C243&gt;=Settings!$B$5-Settings!$B$8+1,C243&lt;=Settings!$B$5,COUNTIFS($B$5:B243,B243,$C$5:C243,"&gt;="&amp;(Settings!$B$5-Settings!$B$8+1),$C$5:C243,"&lt;="&amp;Settings!$B$5)=1),1,0)</f>
        <v>0</v>
      </c>
      <c r="M243" s="29" t="n">
        <f aca="false">IF(AND(C243&gt;=Settings!$B$5-Settings!$B$9+1,C243&lt;=Settings!$B$5,COUNTIFS($B$5:B243,B243,$C$5:C243,"&gt;="&amp;(Settings!$B$5-Settings!$B$9+1),$C$5:C243,"&lt;="&amp;Settings!$B$5)=1),1,0)</f>
        <v>0</v>
      </c>
      <c r="N243" s="29" t="n">
        <f aca="false">IF(AND(D243="Feature Use",COUNTIFS($B$5:B243,B243,$D$5:D243,"Feature Use")=1),1,0)</f>
        <v>1</v>
      </c>
    </row>
    <row r="244" customFormat="false" ht="15" hidden="false" customHeight="false" outlineLevel="0" collapsed="false">
      <c r="A244" s="22" t="s">
        <v>551</v>
      </c>
      <c r="B244" s="22" t="s">
        <v>252</v>
      </c>
      <c r="C244" s="31" t="n">
        <v>46276</v>
      </c>
      <c r="D244" s="22" t="s">
        <v>300</v>
      </c>
      <c r="E244" s="22" t="s">
        <v>319</v>
      </c>
      <c r="F244" s="29" t="str">
        <f aca="false">IF(COUNTIF(Referral_Data!$C$5:$C$1000,B244)&gt;0,"Referred",IF(COUNTIF(Referral_Data!$B$5:$B$1000,B244)&gt;0,"Referrer","Organic"))</f>
        <v>Referred</v>
      </c>
      <c r="G244" s="29" t="n">
        <f aca="false">IF(COUNTIFS($B$5:B244,B244,$C$5:C244,C244)=1,1,0)</f>
        <v>0</v>
      </c>
      <c r="H244" s="29" t="n">
        <f aca="false">IF(AND(G244=1,COUNTIFS($B$5:$B$1635,B244,$C$5:$C$1635,"&lt;"&amp;C244)&gt;0),1,0)</f>
        <v>0</v>
      </c>
      <c r="I244" s="29" t="n">
        <f aca="false">IF(AND(D244="Feature Use",COUNTIFS($B$5:B244,B244,$D$5:D244,"Feature Use",$E$5:E244,E244)=1),1,0)</f>
        <v>1</v>
      </c>
      <c r="J244" s="29" t="n">
        <f aca="false">IF(AND(D244="Feature Use",COUNTIFS($B$5:B244,B244,$D$5:D244,"Feature Use",$E$5:E244,E244)=2),1,0)</f>
        <v>0</v>
      </c>
      <c r="K244" s="29" t="n">
        <f aca="false">IF(COUNTIF($B$5:B244,B244)=1,1,0)</f>
        <v>0</v>
      </c>
      <c r="L244" s="29" t="n">
        <f aca="false">IF(AND(C244&gt;=Settings!$B$5-Settings!$B$8+1,C244&lt;=Settings!$B$5,COUNTIFS($B$5:B244,B244,$C$5:C244,"&gt;="&amp;(Settings!$B$5-Settings!$B$8+1),$C$5:C244,"&lt;="&amp;Settings!$B$5)=1),1,0)</f>
        <v>0</v>
      </c>
      <c r="M244" s="29" t="n">
        <f aca="false">IF(AND(C244&gt;=Settings!$B$5-Settings!$B$9+1,C244&lt;=Settings!$B$5,COUNTIFS($B$5:B244,B244,$C$5:C244,"&gt;="&amp;(Settings!$B$5-Settings!$B$9+1),$C$5:C244,"&lt;="&amp;Settings!$B$5)=1),1,0)</f>
        <v>0</v>
      </c>
      <c r="N244" s="29" t="n">
        <f aca="false">IF(AND(D244="Feature Use",COUNTIFS($B$5:B244,B244,$D$5:D244,"Feature Use")=1),1,0)</f>
        <v>0</v>
      </c>
    </row>
    <row r="245" customFormat="false" ht="15" hidden="false" customHeight="false" outlineLevel="0" collapsed="false">
      <c r="A245" s="22" t="s">
        <v>552</v>
      </c>
      <c r="B245" s="22" t="s">
        <v>167</v>
      </c>
      <c r="C245" s="31" t="n">
        <v>46276</v>
      </c>
      <c r="D245" s="22" t="s">
        <v>297</v>
      </c>
      <c r="E245" s="22" t="s">
        <v>298</v>
      </c>
      <c r="F245" s="29" t="str">
        <f aca="false">IF(COUNTIF(Referral_Data!$C$5:$C$1000,B245)&gt;0,"Referred",IF(COUNTIF(Referral_Data!$B$5:$B$1000,B245)&gt;0,"Referrer","Organic"))</f>
        <v>Referrer</v>
      </c>
      <c r="G245" s="29" t="n">
        <f aca="false">IF(COUNTIFS($B$5:B245,B245,$C$5:C245,C245)=1,1,0)</f>
        <v>1</v>
      </c>
      <c r="H245" s="29" t="n">
        <f aca="false">IF(AND(G245=1,COUNTIFS($B$5:$B$1635,B245,$C$5:$C$1635,"&lt;"&amp;C245)&gt;0),1,0)</f>
        <v>1</v>
      </c>
      <c r="I245" s="29" t="n">
        <f aca="false">IF(AND(D245="Feature Use",COUNTIFS($B$5:B245,B245,$D$5:D245,"Feature Use",$E$5:E245,E245)=1),1,0)</f>
        <v>0</v>
      </c>
      <c r="J245" s="29" t="n">
        <f aca="false">IF(AND(D245="Feature Use",COUNTIFS($B$5:B245,B245,$D$5:D245,"Feature Use",$E$5:E245,E245)=2),1,0)</f>
        <v>0</v>
      </c>
      <c r="K245" s="29" t="n">
        <f aca="false">IF(COUNTIF($B$5:B245,B245)=1,1,0)</f>
        <v>0</v>
      </c>
      <c r="L245" s="29" t="n">
        <f aca="false">IF(AND(C245&gt;=Settings!$B$5-Settings!$B$8+1,C245&lt;=Settings!$B$5,COUNTIFS($B$5:B245,B245,$C$5:C245,"&gt;="&amp;(Settings!$B$5-Settings!$B$8+1),$C$5:C245,"&lt;="&amp;Settings!$B$5)=1),1,0)</f>
        <v>0</v>
      </c>
      <c r="M245" s="29" t="n">
        <f aca="false">IF(AND(C245&gt;=Settings!$B$5-Settings!$B$9+1,C245&lt;=Settings!$B$5,COUNTIFS($B$5:B245,B245,$C$5:C245,"&gt;="&amp;(Settings!$B$5-Settings!$B$9+1),$C$5:C245,"&lt;="&amp;Settings!$B$5)=1),1,0)</f>
        <v>0</v>
      </c>
      <c r="N245" s="29" t="n">
        <f aca="false">IF(AND(D245="Feature Use",COUNTIFS($B$5:B245,B245,$D$5:D245,"Feature Use")=1),1,0)</f>
        <v>0</v>
      </c>
    </row>
    <row r="246" customFormat="false" ht="15" hidden="false" customHeight="false" outlineLevel="0" collapsed="false">
      <c r="A246" s="22" t="s">
        <v>553</v>
      </c>
      <c r="B246" s="22" t="s">
        <v>167</v>
      </c>
      <c r="C246" s="31" t="n">
        <v>46276</v>
      </c>
      <c r="D246" s="22" t="s">
        <v>300</v>
      </c>
      <c r="E246" s="22" t="s">
        <v>319</v>
      </c>
      <c r="F246" s="29" t="str">
        <f aca="false">IF(COUNTIF(Referral_Data!$C$5:$C$1000,B246)&gt;0,"Referred",IF(COUNTIF(Referral_Data!$B$5:$B$1000,B246)&gt;0,"Referrer","Organic"))</f>
        <v>Referrer</v>
      </c>
      <c r="G246" s="29" t="n">
        <f aca="false">IF(COUNTIFS($B$5:B246,B246,$C$5:C246,C246)=1,1,0)</f>
        <v>0</v>
      </c>
      <c r="H246" s="29" t="n">
        <f aca="false">IF(AND(G246=1,COUNTIFS($B$5:$B$1635,B246,$C$5:$C$1635,"&lt;"&amp;C246)&gt;0),1,0)</f>
        <v>0</v>
      </c>
      <c r="I246" s="29" t="n">
        <f aca="false">IF(AND(D246="Feature Use",COUNTIFS($B$5:B246,B246,$D$5:D246,"Feature Use",$E$5:E246,E246)=1),1,0)</f>
        <v>0</v>
      </c>
      <c r="J246" s="29" t="n">
        <f aca="false">IF(AND(D246="Feature Use",COUNTIFS($B$5:B246,B246,$D$5:D246,"Feature Use",$E$5:E246,E246)=2),1,0)</f>
        <v>0</v>
      </c>
      <c r="K246" s="29" t="n">
        <f aca="false">IF(COUNTIF($B$5:B246,B246)=1,1,0)</f>
        <v>0</v>
      </c>
      <c r="L246" s="29" t="n">
        <f aca="false">IF(AND(C246&gt;=Settings!$B$5-Settings!$B$8+1,C246&lt;=Settings!$B$5,COUNTIFS($B$5:B246,B246,$C$5:C246,"&gt;="&amp;(Settings!$B$5-Settings!$B$8+1),$C$5:C246,"&lt;="&amp;Settings!$B$5)=1),1,0)</f>
        <v>0</v>
      </c>
      <c r="M246" s="29" t="n">
        <f aca="false">IF(AND(C246&gt;=Settings!$B$5-Settings!$B$9+1,C246&lt;=Settings!$B$5,COUNTIFS($B$5:B246,B246,$C$5:C246,"&gt;="&amp;(Settings!$B$5-Settings!$B$9+1),$C$5:C246,"&lt;="&amp;Settings!$B$5)=1),1,0)</f>
        <v>0</v>
      </c>
      <c r="N246" s="29" t="n">
        <f aca="false">IF(AND(D246="Feature Use",COUNTIFS($B$5:B246,B246,$D$5:D246,"Feature Use")=1),1,0)</f>
        <v>0</v>
      </c>
    </row>
    <row r="247" customFormat="false" ht="15" hidden="false" customHeight="false" outlineLevel="0" collapsed="false">
      <c r="A247" s="22" t="s">
        <v>554</v>
      </c>
      <c r="B247" s="22" t="s">
        <v>530</v>
      </c>
      <c r="C247" s="31" t="n">
        <v>46277</v>
      </c>
      <c r="D247" s="22" t="s">
        <v>297</v>
      </c>
      <c r="E247" s="22" t="s">
        <v>298</v>
      </c>
      <c r="F247" s="29" t="str">
        <f aca="false">IF(COUNTIF(Referral_Data!$C$5:$C$1000,B247)&gt;0,"Referred",IF(COUNTIF(Referral_Data!$B$5:$B$1000,B247)&gt;0,"Referrer","Organic"))</f>
        <v>Organic</v>
      </c>
      <c r="G247" s="29" t="n">
        <f aca="false">IF(COUNTIFS($B$5:B247,B247,$C$5:C247,C247)=1,1,0)</f>
        <v>1</v>
      </c>
      <c r="H247" s="29" t="n">
        <f aca="false">IF(AND(G247=1,COUNTIFS($B$5:$B$1635,B247,$C$5:$C$1635,"&lt;"&amp;C247)&gt;0),1,0)</f>
        <v>1</v>
      </c>
      <c r="I247" s="29" t="n">
        <f aca="false">IF(AND(D247="Feature Use",COUNTIFS($B$5:B247,B247,$D$5:D247,"Feature Use",$E$5:E247,E247)=1),1,0)</f>
        <v>0</v>
      </c>
      <c r="J247" s="29" t="n">
        <f aca="false">IF(AND(D247="Feature Use",COUNTIFS($B$5:B247,B247,$D$5:D247,"Feature Use",$E$5:E247,E247)=2),1,0)</f>
        <v>0</v>
      </c>
      <c r="K247" s="29" t="n">
        <f aca="false">IF(COUNTIF($B$5:B247,B247)=1,1,0)</f>
        <v>0</v>
      </c>
      <c r="L247" s="29" t="n">
        <f aca="false">IF(AND(C247&gt;=Settings!$B$5-Settings!$B$8+1,C247&lt;=Settings!$B$5,COUNTIFS($B$5:B247,B247,$C$5:C247,"&gt;="&amp;(Settings!$B$5-Settings!$B$8+1),$C$5:C247,"&lt;="&amp;Settings!$B$5)=1),1,0)</f>
        <v>0</v>
      </c>
      <c r="M247" s="29" t="n">
        <f aca="false">IF(AND(C247&gt;=Settings!$B$5-Settings!$B$9+1,C247&lt;=Settings!$B$5,COUNTIFS($B$5:B247,B247,$C$5:C247,"&gt;="&amp;(Settings!$B$5-Settings!$B$9+1),$C$5:C247,"&lt;="&amp;Settings!$B$5)=1),1,0)</f>
        <v>0</v>
      </c>
      <c r="N247" s="29" t="n">
        <f aca="false">IF(AND(D247="Feature Use",COUNTIFS($B$5:B247,B247,$D$5:D247,"Feature Use")=1),1,0)</f>
        <v>0</v>
      </c>
    </row>
    <row r="248" customFormat="false" ht="15" hidden="false" customHeight="false" outlineLevel="0" collapsed="false">
      <c r="A248" s="22" t="s">
        <v>555</v>
      </c>
      <c r="B248" s="22" t="s">
        <v>530</v>
      </c>
      <c r="C248" s="31" t="n">
        <v>46277</v>
      </c>
      <c r="D248" s="22" t="s">
        <v>300</v>
      </c>
      <c r="E248" s="22" t="s">
        <v>309</v>
      </c>
      <c r="F248" s="29" t="str">
        <f aca="false">IF(COUNTIF(Referral_Data!$C$5:$C$1000,B248)&gt;0,"Referred",IF(COUNTIF(Referral_Data!$B$5:$B$1000,B248)&gt;0,"Referrer","Organic"))</f>
        <v>Organic</v>
      </c>
      <c r="G248" s="29" t="n">
        <f aca="false">IF(COUNTIFS($B$5:B248,B248,$C$5:C248,C248)=1,1,0)</f>
        <v>0</v>
      </c>
      <c r="H248" s="29" t="n">
        <f aca="false">IF(AND(G248=1,COUNTIFS($B$5:$B$1635,B248,$C$5:$C$1635,"&lt;"&amp;C248)&gt;0),1,0)</f>
        <v>0</v>
      </c>
      <c r="I248" s="29" t="n">
        <f aca="false">IF(AND(D248="Feature Use",COUNTIFS($B$5:B248,B248,$D$5:D248,"Feature Use",$E$5:E248,E248)=1),1,0)</f>
        <v>1</v>
      </c>
      <c r="J248" s="29" t="n">
        <f aca="false">IF(AND(D248="Feature Use",COUNTIFS($B$5:B248,B248,$D$5:D248,"Feature Use",$E$5:E248,E248)=2),1,0)</f>
        <v>0</v>
      </c>
      <c r="K248" s="29" t="n">
        <f aca="false">IF(COUNTIF($B$5:B248,B248)=1,1,0)</f>
        <v>0</v>
      </c>
      <c r="L248" s="29" t="n">
        <f aca="false">IF(AND(C248&gt;=Settings!$B$5-Settings!$B$8+1,C248&lt;=Settings!$B$5,COUNTIFS($B$5:B248,B248,$C$5:C248,"&gt;="&amp;(Settings!$B$5-Settings!$B$8+1),$C$5:C248,"&lt;="&amp;Settings!$B$5)=1),1,0)</f>
        <v>0</v>
      </c>
      <c r="M248" s="29" t="n">
        <f aca="false">IF(AND(C248&gt;=Settings!$B$5-Settings!$B$9+1,C248&lt;=Settings!$B$5,COUNTIFS($B$5:B248,B248,$C$5:C248,"&gt;="&amp;(Settings!$B$5-Settings!$B$9+1),$C$5:C248,"&lt;="&amp;Settings!$B$5)=1),1,0)</f>
        <v>0</v>
      </c>
      <c r="N248" s="29" t="n">
        <f aca="false">IF(AND(D248="Feature Use",COUNTIFS($B$5:B248,B248,$D$5:D248,"Feature Use")=1),1,0)</f>
        <v>0</v>
      </c>
    </row>
    <row r="249" customFormat="false" ht="15" hidden="false" customHeight="false" outlineLevel="0" collapsed="false">
      <c r="A249" s="22" t="s">
        <v>556</v>
      </c>
      <c r="B249" s="22" t="s">
        <v>530</v>
      </c>
      <c r="C249" s="31" t="n">
        <v>46277</v>
      </c>
      <c r="D249" s="22" t="s">
        <v>300</v>
      </c>
      <c r="E249" s="22" t="s">
        <v>311</v>
      </c>
      <c r="F249" s="29" t="str">
        <f aca="false">IF(COUNTIF(Referral_Data!$C$5:$C$1000,B249)&gt;0,"Referred",IF(COUNTIF(Referral_Data!$B$5:$B$1000,B249)&gt;0,"Referrer","Organic"))</f>
        <v>Organic</v>
      </c>
      <c r="G249" s="29" t="n">
        <f aca="false">IF(COUNTIFS($B$5:B249,B249,$C$5:C249,C249)=1,1,0)</f>
        <v>0</v>
      </c>
      <c r="H249" s="29" t="n">
        <f aca="false">IF(AND(G249=1,COUNTIFS($B$5:$B$1635,B249,$C$5:$C$1635,"&lt;"&amp;C249)&gt;0),1,0)</f>
        <v>0</v>
      </c>
      <c r="I249" s="29" t="n">
        <f aca="false">IF(AND(D249="Feature Use",COUNTIFS($B$5:B249,B249,$D$5:D249,"Feature Use",$E$5:E249,E249)=1),1,0)</f>
        <v>1</v>
      </c>
      <c r="J249" s="29" t="n">
        <f aca="false">IF(AND(D249="Feature Use",COUNTIFS($B$5:B249,B249,$D$5:D249,"Feature Use",$E$5:E249,E249)=2),1,0)</f>
        <v>0</v>
      </c>
      <c r="K249" s="29" t="n">
        <f aca="false">IF(COUNTIF($B$5:B249,B249)=1,1,0)</f>
        <v>0</v>
      </c>
      <c r="L249" s="29" t="n">
        <f aca="false">IF(AND(C249&gt;=Settings!$B$5-Settings!$B$8+1,C249&lt;=Settings!$B$5,COUNTIFS($B$5:B249,B249,$C$5:C249,"&gt;="&amp;(Settings!$B$5-Settings!$B$8+1),$C$5:C249,"&lt;="&amp;Settings!$B$5)=1),1,0)</f>
        <v>0</v>
      </c>
      <c r="M249" s="29" t="n">
        <f aca="false">IF(AND(C249&gt;=Settings!$B$5-Settings!$B$9+1,C249&lt;=Settings!$B$5,COUNTIFS($B$5:B249,B249,$C$5:C249,"&gt;="&amp;(Settings!$B$5-Settings!$B$9+1),$C$5:C249,"&lt;="&amp;Settings!$B$5)=1),1,0)</f>
        <v>0</v>
      </c>
      <c r="N249" s="29" t="n">
        <f aca="false">IF(AND(D249="Feature Use",COUNTIFS($B$5:B249,B249,$D$5:D249,"Feature Use")=1),1,0)</f>
        <v>0</v>
      </c>
    </row>
    <row r="250" customFormat="false" ht="15" hidden="false" customHeight="false" outlineLevel="0" collapsed="false">
      <c r="A250" s="22" t="s">
        <v>557</v>
      </c>
      <c r="B250" s="22" t="s">
        <v>530</v>
      </c>
      <c r="C250" s="31" t="n">
        <v>46277</v>
      </c>
      <c r="D250" s="22" t="s">
        <v>308</v>
      </c>
      <c r="E250" s="22" t="s">
        <v>301</v>
      </c>
      <c r="F250" s="29" t="str">
        <f aca="false">IF(COUNTIF(Referral_Data!$C$5:$C$1000,B250)&gt;0,"Referred",IF(COUNTIF(Referral_Data!$B$5:$B$1000,B250)&gt;0,"Referrer","Organic"))</f>
        <v>Organic</v>
      </c>
      <c r="G250" s="29" t="n">
        <f aca="false">IF(COUNTIFS($B$5:B250,B250,$C$5:C250,C250)=1,1,0)</f>
        <v>0</v>
      </c>
      <c r="H250" s="29" t="n">
        <f aca="false">IF(AND(G250=1,COUNTIFS($B$5:$B$1635,B250,$C$5:$C$1635,"&lt;"&amp;C250)&gt;0),1,0)</f>
        <v>0</v>
      </c>
      <c r="I250" s="29" t="n">
        <f aca="false">IF(AND(D250="Feature Use",COUNTIFS($B$5:B250,B250,$D$5:D250,"Feature Use",$E$5:E250,E250)=1),1,0)</f>
        <v>0</v>
      </c>
      <c r="J250" s="29" t="n">
        <f aca="false">IF(AND(D250="Feature Use",COUNTIFS($B$5:B250,B250,$D$5:D250,"Feature Use",$E$5:E250,E250)=2),1,0)</f>
        <v>0</v>
      </c>
      <c r="K250" s="29" t="n">
        <f aca="false">IF(COUNTIF($B$5:B250,B250)=1,1,0)</f>
        <v>0</v>
      </c>
      <c r="L250" s="29" t="n">
        <f aca="false">IF(AND(C250&gt;=Settings!$B$5-Settings!$B$8+1,C250&lt;=Settings!$B$5,COUNTIFS($B$5:B250,B250,$C$5:C250,"&gt;="&amp;(Settings!$B$5-Settings!$B$8+1),$C$5:C250,"&lt;="&amp;Settings!$B$5)=1),1,0)</f>
        <v>0</v>
      </c>
      <c r="M250" s="29" t="n">
        <f aca="false">IF(AND(C250&gt;=Settings!$B$5-Settings!$B$9+1,C250&lt;=Settings!$B$5,COUNTIFS($B$5:B250,B250,$C$5:C250,"&gt;="&amp;(Settings!$B$5-Settings!$B$9+1),$C$5:C250,"&lt;="&amp;Settings!$B$5)=1),1,0)</f>
        <v>0</v>
      </c>
      <c r="N250" s="29" t="n">
        <f aca="false">IF(AND(D250="Feature Use",COUNTIFS($B$5:B250,B250,$D$5:D250,"Feature Use")=1),1,0)</f>
        <v>0</v>
      </c>
    </row>
    <row r="251" customFormat="false" ht="15" hidden="false" customHeight="false" outlineLevel="0" collapsed="false">
      <c r="A251" s="22" t="s">
        <v>558</v>
      </c>
      <c r="B251" s="22" t="s">
        <v>530</v>
      </c>
      <c r="C251" s="31" t="n">
        <v>46277</v>
      </c>
      <c r="D251" s="22" t="s">
        <v>308</v>
      </c>
      <c r="E251" s="22" t="s">
        <v>319</v>
      </c>
      <c r="F251" s="29" t="str">
        <f aca="false">IF(COUNTIF(Referral_Data!$C$5:$C$1000,B251)&gt;0,"Referred",IF(COUNTIF(Referral_Data!$B$5:$B$1000,B251)&gt;0,"Referrer","Organic"))</f>
        <v>Organic</v>
      </c>
      <c r="G251" s="29" t="n">
        <f aca="false">IF(COUNTIFS($B$5:B251,B251,$C$5:C251,C251)=1,1,0)</f>
        <v>0</v>
      </c>
      <c r="H251" s="29" t="n">
        <f aca="false">IF(AND(G251=1,COUNTIFS($B$5:$B$1635,B251,$C$5:$C$1635,"&lt;"&amp;C251)&gt;0),1,0)</f>
        <v>0</v>
      </c>
      <c r="I251" s="29" t="n">
        <f aca="false">IF(AND(D251="Feature Use",COUNTIFS($B$5:B251,B251,$D$5:D251,"Feature Use",$E$5:E251,E251)=1),1,0)</f>
        <v>0</v>
      </c>
      <c r="J251" s="29" t="n">
        <f aca="false">IF(AND(D251="Feature Use",COUNTIFS($B$5:B251,B251,$D$5:D251,"Feature Use",$E$5:E251,E251)=2),1,0)</f>
        <v>0</v>
      </c>
      <c r="K251" s="29" t="n">
        <f aca="false">IF(COUNTIF($B$5:B251,B251)=1,1,0)</f>
        <v>0</v>
      </c>
      <c r="L251" s="29" t="n">
        <f aca="false">IF(AND(C251&gt;=Settings!$B$5-Settings!$B$8+1,C251&lt;=Settings!$B$5,COUNTIFS($B$5:B251,B251,$C$5:C251,"&gt;="&amp;(Settings!$B$5-Settings!$B$8+1),$C$5:C251,"&lt;="&amp;Settings!$B$5)=1),1,0)</f>
        <v>0</v>
      </c>
      <c r="M251" s="29" t="n">
        <f aca="false">IF(AND(C251&gt;=Settings!$B$5-Settings!$B$9+1,C251&lt;=Settings!$B$5,COUNTIFS($B$5:B251,B251,$C$5:C251,"&gt;="&amp;(Settings!$B$5-Settings!$B$9+1),$C$5:C251,"&lt;="&amp;Settings!$B$5)=1),1,0)</f>
        <v>0</v>
      </c>
      <c r="N251" s="29" t="n">
        <f aca="false">IF(AND(D251="Feature Use",COUNTIFS($B$5:B251,B251,$D$5:D251,"Feature Use")=1),1,0)</f>
        <v>0</v>
      </c>
    </row>
    <row r="252" customFormat="false" ht="15" hidden="false" customHeight="false" outlineLevel="0" collapsed="false">
      <c r="A252" s="22" t="s">
        <v>559</v>
      </c>
      <c r="B252" s="22" t="s">
        <v>313</v>
      </c>
      <c r="C252" s="31" t="n">
        <v>46277</v>
      </c>
      <c r="D252" s="22" t="s">
        <v>297</v>
      </c>
      <c r="E252" s="22" t="s">
        <v>298</v>
      </c>
      <c r="F252" s="29" t="str">
        <f aca="false">IF(COUNTIF(Referral_Data!$C$5:$C$1000,B252)&gt;0,"Referred",IF(COUNTIF(Referral_Data!$B$5:$B$1000,B252)&gt;0,"Referrer","Organic"))</f>
        <v>Organic</v>
      </c>
      <c r="G252" s="29" t="n">
        <f aca="false">IF(COUNTIFS($B$5:B252,B252,$C$5:C252,C252)=1,1,0)</f>
        <v>1</v>
      </c>
      <c r="H252" s="29" t="n">
        <f aca="false">IF(AND(G252=1,COUNTIFS($B$5:$B$1635,B252,$C$5:$C$1635,"&lt;"&amp;C252)&gt;0),1,0)</f>
        <v>1</v>
      </c>
      <c r="I252" s="29" t="n">
        <f aca="false">IF(AND(D252="Feature Use",COUNTIFS($B$5:B252,B252,$D$5:D252,"Feature Use",$E$5:E252,E252)=1),1,0)</f>
        <v>0</v>
      </c>
      <c r="J252" s="29" t="n">
        <f aca="false">IF(AND(D252="Feature Use",COUNTIFS($B$5:B252,B252,$D$5:D252,"Feature Use",$E$5:E252,E252)=2),1,0)</f>
        <v>0</v>
      </c>
      <c r="K252" s="29" t="n">
        <f aca="false">IF(COUNTIF($B$5:B252,B252)=1,1,0)</f>
        <v>0</v>
      </c>
      <c r="L252" s="29" t="n">
        <f aca="false">IF(AND(C252&gt;=Settings!$B$5-Settings!$B$8+1,C252&lt;=Settings!$B$5,COUNTIFS($B$5:B252,B252,$C$5:C252,"&gt;="&amp;(Settings!$B$5-Settings!$B$8+1),$C$5:C252,"&lt;="&amp;Settings!$B$5)=1),1,0)</f>
        <v>0</v>
      </c>
      <c r="M252" s="29" t="n">
        <f aca="false">IF(AND(C252&gt;=Settings!$B$5-Settings!$B$9+1,C252&lt;=Settings!$B$5,COUNTIFS($B$5:B252,B252,$C$5:C252,"&gt;="&amp;(Settings!$B$5-Settings!$B$9+1),$C$5:C252,"&lt;="&amp;Settings!$B$5)=1),1,0)</f>
        <v>0</v>
      </c>
      <c r="N252" s="29" t="n">
        <f aca="false">IF(AND(D252="Feature Use",COUNTIFS($B$5:B252,B252,$D$5:D252,"Feature Use")=1),1,0)</f>
        <v>0</v>
      </c>
    </row>
    <row r="253" customFormat="false" ht="15" hidden="false" customHeight="false" outlineLevel="0" collapsed="false">
      <c r="A253" s="22" t="s">
        <v>560</v>
      </c>
      <c r="B253" s="22" t="s">
        <v>313</v>
      </c>
      <c r="C253" s="31" t="n">
        <v>46277</v>
      </c>
      <c r="D253" s="22" t="s">
        <v>300</v>
      </c>
      <c r="E253" s="22" t="s">
        <v>305</v>
      </c>
      <c r="F253" s="29" t="str">
        <f aca="false">IF(COUNTIF(Referral_Data!$C$5:$C$1000,B253)&gt;0,"Referred",IF(COUNTIF(Referral_Data!$B$5:$B$1000,B253)&gt;0,"Referrer","Organic"))</f>
        <v>Organic</v>
      </c>
      <c r="G253" s="29" t="n">
        <f aca="false">IF(COUNTIFS($B$5:B253,B253,$C$5:C253,C253)=1,1,0)</f>
        <v>0</v>
      </c>
      <c r="H253" s="29" t="n">
        <f aca="false">IF(AND(G253=1,COUNTIFS($B$5:$B$1635,B253,$C$5:$C$1635,"&lt;"&amp;C253)&gt;0),1,0)</f>
        <v>0</v>
      </c>
      <c r="I253" s="29" t="n">
        <f aca="false">IF(AND(D253="Feature Use",COUNTIFS($B$5:B253,B253,$D$5:D253,"Feature Use",$E$5:E253,E253)=1),1,0)</f>
        <v>0</v>
      </c>
      <c r="J253" s="29" t="n">
        <f aca="false">IF(AND(D253="Feature Use",COUNTIFS($B$5:B253,B253,$D$5:D253,"Feature Use",$E$5:E253,E253)=2),1,0)</f>
        <v>1</v>
      </c>
      <c r="K253" s="29" t="n">
        <f aca="false">IF(COUNTIF($B$5:B253,B253)=1,1,0)</f>
        <v>0</v>
      </c>
      <c r="L253" s="29" t="n">
        <f aca="false">IF(AND(C253&gt;=Settings!$B$5-Settings!$B$8+1,C253&lt;=Settings!$B$5,COUNTIFS($B$5:B253,B253,$C$5:C253,"&gt;="&amp;(Settings!$B$5-Settings!$B$8+1),$C$5:C253,"&lt;="&amp;Settings!$B$5)=1),1,0)</f>
        <v>0</v>
      </c>
      <c r="M253" s="29" t="n">
        <f aca="false">IF(AND(C253&gt;=Settings!$B$5-Settings!$B$9+1,C253&lt;=Settings!$B$5,COUNTIFS($B$5:B253,B253,$C$5:C253,"&gt;="&amp;(Settings!$B$5-Settings!$B$9+1),$C$5:C253,"&lt;="&amp;Settings!$B$5)=1),1,0)</f>
        <v>0</v>
      </c>
      <c r="N253" s="29" t="n">
        <f aca="false">IF(AND(D253="Feature Use",COUNTIFS($B$5:B253,B253,$D$5:D253,"Feature Use")=1),1,0)</f>
        <v>0</v>
      </c>
    </row>
    <row r="254" customFormat="false" ht="15" hidden="false" customHeight="false" outlineLevel="0" collapsed="false">
      <c r="A254" s="22" t="s">
        <v>561</v>
      </c>
      <c r="B254" s="22" t="s">
        <v>168</v>
      </c>
      <c r="C254" s="31" t="n">
        <v>46277</v>
      </c>
      <c r="D254" s="22" t="s">
        <v>297</v>
      </c>
      <c r="E254" s="22" t="s">
        <v>298</v>
      </c>
      <c r="F254" s="29" t="str">
        <f aca="false">IF(COUNTIF(Referral_Data!$C$5:$C$1000,B254)&gt;0,"Referred",IF(COUNTIF(Referral_Data!$B$5:$B$1000,B254)&gt;0,"Referrer","Organic"))</f>
        <v>Referred</v>
      </c>
      <c r="G254" s="29" t="n">
        <f aca="false">IF(COUNTIFS($B$5:B254,B254,$C$5:C254,C254)=1,1,0)</f>
        <v>1</v>
      </c>
      <c r="H254" s="29" t="n">
        <f aca="false">IF(AND(G254=1,COUNTIFS($B$5:$B$1635,B254,$C$5:$C$1635,"&lt;"&amp;C254)&gt;0),1,0)</f>
        <v>1</v>
      </c>
      <c r="I254" s="29" t="n">
        <f aca="false">IF(AND(D254="Feature Use",COUNTIFS($B$5:B254,B254,$D$5:D254,"Feature Use",$E$5:E254,E254)=1),1,0)</f>
        <v>0</v>
      </c>
      <c r="J254" s="29" t="n">
        <f aca="false">IF(AND(D254="Feature Use",COUNTIFS($B$5:B254,B254,$D$5:D254,"Feature Use",$E$5:E254,E254)=2),1,0)</f>
        <v>0</v>
      </c>
      <c r="K254" s="29" t="n">
        <f aca="false">IF(COUNTIF($B$5:B254,B254)=1,1,0)</f>
        <v>0</v>
      </c>
      <c r="L254" s="29" t="n">
        <f aca="false">IF(AND(C254&gt;=Settings!$B$5-Settings!$B$8+1,C254&lt;=Settings!$B$5,COUNTIFS($B$5:B254,B254,$C$5:C254,"&gt;="&amp;(Settings!$B$5-Settings!$B$8+1),$C$5:C254,"&lt;="&amp;Settings!$B$5)=1),1,0)</f>
        <v>0</v>
      </c>
      <c r="M254" s="29" t="n">
        <f aca="false">IF(AND(C254&gt;=Settings!$B$5-Settings!$B$9+1,C254&lt;=Settings!$B$5,COUNTIFS($B$5:B254,B254,$C$5:C254,"&gt;="&amp;(Settings!$B$5-Settings!$B$9+1),$C$5:C254,"&lt;="&amp;Settings!$B$5)=1),1,0)</f>
        <v>0</v>
      </c>
      <c r="N254" s="29" t="n">
        <f aca="false">IF(AND(D254="Feature Use",COUNTIFS($B$5:B254,B254,$D$5:D254,"Feature Use")=1),1,0)</f>
        <v>0</v>
      </c>
    </row>
    <row r="255" customFormat="false" ht="15" hidden="false" customHeight="false" outlineLevel="0" collapsed="false">
      <c r="A255" s="22" t="s">
        <v>562</v>
      </c>
      <c r="B255" s="22" t="s">
        <v>168</v>
      </c>
      <c r="C255" s="31" t="n">
        <v>46277</v>
      </c>
      <c r="D255" s="22" t="s">
        <v>300</v>
      </c>
      <c r="E255" s="22" t="s">
        <v>305</v>
      </c>
      <c r="F255" s="29" t="str">
        <f aca="false">IF(COUNTIF(Referral_Data!$C$5:$C$1000,B255)&gt;0,"Referred",IF(COUNTIF(Referral_Data!$B$5:$B$1000,B255)&gt;0,"Referrer","Organic"))</f>
        <v>Referred</v>
      </c>
      <c r="G255" s="29" t="n">
        <f aca="false">IF(COUNTIFS($B$5:B255,B255,$C$5:C255,C255)=1,1,0)</f>
        <v>0</v>
      </c>
      <c r="H255" s="29" t="n">
        <f aca="false">IF(AND(G255=1,COUNTIFS($B$5:$B$1635,B255,$C$5:$C$1635,"&lt;"&amp;C255)&gt;0),1,0)</f>
        <v>0</v>
      </c>
      <c r="I255" s="29" t="n">
        <f aca="false">IF(AND(D255="Feature Use",COUNTIFS($B$5:B255,B255,$D$5:D255,"Feature Use",$E$5:E255,E255)=1),1,0)</f>
        <v>0</v>
      </c>
      <c r="J255" s="29" t="n">
        <f aca="false">IF(AND(D255="Feature Use",COUNTIFS($B$5:B255,B255,$D$5:D255,"Feature Use",$E$5:E255,E255)=2),1,0)</f>
        <v>1</v>
      </c>
      <c r="K255" s="29" t="n">
        <f aca="false">IF(COUNTIF($B$5:B255,B255)=1,1,0)</f>
        <v>0</v>
      </c>
      <c r="L255" s="29" t="n">
        <f aca="false">IF(AND(C255&gt;=Settings!$B$5-Settings!$B$8+1,C255&lt;=Settings!$B$5,COUNTIFS($B$5:B255,B255,$C$5:C255,"&gt;="&amp;(Settings!$B$5-Settings!$B$8+1),$C$5:C255,"&lt;="&amp;Settings!$B$5)=1),1,0)</f>
        <v>0</v>
      </c>
      <c r="M255" s="29" t="n">
        <f aca="false">IF(AND(C255&gt;=Settings!$B$5-Settings!$B$9+1,C255&lt;=Settings!$B$5,COUNTIFS($B$5:B255,B255,$C$5:C255,"&gt;="&amp;(Settings!$B$5-Settings!$B$9+1),$C$5:C255,"&lt;="&amp;Settings!$B$5)=1),1,0)</f>
        <v>0</v>
      </c>
      <c r="N255" s="29" t="n">
        <f aca="false">IF(AND(D255="Feature Use",COUNTIFS($B$5:B255,B255,$D$5:D255,"Feature Use")=1),1,0)</f>
        <v>0</v>
      </c>
    </row>
    <row r="256" customFormat="false" ht="15" hidden="false" customHeight="false" outlineLevel="0" collapsed="false">
      <c r="A256" s="22" t="s">
        <v>563</v>
      </c>
      <c r="B256" s="22" t="s">
        <v>181</v>
      </c>
      <c r="C256" s="31" t="n">
        <v>46277</v>
      </c>
      <c r="D256" s="22" t="s">
        <v>297</v>
      </c>
      <c r="E256" s="22" t="s">
        <v>298</v>
      </c>
      <c r="F256" s="29" t="str">
        <f aca="false">IF(COUNTIF(Referral_Data!$C$5:$C$1000,B256)&gt;0,"Referred",IF(COUNTIF(Referral_Data!$B$5:$B$1000,B256)&gt;0,"Referrer","Organic"))</f>
        <v>Referred</v>
      </c>
      <c r="G256" s="29" t="n">
        <f aca="false">IF(COUNTIFS($B$5:B256,B256,$C$5:C256,C256)=1,1,0)</f>
        <v>1</v>
      </c>
      <c r="H256" s="29" t="n">
        <f aca="false">IF(AND(G256=1,COUNTIFS($B$5:$B$1635,B256,$C$5:$C$1635,"&lt;"&amp;C256)&gt;0),1,0)</f>
        <v>1</v>
      </c>
      <c r="I256" s="29" t="n">
        <f aca="false">IF(AND(D256="Feature Use",COUNTIFS($B$5:B256,B256,$D$5:D256,"Feature Use",$E$5:E256,E256)=1),1,0)</f>
        <v>0</v>
      </c>
      <c r="J256" s="29" t="n">
        <f aca="false">IF(AND(D256="Feature Use",COUNTIFS($B$5:B256,B256,$D$5:D256,"Feature Use",$E$5:E256,E256)=2),1,0)</f>
        <v>0</v>
      </c>
      <c r="K256" s="29" t="n">
        <f aca="false">IF(COUNTIF($B$5:B256,B256)=1,1,0)</f>
        <v>0</v>
      </c>
      <c r="L256" s="29" t="n">
        <f aca="false">IF(AND(C256&gt;=Settings!$B$5-Settings!$B$8+1,C256&lt;=Settings!$B$5,COUNTIFS($B$5:B256,B256,$C$5:C256,"&gt;="&amp;(Settings!$B$5-Settings!$B$8+1),$C$5:C256,"&lt;="&amp;Settings!$B$5)=1),1,0)</f>
        <v>0</v>
      </c>
      <c r="M256" s="29" t="n">
        <f aca="false">IF(AND(C256&gt;=Settings!$B$5-Settings!$B$9+1,C256&lt;=Settings!$B$5,COUNTIFS($B$5:B256,B256,$C$5:C256,"&gt;="&amp;(Settings!$B$5-Settings!$B$9+1),$C$5:C256,"&lt;="&amp;Settings!$B$5)=1),1,0)</f>
        <v>0</v>
      </c>
      <c r="N256" s="29" t="n">
        <f aca="false">IF(AND(D256="Feature Use",COUNTIFS($B$5:B256,B256,$D$5:D256,"Feature Use")=1),1,0)</f>
        <v>0</v>
      </c>
    </row>
    <row r="257" customFormat="false" ht="15" hidden="false" customHeight="false" outlineLevel="0" collapsed="false">
      <c r="A257" s="22" t="s">
        <v>564</v>
      </c>
      <c r="B257" s="22" t="s">
        <v>181</v>
      </c>
      <c r="C257" s="31" t="n">
        <v>46277</v>
      </c>
      <c r="D257" s="22" t="s">
        <v>300</v>
      </c>
      <c r="E257" s="22" t="s">
        <v>301</v>
      </c>
      <c r="F257" s="29" t="str">
        <f aca="false">IF(COUNTIF(Referral_Data!$C$5:$C$1000,B257)&gt;0,"Referred",IF(COUNTIF(Referral_Data!$B$5:$B$1000,B257)&gt;0,"Referrer","Organic"))</f>
        <v>Referred</v>
      </c>
      <c r="G257" s="29" t="n">
        <f aca="false">IF(COUNTIFS($B$5:B257,B257,$C$5:C257,C257)=1,1,0)</f>
        <v>0</v>
      </c>
      <c r="H257" s="29" t="n">
        <f aca="false">IF(AND(G257=1,COUNTIFS($B$5:$B$1635,B257,$C$5:$C$1635,"&lt;"&amp;C257)&gt;0),1,0)</f>
        <v>0</v>
      </c>
      <c r="I257" s="29" t="n">
        <f aca="false">IF(AND(D257="Feature Use",COUNTIFS($B$5:B257,B257,$D$5:D257,"Feature Use",$E$5:E257,E257)=1),1,0)</f>
        <v>0</v>
      </c>
      <c r="J257" s="29" t="n">
        <f aca="false">IF(AND(D257="Feature Use",COUNTIFS($B$5:B257,B257,$D$5:D257,"Feature Use",$E$5:E257,E257)=2),1,0)</f>
        <v>1</v>
      </c>
      <c r="K257" s="29" t="n">
        <f aca="false">IF(COUNTIF($B$5:B257,B257)=1,1,0)</f>
        <v>0</v>
      </c>
      <c r="L257" s="29" t="n">
        <f aca="false">IF(AND(C257&gt;=Settings!$B$5-Settings!$B$8+1,C257&lt;=Settings!$B$5,COUNTIFS($B$5:B257,B257,$C$5:C257,"&gt;="&amp;(Settings!$B$5-Settings!$B$8+1),$C$5:C257,"&lt;="&amp;Settings!$B$5)=1),1,0)</f>
        <v>0</v>
      </c>
      <c r="M257" s="29" t="n">
        <f aca="false">IF(AND(C257&gt;=Settings!$B$5-Settings!$B$9+1,C257&lt;=Settings!$B$5,COUNTIFS($B$5:B257,B257,$C$5:C257,"&gt;="&amp;(Settings!$B$5-Settings!$B$9+1),$C$5:C257,"&lt;="&amp;Settings!$B$5)=1),1,0)</f>
        <v>0</v>
      </c>
      <c r="N257" s="29" t="n">
        <f aca="false">IF(AND(D257="Feature Use",COUNTIFS($B$5:B257,B257,$D$5:D257,"Feature Use")=1),1,0)</f>
        <v>0</v>
      </c>
    </row>
    <row r="258" customFormat="false" ht="15" hidden="false" customHeight="false" outlineLevel="0" collapsed="false">
      <c r="A258" s="22" t="s">
        <v>565</v>
      </c>
      <c r="B258" s="22" t="s">
        <v>181</v>
      </c>
      <c r="C258" s="31" t="n">
        <v>46277</v>
      </c>
      <c r="D258" s="22" t="s">
        <v>300</v>
      </c>
      <c r="E258" s="22" t="s">
        <v>319</v>
      </c>
      <c r="F258" s="29" t="str">
        <f aca="false">IF(COUNTIF(Referral_Data!$C$5:$C$1000,B258)&gt;0,"Referred",IF(COUNTIF(Referral_Data!$B$5:$B$1000,B258)&gt;0,"Referrer","Organic"))</f>
        <v>Referred</v>
      </c>
      <c r="G258" s="29" t="n">
        <f aca="false">IF(COUNTIFS($B$5:B258,B258,$C$5:C258,C258)=1,1,0)</f>
        <v>0</v>
      </c>
      <c r="H258" s="29" t="n">
        <f aca="false">IF(AND(G258=1,COUNTIFS($B$5:$B$1635,B258,$C$5:$C$1635,"&lt;"&amp;C258)&gt;0),1,0)</f>
        <v>0</v>
      </c>
      <c r="I258" s="29" t="n">
        <f aca="false">IF(AND(D258="Feature Use",COUNTIFS($B$5:B258,B258,$D$5:D258,"Feature Use",$E$5:E258,E258)=1),1,0)</f>
        <v>0</v>
      </c>
      <c r="J258" s="29" t="n">
        <f aca="false">IF(AND(D258="Feature Use",COUNTIFS($B$5:B258,B258,$D$5:D258,"Feature Use",$E$5:E258,E258)=2),1,0)</f>
        <v>1</v>
      </c>
      <c r="K258" s="29" t="n">
        <f aca="false">IF(COUNTIF($B$5:B258,B258)=1,1,0)</f>
        <v>0</v>
      </c>
      <c r="L258" s="29" t="n">
        <f aca="false">IF(AND(C258&gt;=Settings!$B$5-Settings!$B$8+1,C258&lt;=Settings!$B$5,COUNTIFS($B$5:B258,B258,$C$5:C258,"&gt;="&amp;(Settings!$B$5-Settings!$B$8+1),$C$5:C258,"&lt;="&amp;Settings!$B$5)=1),1,0)</f>
        <v>0</v>
      </c>
      <c r="M258" s="29" t="n">
        <f aca="false">IF(AND(C258&gt;=Settings!$B$5-Settings!$B$9+1,C258&lt;=Settings!$B$5,COUNTIFS($B$5:B258,B258,$C$5:C258,"&gt;="&amp;(Settings!$B$5-Settings!$B$9+1),$C$5:C258,"&lt;="&amp;Settings!$B$5)=1),1,0)</f>
        <v>0</v>
      </c>
      <c r="N258" s="29" t="n">
        <f aca="false">IF(AND(D258="Feature Use",COUNTIFS($B$5:B258,B258,$D$5:D258,"Feature Use")=1),1,0)</f>
        <v>0</v>
      </c>
    </row>
    <row r="259" customFormat="false" ht="15" hidden="false" customHeight="false" outlineLevel="0" collapsed="false">
      <c r="A259" s="22" t="s">
        <v>566</v>
      </c>
      <c r="B259" s="22" t="s">
        <v>181</v>
      </c>
      <c r="C259" s="31" t="n">
        <v>46277</v>
      </c>
      <c r="D259" s="22" t="s">
        <v>308</v>
      </c>
      <c r="E259" s="22" t="s">
        <v>305</v>
      </c>
      <c r="F259" s="29" t="str">
        <f aca="false">IF(COUNTIF(Referral_Data!$C$5:$C$1000,B259)&gt;0,"Referred",IF(COUNTIF(Referral_Data!$B$5:$B$1000,B259)&gt;0,"Referrer","Organic"))</f>
        <v>Referred</v>
      </c>
      <c r="G259" s="29" t="n">
        <f aca="false">IF(COUNTIFS($B$5:B259,B259,$C$5:C259,C259)=1,1,0)</f>
        <v>0</v>
      </c>
      <c r="H259" s="29" t="n">
        <f aca="false">IF(AND(G259=1,COUNTIFS($B$5:$B$1635,B259,$C$5:$C$1635,"&lt;"&amp;C259)&gt;0),1,0)</f>
        <v>0</v>
      </c>
      <c r="I259" s="29" t="n">
        <f aca="false">IF(AND(D259="Feature Use",COUNTIFS($B$5:B259,B259,$D$5:D259,"Feature Use",$E$5:E259,E259)=1),1,0)</f>
        <v>0</v>
      </c>
      <c r="J259" s="29" t="n">
        <f aca="false">IF(AND(D259="Feature Use",COUNTIFS($B$5:B259,B259,$D$5:D259,"Feature Use",$E$5:E259,E259)=2),1,0)</f>
        <v>0</v>
      </c>
      <c r="K259" s="29" t="n">
        <f aca="false">IF(COUNTIF($B$5:B259,B259)=1,1,0)</f>
        <v>0</v>
      </c>
      <c r="L259" s="29" t="n">
        <f aca="false">IF(AND(C259&gt;=Settings!$B$5-Settings!$B$8+1,C259&lt;=Settings!$B$5,COUNTIFS($B$5:B259,B259,$C$5:C259,"&gt;="&amp;(Settings!$B$5-Settings!$B$8+1),$C$5:C259,"&lt;="&amp;Settings!$B$5)=1),1,0)</f>
        <v>0</v>
      </c>
      <c r="M259" s="29" t="n">
        <f aca="false">IF(AND(C259&gt;=Settings!$B$5-Settings!$B$9+1,C259&lt;=Settings!$B$5,COUNTIFS($B$5:B259,B259,$C$5:C259,"&gt;="&amp;(Settings!$B$5-Settings!$B$9+1),$C$5:C259,"&lt;="&amp;Settings!$B$5)=1),1,0)</f>
        <v>0</v>
      </c>
      <c r="N259" s="29" t="n">
        <f aca="false">IF(AND(D259="Feature Use",COUNTIFS($B$5:B259,B259,$D$5:D259,"Feature Use")=1),1,0)</f>
        <v>0</v>
      </c>
    </row>
    <row r="260" customFormat="false" ht="15" hidden="false" customHeight="false" outlineLevel="0" collapsed="false">
      <c r="A260" s="22" t="s">
        <v>567</v>
      </c>
      <c r="B260" s="22" t="s">
        <v>181</v>
      </c>
      <c r="C260" s="31" t="n">
        <v>46277</v>
      </c>
      <c r="D260" s="22" t="s">
        <v>308</v>
      </c>
      <c r="E260" s="22" t="s">
        <v>305</v>
      </c>
      <c r="F260" s="29" t="str">
        <f aca="false">IF(COUNTIF(Referral_Data!$C$5:$C$1000,B260)&gt;0,"Referred",IF(COUNTIF(Referral_Data!$B$5:$B$1000,B260)&gt;0,"Referrer","Organic"))</f>
        <v>Referred</v>
      </c>
      <c r="G260" s="29" t="n">
        <f aca="false">IF(COUNTIFS($B$5:B260,B260,$C$5:C260,C260)=1,1,0)</f>
        <v>0</v>
      </c>
      <c r="H260" s="29" t="n">
        <f aca="false">IF(AND(G260=1,COUNTIFS($B$5:$B$1635,B260,$C$5:$C$1635,"&lt;"&amp;C260)&gt;0),1,0)</f>
        <v>0</v>
      </c>
      <c r="I260" s="29" t="n">
        <f aca="false">IF(AND(D260="Feature Use",COUNTIFS($B$5:B260,B260,$D$5:D260,"Feature Use",$E$5:E260,E260)=1),1,0)</f>
        <v>0</v>
      </c>
      <c r="J260" s="29" t="n">
        <f aca="false">IF(AND(D260="Feature Use",COUNTIFS($B$5:B260,B260,$D$5:D260,"Feature Use",$E$5:E260,E260)=2),1,0)</f>
        <v>0</v>
      </c>
      <c r="K260" s="29" t="n">
        <f aca="false">IF(COUNTIF($B$5:B260,B260)=1,1,0)</f>
        <v>0</v>
      </c>
      <c r="L260" s="29" t="n">
        <f aca="false">IF(AND(C260&gt;=Settings!$B$5-Settings!$B$8+1,C260&lt;=Settings!$B$5,COUNTIFS($B$5:B260,B260,$C$5:C260,"&gt;="&amp;(Settings!$B$5-Settings!$B$8+1),$C$5:C260,"&lt;="&amp;Settings!$B$5)=1),1,0)</f>
        <v>0</v>
      </c>
      <c r="M260" s="29" t="n">
        <f aca="false">IF(AND(C260&gt;=Settings!$B$5-Settings!$B$9+1,C260&lt;=Settings!$B$5,COUNTIFS($B$5:B260,B260,$C$5:C260,"&gt;="&amp;(Settings!$B$5-Settings!$B$9+1),$C$5:C260,"&lt;="&amp;Settings!$B$5)=1),1,0)</f>
        <v>0</v>
      </c>
      <c r="N260" s="29" t="n">
        <f aca="false">IF(AND(D260="Feature Use",COUNTIFS($B$5:B260,B260,$D$5:D260,"Feature Use")=1),1,0)</f>
        <v>0</v>
      </c>
    </row>
    <row r="261" customFormat="false" ht="15" hidden="false" customHeight="false" outlineLevel="0" collapsed="false">
      <c r="A261" s="22" t="s">
        <v>568</v>
      </c>
      <c r="B261" s="22" t="s">
        <v>192</v>
      </c>
      <c r="C261" s="31" t="n">
        <v>46277</v>
      </c>
      <c r="D261" s="22" t="s">
        <v>297</v>
      </c>
      <c r="E261" s="22" t="s">
        <v>298</v>
      </c>
      <c r="F261" s="29" t="str">
        <f aca="false">IF(COUNTIF(Referral_Data!$C$5:$C$1000,B261)&gt;0,"Referred",IF(COUNTIF(Referral_Data!$B$5:$B$1000,B261)&gt;0,"Referrer","Organic"))</f>
        <v>Referred</v>
      </c>
      <c r="G261" s="29" t="n">
        <f aca="false">IF(COUNTIFS($B$5:B261,B261,$C$5:C261,C261)=1,1,0)</f>
        <v>1</v>
      </c>
      <c r="H261" s="29" t="n">
        <f aca="false">IF(AND(G261=1,COUNTIFS($B$5:$B$1635,B261,$C$5:$C$1635,"&lt;"&amp;C261)&gt;0),1,0)</f>
        <v>1</v>
      </c>
      <c r="I261" s="29" t="n">
        <f aca="false">IF(AND(D261="Feature Use",COUNTIFS($B$5:B261,B261,$D$5:D261,"Feature Use",$E$5:E261,E261)=1),1,0)</f>
        <v>0</v>
      </c>
      <c r="J261" s="29" t="n">
        <f aca="false">IF(AND(D261="Feature Use",COUNTIFS($B$5:B261,B261,$D$5:D261,"Feature Use",$E$5:E261,E261)=2),1,0)</f>
        <v>0</v>
      </c>
      <c r="K261" s="29" t="n">
        <f aca="false">IF(COUNTIF($B$5:B261,B261)=1,1,0)</f>
        <v>0</v>
      </c>
      <c r="L261" s="29" t="n">
        <f aca="false">IF(AND(C261&gt;=Settings!$B$5-Settings!$B$8+1,C261&lt;=Settings!$B$5,COUNTIFS($B$5:B261,B261,$C$5:C261,"&gt;="&amp;(Settings!$B$5-Settings!$B$8+1),$C$5:C261,"&lt;="&amp;Settings!$B$5)=1),1,0)</f>
        <v>0</v>
      </c>
      <c r="M261" s="29" t="n">
        <f aca="false">IF(AND(C261&gt;=Settings!$B$5-Settings!$B$9+1,C261&lt;=Settings!$B$5,COUNTIFS($B$5:B261,B261,$C$5:C261,"&gt;="&amp;(Settings!$B$5-Settings!$B$9+1),$C$5:C261,"&lt;="&amp;Settings!$B$5)=1),1,0)</f>
        <v>0</v>
      </c>
      <c r="N261" s="29" t="n">
        <f aca="false">IF(AND(D261="Feature Use",COUNTIFS($B$5:B261,B261,$D$5:D261,"Feature Use")=1),1,0)</f>
        <v>0</v>
      </c>
    </row>
    <row r="262" customFormat="false" ht="15" hidden="false" customHeight="false" outlineLevel="0" collapsed="false">
      <c r="A262" s="22" t="s">
        <v>569</v>
      </c>
      <c r="B262" s="22" t="s">
        <v>192</v>
      </c>
      <c r="C262" s="31" t="n">
        <v>46277</v>
      </c>
      <c r="D262" s="22" t="s">
        <v>300</v>
      </c>
      <c r="E262" s="22" t="s">
        <v>305</v>
      </c>
      <c r="F262" s="29" t="str">
        <f aca="false">IF(COUNTIF(Referral_Data!$C$5:$C$1000,B262)&gt;0,"Referred",IF(COUNTIF(Referral_Data!$B$5:$B$1000,B262)&gt;0,"Referrer","Organic"))</f>
        <v>Referred</v>
      </c>
      <c r="G262" s="29" t="n">
        <f aca="false">IF(COUNTIFS($B$5:B262,B262,$C$5:C262,C262)=1,1,0)</f>
        <v>0</v>
      </c>
      <c r="H262" s="29" t="n">
        <f aca="false">IF(AND(G262=1,COUNTIFS($B$5:$B$1635,B262,$C$5:$C$1635,"&lt;"&amp;C262)&gt;0),1,0)</f>
        <v>0</v>
      </c>
      <c r="I262" s="29" t="n">
        <f aca="false">IF(AND(D262="Feature Use",COUNTIFS($B$5:B262,B262,$D$5:D262,"Feature Use",$E$5:E262,E262)=1),1,0)</f>
        <v>1</v>
      </c>
      <c r="J262" s="29" t="n">
        <f aca="false">IF(AND(D262="Feature Use",COUNTIFS($B$5:B262,B262,$D$5:D262,"Feature Use",$E$5:E262,E262)=2),1,0)</f>
        <v>0</v>
      </c>
      <c r="K262" s="29" t="n">
        <f aca="false">IF(COUNTIF($B$5:B262,B262)=1,1,0)</f>
        <v>0</v>
      </c>
      <c r="L262" s="29" t="n">
        <f aca="false">IF(AND(C262&gt;=Settings!$B$5-Settings!$B$8+1,C262&lt;=Settings!$B$5,COUNTIFS($B$5:B262,B262,$C$5:C262,"&gt;="&amp;(Settings!$B$5-Settings!$B$8+1),$C$5:C262,"&lt;="&amp;Settings!$B$5)=1),1,0)</f>
        <v>0</v>
      </c>
      <c r="M262" s="29" t="n">
        <f aca="false">IF(AND(C262&gt;=Settings!$B$5-Settings!$B$9+1,C262&lt;=Settings!$B$5,COUNTIFS($B$5:B262,B262,$C$5:C262,"&gt;="&amp;(Settings!$B$5-Settings!$B$9+1),$C$5:C262,"&lt;="&amp;Settings!$B$5)=1),1,0)</f>
        <v>0</v>
      </c>
      <c r="N262" s="29" t="n">
        <f aca="false">IF(AND(D262="Feature Use",COUNTIFS($B$5:B262,B262,$D$5:D262,"Feature Use")=1),1,0)</f>
        <v>0</v>
      </c>
    </row>
    <row r="263" customFormat="false" ht="15" hidden="false" customHeight="false" outlineLevel="0" collapsed="false">
      <c r="A263" s="22" t="s">
        <v>570</v>
      </c>
      <c r="B263" s="22" t="s">
        <v>192</v>
      </c>
      <c r="C263" s="31" t="n">
        <v>46277</v>
      </c>
      <c r="D263" s="22" t="s">
        <v>300</v>
      </c>
      <c r="E263" s="22" t="s">
        <v>301</v>
      </c>
      <c r="F263" s="29" t="str">
        <f aca="false">IF(COUNTIF(Referral_Data!$C$5:$C$1000,B263)&gt;0,"Referred",IF(COUNTIF(Referral_Data!$B$5:$B$1000,B263)&gt;0,"Referrer","Organic"))</f>
        <v>Referred</v>
      </c>
      <c r="G263" s="29" t="n">
        <f aca="false">IF(COUNTIFS($B$5:B263,B263,$C$5:C263,C263)=1,1,0)</f>
        <v>0</v>
      </c>
      <c r="H263" s="29" t="n">
        <f aca="false">IF(AND(G263=1,COUNTIFS($B$5:$B$1635,B263,$C$5:$C$1635,"&lt;"&amp;C263)&gt;0),1,0)</f>
        <v>0</v>
      </c>
      <c r="I263" s="29" t="n">
        <f aca="false">IF(AND(D263="Feature Use",COUNTIFS($B$5:B263,B263,$D$5:D263,"Feature Use",$E$5:E263,E263)=1),1,0)</f>
        <v>1</v>
      </c>
      <c r="J263" s="29" t="n">
        <f aca="false">IF(AND(D263="Feature Use",COUNTIFS($B$5:B263,B263,$D$5:D263,"Feature Use",$E$5:E263,E263)=2),1,0)</f>
        <v>0</v>
      </c>
      <c r="K263" s="29" t="n">
        <f aca="false">IF(COUNTIF($B$5:B263,B263)=1,1,0)</f>
        <v>0</v>
      </c>
      <c r="L263" s="29" t="n">
        <f aca="false">IF(AND(C263&gt;=Settings!$B$5-Settings!$B$8+1,C263&lt;=Settings!$B$5,COUNTIFS($B$5:B263,B263,$C$5:C263,"&gt;="&amp;(Settings!$B$5-Settings!$B$8+1),$C$5:C263,"&lt;="&amp;Settings!$B$5)=1),1,0)</f>
        <v>0</v>
      </c>
      <c r="M263" s="29" t="n">
        <f aca="false">IF(AND(C263&gt;=Settings!$B$5-Settings!$B$9+1,C263&lt;=Settings!$B$5,COUNTIFS($B$5:B263,B263,$C$5:C263,"&gt;="&amp;(Settings!$B$5-Settings!$B$9+1),$C$5:C263,"&lt;="&amp;Settings!$B$5)=1),1,0)</f>
        <v>0</v>
      </c>
      <c r="N263" s="29" t="n">
        <f aca="false">IF(AND(D263="Feature Use",COUNTIFS($B$5:B263,B263,$D$5:D263,"Feature Use")=1),1,0)</f>
        <v>0</v>
      </c>
    </row>
    <row r="264" customFormat="false" ht="15" hidden="false" customHeight="false" outlineLevel="0" collapsed="false">
      <c r="A264" s="22" t="s">
        <v>571</v>
      </c>
      <c r="B264" s="22" t="s">
        <v>204</v>
      </c>
      <c r="C264" s="31" t="n">
        <v>46277</v>
      </c>
      <c r="D264" s="22" t="s">
        <v>297</v>
      </c>
      <c r="E264" s="22" t="s">
        <v>298</v>
      </c>
      <c r="F264" s="29" t="str">
        <f aca="false">IF(COUNTIF(Referral_Data!$C$5:$C$1000,B264)&gt;0,"Referred",IF(COUNTIF(Referral_Data!$B$5:$B$1000,B264)&gt;0,"Referrer","Organic"))</f>
        <v>Referred</v>
      </c>
      <c r="G264" s="29" t="n">
        <f aca="false">IF(COUNTIFS($B$5:B264,B264,$C$5:C264,C264)=1,1,0)</f>
        <v>1</v>
      </c>
      <c r="H264" s="29" t="n">
        <f aca="false">IF(AND(G264=1,COUNTIFS($B$5:$B$1635,B264,$C$5:$C$1635,"&lt;"&amp;C264)&gt;0),1,0)</f>
        <v>1</v>
      </c>
      <c r="I264" s="29" t="n">
        <f aca="false">IF(AND(D264="Feature Use",COUNTIFS($B$5:B264,B264,$D$5:D264,"Feature Use",$E$5:E264,E264)=1),1,0)</f>
        <v>0</v>
      </c>
      <c r="J264" s="29" t="n">
        <f aca="false">IF(AND(D264="Feature Use",COUNTIFS($B$5:B264,B264,$D$5:D264,"Feature Use",$E$5:E264,E264)=2),1,0)</f>
        <v>0</v>
      </c>
      <c r="K264" s="29" t="n">
        <f aca="false">IF(COUNTIF($B$5:B264,B264)=1,1,0)</f>
        <v>0</v>
      </c>
      <c r="L264" s="29" t="n">
        <f aca="false">IF(AND(C264&gt;=Settings!$B$5-Settings!$B$8+1,C264&lt;=Settings!$B$5,COUNTIFS($B$5:B264,B264,$C$5:C264,"&gt;="&amp;(Settings!$B$5-Settings!$B$8+1),$C$5:C264,"&lt;="&amp;Settings!$B$5)=1),1,0)</f>
        <v>0</v>
      </c>
      <c r="M264" s="29" t="n">
        <f aca="false">IF(AND(C264&gt;=Settings!$B$5-Settings!$B$9+1,C264&lt;=Settings!$B$5,COUNTIFS($B$5:B264,B264,$C$5:C264,"&gt;="&amp;(Settings!$B$5-Settings!$B$9+1),$C$5:C264,"&lt;="&amp;Settings!$B$5)=1),1,0)</f>
        <v>0</v>
      </c>
      <c r="N264" s="29" t="n">
        <f aca="false">IF(AND(D264="Feature Use",COUNTIFS($B$5:B264,B264,$D$5:D264,"Feature Use")=1),1,0)</f>
        <v>0</v>
      </c>
    </row>
    <row r="265" customFormat="false" ht="15" hidden="false" customHeight="false" outlineLevel="0" collapsed="false">
      <c r="A265" s="22" t="s">
        <v>572</v>
      </c>
      <c r="B265" s="22" t="s">
        <v>204</v>
      </c>
      <c r="C265" s="31" t="n">
        <v>46277</v>
      </c>
      <c r="D265" s="22" t="s">
        <v>300</v>
      </c>
      <c r="E265" s="22" t="s">
        <v>319</v>
      </c>
      <c r="F265" s="29" t="str">
        <f aca="false">IF(COUNTIF(Referral_Data!$C$5:$C$1000,B265)&gt;0,"Referred",IF(COUNTIF(Referral_Data!$B$5:$B$1000,B265)&gt;0,"Referrer","Organic"))</f>
        <v>Referred</v>
      </c>
      <c r="G265" s="29" t="n">
        <f aca="false">IF(COUNTIFS($B$5:B265,B265,$C$5:C265,C265)=1,1,0)</f>
        <v>0</v>
      </c>
      <c r="H265" s="29" t="n">
        <f aca="false">IF(AND(G265=1,COUNTIFS($B$5:$B$1635,B265,$C$5:$C$1635,"&lt;"&amp;C265)&gt;0),1,0)</f>
        <v>0</v>
      </c>
      <c r="I265" s="29" t="n">
        <f aca="false">IF(AND(D265="Feature Use",COUNTIFS($B$5:B265,B265,$D$5:D265,"Feature Use",$E$5:E265,E265)=1),1,0)</f>
        <v>1</v>
      </c>
      <c r="J265" s="29" t="n">
        <f aca="false">IF(AND(D265="Feature Use",COUNTIFS($B$5:B265,B265,$D$5:D265,"Feature Use",$E$5:E265,E265)=2),1,0)</f>
        <v>0</v>
      </c>
      <c r="K265" s="29" t="n">
        <f aca="false">IF(COUNTIF($B$5:B265,B265)=1,1,0)</f>
        <v>0</v>
      </c>
      <c r="L265" s="29" t="n">
        <f aca="false">IF(AND(C265&gt;=Settings!$B$5-Settings!$B$8+1,C265&lt;=Settings!$B$5,COUNTIFS($B$5:B265,B265,$C$5:C265,"&gt;="&amp;(Settings!$B$5-Settings!$B$8+1),$C$5:C265,"&lt;="&amp;Settings!$B$5)=1),1,0)</f>
        <v>0</v>
      </c>
      <c r="M265" s="29" t="n">
        <f aca="false">IF(AND(C265&gt;=Settings!$B$5-Settings!$B$9+1,C265&lt;=Settings!$B$5,COUNTIFS($B$5:B265,B265,$C$5:C265,"&gt;="&amp;(Settings!$B$5-Settings!$B$9+1),$C$5:C265,"&lt;="&amp;Settings!$B$5)=1),1,0)</f>
        <v>0</v>
      </c>
      <c r="N265" s="29" t="n">
        <f aca="false">IF(AND(D265="Feature Use",COUNTIFS($B$5:B265,B265,$D$5:D265,"Feature Use")=1),1,0)</f>
        <v>0</v>
      </c>
    </row>
    <row r="266" customFormat="false" ht="15" hidden="false" customHeight="false" outlineLevel="0" collapsed="false">
      <c r="A266" s="22" t="s">
        <v>573</v>
      </c>
      <c r="B266" s="22" t="s">
        <v>208</v>
      </c>
      <c r="C266" s="31" t="n">
        <v>46277</v>
      </c>
      <c r="D266" s="22" t="s">
        <v>297</v>
      </c>
      <c r="E266" s="22" t="s">
        <v>298</v>
      </c>
      <c r="F266" s="29" t="str">
        <f aca="false">IF(COUNTIF(Referral_Data!$C$5:$C$1000,B266)&gt;0,"Referred",IF(COUNTIF(Referral_Data!$B$5:$B$1000,B266)&gt;0,"Referrer","Organic"))</f>
        <v>Referrer</v>
      </c>
      <c r="G266" s="29" t="n">
        <f aca="false">IF(COUNTIFS($B$5:B266,B266,$C$5:C266,C266)=1,1,0)</f>
        <v>1</v>
      </c>
      <c r="H266" s="29" t="n">
        <f aca="false">IF(AND(G266=1,COUNTIFS($B$5:$B$1635,B266,$C$5:$C$1635,"&lt;"&amp;C266)&gt;0),1,0)</f>
        <v>1</v>
      </c>
      <c r="I266" s="29" t="n">
        <f aca="false">IF(AND(D266="Feature Use",COUNTIFS($B$5:B266,B266,$D$5:D266,"Feature Use",$E$5:E266,E266)=1),1,0)</f>
        <v>0</v>
      </c>
      <c r="J266" s="29" t="n">
        <f aca="false">IF(AND(D266="Feature Use",COUNTIFS($B$5:B266,B266,$D$5:D266,"Feature Use",$E$5:E266,E266)=2),1,0)</f>
        <v>0</v>
      </c>
      <c r="K266" s="29" t="n">
        <f aca="false">IF(COUNTIF($B$5:B266,B266)=1,1,0)</f>
        <v>0</v>
      </c>
      <c r="L266" s="29" t="n">
        <f aca="false">IF(AND(C266&gt;=Settings!$B$5-Settings!$B$8+1,C266&lt;=Settings!$B$5,COUNTIFS($B$5:B266,B266,$C$5:C266,"&gt;="&amp;(Settings!$B$5-Settings!$B$8+1),$C$5:C266,"&lt;="&amp;Settings!$B$5)=1),1,0)</f>
        <v>0</v>
      </c>
      <c r="M266" s="29" t="n">
        <f aca="false">IF(AND(C266&gt;=Settings!$B$5-Settings!$B$9+1,C266&lt;=Settings!$B$5,COUNTIFS($B$5:B266,B266,$C$5:C266,"&gt;="&amp;(Settings!$B$5-Settings!$B$9+1),$C$5:C266,"&lt;="&amp;Settings!$B$5)=1),1,0)</f>
        <v>0</v>
      </c>
      <c r="N266" s="29" t="n">
        <f aca="false">IF(AND(D266="Feature Use",COUNTIFS($B$5:B266,B266,$D$5:D266,"Feature Use")=1),1,0)</f>
        <v>0</v>
      </c>
    </row>
    <row r="267" customFormat="false" ht="15" hidden="false" customHeight="false" outlineLevel="0" collapsed="false">
      <c r="A267" s="22" t="s">
        <v>574</v>
      </c>
      <c r="B267" s="22" t="s">
        <v>208</v>
      </c>
      <c r="C267" s="31" t="n">
        <v>46277</v>
      </c>
      <c r="D267" s="22" t="s">
        <v>300</v>
      </c>
      <c r="E267" s="22" t="s">
        <v>319</v>
      </c>
      <c r="F267" s="29" t="str">
        <f aca="false">IF(COUNTIF(Referral_Data!$C$5:$C$1000,B267)&gt;0,"Referred",IF(COUNTIF(Referral_Data!$B$5:$B$1000,B267)&gt;0,"Referrer","Organic"))</f>
        <v>Referrer</v>
      </c>
      <c r="G267" s="29" t="n">
        <f aca="false">IF(COUNTIFS($B$5:B267,B267,$C$5:C267,C267)=1,1,0)</f>
        <v>0</v>
      </c>
      <c r="H267" s="29" t="n">
        <f aca="false">IF(AND(G267=1,COUNTIFS($B$5:$B$1635,B267,$C$5:$C$1635,"&lt;"&amp;C267)&gt;0),1,0)</f>
        <v>0</v>
      </c>
      <c r="I267" s="29" t="n">
        <f aca="false">IF(AND(D267="Feature Use",COUNTIFS($B$5:B267,B267,$D$5:D267,"Feature Use",$E$5:E267,E267)=1),1,0)</f>
        <v>0</v>
      </c>
      <c r="J267" s="29" t="n">
        <f aca="false">IF(AND(D267="Feature Use",COUNTIFS($B$5:B267,B267,$D$5:D267,"Feature Use",$E$5:E267,E267)=2),1,0)</f>
        <v>1</v>
      </c>
      <c r="K267" s="29" t="n">
        <f aca="false">IF(COUNTIF($B$5:B267,B267)=1,1,0)</f>
        <v>0</v>
      </c>
      <c r="L267" s="29" t="n">
        <f aca="false">IF(AND(C267&gt;=Settings!$B$5-Settings!$B$8+1,C267&lt;=Settings!$B$5,COUNTIFS($B$5:B267,B267,$C$5:C267,"&gt;="&amp;(Settings!$B$5-Settings!$B$8+1),$C$5:C267,"&lt;="&amp;Settings!$B$5)=1),1,0)</f>
        <v>0</v>
      </c>
      <c r="M267" s="29" t="n">
        <f aca="false">IF(AND(C267&gt;=Settings!$B$5-Settings!$B$9+1,C267&lt;=Settings!$B$5,COUNTIFS($B$5:B267,B267,$C$5:C267,"&gt;="&amp;(Settings!$B$5-Settings!$B$9+1),$C$5:C267,"&lt;="&amp;Settings!$B$5)=1),1,0)</f>
        <v>0</v>
      </c>
      <c r="N267" s="29" t="n">
        <f aca="false">IF(AND(D267="Feature Use",COUNTIFS($B$5:B267,B267,$D$5:D267,"Feature Use")=1),1,0)</f>
        <v>0</v>
      </c>
    </row>
    <row r="268" customFormat="false" ht="15" hidden="false" customHeight="false" outlineLevel="0" collapsed="false">
      <c r="A268" s="22" t="s">
        <v>575</v>
      </c>
      <c r="B268" s="22" t="s">
        <v>203</v>
      </c>
      <c r="C268" s="31" t="n">
        <v>46277</v>
      </c>
      <c r="D268" s="22" t="s">
        <v>297</v>
      </c>
      <c r="E268" s="22" t="s">
        <v>298</v>
      </c>
      <c r="F268" s="29" t="str">
        <f aca="false">IF(COUNTIF(Referral_Data!$C$5:$C$1000,B268)&gt;0,"Referred",IF(COUNTIF(Referral_Data!$B$5:$B$1000,B268)&gt;0,"Referrer","Organic"))</f>
        <v>Referrer</v>
      </c>
      <c r="G268" s="29" t="n">
        <f aca="false">IF(COUNTIFS($B$5:B268,B268,$C$5:C268,C268)=1,1,0)</f>
        <v>1</v>
      </c>
      <c r="H268" s="29" t="n">
        <f aca="false">IF(AND(G268=1,COUNTIFS($B$5:$B$1635,B268,$C$5:$C$1635,"&lt;"&amp;C268)&gt;0),1,0)</f>
        <v>1</v>
      </c>
      <c r="I268" s="29" t="n">
        <f aca="false">IF(AND(D268="Feature Use",COUNTIFS($B$5:B268,B268,$D$5:D268,"Feature Use",$E$5:E268,E268)=1),1,0)</f>
        <v>0</v>
      </c>
      <c r="J268" s="29" t="n">
        <f aca="false">IF(AND(D268="Feature Use",COUNTIFS($B$5:B268,B268,$D$5:D268,"Feature Use",$E$5:E268,E268)=2),1,0)</f>
        <v>0</v>
      </c>
      <c r="K268" s="29" t="n">
        <f aca="false">IF(COUNTIF($B$5:B268,B268)=1,1,0)</f>
        <v>0</v>
      </c>
      <c r="L268" s="29" t="n">
        <f aca="false">IF(AND(C268&gt;=Settings!$B$5-Settings!$B$8+1,C268&lt;=Settings!$B$5,COUNTIFS($B$5:B268,B268,$C$5:C268,"&gt;="&amp;(Settings!$B$5-Settings!$B$8+1),$C$5:C268,"&lt;="&amp;Settings!$B$5)=1),1,0)</f>
        <v>0</v>
      </c>
      <c r="M268" s="29" t="n">
        <f aca="false">IF(AND(C268&gt;=Settings!$B$5-Settings!$B$9+1,C268&lt;=Settings!$B$5,COUNTIFS($B$5:B268,B268,$C$5:C268,"&gt;="&amp;(Settings!$B$5-Settings!$B$9+1),$C$5:C268,"&lt;="&amp;Settings!$B$5)=1),1,0)</f>
        <v>0</v>
      </c>
      <c r="N268" s="29" t="n">
        <f aca="false">IF(AND(D268="Feature Use",COUNTIFS($B$5:B268,B268,$D$5:D268,"Feature Use")=1),1,0)</f>
        <v>0</v>
      </c>
    </row>
    <row r="269" customFormat="false" ht="15" hidden="false" customHeight="false" outlineLevel="0" collapsed="false">
      <c r="A269" s="22" t="s">
        <v>576</v>
      </c>
      <c r="B269" s="22" t="s">
        <v>203</v>
      </c>
      <c r="C269" s="31" t="n">
        <v>46277</v>
      </c>
      <c r="D269" s="22" t="s">
        <v>300</v>
      </c>
      <c r="E269" s="22" t="s">
        <v>301</v>
      </c>
      <c r="F269" s="29" t="str">
        <f aca="false">IF(COUNTIF(Referral_Data!$C$5:$C$1000,B269)&gt;0,"Referred",IF(COUNTIF(Referral_Data!$B$5:$B$1000,B269)&gt;0,"Referrer","Organic"))</f>
        <v>Referrer</v>
      </c>
      <c r="G269" s="29" t="n">
        <f aca="false">IF(COUNTIFS($B$5:B269,B269,$C$5:C269,C269)=1,1,0)</f>
        <v>0</v>
      </c>
      <c r="H269" s="29" t="n">
        <f aca="false">IF(AND(G269=1,COUNTIFS($B$5:$B$1635,B269,$C$5:$C$1635,"&lt;"&amp;C269)&gt;0),1,0)</f>
        <v>0</v>
      </c>
      <c r="I269" s="29" t="n">
        <f aca="false">IF(AND(D269="Feature Use",COUNTIFS($B$5:B269,B269,$D$5:D269,"Feature Use",$E$5:E269,E269)=1),1,0)</f>
        <v>0</v>
      </c>
      <c r="J269" s="29" t="n">
        <f aca="false">IF(AND(D269="Feature Use",COUNTIFS($B$5:B269,B269,$D$5:D269,"Feature Use",$E$5:E269,E269)=2),1,0)</f>
        <v>0</v>
      </c>
      <c r="K269" s="29" t="n">
        <f aca="false">IF(COUNTIF($B$5:B269,B269)=1,1,0)</f>
        <v>0</v>
      </c>
      <c r="L269" s="29" t="n">
        <f aca="false">IF(AND(C269&gt;=Settings!$B$5-Settings!$B$8+1,C269&lt;=Settings!$B$5,COUNTIFS($B$5:B269,B269,$C$5:C269,"&gt;="&amp;(Settings!$B$5-Settings!$B$8+1),$C$5:C269,"&lt;="&amp;Settings!$B$5)=1),1,0)</f>
        <v>0</v>
      </c>
      <c r="M269" s="29" t="n">
        <f aca="false">IF(AND(C269&gt;=Settings!$B$5-Settings!$B$9+1,C269&lt;=Settings!$B$5,COUNTIFS($B$5:B269,B269,$C$5:C269,"&gt;="&amp;(Settings!$B$5-Settings!$B$9+1),$C$5:C269,"&lt;="&amp;Settings!$B$5)=1),1,0)</f>
        <v>0</v>
      </c>
      <c r="N269" s="29" t="n">
        <f aca="false">IF(AND(D269="Feature Use",COUNTIFS($B$5:B269,B269,$D$5:D269,"Feature Use")=1),1,0)</f>
        <v>0</v>
      </c>
    </row>
    <row r="270" customFormat="false" ht="15" hidden="false" customHeight="false" outlineLevel="0" collapsed="false">
      <c r="A270" s="22" t="s">
        <v>577</v>
      </c>
      <c r="B270" s="22" t="s">
        <v>203</v>
      </c>
      <c r="C270" s="31" t="n">
        <v>46277</v>
      </c>
      <c r="D270" s="22" t="s">
        <v>300</v>
      </c>
      <c r="E270" s="22" t="s">
        <v>319</v>
      </c>
      <c r="F270" s="29" t="str">
        <f aca="false">IF(COUNTIF(Referral_Data!$C$5:$C$1000,B270)&gt;0,"Referred",IF(COUNTIF(Referral_Data!$B$5:$B$1000,B270)&gt;0,"Referrer","Organic"))</f>
        <v>Referrer</v>
      </c>
      <c r="G270" s="29" t="n">
        <f aca="false">IF(COUNTIFS($B$5:B270,B270,$C$5:C270,C270)=1,1,0)</f>
        <v>0</v>
      </c>
      <c r="H270" s="29" t="n">
        <f aca="false">IF(AND(G270=1,COUNTIFS($B$5:$B$1635,B270,$C$5:$C$1635,"&lt;"&amp;C270)&gt;0),1,0)</f>
        <v>0</v>
      </c>
      <c r="I270" s="29" t="n">
        <f aca="false">IF(AND(D270="Feature Use",COUNTIFS($B$5:B270,B270,$D$5:D270,"Feature Use",$E$5:E270,E270)=1),1,0)</f>
        <v>1</v>
      </c>
      <c r="J270" s="29" t="n">
        <f aca="false">IF(AND(D270="Feature Use",COUNTIFS($B$5:B270,B270,$D$5:D270,"Feature Use",$E$5:E270,E270)=2),1,0)</f>
        <v>0</v>
      </c>
      <c r="K270" s="29" t="n">
        <f aca="false">IF(COUNTIF($B$5:B270,B270)=1,1,0)</f>
        <v>0</v>
      </c>
      <c r="L270" s="29" t="n">
        <f aca="false">IF(AND(C270&gt;=Settings!$B$5-Settings!$B$8+1,C270&lt;=Settings!$B$5,COUNTIFS($B$5:B270,B270,$C$5:C270,"&gt;="&amp;(Settings!$B$5-Settings!$B$8+1),$C$5:C270,"&lt;="&amp;Settings!$B$5)=1),1,0)</f>
        <v>0</v>
      </c>
      <c r="M270" s="29" t="n">
        <f aca="false">IF(AND(C270&gt;=Settings!$B$5-Settings!$B$9+1,C270&lt;=Settings!$B$5,COUNTIFS($B$5:B270,B270,$C$5:C270,"&gt;="&amp;(Settings!$B$5-Settings!$B$9+1),$C$5:C270,"&lt;="&amp;Settings!$B$5)=1),1,0)</f>
        <v>0</v>
      </c>
      <c r="N270" s="29" t="n">
        <f aca="false">IF(AND(D270="Feature Use",COUNTIFS($B$5:B270,B270,$D$5:D270,"Feature Use")=1),1,0)</f>
        <v>0</v>
      </c>
    </row>
    <row r="271" customFormat="false" ht="15" hidden="false" customHeight="false" outlineLevel="0" collapsed="false">
      <c r="A271" s="22" t="s">
        <v>578</v>
      </c>
      <c r="B271" s="22" t="s">
        <v>178</v>
      </c>
      <c r="C271" s="31" t="n">
        <v>46277</v>
      </c>
      <c r="D271" s="22" t="s">
        <v>297</v>
      </c>
      <c r="E271" s="22" t="s">
        <v>298</v>
      </c>
      <c r="F271" s="29" t="str">
        <f aca="false">IF(COUNTIF(Referral_Data!$C$5:$C$1000,B271)&gt;0,"Referred",IF(COUNTIF(Referral_Data!$B$5:$B$1000,B271)&gt;0,"Referrer","Organic"))</f>
        <v>Referrer</v>
      </c>
      <c r="G271" s="29" t="n">
        <f aca="false">IF(COUNTIFS($B$5:B271,B271,$C$5:C271,C271)=1,1,0)</f>
        <v>1</v>
      </c>
      <c r="H271" s="29" t="n">
        <f aca="false">IF(AND(G271=1,COUNTIFS($B$5:$B$1635,B271,$C$5:$C$1635,"&lt;"&amp;C271)&gt;0),1,0)</f>
        <v>1</v>
      </c>
      <c r="I271" s="29" t="n">
        <f aca="false">IF(AND(D271="Feature Use",COUNTIFS($B$5:B271,B271,$D$5:D271,"Feature Use",$E$5:E271,E271)=1),1,0)</f>
        <v>0</v>
      </c>
      <c r="J271" s="29" t="n">
        <f aca="false">IF(AND(D271="Feature Use",COUNTIFS($B$5:B271,B271,$D$5:D271,"Feature Use",$E$5:E271,E271)=2),1,0)</f>
        <v>0</v>
      </c>
      <c r="K271" s="29" t="n">
        <f aca="false">IF(COUNTIF($B$5:B271,B271)=1,1,0)</f>
        <v>0</v>
      </c>
      <c r="L271" s="29" t="n">
        <f aca="false">IF(AND(C271&gt;=Settings!$B$5-Settings!$B$8+1,C271&lt;=Settings!$B$5,COUNTIFS($B$5:B271,B271,$C$5:C271,"&gt;="&amp;(Settings!$B$5-Settings!$B$8+1),$C$5:C271,"&lt;="&amp;Settings!$B$5)=1),1,0)</f>
        <v>0</v>
      </c>
      <c r="M271" s="29" t="n">
        <f aca="false">IF(AND(C271&gt;=Settings!$B$5-Settings!$B$9+1,C271&lt;=Settings!$B$5,COUNTIFS($B$5:B271,B271,$C$5:C271,"&gt;="&amp;(Settings!$B$5-Settings!$B$9+1),$C$5:C271,"&lt;="&amp;Settings!$B$5)=1),1,0)</f>
        <v>0</v>
      </c>
      <c r="N271" s="29" t="n">
        <f aca="false">IF(AND(D271="Feature Use",COUNTIFS($B$5:B271,B271,$D$5:D271,"Feature Use")=1),1,0)</f>
        <v>0</v>
      </c>
    </row>
    <row r="272" customFormat="false" ht="15" hidden="false" customHeight="false" outlineLevel="0" collapsed="false">
      <c r="A272" s="22" t="s">
        <v>579</v>
      </c>
      <c r="B272" s="22" t="s">
        <v>178</v>
      </c>
      <c r="C272" s="31" t="n">
        <v>46277</v>
      </c>
      <c r="D272" s="22" t="s">
        <v>300</v>
      </c>
      <c r="E272" s="22" t="s">
        <v>319</v>
      </c>
      <c r="F272" s="29" t="str">
        <f aca="false">IF(COUNTIF(Referral_Data!$C$5:$C$1000,B272)&gt;0,"Referred",IF(COUNTIF(Referral_Data!$B$5:$B$1000,B272)&gt;0,"Referrer","Organic"))</f>
        <v>Referrer</v>
      </c>
      <c r="G272" s="29" t="n">
        <f aca="false">IF(COUNTIFS($B$5:B272,B272,$C$5:C272,C272)=1,1,0)</f>
        <v>0</v>
      </c>
      <c r="H272" s="29" t="n">
        <f aca="false">IF(AND(G272=1,COUNTIFS($B$5:$B$1635,B272,$C$5:$C$1635,"&lt;"&amp;C272)&gt;0),1,0)</f>
        <v>0</v>
      </c>
      <c r="I272" s="29" t="n">
        <f aca="false">IF(AND(D272="Feature Use",COUNTIFS($B$5:B272,B272,$D$5:D272,"Feature Use",$E$5:E272,E272)=1),1,0)</f>
        <v>0</v>
      </c>
      <c r="J272" s="29" t="n">
        <f aca="false">IF(AND(D272="Feature Use",COUNTIFS($B$5:B272,B272,$D$5:D272,"Feature Use",$E$5:E272,E272)=2),1,0)</f>
        <v>0</v>
      </c>
      <c r="K272" s="29" t="n">
        <f aca="false">IF(COUNTIF($B$5:B272,B272)=1,1,0)</f>
        <v>0</v>
      </c>
      <c r="L272" s="29" t="n">
        <f aca="false">IF(AND(C272&gt;=Settings!$B$5-Settings!$B$8+1,C272&lt;=Settings!$B$5,COUNTIFS($B$5:B272,B272,$C$5:C272,"&gt;="&amp;(Settings!$B$5-Settings!$B$8+1),$C$5:C272,"&lt;="&amp;Settings!$B$5)=1),1,0)</f>
        <v>0</v>
      </c>
      <c r="M272" s="29" t="n">
        <f aca="false">IF(AND(C272&gt;=Settings!$B$5-Settings!$B$9+1,C272&lt;=Settings!$B$5,COUNTIFS($B$5:B272,B272,$C$5:C272,"&gt;="&amp;(Settings!$B$5-Settings!$B$9+1),$C$5:C272,"&lt;="&amp;Settings!$B$5)=1),1,0)</f>
        <v>0</v>
      </c>
      <c r="N272" s="29" t="n">
        <f aca="false">IF(AND(D272="Feature Use",COUNTIFS($B$5:B272,B272,$D$5:D272,"Feature Use")=1),1,0)</f>
        <v>0</v>
      </c>
    </row>
    <row r="273" customFormat="false" ht="15" hidden="false" customHeight="false" outlineLevel="0" collapsed="false">
      <c r="A273" s="22" t="s">
        <v>580</v>
      </c>
      <c r="B273" s="22" t="s">
        <v>178</v>
      </c>
      <c r="C273" s="31" t="n">
        <v>46277</v>
      </c>
      <c r="D273" s="22" t="s">
        <v>300</v>
      </c>
      <c r="E273" s="22" t="s">
        <v>311</v>
      </c>
      <c r="F273" s="29" t="str">
        <f aca="false">IF(COUNTIF(Referral_Data!$C$5:$C$1000,B273)&gt;0,"Referred",IF(COUNTIF(Referral_Data!$B$5:$B$1000,B273)&gt;0,"Referrer","Organic"))</f>
        <v>Referrer</v>
      </c>
      <c r="G273" s="29" t="n">
        <f aca="false">IF(COUNTIFS($B$5:B273,B273,$C$5:C273,C273)=1,1,0)</f>
        <v>0</v>
      </c>
      <c r="H273" s="29" t="n">
        <f aca="false">IF(AND(G273=1,COUNTIFS($B$5:$B$1635,B273,$C$5:$C$1635,"&lt;"&amp;C273)&gt;0),1,0)</f>
        <v>0</v>
      </c>
      <c r="I273" s="29" t="n">
        <f aca="false">IF(AND(D273="Feature Use",COUNTIFS($B$5:B273,B273,$D$5:D273,"Feature Use",$E$5:E273,E273)=1),1,0)</f>
        <v>1</v>
      </c>
      <c r="J273" s="29" t="n">
        <f aca="false">IF(AND(D273="Feature Use",COUNTIFS($B$5:B273,B273,$D$5:D273,"Feature Use",$E$5:E273,E273)=2),1,0)</f>
        <v>0</v>
      </c>
      <c r="K273" s="29" t="n">
        <f aca="false">IF(COUNTIF($B$5:B273,B273)=1,1,0)</f>
        <v>0</v>
      </c>
      <c r="L273" s="29" t="n">
        <f aca="false">IF(AND(C273&gt;=Settings!$B$5-Settings!$B$8+1,C273&lt;=Settings!$B$5,COUNTIFS($B$5:B273,B273,$C$5:C273,"&gt;="&amp;(Settings!$B$5-Settings!$B$8+1),$C$5:C273,"&lt;="&amp;Settings!$B$5)=1),1,0)</f>
        <v>0</v>
      </c>
      <c r="M273" s="29" t="n">
        <f aca="false">IF(AND(C273&gt;=Settings!$B$5-Settings!$B$9+1,C273&lt;=Settings!$B$5,COUNTIFS($B$5:B273,B273,$C$5:C273,"&gt;="&amp;(Settings!$B$5-Settings!$B$9+1),$C$5:C273,"&lt;="&amp;Settings!$B$5)=1),1,0)</f>
        <v>0</v>
      </c>
      <c r="N273" s="29" t="n">
        <f aca="false">IF(AND(D273="Feature Use",COUNTIFS($B$5:B273,B273,$D$5:D273,"Feature Use")=1),1,0)</f>
        <v>0</v>
      </c>
    </row>
    <row r="274" customFormat="false" ht="15" hidden="false" customHeight="false" outlineLevel="0" collapsed="false">
      <c r="A274" s="22" t="s">
        <v>581</v>
      </c>
      <c r="B274" s="22" t="s">
        <v>178</v>
      </c>
      <c r="C274" s="31" t="n">
        <v>46277</v>
      </c>
      <c r="D274" s="22" t="s">
        <v>308</v>
      </c>
      <c r="E274" s="22" t="s">
        <v>305</v>
      </c>
      <c r="F274" s="29" t="str">
        <f aca="false">IF(COUNTIF(Referral_Data!$C$5:$C$1000,B274)&gt;0,"Referred",IF(COUNTIF(Referral_Data!$B$5:$B$1000,B274)&gt;0,"Referrer","Organic"))</f>
        <v>Referrer</v>
      </c>
      <c r="G274" s="29" t="n">
        <f aca="false">IF(COUNTIFS($B$5:B274,B274,$C$5:C274,C274)=1,1,0)</f>
        <v>0</v>
      </c>
      <c r="H274" s="29" t="n">
        <f aca="false">IF(AND(G274=1,COUNTIFS($B$5:$B$1635,B274,$C$5:$C$1635,"&lt;"&amp;C274)&gt;0),1,0)</f>
        <v>0</v>
      </c>
      <c r="I274" s="29" t="n">
        <f aca="false">IF(AND(D274="Feature Use",COUNTIFS($B$5:B274,B274,$D$5:D274,"Feature Use",$E$5:E274,E274)=1),1,0)</f>
        <v>0</v>
      </c>
      <c r="J274" s="29" t="n">
        <f aca="false">IF(AND(D274="Feature Use",COUNTIFS($B$5:B274,B274,$D$5:D274,"Feature Use",$E$5:E274,E274)=2),1,0)</f>
        <v>0</v>
      </c>
      <c r="K274" s="29" t="n">
        <f aca="false">IF(COUNTIF($B$5:B274,B274)=1,1,0)</f>
        <v>0</v>
      </c>
      <c r="L274" s="29" t="n">
        <f aca="false">IF(AND(C274&gt;=Settings!$B$5-Settings!$B$8+1,C274&lt;=Settings!$B$5,COUNTIFS($B$5:B274,B274,$C$5:C274,"&gt;="&amp;(Settings!$B$5-Settings!$B$8+1),$C$5:C274,"&lt;="&amp;Settings!$B$5)=1),1,0)</f>
        <v>0</v>
      </c>
      <c r="M274" s="29" t="n">
        <f aca="false">IF(AND(C274&gt;=Settings!$B$5-Settings!$B$9+1,C274&lt;=Settings!$B$5,COUNTIFS($B$5:B274,B274,$C$5:C274,"&gt;="&amp;(Settings!$B$5-Settings!$B$9+1),$C$5:C274,"&lt;="&amp;Settings!$B$5)=1),1,0)</f>
        <v>0</v>
      </c>
      <c r="N274" s="29" t="n">
        <f aca="false">IF(AND(D274="Feature Use",COUNTIFS($B$5:B274,B274,$D$5:D274,"Feature Use")=1),1,0)</f>
        <v>0</v>
      </c>
    </row>
    <row r="275" customFormat="false" ht="15" hidden="false" customHeight="false" outlineLevel="0" collapsed="false">
      <c r="A275" s="22" t="s">
        <v>582</v>
      </c>
      <c r="B275" s="22" t="s">
        <v>178</v>
      </c>
      <c r="C275" s="31" t="n">
        <v>46277</v>
      </c>
      <c r="D275" s="22" t="s">
        <v>308</v>
      </c>
      <c r="E275" s="22" t="s">
        <v>319</v>
      </c>
      <c r="F275" s="29" t="str">
        <f aca="false">IF(COUNTIF(Referral_Data!$C$5:$C$1000,B275)&gt;0,"Referred",IF(COUNTIF(Referral_Data!$B$5:$B$1000,B275)&gt;0,"Referrer","Organic"))</f>
        <v>Referrer</v>
      </c>
      <c r="G275" s="29" t="n">
        <f aca="false">IF(COUNTIFS($B$5:B275,B275,$C$5:C275,C275)=1,1,0)</f>
        <v>0</v>
      </c>
      <c r="H275" s="29" t="n">
        <f aca="false">IF(AND(G275=1,COUNTIFS($B$5:$B$1635,B275,$C$5:$C$1635,"&lt;"&amp;C275)&gt;0),1,0)</f>
        <v>0</v>
      </c>
      <c r="I275" s="29" t="n">
        <f aca="false">IF(AND(D275="Feature Use",COUNTIFS($B$5:B275,B275,$D$5:D275,"Feature Use",$E$5:E275,E275)=1),1,0)</f>
        <v>0</v>
      </c>
      <c r="J275" s="29" t="n">
        <f aca="false">IF(AND(D275="Feature Use",COUNTIFS($B$5:B275,B275,$D$5:D275,"Feature Use",$E$5:E275,E275)=2),1,0)</f>
        <v>0</v>
      </c>
      <c r="K275" s="29" t="n">
        <f aca="false">IF(COUNTIF($B$5:B275,B275)=1,1,0)</f>
        <v>0</v>
      </c>
      <c r="L275" s="29" t="n">
        <f aca="false">IF(AND(C275&gt;=Settings!$B$5-Settings!$B$8+1,C275&lt;=Settings!$B$5,COUNTIFS($B$5:B275,B275,$C$5:C275,"&gt;="&amp;(Settings!$B$5-Settings!$B$8+1),$C$5:C275,"&lt;="&amp;Settings!$B$5)=1),1,0)</f>
        <v>0</v>
      </c>
      <c r="M275" s="29" t="n">
        <f aca="false">IF(AND(C275&gt;=Settings!$B$5-Settings!$B$9+1,C275&lt;=Settings!$B$5,COUNTIFS($B$5:B275,B275,$C$5:C275,"&gt;="&amp;(Settings!$B$5-Settings!$B$9+1),$C$5:C275,"&lt;="&amp;Settings!$B$5)=1),1,0)</f>
        <v>0</v>
      </c>
      <c r="N275" s="29" t="n">
        <f aca="false">IF(AND(D275="Feature Use",COUNTIFS($B$5:B275,B275,$D$5:D275,"Feature Use")=1),1,0)</f>
        <v>0</v>
      </c>
    </row>
    <row r="276" customFormat="false" ht="15" hidden="false" customHeight="false" outlineLevel="0" collapsed="false">
      <c r="A276" s="22" t="s">
        <v>583</v>
      </c>
      <c r="B276" s="22" t="s">
        <v>190</v>
      </c>
      <c r="C276" s="31" t="n">
        <v>46277</v>
      </c>
      <c r="D276" s="22" t="s">
        <v>297</v>
      </c>
      <c r="E276" s="22" t="s">
        <v>298</v>
      </c>
      <c r="F276" s="29" t="str">
        <f aca="false">IF(COUNTIF(Referral_Data!$C$5:$C$1000,B276)&gt;0,"Referred",IF(COUNTIF(Referral_Data!$B$5:$B$1000,B276)&gt;0,"Referrer","Organic"))</f>
        <v>Referrer</v>
      </c>
      <c r="G276" s="29" t="n">
        <f aca="false">IF(COUNTIFS($B$5:B276,B276,$C$5:C276,C276)=1,1,0)</f>
        <v>1</v>
      </c>
      <c r="H276" s="29" t="n">
        <f aca="false">IF(AND(G276=1,COUNTIFS($B$5:$B$1635,B276,$C$5:$C$1635,"&lt;"&amp;C276)&gt;0),1,0)</f>
        <v>1</v>
      </c>
      <c r="I276" s="29" t="n">
        <f aca="false">IF(AND(D276="Feature Use",COUNTIFS($B$5:B276,B276,$D$5:D276,"Feature Use",$E$5:E276,E276)=1),1,0)</f>
        <v>0</v>
      </c>
      <c r="J276" s="29" t="n">
        <f aca="false">IF(AND(D276="Feature Use",COUNTIFS($B$5:B276,B276,$D$5:D276,"Feature Use",$E$5:E276,E276)=2),1,0)</f>
        <v>0</v>
      </c>
      <c r="K276" s="29" t="n">
        <f aca="false">IF(COUNTIF($B$5:B276,B276)=1,1,0)</f>
        <v>0</v>
      </c>
      <c r="L276" s="29" t="n">
        <f aca="false">IF(AND(C276&gt;=Settings!$B$5-Settings!$B$8+1,C276&lt;=Settings!$B$5,COUNTIFS($B$5:B276,B276,$C$5:C276,"&gt;="&amp;(Settings!$B$5-Settings!$B$8+1),$C$5:C276,"&lt;="&amp;Settings!$B$5)=1),1,0)</f>
        <v>0</v>
      </c>
      <c r="M276" s="29" t="n">
        <f aca="false">IF(AND(C276&gt;=Settings!$B$5-Settings!$B$9+1,C276&lt;=Settings!$B$5,COUNTIFS($B$5:B276,B276,$C$5:C276,"&gt;="&amp;(Settings!$B$5-Settings!$B$9+1),$C$5:C276,"&lt;="&amp;Settings!$B$5)=1),1,0)</f>
        <v>0</v>
      </c>
      <c r="N276" s="29" t="n">
        <f aca="false">IF(AND(D276="Feature Use",COUNTIFS($B$5:B276,B276,$D$5:D276,"Feature Use")=1),1,0)</f>
        <v>0</v>
      </c>
    </row>
    <row r="277" customFormat="false" ht="15" hidden="false" customHeight="false" outlineLevel="0" collapsed="false">
      <c r="A277" s="22" t="s">
        <v>584</v>
      </c>
      <c r="B277" s="22" t="s">
        <v>190</v>
      </c>
      <c r="C277" s="31" t="n">
        <v>46277</v>
      </c>
      <c r="D277" s="22" t="s">
        <v>300</v>
      </c>
      <c r="E277" s="22" t="s">
        <v>319</v>
      </c>
      <c r="F277" s="29" t="str">
        <f aca="false">IF(COUNTIF(Referral_Data!$C$5:$C$1000,B277)&gt;0,"Referred",IF(COUNTIF(Referral_Data!$B$5:$B$1000,B277)&gt;0,"Referrer","Organic"))</f>
        <v>Referrer</v>
      </c>
      <c r="G277" s="29" t="n">
        <f aca="false">IF(COUNTIFS($B$5:B277,B277,$C$5:C277,C277)=1,1,0)</f>
        <v>0</v>
      </c>
      <c r="H277" s="29" t="n">
        <f aca="false">IF(AND(G277=1,COUNTIFS($B$5:$B$1635,B277,$C$5:$C$1635,"&lt;"&amp;C277)&gt;0),1,0)</f>
        <v>0</v>
      </c>
      <c r="I277" s="29" t="n">
        <f aca="false">IF(AND(D277="Feature Use",COUNTIFS($B$5:B277,B277,$D$5:D277,"Feature Use",$E$5:E277,E277)=1),1,0)</f>
        <v>1</v>
      </c>
      <c r="J277" s="29" t="n">
        <f aca="false">IF(AND(D277="Feature Use",COUNTIFS($B$5:B277,B277,$D$5:D277,"Feature Use",$E$5:E277,E277)=2),1,0)</f>
        <v>0</v>
      </c>
      <c r="K277" s="29" t="n">
        <f aca="false">IF(COUNTIF($B$5:B277,B277)=1,1,0)</f>
        <v>0</v>
      </c>
      <c r="L277" s="29" t="n">
        <f aca="false">IF(AND(C277&gt;=Settings!$B$5-Settings!$B$8+1,C277&lt;=Settings!$B$5,COUNTIFS($B$5:B277,B277,$C$5:C277,"&gt;="&amp;(Settings!$B$5-Settings!$B$8+1),$C$5:C277,"&lt;="&amp;Settings!$B$5)=1),1,0)</f>
        <v>0</v>
      </c>
      <c r="M277" s="29" t="n">
        <f aca="false">IF(AND(C277&gt;=Settings!$B$5-Settings!$B$9+1,C277&lt;=Settings!$B$5,COUNTIFS($B$5:B277,B277,$C$5:C277,"&gt;="&amp;(Settings!$B$5-Settings!$B$9+1),$C$5:C277,"&lt;="&amp;Settings!$B$5)=1),1,0)</f>
        <v>0</v>
      </c>
      <c r="N277" s="29" t="n">
        <f aca="false">IF(AND(D277="Feature Use",COUNTIFS($B$5:B277,B277,$D$5:D277,"Feature Use")=1),1,0)</f>
        <v>0</v>
      </c>
    </row>
    <row r="278" customFormat="false" ht="15" hidden="false" customHeight="false" outlineLevel="0" collapsed="false">
      <c r="A278" s="22" t="s">
        <v>585</v>
      </c>
      <c r="B278" s="22" t="s">
        <v>190</v>
      </c>
      <c r="C278" s="31" t="n">
        <v>46277</v>
      </c>
      <c r="D278" s="22" t="s">
        <v>308</v>
      </c>
      <c r="E278" s="22" t="s">
        <v>305</v>
      </c>
      <c r="F278" s="29" t="str">
        <f aca="false">IF(COUNTIF(Referral_Data!$C$5:$C$1000,B278)&gt;0,"Referred",IF(COUNTIF(Referral_Data!$B$5:$B$1000,B278)&gt;0,"Referrer","Organic"))</f>
        <v>Referrer</v>
      </c>
      <c r="G278" s="29" t="n">
        <f aca="false">IF(COUNTIFS($B$5:B278,B278,$C$5:C278,C278)=1,1,0)</f>
        <v>0</v>
      </c>
      <c r="H278" s="29" t="n">
        <f aca="false">IF(AND(G278=1,COUNTIFS($B$5:$B$1635,B278,$C$5:$C$1635,"&lt;"&amp;C278)&gt;0),1,0)</f>
        <v>0</v>
      </c>
      <c r="I278" s="29" t="n">
        <f aca="false">IF(AND(D278="Feature Use",COUNTIFS($B$5:B278,B278,$D$5:D278,"Feature Use",$E$5:E278,E278)=1),1,0)</f>
        <v>0</v>
      </c>
      <c r="J278" s="29" t="n">
        <f aca="false">IF(AND(D278="Feature Use",COUNTIFS($B$5:B278,B278,$D$5:D278,"Feature Use",$E$5:E278,E278)=2),1,0)</f>
        <v>0</v>
      </c>
      <c r="K278" s="29" t="n">
        <f aca="false">IF(COUNTIF($B$5:B278,B278)=1,1,0)</f>
        <v>0</v>
      </c>
      <c r="L278" s="29" t="n">
        <f aca="false">IF(AND(C278&gt;=Settings!$B$5-Settings!$B$8+1,C278&lt;=Settings!$B$5,COUNTIFS($B$5:B278,B278,$C$5:C278,"&gt;="&amp;(Settings!$B$5-Settings!$B$8+1),$C$5:C278,"&lt;="&amp;Settings!$B$5)=1),1,0)</f>
        <v>0</v>
      </c>
      <c r="M278" s="29" t="n">
        <f aca="false">IF(AND(C278&gt;=Settings!$B$5-Settings!$B$9+1,C278&lt;=Settings!$B$5,COUNTIFS($B$5:B278,B278,$C$5:C278,"&gt;="&amp;(Settings!$B$5-Settings!$B$9+1),$C$5:C278,"&lt;="&amp;Settings!$B$5)=1),1,0)</f>
        <v>0</v>
      </c>
      <c r="N278" s="29" t="n">
        <f aca="false">IF(AND(D278="Feature Use",COUNTIFS($B$5:B278,B278,$D$5:D278,"Feature Use")=1),1,0)</f>
        <v>0</v>
      </c>
    </row>
    <row r="279" customFormat="false" ht="15" hidden="false" customHeight="false" outlineLevel="0" collapsed="false">
      <c r="A279" s="22" t="s">
        <v>586</v>
      </c>
      <c r="B279" s="22" t="s">
        <v>190</v>
      </c>
      <c r="C279" s="31" t="n">
        <v>46277</v>
      </c>
      <c r="D279" s="22" t="s">
        <v>308</v>
      </c>
      <c r="E279" s="22" t="s">
        <v>305</v>
      </c>
      <c r="F279" s="29" t="str">
        <f aca="false">IF(COUNTIF(Referral_Data!$C$5:$C$1000,B279)&gt;0,"Referred",IF(COUNTIF(Referral_Data!$B$5:$B$1000,B279)&gt;0,"Referrer","Organic"))</f>
        <v>Referrer</v>
      </c>
      <c r="G279" s="29" t="n">
        <f aca="false">IF(COUNTIFS($B$5:B279,B279,$C$5:C279,C279)=1,1,0)</f>
        <v>0</v>
      </c>
      <c r="H279" s="29" t="n">
        <f aca="false">IF(AND(G279=1,COUNTIFS($B$5:$B$1635,B279,$C$5:$C$1635,"&lt;"&amp;C279)&gt;0),1,0)</f>
        <v>0</v>
      </c>
      <c r="I279" s="29" t="n">
        <f aca="false">IF(AND(D279="Feature Use",COUNTIFS($B$5:B279,B279,$D$5:D279,"Feature Use",$E$5:E279,E279)=1),1,0)</f>
        <v>0</v>
      </c>
      <c r="J279" s="29" t="n">
        <f aca="false">IF(AND(D279="Feature Use",COUNTIFS($B$5:B279,B279,$D$5:D279,"Feature Use",$E$5:E279,E279)=2),1,0)</f>
        <v>0</v>
      </c>
      <c r="K279" s="29" t="n">
        <f aca="false">IF(COUNTIF($B$5:B279,B279)=1,1,0)</f>
        <v>0</v>
      </c>
      <c r="L279" s="29" t="n">
        <f aca="false">IF(AND(C279&gt;=Settings!$B$5-Settings!$B$8+1,C279&lt;=Settings!$B$5,COUNTIFS($B$5:B279,B279,$C$5:C279,"&gt;="&amp;(Settings!$B$5-Settings!$B$8+1),$C$5:C279,"&lt;="&amp;Settings!$B$5)=1),1,0)</f>
        <v>0</v>
      </c>
      <c r="M279" s="29" t="n">
        <f aca="false">IF(AND(C279&gt;=Settings!$B$5-Settings!$B$9+1,C279&lt;=Settings!$B$5,COUNTIFS($B$5:B279,B279,$C$5:C279,"&gt;="&amp;(Settings!$B$5-Settings!$B$9+1),$C$5:C279,"&lt;="&amp;Settings!$B$5)=1),1,0)</f>
        <v>0</v>
      </c>
      <c r="N279" s="29" t="n">
        <f aca="false">IF(AND(D279="Feature Use",COUNTIFS($B$5:B279,B279,$D$5:D279,"Feature Use")=1),1,0)</f>
        <v>0</v>
      </c>
    </row>
    <row r="280" customFormat="false" ht="15" hidden="false" customHeight="false" outlineLevel="0" collapsed="false">
      <c r="A280" s="22" t="s">
        <v>587</v>
      </c>
      <c r="B280" s="22" t="s">
        <v>200</v>
      </c>
      <c r="C280" s="31" t="n">
        <v>46277</v>
      </c>
      <c r="D280" s="22" t="s">
        <v>297</v>
      </c>
      <c r="E280" s="22" t="s">
        <v>298</v>
      </c>
      <c r="F280" s="29" t="str">
        <f aca="false">IF(COUNTIF(Referral_Data!$C$5:$C$1000,B280)&gt;0,"Referred",IF(COUNTIF(Referral_Data!$B$5:$B$1000,B280)&gt;0,"Referrer","Organic"))</f>
        <v>Referrer</v>
      </c>
      <c r="G280" s="29" t="n">
        <f aca="false">IF(COUNTIFS($B$5:B280,B280,$C$5:C280,C280)=1,1,0)</f>
        <v>1</v>
      </c>
      <c r="H280" s="29" t="n">
        <f aca="false">IF(AND(G280=1,COUNTIFS($B$5:$B$1635,B280,$C$5:$C$1635,"&lt;"&amp;C280)&gt;0),1,0)</f>
        <v>1</v>
      </c>
      <c r="I280" s="29" t="n">
        <f aca="false">IF(AND(D280="Feature Use",COUNTIFS($B$5:B280,B280,$D$5:D280,"Feature Use",$E$5:E280,E280)=1),1,0)</f>
        <v>0</v>
      </c>
      <c r="J280" s="29" t="n">
        <f aca="false">IF(AND(D280="Feature Use",COUNTIFS($B$5:B280,B280,$D$5:D280,"Feature Use",$E$5:E280,E280)=2),1,0)</f>
        <v>0</v>
      </c>
      <c r="K280" s="29" t="n">
        <f aca="false">IF(COUNTIF($B$5:B280,B280)=1,1,0)</f>
        <v>0</v>
      </c>
      <c r="L280" s="29" t="n">
        <f aca="false">IF(AND(C280&gt;=Settings!$B$5-Settings!$B$8+1,C280&lt;=Settings!$B$5,COUNTIFS($B$5:B280,B280,$C$5:C280,"&gt;="&amp;(Settings!$B$5-Settings!$B$8+1),$C$5:C280,"&lt;="&amp;Settings!$B$5)=1),1,0)</f>
        <v>0</v>
      </c>
      <c r="M280" s="29" t="n">
        <f aca="false">IF(AND(C280&gt;=Settings!$B$5-Settings!$B$9+1,C280&lt;=Settings!$B$5,COUNTIFS($B$5:B280,B280,$C$5:C280,"&gt;="&amp;(Settings!$B$5-Settings!$B$9+1),$C$5:C280,"&lt;="&amp;Settings!$B$5)=1),1,0)</f>
        <v>0</v>
      </c>
      <c r="N280" s="29" t="n">
        <f aca="false">IF(AND(D280="Feature Use",COUNTIFS($B$5:B280,B280,$D$5:D280,"Feature Use")=1),1,0)</f>
        <v>0</v>
      </c>
    </row>
    <row r="281" customFormat="false" ht="15" hidden="false" customHeight="false" outlineLevel="0" collapsed="false">
      <c r="A281" s="22" t="s">
        <v>588</v>
      </c>
      <c r="B281" s="22" t="s">
        <v>200</v>
      </c>
      <c r="C281" s="31" t="n">
        <v>46277</v>
      </c>
      <c r="D281" s="22" t="s">
        <v>300</v>
      </c>
      <c r="E281" s="22" t="s">
        <v>311</v>
      </c>
      <c r="F281" s="29" t="str">
        <f aca="false">IF(COUNTIF(Referral_Data!$C$5:$C$1000,B281)&gt;0,"Referred",IF(COUNTIF(Referral_Data!$B$5:$B$1000,B281)&gt;0,"Referrer","Organic"))</f>
        <v>Referrer</v>
      </c>
      <c r="G281" s="29" t="n">
        <f aca="false">IF(COUNTIFS($B$5:B281,B281,$C$5:C281,C281)=1,1,0)</f>
        <v>0</v>
      </c>
      <c r="H281" s="29" t="n">
        <f aca="false">IF(AND(G281=1,COUNTIFS($B$5:$B$1635,B281,$C$5:$C$1635,"&lt;"&amp;C281)&gt;0),1,0)</f>
        <v>0</v>
      </c>
      <c r="I281" s="29" t="n">
        <f aca="false">IF(AND(D281="Feature Use",COUNTIFS($B$5:B281,B281,$D$5:D281,"Feature Use",$E$5:E281,E281)=1),1,0)</f>
        <v>1</v>
      </c>
      <c r="J281" s="29" t="n">
        <f aca="false">IF(AND(D281="Feature Use",COUNTIFS($B$5:B281,B281,$D$5:D281,"Feature Use",$E$5:E281,E281)=2),1,0)</f>
        <v>0</v>
      </c>
      <c r="K281" s="29" t="n">
        <f aca="false">IF(COUNTIF($B$5:B281,B281)=1,1,0)</f>
        <v>0</v>
      </c>
      <c r="L281" s="29" t="n">
        <f aca="false">IF(AND(C281&gt;=Settings!$B$5-Settings!$B$8+1,C281&lt;=Settings!$B$5,COUNTIFS($B$5:B281,B281,$C$5:C281,"&gt;="&amp;(Settings!$B$5-Settings!$B$8+1),$C$5:C281,"&lt;="&amp;Settings!$B$5)=1),1,0)</f>
        <v>0</v>
      </c>
      <c r="M281" s="29" t="n">
        <f aca="false">IF(AND(C281&gt;=Settings!$B$5-Settings!$B$9+1,C281&lt;=Settings!$B$5,COUNTIFS($B$5:B281,B281,$C$5:C281,"&gt;="&amp;(Settings!$B$5-Settings!$B$9+1),$C$5:C281,"&lt;="&amp;Settings!$B$5)=1),1,0)</f>
        <v>0</v>
      </c>
      <c r="N281" s="29" t="n">
        <f aca="false">IF(AND(D281="Feature Use",COUNTIFS($B$5:B281,B281,$D$5:D281,"Feature Use")=1),1,0)</f>
        <v>0</v>
      </c>
    </row>
    <row r="282" customFormat="false" ht="15" hidden="false" customHeight="false" outlineLevel="0" collapsed="false">
      <c r="A282" s="22" t="s">
        <v>589</v>
      </c>
      <c r="B282" s="22" t="s">
        <v>200</v>
      </c>
      <c r="C282" s="31" t="n">
        <v>46277</v>
      </c>
      <c r="D282" s="22" t="s">
        <v>308</v>
      </c>
      <c r="E282" s="22" t="s">
        <v>311</v>
      </c>
      <c r="F282" s="29" t="str">
        <f aca="false">IF(COUNTIF(Referral_Data!$C$5:$C$1000,B282)&gt;0,"Referred",IF(COUNTIF(Referral_Data!$B$5:$B$1000,B282)&gt;0,"Referrer","Organic"))</f>
        <v>Referrer</v>
      </c>
      <c r="G282" s="29" t="n">
        <f aca="false">IF(COUNTIFS($B$5:B282,B282,$C$5:C282,C282)=1,1,0)</f>
        <v>0</v>
      </c>
      <c r="H282" s="29" t="n">
        <f aca="false">IF(AND(G282=1,COUNTIFS($B$5:$B$1635,B282,$C$5:$C$1635,"&lt;"&amp;C282)&gt;0),1,0)</f>
        <v>0</v>
      </c>
      <c r="I282" s="29" t="n">
        <f aca="false">IF(AND(D282="Feature Use",COUNTIFS($B$5:B282,B282,$D$5:D282,"Feature Use",$E$5:E282,E282)=1),1,0)</f>
        <v>0</v>
      </c>
      <c r="J282" s="29" t="n">
        <f aca="false">IF(AND(D282="Feature Use",COUNTIFS($B$5:B282,B282,$D$5:D282,"Feature Use",$E$5:E282,E282)=2),1,0)</f>
        <v>0</v>
      </c>
      <c r="K282" s="29" t="n">
        <f aca="false">IF(COUNTIF($B$5:B282,B282)=1,1,0)</f>
        <v>0</v>
      </c>
      <c r="L282" s="29" t="n">
        <f aca="false">IF(AND(C282&gt;=Settings!$B$5-Settings!$B$8+1,C282&lt;=Settings!$B$5,COUNTIFS($B$5:B282,B282,$C$5:C282,"&gt;="&amp;(Settings!$B$5-Settings!$B$8+1),$C$5:C282,"&lt;="&amp;Settings!$B$5)=1),1,0)</f>
        <v>0</v>
      </c>
      <c r="M282" s="29" t="n">
        <f aca="false">IF(AND(C282&gt;=Settings!$B$5-Settings!$B$9+1,C282&lt;=Settings!$B$5,COUNTIFS($B$5:B282,B282,$C$5:C282,"&gt;="&amp;(Settings!$B$5-Settings!$B$9+1),$C$5:C282,"&lt;="&amp;Settings!$B$5)=1),1,0)</f>
        <v>0</v>
      </c>
      <c r="N282" s="29" t="n">
        <f aca="false">IF(AND(D282="Feature Use",COUNTIFS($B$5:B282,B282,$D$5:D282,"Feature Use")=1),1,0)</f>
        <v>0</v>
      </c>
    </row>
    <row r="283" customFormat="false" ht="15" hidden="false" customHeight="false" outlineLevel="0" collapsed="false">
      <c r="A283" s="22" t="s">
        <v>590</v>
      </c>
      <c r="B283" s="22" t="s">
        <v>175</v>
      </c>
      <c r="C283" s="31" t="n">
        <v>46277</v>
      </c>
      <c r="D283" s="22" t="s">
        <v>297</v>
      </c>
      <c r="E283" s="22" t="s">
        <v>298</v>
      </c>
      <c r="F283" s="29" t="str">
        <f aca="false">IF(COUNTIF(Referral_Data!$C$5:$C$1000,B283)&gt;0,"Referred",IF(COUNTIF(Referral_Data!$B$5:$B$1000,B283)&gt;0,"Referrer","Organic"))</f>
        <v>Referrer</v>
      </c>
      <c r="G283" s="29" t="n">
        <f aca="false">IF(COUNTIFS($B$5:B283,B283,$C$5:C283,C283)=1,1,0)</f>
        <v>1</v>
      </c>
      <c r="H283" s="29" t="n">
        <f aca="false">IF(AND(G283=1,COUNTIFS($B$5:$B$1635,B283,$C$5:$C$1635,"&lt;"&amp;C283)&gt;0),1,0)</f>
        <v>1</v>
      </c>
      <c r="I283" s="29" t="n">
        <f aca="false">IF(AND(D283="Feature Use",COUNTIFS($B$5:B283,B283,$D$5:D283,"Feature Use",$E$5:E283,E283)=1),1,0)</f>
        <v>0</v>
      </c>
      <c r="J283" s="29" t="n">
        <f aca="false">IF(AND(D283="Feature Use",COUNTIFS($B$5:B283,B283,$D$5:D283,"Feature Use",$E$5:E283,E283)=2),1,0)</f>
        <v>0</v>
      </c>
      <c r="K283" s="29" t="n">
        <f aca="false">IF(COUNTIF($B$5:B283,B283)=1,1,0)</f>
        <v>0</v>
      </c>
      <c r="L283" s="29" t="n">
        <f aca="false">IF(AND(C283&gt;=Settings!$B$5-Settings!$B$8+1,C283&lt;=Settings!$B$5,COUNTIFS($B$5:B283,B283,$C$5:C283,"&gt;="&amp;(Settings!$B$5-Settings!$B$8+1),$C$5:C283,"&lt;="&amp;Settings!$B$5)=1),1,0)</f>
        <v>0</v>
      </c>
      <c r="M283" s="29" t="n">
        <f aca="false">IF(AND(C283&gt;=Settings!$B$5-Settings!$B$9+1,C283&lt;=Settings!$B$5,COUNTIFS($B$5:B283,B283,$C$5:C283,"&gt;="&amp;(Settings!$B$5-Settings!$B$9+1),$C$5:C283,"&lt;="&amp;Settings!$B$5)=1),1,0)</f>
        <v>0</v>
      </c>
      <c r="N283" s="29" t="n">
        <f aca="false">IF(AND(D283="Feature Use",COUNTIFS($B$5:B283,B283,$D$5:D283,"Feature Use")=1),1,0)</f>
        <v>0</v>
      </c>
    </row>
    <row r="284" customFormat="false" ht="15" hidden="false" customHeight="false" outlineLevel="0" collapsed="false">
      <c r="A284" s="22" t="s">
        <v>591</v>
      </c>
      <c r="B284" s="22" t="s">
        <v>175</v>
      </c>
      <c r="C284" s="31" t="n">
        <v>46277</v>
      </c>
      <c r="D284" s="22" t="s">
        <v>300</v>
      </c>
      <c r="E284" s="22" t="s">
        <v>311</v>
      </c>
      <c r="F284" s="29" t="str">
        <f aca="false">IF(COUNTIF(Referral_Data!$C$5:$C$1000,B284)&gt;0,"Referred",IF(COUNTIF(Referral_Data!$B$5:$B$1000,B284)&gt;0,"Referrer","Organic"))</f>
        <v>Referrer</v>
      </c>
      <c r="G284" s="29" t="n">
        <f aca="false">IF(COUNTIFS($B$5:B284,B284,$C$5:C284,C284)=1,1,0)</f>
        <v>0</v>
      </c>
      <c r="H284" s="29" t="n">
        <f aca="false">IF(AND(G284=1,COUNTIFS($B$5:$B$1635,B284,$C$5:$C$1635,"&lt;"&amp;C284)&gt;0),1,0)</f>
        <v>0</v>
      </c>
      <c r="I284" s="29" t="n">
        <f aca="false">IF(AND(D284="Feature Use",COUNTIFS($B$5:B284,B284,$D$5:D284,"Feature Use",$E$5:E284,E284)=1),1,0)</f>
        <v>0</v>
      </c>
      <c r="J284" s="29" t="n">
        <f aca="false">IF(AND(D284="Feature Use",COUNTIFS($B$5:B284,B284,$D$5:D284,"Feature Use",$E$5:E284,E284)=2),1,0)</f>
        <v>1</v>
      </c>
      <c r="K284" s="29" t="n">
        <f aca="false">IF(COUNTIF($B$5:B284,B284)=1,1,0)</f>
        <v>0</v>
      </c>
      <c r="L284" s="29" t="n">
        <f aca="false">IF(AND(C284&gt;=Settings!$B$5-Settings!$B$8+1,C284&lt;=Settings!$B$5,COUNTIFS($B$5:B284,B284,$C$5:C284,"&gt;="&amp;(Settings!$B$5-Settings!$B$8+1),$C$5:C284,"&lt;="&amp;Settings!$B$5)=1),1,0)</f>
        <v>0</v>
      </c>
      <c r="M284" s="29" t="n">
        <f aca="false">IF(AND(C284&gt;=Settings!$B$5-Settings!$B$9+1,C284&lt;=Settings!$B$5,COUNTIFS($B$5:B284,B284,$C$5:C284,"&gt;="&amp;(Settings!$B$5-Settings!$B$9+1),$C$5:C284,"&lt;="&amp;Settings!$B$5)=1),1,0)</f>
        <v>0</v>
      </c>
      <c r="N284" s="29" t="n">
        <f aca="false">IF(AND(D284="Feature Use",COUNTIFS($B$5:B284,B284,$D$5:D284,"Feature Use")=1),1,0)</f>
        <v>0</v>
      </c>
    </row>
    <row r="285" customFormat="false" ht="15" hidden="false" customHeight="false" outlineLevel="0" collapsed="false">
      <c r="A285" s="22" t="s">
        <v>592</v>
      </c>
      <c r="B285" s="22" t="s">
        <v>175</v>
      </c>
      <c r="C285" s="31" t="n">
        <v>46277</v>
      </c>
      <c r="D285" s="22" t="s">
        <v>300</v>
      </c>
      <c r="E285" s="22" t="s">
        <v>309</v>
      </c>
      <c r="F285" s="29" t="str">
        <f aca="false">IF(COUNTIF(Referral_Data!$C$5:$C$1000,B285)&gt;0,"Referred",IF(COUNTIF(Referral_Data!$B$5:$B$1000,B285)&gt;0,"Referrer","Organic"))</f>
        <v>Referrer</v>
      </c>
      <c r="G285" s="29" t="n">
        <f aca="false">IF(COUNTIFS($B$5:B285,B285,$C$5:C285,C285)=1,1,0)</f>
        <v>0</v>
      </c>
      <c r="H285" s="29" t="n">
        <f aca="false">IF(AND(G285=1,COUNTIFS($B$5:$B$1635,B285,$C$5:$C$1635,"&lt;"&amp;C285)&gt;0),1,0)</f>
        <v>0</v>
      </c>
      <c r="I285" s="29" t="n">
        <f aca="false">IF(AND(D285="Feature Use",COUNTIFS($B$5:B285,B285,$D$5:D285,"Feature Use",$E$5:E285,E285)=1),1,0)</f>
        <v>0</v>
      </c>
      <c r="J285" s="29" t="n">
        <f aca="false">IF(AND(D285="Feature Use",COUNTIFS($B$5:B285,B285,$D$5:D285,"Feature Use",$E$5:E285,E285)=2),1,0)</f>
        <v>1</v>
      </c>
      <c r="K285" s="29" t="n">
        <f aca="false">IF(COUNTIF($B$5:B285,B285)=1,1,0)</f>
        <v>0</v>
      </c>
      <c r="L285" s="29" t="n">
        <f aca="false">IF(AND(C285&gt;=Settings!$B$5-Settings!$B$8+1,C285&lt;=Settings!$B$5,COUNTIFS($B$5:B285,B285,$C$5:C285,"&gt;="&amp;(Settings!$B$5-Settings!$B$8+1),$C$5:C285,"&lt;="&amp;Settings!$B$5)=1),1,0)</f>
        <v>0</v>
      </c>
      <c r="M285" s="29" t="n">
        <f aca="false">IF(AND(C285&gt;=Settings!$B$5-Settings!$B$9+1,C285&lt;=Settings!$B$5,COUNTIFS($B$5:B285,B285,$C$5:C285,"&gt;="&amp;(Settings!$B$5-Settings!$B$9+1),$C$5:C285,"&lt;="&amp;Settings!$B$5)=1),1,0)</f>
        <v>0</v>
      </c>
      <c r="N285" s="29" t="n">
        <f aca="false">IF(AND(D285="Feature Use",COUNTIFS($B$5:B285,B285,$D$5:D285,"Feature Use")=1),1,0)</f>
        <v>0</v>
      </c>
    </row>
    <row r="286" customFormat="false" ht="15" hidden="false" customHeight="false" outlineLevel="0" collapsed="false">
      <c r="A286" s="22" t="s">
        <v>593</v>
      </c>
      <c r="B286" s="22" t="s">
        <v>296</v>
      </c>
      <c r="C286" s="31" t="n">
        <v>46278</v>
      </c>
      <c r="D286" s="22" t="s">
        <v>297</v>
      </c>
      <c r="E286" s="22" t="s">
        <v>298</v>
      </c>
      <c r="F286" s="29" t="str">
        <f aca="false">IF(COUNTIF(Referral_Data!$C$5:$C$1000,B286)&gt;0,"Referred",IF(COUNTIF(Referral_Data!$B$5:$B$1000,B286)&gt;0,"Referrer","Organic"))</f>
        <v>Organic</v>
      </c>
      <c r="G286" s="29" t="n">
        <f aca="false">IF(COUNTIFS($B$5:B286,B286,$C$5:C286,C286)=1,1,0)</f>
        <v>1</v>
      </c>
      <c r="H286" s="29" t="n">
        <f aca="false">IF(AND(G286=1,COUNTIFS($B$5:$B$1635,B286,$C$5:$C$1635,"&lt;"&amp;C286)&gt;0),1,0)</f>
        <v>1</v>
      </c>
      <c r="I286" s="29" t="n">
        <f aca="false">IF(AND(D286="Feature Use",COUNTIFS($B$5:B286,B286,$D$5:D286,"Feature Use",$E$5:E286,E286)=1),1,0)</f>
        <v>0</v>
      </c>
      <c r="J286" s="29" t="n">
        <f aca="false">IF(AND(D286="Feature Use",COUNTIFS($B$5:B286,B286,$D$5:D286,"Feature Use",$E$5:E286,E286)=2),1,0)</f>
        <v>0</v>
      </c>
      <c r="K286" s="29" t="n">
        <f aca="false">IF(COUNTIF($B$5:B286,B286)=1,1,0)</f>
        <v>0</v>
      </c>
      <c r="L286" s="29" t="n">
        <f aca="false">IF(AND(C286&gt;=Settings!$B$5-Settings!$B$8+1,C286&lt;=Settings!$B$5,COUNTIFS($B$5:B286,B286,$C$5:C286,"&gt;="&amp;(Settings!$B$5-Settings!$B$8+1),$C$5:C286,"&lt;="&amp;Settings!$B$5)=1),1,0)</f>
        <v>0</v>
      </c>
      <c r="M286" s="29" t="n">
        <f aca="false">IF(AND(C286&gt;=Settings!$B$5-Settings!$B$9+1,C286&lt;=Settings!$B$5,COUNTIFS($B$5:B286,B286,$C$5:C286,"&gt;="&amp;(Settings!$B$5-Settings!$B$9+1),$C$5:C286,"&lt;="&amp;Settings!$B$5)=1),1,0)</f>
        <v>0</v>
      </c>
      <c r="N286" s="29" t="n">
        <f aca="false">IF(AND(D286="Feature Use",COUNTIFS($B$5:B286,B286,$D$5:D286,"Feature Use")=1),1,0)</f>
        <v>0</v>
      </c>
    </row>
    <row r="287" customFormat="false" ht="15" hidden="false" customHeight="false" outlineLevel="0" collapsed="false">
      <c r="A287" s="22" t="s">
        <v>594</v>
      </c>
      <c r="B287" s="22" t="s">
        <v>296</v>
      </c>
      <c r="C287" s="31" t="n">
        <v>46278</v>
      </c>
      <c r="D287" s="22" t="s">
        <v>300</v>
      </c>
      <c r="E287" s="22" t="s">
        <v>305</v>
      </c>
      <c r="F287" s="29" t="str">
        <f aca="false">IF(COUNTIF(Referral_Data!$C$5:$C$1000,B287)&gt;0,"Referred",IF(COUNTIF(Referral_Data!$B$5:$B$1000,B287)&gt;0,"Referrer","Organic"))</f>
        <v>Organic</v>
      </c>
      <c r="G287" s="29" t="n">
        <f aca="false">IF(COUNTIFS($B$5:B287,B287,$C$5:C287,C287)=1,1,0)</f>
        <v>0</v>
      </c>
      <c r="H287" s="29" t="n">
        <f aca="false">IF(AND(G287=1,COUNTIFS($B$5:$B$1635,B287,$C$5:$C$1635,"&lt;"&amp;C287)&gt;0),1,0)</f>
        <v>0</v>
      </c>
      <c r="I287" s="29" t="n">
        <f aca="false">IF(AND(D287="Feature Use",COUNTIFS($B$5:B287,B287,$D$5:D287,"Feature Use",$E$5:E287,E287)=1),1,0)</f>
        <v>0</v>
      </c>
      <c r="J287" s="29" t="n">
        <f aca="false">IF(AND(D287="Feature Use",COUNTIFS($B$5:B287,B287,$D$5:D287,"Feature Use",$E$5:E287,E287)=2),1,0)</f>
        <v>1</v>
      </c>
      <c r="K287" s="29" t="n">
        <f aca="false">IF(COUNTIF($B$5:B287,B287)=1,1,0)</f>
        <v>0</v>
      </c>
      <c r="L287" s="29" t="n">
        <f aca="false">IF(AND(C287&gt;=Settings!$B$5-Settings!$B$8+1,C287&lt;=Settings!$B$5,COUNTIFS($B$5:B287,B287,$C$5:C287,"&gt;="&amp;(Settings!$B$5-Settings!$B$8+1),$C$5:C287,"&lt;="&amp;Settings!$B$5)=1),1,0)</f>
        <v>0</v>
      </c>
      <c r="M287" s="29" t="n">
        <f aca="false">IF(AND(C287&gt;=Settings!$B$5-Settings!$B$9+1,C287&lt;=Settings!$B$5,COUNTIFS($B$5:B287,B287,$C$5:C287,"&gt;="&amp;(Settings!$B$5-Settings!$B$9+1),$C$5:C287,"&lt;="&amp;Settings!$B$5)=1),1,0)</f>
        <v>0</v>
      </c>
      <c r="N287" s="29" t="n">
        <f aca="false">IF(AND(D287="Feature Use",COUNTIFS($B$5:B287,B287,$D$5:D287,"Feature Use")=1),1,0)</f>
        <v>0</v>
      </c>
    </row>
    <row r="288" customFormat="false" ht="15" hidden="false" customHeight="false" outlineLevel="0" collapsed="false">
      <c r="A288" s="22" t="s">
        <v>595</v>
      </c>
      <c r="B288" s="22" t="s">
        <v>296</v>
      </c>
      <c r="C288" s="31" t="n">
        <v>46278</v>
      </c>
      <c r="D288" s="22" t="s">
        <v>300</v>
      </c>
      <c r="E288" s="22" t="s">
        <v>311</v>
      </c>
      <c r="F288" s="29" t="str">
        <f aca="false">IF(COUNTIF(Referral_Data!$C$5:$C$1000,B288)&gt;0,"Referred",IF(COUNTIF(Referral_Data!$B$5:$B$1000,B288)&gt;0,"Referrer","Organic"))</f>
        <v>Organic</v>
      </c>
      <c r="G288" s="29" t="n">
        <f aca="false">IF(COUNTIFS($B$5:B288,B288,$C$5:C288,C288)=1,1,0)</f>
        <v>0</v>
      </c>
      <c r="H288" s="29" t="n">
        <f aca="false">IF(AND(G288=1,COUNTIFS($B$5:$B$1635,B288,$C$5:$C$1635,"&lt;"&amp;C288)&gt;0),1,0)</f>
        <v>0</v>
      </c>
      <c r="I288" s="29" t="n">
        <f aca="false">IF(AND(D288="Feature Use",COUNTIFS($B$5:B288,B288,$D$5:D288,"Feature Use",$E$5:E288,E288)=1),1,0)</f>
        <v>1</v>
      </c>
      <c r="J288" s="29" t="n">
        <f aca="false">IF(AND(D288="Feature Use",COUNTIFS($B$5:B288,B288,$D$5:D288,"Feature Use",$E$5:E288,E288)=2),1,0)</f>
        <v>0</v>
      </c>
      <c r="K288" s="29" t="n">
        <f aca="false">IF(COUNTIF($B$5:B288,B288)=1,1,0)</f>
        <v>0</v>
      </c>
      <c r="L288" s="29" t="n">
        <f aca="false">IF(AND(C288&gt;=Settings!$B$5-Settings!$B$8+1,C288&lt;=Settings!$B$5,COUNTIFS($B$5:B288,B288,$C$5:C288,"&gt;="&amp;(Settings!$B$5-Settings!$B$8+1),$C$5:C288,"&lt;="&amp;Settings!$B$5)=1),1,0)</f>
        <v>0</v>
      </c>
      <c r="M288" s="29" t="n">
        <f aca="false">IF(AND(C288&gt;=Settings!$B$5-Settings!$B$9+1,C288&lt;=Settings!$B$5,COUNTIFS($B$5:B288,B288,$C$5:C288,"&gt;="&amp;(Settings!$B$5-Settings!$B$9+1),$C$5:C288,"&lt;="&amp;Settings!$B$5)=1),1,0)</f>
        <v>0</v>
      </c>
      <c r="N288" s="29" t="n">
        <f aca="false">IF(AND(D288="Feature Use",COUNTIFS($B$5:B288,B288,$D$5:D288,"Feature Use")=1),1,0)</f>
        <v>0</v>
      </c>
    </row>
    <row r="289" customFormat="false" ht="15" hidden="false" customHeight="false" outlineLevel="0" collapsed="false">
      <c r="A289" s="22" t="s">
        <v>596</v>
      </c>
      <c r="B289" s="22" t="s">
        <v>296</v>
      </c>
      <c r="C289" s="31" t="n">
        <v>46278</v>
      </c>
      <c r="D289" s="22" t="s">
        <v>308</v>
      </c>
      <c r="E289" s="22" t="s">
        <v>311</v>
      </c>
      <c r="F289" s="29" t="str">
        <f aca="false">IF(COUNTIF(Referral_Data!$C$5:$C$1000,B289)&gt;0,"Referred",IF(COUNTIF(Referral_Data!$B$5:$B$1000,B289)&gt;0,"Referrer","Organic"))</f>
        <v>Organic</v>
      </c>
      <c r="G289" s="29" t="n">
        <f aca="false">IF(COUNTIFS($B$5:B289,B289,$C$5:C289,C289)=1,1,0)</f>
        <v>0</v>
      </c>
      <c r="H289" s="29" t="n">
        <f aca="false">IF(AND(G289=1,COUNTIFS($B$5:$B$1635,B289,$C$5:$C$1635,"&lt;"&amp;C289)&gt;0),1,0)</f>
        <v>0</v>
      </c>
      <c r="I289" s="29" t="n">
        <f aca="false">IF(AND(D289="Feature Use",COUNTIFS($B$5:B289,B289,$D$5:D289,"Feature Use",$E$5:E289,E289)=1),1,0)</f>
        <v>0</v>
      </c>
      <c r="J289" s="29" t="n">
        <f aca="false">IF(AND(D289="Feature Use",COUNTIFS($B$5:B289,B289,$D$5:D289,"Feature Use",$E$5:E289,E289)=2),1,0)</f>
        <v>0</v>
      </c>
      <c r="K289" s="29" t="n">
        <f aca="false">IF(COUNTIF($B$5:B289,B289)=1,1,0)</f>
        <v>0</v>
      </c>
      <c r="L289" s="29" t="n">
        <f aca="false">IF(AND(C289&gt;=Settings!$B$5-Settings!$B$8+1,C289&lt;=Settings!$B$5,COUNTIFS($B$5:B289,B289,$C$5:C289,"&gt;="&amp;(Settings!$B$5-Settings!$B$8+1),$C$5:C289,"&lt;="&amp;Settings!$B$5)=1),1,0)</f>
        <v>0</v>
      </c>
      <c r="M289" s="29" t="n">
        <f aca="false">IF(AND(C289&gt;=Settings!$B$5-Settings!$B$9+1,C289&lt;=Settings!$B$5,COUNTIFS($B$5:B289,B289,$C$5:C289,"&gt;="&amp;(Settings!$B$5-Settings!$B$9+1),$C$5:C289,"&lt;="&amp;Settings!$B$5)=1),1,0)</f>
        <v>0</v>
      </c>
      <c r="N289" s="29" t="n">
        <f aca="false">IF(AND(D289="Feature Use",COUNTIFS($B$5:B289,B289,$D$5:D289,"Feature Use")=1),1,0)</f>
        <v>0</v>
      </c>
    </row>
    <row r="290" customFormat="false" ht="15" hidden="false" customHeight="false" outlineLevel="0" collapsed="false">
      <c r="A290" s="22" t="s">
        <v>597</v>
      </c>
      <c r="B290" s="22" t="s">
        <v>296</v>
      </c>
      <c r="C290" s="31" t="n">
        <v>46278</v>
      </c>
      <c r="D290" s="22" t="s">
        <v>308</v>
      </c>
      <c r="E290" s="22" t="s">
        <v>319</v>
      </c>
      <c r="F290" s="29" t="str">
        <f aca="false">IF(COUNTIF(Referral_Data!$C$5:$C$1000,B290)&gt;0,"Referred",IF(COUNTIF(Referral_Data!$B$5:$B$1000,B290)&gt;0,"Referrer","Organic"))</f>
        <v>Organic</v>
      </c>
      <c r="G290" s="29" t="n">
        <f aca="false">IF(COUNTIFS($B$5:B290,B290,$C$5:C290,C290)=1,1,0)</f>
        <v>0</v>
      </c>
      <c r="H290" s="29" t="n">
        <f aca="false">IF(AND(G290=1,COUNTIFS($B$5:$B$1635,B290,$C$5:$C$1635,"&lt;"&amp;C290)&gt;0),1,0)</f>
        <v>0</v>
      </c>
      <c r="I290" s="29" t="n">
        <f aca="false">IF(AND(D290="Feature Use",COUNTIFS($B$5:B290,B290,$D$5:D290,"Feature Use",$E$5:E290,E290)=1),1,0)</f>
        <v>0</v>
      </c>
      <c r="J290" s="29" t="n">
        <f aca="false">IF(AND(D290="Feature Use",COUNTIFS($B$5:B290,B290,$D$5:D290,"Feature Use",$E$5:E290,E290)=2),1,0)</f>
        <v>0</v>
      </c>
      <c r="K290" s="29" t="n">
        <f aca="false">IF(COUNTIF($B$5:B290,B290)=1,1,0)</f>
        <v>0</v>
      </c>
      <c r="L290" s="29" t="n">
        <f aca="false">IF(AND(C290&gt;=Settings!$B$5-Settings!$B$8+1,C290&lt;=Settings!$B$5,COUNTIFS($B$5:B290,B290,$C$5:C290,"&gt;="&amp;(Settings!$B$5-Settings!$B$8+1),$C$5:C290,"&lt;="&amp;Settings!$B$5)=1),1,0)</f>
        <v>0</v>
      </c>
      <c r="M290" s="29" t="n">
        <f aca="false">IF(AND(C290&gt;=Settings!$B$5-Settings!$B$9+1,C290&lt;=Settings!$B$5,COUNTIFS($B$5:B290,B290,$C$5:C290,"&gt;="&amp;(Settings!$B$5-Settings!$B$9+1),$C$5:C290,"&lt;="&amp;Settings!$B$5)=1),1,0)</f>
        <v>0</v>
      </c>
      <c r="N290" s="29" t="n">
        <f aca="false">IF(AND(D290="Feature Use",COUNTIFS($B$5:B290,B290,$D$5:D290,"Feature Use")=1),1,0)</f>
        <v>0</v>
      </c>
    </row>
    <row r="291" customFormat="false" ht="15" hidden="false" customHeight="false" outlineLevel="0" collapsed="false">
      <c r="A291" s="22" t="s">
        <v>598</v>
      </c>
      <c r="B291" s="22" t="s">
        <v>329</v>
      </c>
      <c r="C291" s="31" t="n">
        <v>46278</v>
      </c>
      <c r="D291" s="22" t="s">
        <v>297</v>
      </c>
      <c r="E291" s="22" t="s">
        <v>298</v>
      </c>
      <c r="F291" s="29" t="str">
        <f aca="false">IF(COUNTIF(Referral_Data!$C$5:$C$1000,B291)&gt;0,"Referred",IF(COUNTIF(Referral_Data!$B$5:$B$1000,B291)&gt;0,"Referrer","Organic"))</f>
        <v>Organic</v>
      </c>
      <c r="G291" s="29" t="n">
        <f aca="false">IF(COUNTIFS($B$5:B291,B291,$C$5:C291,C291)=1,1,0)</f>
        <v>1</v>
      </c>
      <c r="H291" s="29" t="n">
        <f aca="false">IF(AND(G291=1,COUNTIFS($B$5:$B$1635,B291,$C$5:$C$1635,"&lt;"&amp;C291)&gt;0),1,0)</f>
        <v>1</v>
      </c>
      <c r="I291" s="29" t="n">
        <f aca="false">IF(AND(D291="Feature Use",COUNTIFS($B$5:B291,B291,$D$5:D291,"Feature Use",$E$5:E291,E291)=1),1,0)</f>
        <v>0</v>
      </c>
      <c r="J291" s="29" t="n">
        <f aca="false">IF(AND(D291="Feature Use",COUNTIFS($B$5:B291,B291,$D$5:D291,"Feature Use",$E$5:E291,E291)=2),1,0)</f>
        <v>0</v>
      </c>
      <c r="K291" s="29" t="n">
        <f aca="false">IF(COUNTIF($B$5:B291,B291)=1,1,0)</f>
        <v>0</v>
      </c>
      <c r="L291" s="29" t="n">
        <f aca="false">IF(AND(C291&gt;=Settings!$B$5-Settings!$B$8+1,C291&lt;=Settings!$B$5,COUNTIFS($B$5:B291,B291,$C$5:C291,"&gt;="&amp;(Settings!$B$5-Settings!$B$8+1),$C$5:C291,"&lt;="&amp;Settings!$B$5)=1),1,0)</f>
        <v>0</v>
      </c>
      <c r="M291" s="29" t="n">
        <f aca="false">IF(AND(C291&gt;=Settings!$B$5-Settings!$B$9+1,C291&lt;=Settings!$B$5,COUNTIFS($B$5:B291,B291,$C$5:C291,"&gt;="&amp;(Settings!$B$5-Settings!$B$9+1),$C$5:C291,"&lt;="&amp;Settings!$B$5)=1),1,0)</f>
        <v>0</v>
      </c>
      <c r="N291" s="29" t="n">
        <f aca="false">IF(AND(D291="Feature Use",COUNTIFS($B$5:B291,B291,$D$5:D291,"Feature Use")=1),1,0)</f>
        <v>0</v>
      </c>
    </row>
    <row r="292" customFormat="false" ht="15" hidden="false" customHeight="false" outlineLevel="0" collapsed="false">
      <c r="A292" s="22" t="s">
        <v>599</v>
      </c>
      <c r="B292" s="22" t="s">
        <v>329</v>
      </c>
      <c r="C292" s="31" t="n">
        <v>46278</v>
      </c>
      <c r="D292" s="22" t="s">
        <v>300</v>
      </c>
      <c r="E292" s="22" t="s">
        <v>309</v>
      </c>
      <c r="F292" s="29" t="str">
        <f aca="false">IF(COUNTIF(Referral_Data!$C$5:$C$1000,B292)&gt;0,"Referred",IF(COUNTIF(Referral_Data!$B$5:$B$1000,B292)&gt;0,"Referrer","Organic"))</f>
        <v>Organic</v>
      </c>
      <c r="G292" s="29" t="n">
        <f aca="false">IF(COUNTIFS($B$5:B292,B292,$C$5:C292,C292)=1,1,0)</f>
        <v>0</v>
      </c>
      <c r="H292" s="29" t="n">
        <f aca="false">IF(AND(G292=1,COUNTIFS($B$5:$B$1635,B292,$C$5:$C$1635,"&lt;"&amp;C292)&gt;0),1,0)</f>
        <v>0</v>
      </c>
      <c r="I292" s="29" t="n">
        <f aca="false">IF(AND(D292="Feature Use",COUNTIFS($B$5:B292,B292,$D$5:D292,"Feature Use",$E$5:E292,E292)=1),1,0)</f>
        <v>0</v>
      </c>
      <c r="J292" s="29" t="n">
        <f aca="false">IF(AND(D292="Feature Use",COUNTIFS($B$5:B292,B292,$D$5:D292,"Feature Use",$E$5:E292,E292)=2),1,0)</f>
        <v>1</v>
      </c>
      <c r="K292" s="29" t="n">
        <f aca="false">IF(COUNTIF($B$5:B292,B292)=1,1,0)</f>
        <v>0</v>
      </c>
      <c r="L292" s="29" t="n">
        <f aca="false">IF(AND(C292&gt;=Settings!$B$5-Settings!$B$8+1,C292&lt;=Settings!$B$5,COUNTIFS($B$5:B292,B292,$C$5:C292,"&gt;="&amp;(Settings!$B$5-Settings!$B$8+1),$C$5:C292,"&lt;="&amp;Settings!$B$5)=1),1,0)</f>
        <v>0</v>
      </c>
      <c r="M292" s="29" t="n">
        <f aca="false">IF(AND(C292&gt;=Settings!$B$5-Settings!$B$9+1,C292&lt;=Settings!$B$5,COUNTIFS($B$5:B292,B292,$C$5:C292,"&gt;="&amp;(Settings!$B$5-Settings!$B$9+1),$C$5:C292,"&lt;="&amp;Settings!$B$5)=1),1,0)</f>
        <v>0</v>
      </c>
      <c r="N292" s="29" t="n">
        <f aca="false">IF(AND(D292="Feature Use",COUNTIFS($B$5:B292,B292,$D$5:D292,"Feature Use")=1),1,0)</f>
        <v>0</v>
      </c>
    </row>
    <row r="293" customFormat="false" ht="15" hidden="false" customHeight="false" outlineLevel="0" collapsed="false">
      <c r="A293" s="22" t="s">
        <v>600</v>
      </c>
      <c r="B293" s="22" t="s">
        <v>303</v>
      </c>
      <c r="C293" s="31" t="n">
        <v>46278</v>
      </c>
      <c r="D293" s="22" t="s">
        <v>297</v>
      </c>
      <c r="E293" s="22" t="s">
        <v>298</v>
      </c>
      <c r="F293" s="29" t="str">
        <f aca="false">IF(COUNTIF(Referral_Data!$C$5:$C$1000,B293)&gt;0,"Referred",IF(COUNTIF(Referral_Data!$B$5:$B$1000,B293)&gt;0,"Referrer","Organic"))</f>
        <v>Organic</v>
      </c>
      <c r="G293" s="29" t="n">
        <f aca="false">IF(COUNTIFS($B$5:B293,B293,$C$5:C293,C293)=1,1,0)</f>
        <v>1</v>
      </c>
      <c r="H293" s="29" t="n">
        <f aca="false">IF(AND(G293=1,COUNTIFS($B$5:$B$1635,B293,$C$5:$C$1635,"&lt;"&amp;C293)&gt;0),1,0)</f>
        <v>1</v>
      </c>
      <c r="I293" s="29" t="n">
        <f aca="false">IF(AND(D293="Feature Use",COUNTIFS($B$5:B293,B293,$D$5:D293,"Feature Use",$E$5:E293,E293)=1),1,0)</f>
        <v>0</v>
      </c>
      <c r="J293" s="29" t="n">
        <f aca="false">IF(AND(D293="Feature Use",COUNTIFS($B$5:B293,B293,$D$5:D293,"Feature Use",$E$5:E293,E293)=2),1,0)</f>
        <v>0</v>
      </c>
      <c r="K293" s="29" t="n">
        <f aca="false">IF(COUNTIF($B$5:B293,B293)=1,1,0)</f>
        <v>0</v>
      </c>
      <c r="L293" s="29" t="n">
        <f aca="false">IF(AND(C293&gt;=Settings!$B$5-Settings!$B$8+1,C293&lt;=Settings!$B$5,COUNTIFS($B$5:B293,B293,$C$5:C293,"&gt;="&amp;(Settings!$B$5-Settings!$B$8+1),$C$5:C293,"&lt;="&amp;Settings!$B$5)=1),1,0)</f>
        <v>0</v>
      </c>
      <c r="M293" s="29" t="n">
        <f aca="false">IF(AND(C293&gt;=Settings!$B$5-Settings!$B$9+1,C293&lt;=Settings!$B$5,COUNTIFS($B$5:B293,B293,$C$5:C293,"&gt;="&amp;(Settings!$B$5-Settings!$B$9+1),$C$5:C293,"&lt;="&amp;Settings!$B$5)=1),1,0)</f>
        <v>0</v>
      </c>
      <c r="N293" s="29" t="n">
        <f aca="false">IF(AND(D293="Feature Use",COUNTIFS($B$5:B293,B293,$D$5:D293,"Feature Use")=1),1,0)</f>
        <v>0</v>
      </c>
    </row>
    <row r="294" customFormat="false" ht="15" hidden="false" customHeight="false" outlineLevel="0" collapsed="false">
      <c r="A294" s="22" t="s">
        <v>601</v>
      </c>
      <c r="B294" s="22" t="s">
        <v>303</v>
      </c>
      <c r="C294" s="31" t="n">
        <v>46278</v>
      </c>
      <c r="D294" s="22" t="s">
        <v>300</v>
      </c>
      <c r="E294" s="22" t="s">
        <v>301</v>
      </c>
      <c r="F294" s="29" t="str">
        <f aca="false">IF(COUNTIF(Referral_Data!$C$5:$C$1000,B294)&gt;0,"Referred",IF(COUNTIF(Referral_Data!$B$5:$B$1000,B294)&gt;0,"Referrer","Organic"))</f>
        <v>Organic</v>
      </c>
      <c r="G294" s="29" t="n">
        <f aca="false">IF(COUNTIFS($B$5:B294,B294,$C$5:C294,C294)=1,1,0)</f>
        <v>0</v>
      </c>
      <c r="H294" s="29" t="n">
        <f aca="false">IF(AND(G294=1,COUNTIFS($B$5:$B$1635,B294,$C$5:$C$1635,"&lt;"&amp;C294)&gt;0),1,0)</f>
        <v>0</v>
      </c>
      <c r="I294" s="29" t="n">
        <f aca="false">IF(AND(D294="Feature Use",COUNTIFS($B$5:B294,B294,$D$5:D294,"Feature Use",$E$5:E294,E294)=1),1,0)</f>
        <v>0</v>
      </c>
      <c r="J294" s="29" t="n">
        <f aca="false">IF(AND(D294="Feature Use",COUNTIFS($B$5:B294,B294,$D$5:D294,"Feature Use",$E$5:E294,E294)=2),1,0)</f>
        <v>1</v>
      </c>
      <c r="K294" s="29" t="n">
        <f aca="false">IF(COUNTIF($B$5:B294,B294)=1,1,0)</f>
        <v>0</v>
      </c>
      <c r="L294" s="29" t="n">
        <f aca="false">IF(AND(C294&gt;=Settings!$B$5-Settings!$B$8+1,C294&lt;=Settings!$B$5,COUNTIFS($B$5:B294,B294,$C$5:C294,"&gt;="&amp;(Settings!$B$5-Settings!$B$8+1),$C$5:C294,"&lt;="&amp;Settings!$B$5)=1),1,0)</f>
        <v>0</v>
      </c>
      <c r="M294" s="29" t="n">
        <f aca="false">IF(AND(C294&gt;=Settings!$B$5-Settings!$B$9+1,C294&lt;=Settings!$B$5,COUNTIFS($B$5:B294,B294,$C$5:C294,"&gt;="&amp;(Settings!$B$5-Settings!$B$9+1),$C$5:C294,"&lt;="&amp;Settings!$B$5)=1),1,0)</f>
        <v>0</v>
      </c>
      <c r="N294" s="29" t="n">
        <f aca="false">IF(AND(D294="Feature Use",COUNTIFS($B$5:B294,B294,$D$5:D294,"Feature Use")=1),1,0)</f>
        <v>0</v>
      </c>
    </row>
    <row r="295" customFormat="false" ht="15" hidden="false" customHeight="false" outlineLevel="0" collapsed="false">
      <c r="A295" s="22" t="s">
        <v>602</v>
      </c>
      <c r="B295" s="22" t="s">
        <v>303</v>
      </c>
      <c r="C295" s="31" t="n">
        <v>46278</v>
      </c>
      <c r="D295" s="22" t="s">
        <v>300</v>
      </c>
      <c r="E295" s="22" t="s">
        <v>311</v>
      </c>
      <c r="F295" s="29" t="str">
        <f aca="false">IF(COUNTIF(Referral_Data!$C$5:$C$1000,B295)&gt;0,"Referred",IF(COUNTIF(Referral_Data!$B$5:$B$1000,B295)&gt;0,"Referrer","Organic"))</f>
        <v>Organic</v>
      </c>
      <c r="G295" s="29" t="n">
        <f aca="false">IF(COUNTIFS($B$5:B295,B295,$C$5:C295,C295)=1,1,0)</f>
        <v>0</v>
      </c>
      <c r="H295" s="29" t="n">
        <f aca="false">IF(AND(G295=1,COUNTIFS($B$5:$B$1635,B295,$C$5:$C$1635,"&lt;"&amp;C295)&gt;0),1,0)</f>
        <v>0</v>
      </c>
      <c r="I295" s="29" t="n">
        <f aca="false">IF(AND(D295="Feature Use",COUNTIFS($B$5:B295,B295,$D$5:D295,"Feature Use",$E$5:E295,E295)=1),1,0)</f>
        <v>1</v>
      </c>
      <c r="J295" s="29" t="n">
        <f aca="false">IF(AND(D295="Feature Use",COUNTIFS($B$5:B295,B295,$D$5:D295,"Feature Use",$E$5:E295,E295)=2),1,0)</f>
        <v>0</v>
      </c>
      <c r="K295" s="29" t="n">
        <f aca="false">IF(COUNTIF($B$5:B295,B295)=1,1,0)</f>
        <v>0</v>
      </c>
      <c r="L295" s="29" t="n">
        <f aca="false">IF(AND(C295&gt;=Settings!$B$5-Settings!$B$8+1,C295&lt;=Settings!$B$5,COUNTIFS($B$5:B295,B295,$C$5:C295,"&gt;="&amp;(Settings!$B$5-Settings!$B$8+1),$C$5:C295,"&lt;="&amp;Settings!$B$5)=1),1,0)</f>
        <v>0</v>
      </c>
      <c r="M295" s="29" t="n">
        <f aca="false">IF(AND(C295&gt;=Settings!$B$5-Settings!$B$9+1,C295&lt;=Settings!$B$5,COUNTIFS($B$5:B295,B295,$C$5:C295,"&gt;="&amp;(Settings!$B$5-Settings!$B$9+1),$C$5:C295,"&lt;="&amp;Settings!$B$5)=1),1,0)</f>
        <v>0</v>
      </c>
      <c r="N295" s="29" t="n">
        <f aca="false">IF(AND(D295="Feature Use",COUNTIFS($B$5:B295,B295,$D$5:D295,"Feature Use")=1),1,0)</f>
        <v>0</v>
      </c>
    </row>
    <row r="296" customFormat="false" ht="15" hidden="false" customHeight="false" outlineLevel="0" collapsed="false">
      <c r="A296" s="22" t="s">
        <v>603</v>
      </c>
      <c r="B296" s="22" t="s">
        <v>168</v>
      </c>
      <c r="C296" s="31" t="n">
        <v>46278</v>
      </c>
      <c r="D296" s="22" t="s">
        <v>297</v>
      </c>
      <c r="E296" s="22" t="s">
        <v>298</v>
      </c>
      <c r="F296" s="29" t="str">
        <f aca="false">IF(COUNTIF(Referral_Data!$C$5:$C$1000,B296)&gt;0,"Referred",IF(COUNTIF(Referral_Data!$B$5:$B$1000,B296)&gt;0,"Referrer","Organic"))</f>
        <v>Referred</v>
      </c>
      <c r="G296" s="29" t="n">
        <f aca="false">IF(COUNTIFS($B$5:B296,B296,$C$5:C296,C296)=1,1,0)</f>
        <v>1</v>
      </c>
      <c r="H296" s="29" t="n">
        <f aca="false">IF(AND(G296=1,COUNTIFS($B$5:$B$1635,B296,$C$5:$C$1635,"&lt;"&amp;C296)&gt;0),1,0)</f>
        <v>1</v>
      </c>
      <c r="I296" s="29" t="n">
        <f aca="false">IF(AND(D296="Feature Use",COUNTIFS($B$5:B296,B296,$D$5:D296,"Feature Use",$E$5:E296,E296)=1),1,0)</f>
        <v>0</v>
      </c>
      <c r="J296" s="29" t="n">
        <f aca="false">IF(AND(D296="Feature Use",COUNTIFS($B$5:B296,B296,$D$5:D296,"Feature Use",$E$5:E296,E296)=2),1,0)</f>
        <v>0</v>
      </c>
      <c r="K296" s="29" t="n">
        <f aca="false">IF(COUNTIF($B$5:B296,B296)=1,1,0)</f>
        <v>0</v>
      </c>
      <c r="L296" s="29" t="n">
        <f aca="false">IF(AND(C296&gt;=Settings!$B$5-Settings!$B$8+1,C296&lt;=Settings!$B$5,COUNTIFS($B$5:B296,B296,$C$5:C296,"&gt;="&amp;(Settings!$B$5-Settings!$B$8+1),$C$5:C296,"&lt;="&amp;Settings!$B$5)=1),1,0)</f>
        <v>0</v>
      </c>
      <c r="M296" s="29" t="n">
        <f aca="false">IF(AND(C296&gt;=Settings!$B$5-Settings!$B$9+1,C296&lt;=Settings!$B$5,COUNTIFS($B$5:B296,B296,$C$5:C296,"&gt;="&amp;(Settings!$B$5-Settings!$B$9+1),$C$5:C296,"&lt;="&amp;Settings!$B$5)=1),1,0)</f>
        <v>0</v>
      </c>
      <c r="N296" s="29" t="n">
        <f aca="false">IF(AND(D296="Feature Use",COUNTIFS($B$5:B296,B296,$D$5:D296,"Feature Use")=1),1,0)</f>
        <v>0</v>
      </c>
    </row>
    <row r="297" customFormat="false" ht="15" hidden="false" customHeight="false" outlineLevel="0" collapsed="false">
      <c r="A297" s="22" t="s">
        <v>604</v>
      </c>
      <c r="B297" s="22" t="s">
        <v>168</v>
      </c>
      <c r="C297" s="31" t="n">
        <v>46278</v>
      </c>
      <c r="D297" s="22" t="s">
        <v>300</v>
      </c>
      <c r="E297" s="22" t="s">
        <v>311</v>
      </c>
      <c r="F297" s="29" t="str">
        <f aca="false">IF(COUNTIF(Referral_Data!$C$5:$C$1000,B297)&gt;0,"Referred",IF(COUNTIF(Referral_Data!$B$5:$B$1000,B297)&gt;0,"Referrer","Organic"))</f>
        <v>Referred</v>
      </c>
      <c r="G297" s="29" t="n">
        <f aca="false">IF(COUNTIFS($B$5:B297,B297,$C$5:C297,C297)=1,1,0)</f>
        <v>0</v>
      </c>
      <c r="H297" s="29" t="n">
        <f aca="false">IF(AND(G297=1,COUNTIFS($B$5:$B$1635,B297,$C$5:$C$1635,"&lt;"&amp;C297)&gt;0),1,0)</f>
        <v>0</v>
      </c>
      <c r="I297" s="29" t="n">
        <f aca="false">IF(AND(D297="Feature Use",COUNTIFS($B$5:B297,B297,$D$5:D297,"Feature Use",$E$5:E297,E297)=1),1,0)</f>
        <v>0</v>
      </c>
      <c r="J297" s="29" t="n">
        <f aca="false">IF(AND(D297="Feature Use",COUNTIFS($B$5:B297,B297,$D$5:D297,"Feature Use",$E$5:E297,E297)=2),1,0)</f>
        <v>0</v>
      </c>
      <c r="K297" s="29" t="n">
        <f aca="false">IF(COUNTIF($B$5:B297,B297)=1,1,0)</f>
        <v>0</v>
      </c>
      <c r="L297" s="29" t="n">
        <f aca="false">IF(AND(C297&gt;=Settings!$B$5-Settings!$B$8+1,C297&lt;=Settings!$B$5,COUNTIFS($B$5:B297,B297,$C$5:C297,"&gt;="&amp;(Settings!$B$5-Settings!$B$8+1),$C$5:C297,"&lt;="&amp;Settings!$B$5)=1),1,0)</f>
        <v>0</v>
      </c>
      <c r="M297" s="29" t="n">
        <f aca="false">IF(AND(C297&gt;=Settings!$B$5-Settings!$B$9+1,C297&lt;=Settings!$B$5,COUNTIFS($B$5:B297,B297,$C$5:C297,"&gt;="&amp;(Settings!$B$5-Settings!$B$9+1),$C$5:C297,"&lt;="&amp;Settings!$B$5)=1),1,0)</f>
        <v>0</v>
      </c>
      <c r="N297" s="29" t="n">
        <f aca="false">IF(AND(D297="Feature Use",COUNTIFS($B$5:B297,B297,$D$5:D297,"Feature Use")=1),1,0)</f>
        <v>0</v>
      </c>
    </row>
    <row r="298" customFormat="false" ht="15" hidden="false" customHeight="false" outlineLevel="0" collapsed="false">
      <c r="A298" s="22" t="s">
        <v>605</v>
      </c>
      <c r="B298" s="22" t="s">
        <v>168</v>
      </c>
      <c r="C298" s="31" t="n">
        <v>46278</v>
      </c>
      <c r="D298" s="22" t="s">
        <v>300</v>
      </c>
      <c r="E298" s="22" t="s">
        <v>305</v>
      </c>
      <c r="F298" s="29" t="str">
        <f aca="false">IF(COUNTIF(Referral_Data!$C$5:$C$1000,B298)&gt;0,"Referred",IF(COUNTIF(Referral_Data!$B$5:$B$1000,B298)&gt;0,"Referrer","Organic"))</f>
        <v>Referred</v>
      </c>
      <c r="G298" s="29" t="n">
        <f aca="false">IF(COUNTIFS($B$5:B298,B298,$C$5:C298,C298)=1,1,0)</f>
        <v>0</v>
      </c>
      <c r="H298" s="29" t="n">
        <f aca="false">IF(AND(G298=1,COUNTIFS($B$5:$B$1635,B298,$C$5:$C$1635,"&lt;"&amp;C298)&gt;0),1,0)</f>
        <v>0</v>
      </c>
      <c r="I298" s="29" t="n">
        <f aca="false">IF(AND(D298="Feature Use",COUNTIFS($B$5:B298,B298,$D$5:D298,"Feature Use",$E$5:E298,E298)=1),1,0)</f>
        <v>0</v>
      </c>
      <c r="J298" s="29" t="n">
        <f aca="false">IF(AND(D298="Feature Use",COUNTIFS($B$5:B298,B298,$D$5:D298,"Feature Use",$E$5:E298,E298)=2),1,0)</f>
        <v>0</v>
      </c>
      <c r="K298" s="29" t="n">
        <f aca="false">IF(COUNTIF($B$5:B298,B298)=1,1,0)</f>
        <v>0</v>
      </c>
      <c r="L298" s="29" t="n">
        <f aca="false">IF(AND(C298&gt;=Settings!$B$5-Settings!$B$8+1,C298&lt;=Settings!$B$5,COUNTIFS($B$5:B298,B298,$C$5:C298,"&gt;="&amp;(Settings!$B$5-Settings!$B$8+1),$C$5:C298,"&lt;="&amp;Settings!$B$5)=1),1,0)</f>
        <v>0</v>
      </c>
      <c r="M298" s="29" t="n">
        <f aca="false">IF(AND(C298&gt;=Settings!$B$5-Settings!$B$9+1,C298&lt;=Settings!$B$5,COUNTIFS($B$5:B298,B298,$C$5:C298,"&gt;="&amp;(Settings!$B$5-Settings!$B$9+1),$C$5:C298,"&lt;="&amp;Settings!$B$5)=1),1,0)</f>
        <v>0</v>
      </c>
      <c r="N298" s="29" t="n">
        <f aca="false">IF(AND(D298="Feature Use",COUNTIFS($B$5:B298,B298,$D$5:D298,"Feature Use")=1),1,0)</f>
        <v>0</v>
      </c>
    </row>
    <row r="299" customFormat="false" ht="15" hidden="false" customHeight="false" outlineLevel="0" collapsed="false">
      <c r="A299" s="22" t="s">
        <v>606</v>
      </c>
      <c r="B299" s="22" t="s">
        <v>194</v>
      </c>
      <c r="C299" s="31" t="n">
        <v>46278</v>
      </c>
      <c r="D299" s="22" t="s">
        <v>297</v>
      </c>
      <c r="E299" s="22" t="s">
        <v>298</v>
      </c>
      <c r="F299" s="29" t="str">
        <f aca="false">IF(COUNTIF(Referral_Data!$C$5:$C$1000,B299)&gt;0,"Referred",IF(COUNTIF(Referral_Data!$B$5:$B$1000,B299)&gt;0,"Referrer","Organic"))</f>
        <v>Referred</v>
      </c>
      <c r="G299" s="29" t="n">
        <f aca="false">IF(COUNTIFS($B$5:B299,B299,$C$5:C299,C299)=1,1,0)</f>
        <v>1</v>
      </c>
      <c r="H299" s="29" t="n">
        <f aca="false">IF(AND(G299=1,COUNTIFS($B$5:$B$1635,B299,$C$5:$C$1635,"&lt;"&amp;C299)&gt;0),1,0)</f>
        <v>1</v>
      </c>
      <c r="I299" s="29" t="n">
        <f aca="false">IF(AND(D299="Feature Use",COUNTIFS($B$5:B299,B299,$D$5:D299,"Feature Use",$E$5:E299,E299)=1),1,0)</f>
        <v>0</v>
      </c>
      <c r="J299" s="29" t="n">
        <f aca="false">IF(AND(D299="Feature Use",COUNTIFS($B$5:B299,B299,$D$5:D299,"Feature Use",$E$5:E299,E299)=2),1,0)</f>
        <v>0</v>
      </c>
      <c r="K299" s="29" t="n">
        <f aca="false">IF(COUNTIF($B$5:B299,B299)=1,1,0)</f>
        <v>0</v>
      </c>
      <c r="L299" s="29" t="n">
        <f aca="false">IF(AND(C299&gt;=Settings!$B$5-Settings!$B$8+1,C299&lt;=Settings!$B$5,COUNTIFS($B$5:B299,B299,$C$5:C299,"&gt;="&amp;(Settings!$B$5-Settings!$B$8+1),$C$5:C299,"&lt;="&amp;Settings!$B$5)=1),1,0)</f>
        <v>0</v>
      </c>
      <c r="M299" s="29" t="n">
        <f aca="false">IF(AND(C299&gt;=Settings!$B$5-Settings!$B$9+1,C299&lt;=Settings!$B$5,COUNTIFS($B$5:B299,B299,$C$5:C299,"&gt;="&amp;(Settings!$B$5-Settings!$B$9+1),$C$5:C299,"&lt;="&amp;Settings!$B$5)=1),1,0)</f>
        <v>0</v>
      </c>
      <c r="N299" s="29" t="n">
        <f aca="false">IF(AND(D299="Feature Use",COUNTIFS($B$5:B299,B299,$D$5:D299,"Feature Use")=1),1,0)</f>
        <v>0</v>
      </c>
    </row>
    <row r="300" customFormat="false" ht="15" hidden="false" customHeight="false" outlineLevel="0" collapsed="false">
      <c r="A300" s="22" t="s">
        <v>607</v>
      </c>
      <c r="B300" s="22" t="s">
        <v>194</v>
      </c>
      <c r="C300" s="31" t="n">
        <v>46278</v>
      </c>
      <c r="D300" s="22" t="s">
        <v>300</v>
      </c>
      <c r="E300" s="22" t="s">
        <v>319</v>
      </c>
      <c r="F300" s="29" t="str">
        <f aca="false">IF(COUNTIF(Referral_Data!$C$5:$C$1000,B300)&gt;0,"Referred",IF(COUNTIF(Referral_Data!$B$5:$B$1000,B300)&gt;0,"Referrer","Organic"))</f>
        <v>Referred</v>
      </c>
      <c r="G300" s="29" t="n">
        <f aca="false">IF(COUNTIFS($B$5:B300,B300,$C$5:C300,C300)=1,1,0)</f>
        <v>0</v>
      </c>
      <c r="H300" s="29" t="n">
        <f aca="false">IF(AND(G300=1,COUNTIFS($B$5:$B$1635,B300,$C$5:$C$1635,"&lt;"&amp;C300)&gt;0),1,0)</f>
        <v>0</v>
      </c>
      <c r="I300" s="29" t="n">
        <f aca="false">IF(AND(D300="Feature Use",COUNTIFS($B$5:B300,B300,$D$5:D300,"Feature Use",$E$5:E300,E300)=1),1,0)</f>
        <v>1</v>
      </c>
      <c r="J300" s="29" t="n">
        <f aca="false">IF(AND(D300="Feature Use",COUNTIFS($B$5:B300,B300,$D$5:D300,"Feature Use",$E$5:E300,E300)=2),1,0)</f>
        <v>0</v>
      </c>
      <c r="K300" s="29" t="n">
        <f aca="false">IF(COUNTIF($B$5:B300,B300)=1,1,0)</f>
        <v>0</v>
      </c>
      <c r="L300" s="29" t="n">
        <f aca="false">IF(AND(C300&gt;=Settings!$B$5-Settings!$B$8+1,C300&lt;=Settings!$B$5,COUNTIFS($B$5:B300,B300,$C$5:C300,"&gt;="&amp;(Settings!$B$5-Settings!$B$8+1),$C$5:C300,"&lt;="&amp;Settings!$B$5)=1),1,0)</f>
        <v>0</v>
      </c>
      <c r="M300" s="29" t="n">
        <f aca="false">IF(AND(C300&gt;=Settings!$B$5-Settings!$B$9+1,C300&lt;=Settings!$B$5,COUNTIFS($B$5:B300,B300,$C$5:C300,"&gt;="&amp;(Settings!$B$5-Settings!$B$9+1),$C$5:C300,"&lt;="&amp;Settings!$B$5)=1),1,0)</f>
        <v>0</v>
      </c>
      <c r="N300" s="29" t="n">
        <f aca="false">IF(AND(D300="Feature Use",COUNTIFS($B$5:B300,B300,$D$5:D300,"Feature Use")=1),1,0)</f>
        <v>0</v>
      </c>
    </row>
    <row r="301" customFormat="false" ht="15" hidden="false" customHeight="false" outlineLevel="0" collapsed="false">
      <c r="A301" s="22" t="s">
        <v>608</v>
      </c>
      <c r="B301" s="22" t="s">
        <v>194</v>
      </c>
      <c r="C301" s="31" t="n">
        <v>46278</v>
      </c>
      <c r="D301" s="22" t="s">
        <v>308</v>
      </c>
      <c r="E301" s="22" t="s">
        <v>311</v>
      </c>
      <c r="F301" s="29" t="str">
        <f aca="false">IF(COUNTIF(Referral_Data!$C$5:$C$1000,B301)&gt;0,"Referred",IF(COUNTIF(Referral_Data!$B$5:$B$1000,B301)&gt;0,"Referrer","Organic"))</f>
        <v>Referred</v>
      </c>
      <c r="G301" s="29" t="n">
        <f aca="false">IF(COUNTIFS($B$5:B301,B301,$C$5:C301,C301)=1,1,0)</f>
        <v>0</v>
      </c>
      <c r="H301" s="29" t="n">
        <f aca="false">IF(AND(G301=1,COUNTIFS($B$5:$B$1635,B301,$C$5:$C$1635,"&lt;"&amp;C301)&gt;0),1,0)</f>
        <v>0</v>
      </c>
      <c r="I301" s="29" t="n">
        <f aca="false">IF(AND(D301="Feature Use",COUNTIFS($B$5:B301,B301,$D$5:D301,"Feature Use",$E$5:E301,E301)=1),1,0)</f>
        <v>0</v>
      </c>
      <c r="J301" s="29" t="n">
        <f aca="false">IF(AND(D301="Feature Use",COUNTIFS($B$5:B301,B301,$D$5:D301,"Feature Use",$E$5:E301,E301)=2),1,0)</f>
        <v>0</v>
      </c>
      <c r="K301" s="29" t="n">
        <f aca="false">IF(COUNTIF($B$5:B301,B301)=1,1,0)</f>
        <v>0</v>
      </c>
      <c r="L301" s="29" t="n">
        <f aca="false">IF(AND(C301&gt;=Settings!$B$5-Settings!$B$8+1,C301&lt;=Settings!$B$5,COUNTIFS($B$5:B301,B301,$C$5:C301,"&gt;="&amp;(Settings!$B$5-Settings!$B$8+1),$C$5:C301,"&lt;="&amp;Settings!$B$5)=1),1,0)</f>
        <v>0</v>
      </c>
      <c r="M301" s="29" t="n">
        <f aca="false">IF(AND(C301&gt;=Settings!$B$5-Settings!$B$9+1,C301&lt;=Settings!$B$5,COUNTIFS($B$5:B301,B301,$C$5:C301,"&gt;="&amp;(Settings!$B$5-Settings!$B$9+1),$C$5:C301,"&lt;="&amp;Settings!$B$5)=1),1,0)</f>
        <v>0</v>
      </c>
      <c r="N301" s="29" t="n">
        <f aca="false">IF(AND(D301="Feature Use",COUNTIFS($B$5:B301,B301,$D$5:D301,"Feature Use")=1),1,0)</f>
        <v>0</v>
      </c>
    </row>
    <row r="302" customFormat="false" ht="15" hidden="false" customHeight="false" outlineLevel="0" collapsed="false">
      <c r="A302" s="22" t="s">
        <v>609</v>
      </c>
      <c r="B302" s="22" t="s">
        <v>194</v>
      </c>
      <c r="C302" s="31" t="n">
        <v>46278</v>
      </c>
      <c r="D302" s="22" t="s">
        <v>308</v>
      </c>
      <c r="E302" s="22" t="s">
        <v>311</v>
      </c>
      <c r="F302" s="29" t="str">
        <f aca="false">IF(COUNTIF(Referral_Data!$C$5:$C$1000,B302)&gt;0,"Referred",IF(COUNTIF(Referral_Data!$B$5:$B$1000,B302)&gt;0,"Referrer","Organic"))</f>
        <v>Referred</v>
      </c>
      <c r="G302" s="29" t="n">
        <f aca="false">IF(COUNTIFS($B$5:B302,B302,$C$5:C302,C302)=1,1,0)</f>
        <v>0</v>
      </c>
      <c r="H302" s="29" t="n">
        <f aca="false">IF(AND(G302=1,COUNTIFS($B$5:$B$1635,B302,$C$5:$C$1635,"&lt;"&amp;C302)&gt;0),1,0)</f>
        <v>0</v>
      </c>
      <c r="I302" s="29" t="n">
        <f aca="false">IF(AND(D302="Feature Use",COUNTIFS($B$5:B302,B302,$D$5:D302,"Feature Use",$E$5:E302,E302)=1),1,0)</f>
        <v>0</v>
      </c>
      <c r="J302" s="29" t="n">
        <f aca="false">IF(AND(D302="Feature Use",COUNTIFS($B$5:B302,B302,$D$5:D302,"Feature Use",$E$5:E302,E302)=2),1,0)</f>
        <v>0</v>
      </c>
      <c r="K302" s="29" t="n">
        <f aca="false">IF(COUNTIF($B$5:B302,B302)=1,1,0)</f>
        <v>0</v>
      </c>
      <c r="L302" s="29" t="n">
        <f aca="false">IF(AND(C302&gt;=Settings!$B$5-Settings!$B$8+1,C302&lt;=Settings!$B$5,COUNTIFS($B$5:B302,B302,$C$5:C302,"&gt;="&amp;(Settings!$B$5-Settings!$B$8+1),$C$5:C302,"&lt;="&amp;Settings!$B$5)=1),1,0)</f>
        <v>0</v>
      </c>
      <c r="M302" s="29" t="n">
        <f aca="false">IF(AND(C302&gt;=Settings!$B$5-Settings!$B$9+1,C302&lt;=Settings!$B$5,COUNTIFS($B$5:B302,B302,$C$5:C302,"&gt;="&amp;(Settings!$B$5-Settings!$B$9+1),$C$5:C302,"&lt;="&amp;Settings!$B$5)=1),1,0)</f>
        <v>0</v>
      </c>
      <c r="N302" s="29" t="n">
        <f aca="false">IF(AND(D302="Feature Use",COUNTIFS($B$5:B302,B302,$D$5:D302,"Feature Use")=1),1,0)</f>
        <v>0</v>
      </c>
    </row>
    <row r="303" customFormat="false" ht="15" hidden="false" customHeight="false" outlineLevel="0" collapsed="false">
      <c r="A303" s="22" t="s">
        <v>610</v>
      </c>
      <c r="B303" s="22" t="s">
        <v>234</v>
      </c>
      <c r="C303" s="31" t="n">
        <v>46278</v>
      </c>
      <c r="D303" s="22" t="s">
        <v>297</v>
      </c>
      <c r="E303" s="22" t="s">
        <v>298</v>
      </c>
      <c r="F303" s="29" t="str">
        <f aca="false">IF(COUNTIF(Referral_Data!$C$5:$C$1000,B303)&gt;0,"Referred",IF(COUNTIF(Referral_Data!$B$5:$B$1000,B303)&gt;0,"Referrer","Organic"))</f>
        <v>Referred</v>
      </c>
      <c r="G303" s="29" t="n">
        <f aca="false">IF(COUNTIFS($B$5:B303,B303,$C$5:C303,C303)=1,1,0)</f>
        <v>1</v>
      </c>
      <c r="H303" s="29" t="n">
        <f aca="false">IF(AND(G303=1,COUNTIFS($B$5:$B$1635,B303,$C$5:$C$1635,"&lt;"&amp;C303)&gt;0),1,0)</f>
        <v>0</v>
      </c>
      <c r="I303" s="29" t="n">
        <f aca="false">IF(AND(D303="Feature Use",COUNTIFS($B$5:B303,B303,$D$5:D303,"Feature Use",$E$5:E303,E303)=1),1,0)</f>
        <v>0</v>
      </c>
      <c r="J303" s="29" t="n">
        <f aca="false">IF(AND(D303="Feature Use",COUNTIFS($B$5:B303,B303,$D$5:D303,"Feature Use",$E$5:E303,E303)=2),1,0)</f>
        <v>0</v>
      </c>
      <c r="K303" s="29" t="n">
        <f aca="false">IF(COUNTIF($B$5:B303,B303)=1,1,0)</f>
        <v>1</v>
      </c>
      <c r="L303" s="29" t="n">
        <f aca="false">IF(AND(C303&gt;=Settings!$B$5-Settings!$B$8+1,C303&lt;=Settings!$B$5,COUNTIFS($B$5:B303,B303,$C$5:C303,"&gt;="&amp;(Settings!$B$5-Settings!$B$8+1),$C$5:C303,"&lt;="&amp;Settings!$B$5)=1),1,0)</f>
        <v>0</v>
      </c>
      <c r="M303" s="29" t="n">
        <f aca="false">IF(AND(C303&gt;=Settings!$B$5-Settings!$B$9+1,C303&lt;=Settings!$B$5,COUNTIFS($B$5:B303,B303,$C$5:C303,"&gt;="&amp;(Settings!$B$5-Settings!$B$9+1),$C$5:C303,"&lt;="&amp;Settings!$B$5)=1),1,0)</f>
        <v>0</v>
      </c>
      <c r="N303" s="29" t="n">
        <f aca="false">IF(AND(D303="Feature Use",COUNTIFS($B$5:B303,B303,$D$5:D303,"Feature Use")=1),1,0)</f>
        <v>0</v>
      </c>
    </row>
    <row r="304" customFormat="false" ht="15" hidden="false" customHeight="false" outlineLevel="0" collapsed="false">
      <c r="A304" s="22" t="s">
        <v>611</v>
      </c>
      <c r="B304" s="22" t="s">
        <v>234</v>
      </c>
      <c r="C304" s="31" t="n">
        <v>46278</v>
      </c>
      <c r="D304" s="22" t="s">
        <v>300</v>
      </c>
      <c r="E304" s="22" t="s">
        <v>305</v>
      </c>
      <c r="F304" s="29" t="str">
        <f aca="false">IF(COUNTIF(Referral_Data!$C$5:$C$1000,B304)&gt;0,"Referred",IF(COUNTIF(Referral_Data!$B$5:$B$1000,B304)&gt;0,"Referrer","Organic"))</f>
        <v>Referred</v>
      </c>
      <c r="G304" s="29" t="n">
        <f aca="false">IF(COUNTIFS($B$5:B304,B304,$C$5:C304,C304)=1,1,0)</f>
        <v>0</v>
      </c>
      <c r="H304" s="29" t="n">
        <f aca="false">IF(AND(G304=1,COUNTIFS($B$5:$B$1635,B304,$C$5:$C$1635,"&lt;"&amp;C304)&gt;0),1,0)</f>
        <v>0</v>
      </c>
      <c r="I304" s="29" t="n">
        <f aca="false">IF(AND(D304="Feature Use",COUNTIFS($B$5:B304,B304,$D$5:D304,"Feature Use",$E$5:E304,E304)=1),1,0)</f>
        <v>1</v>
      </c>
      <c r="J304" s="29" t="n">
        <f aca="false">IF(AND(D304="Feature Use",COUNTIFS($B$5:B304,B304,$D$5:D304,"Feature Use",$E$5:E304,E304)=2),1,0)</f>
        <v>0</v>
      </c>
      <c r="K304" s="29" t="n">
        <f aca="false">IF(COUNTIF($B$5:B304,B304)=1,1,0)</f>
        <v>0</v>
      </c>
      <c r="L304" s="29" t="n">
        <f aca="false">IF(AND(C304&gt;=Settings!$B$5-Settings!$B$8+1,C304&lt;=Settings!$B$5,COUNTIFS($B$5:B304,B304,$C$5:C304,"&gt;="&amp;(Settings!$B$5-Settings!$B$8+1),$C$5:C304,"&lt;="&amp;Settings!$B$5)=1),1,0)</f>
        <v>0</v>
      </c>
      <c r="M304" s="29" t="n">
        <f aca="false">IF(AND(C304&gt;=Settings!$B$5-Settings!$B$9+1,C304&lt;=Settings!$B$5,COUNTIFS($B$5:B304,B304,$C$5:C304,"&gt;="&amp;(Settings!$B$5-Settings!$B$9+1),$C$5:C304,"&lt;="&amp;Settings!$B$5)=1),1,0)</f>
        <v>0</v>
      </c>
      <c r="N304" s="29" t="n">
        <f aca="false">IF(AND(D304="Feature Use",COUNTIFS($B$5:B304,B304,$D$5:D304,"Feature Use")=1),1,0)</f>
        <v>1</v>
      </c>
    </row>
    <row r="305" customFormat="false" ht="15" hidden="false" customHeight="false" outlineLevel="0" collapsed="false">
      <c r="A305" s="22" t="s">
        <v>612</v>
      </c>
      <c r="B305" s="22" t="s">
        <v>203</v>
      </c>
      <c r="C305" s="31" t="n">
        <v>46278</v>
      </c>
      <c r="D305" s="22" t="s">
        <v>297</v>
      </c>
      <c r="E305" s="22" t="s">
        <v>298</v>
      </c>
      <c r="F305" s="29" t="str">
        <f aca="false">IF(COUNTIF(Referral_Data!$C$5:$C$1000,B305)&gt;0,"Referred",IF(COUNTIF(Referral_Data!$B$5:$B$1000,B305)&gt;0,"Referrer","Organic"))</f>
        <v>Referrer</v>
      </c>
      <c r="G305" s="29" t="n">
        <f aca="false">IF(COUNTIFS($B$5:B305,B305,$C$5:C305,C305)=1,1,0)</f>
        <v>1</v>
      </c>
      <c r="H305" s="29" t="n">
        <f aca="false">IF(AND(G305=1,COUNTIFS($B$5:$B$1635,B305,$C$5:$C$1635,"&lt;"&amp;C305)&gt;0),1,0)</f>
        <v>1</v>
      </c>
      <c r="I305" s="29" t="n">
        <f aca="false">IF(AND(D305="Feature Use",COUNTIFS($B$5:B305,B305,$D$5:D305,"Feature Use",$E$5:E305,E305)=1),1,0)</f>
        <v>0</v>
      </c>
      <c r="J305" s="29" t="n">
        <f aca="false">IF(AND(D305="Feature Use",COUNTIFS($B$5:B305,B305,$D$5:D305,"Feature Use",$E$5:E305,E305)=2),1,0)</f>
        <v>0</v>
      </c>
      <c r="K305" s="29" t="n">
        <f aca="false">IF(COUNTIF($B$5:B305,B305)=1,1,0)</f>
        <v>0</v>
      </c>
      <c r="L305" s="29" t="n">
        <f aca="false">IF(AND(C305&gt;=Settings!$B$5-Settings!$B$8+1,C305&lt;=Settings!$B$5,COUNTIFS($B$5:B305,B305,$C$5:C305,"&gt;="&amp;(Settings!$B$5-Settings!$B$8+1),$C$5:C305,"&lt;="&amp;Settings!$B$5)=1),1,0)</f>
        <v>0</v>
      </c>
      <c r="M305" s="29" t="n">
        <f aca="false">IF(AND(C305&gt;=Settings!$B$5-Settings!$B$9+1,C305&lt;=Settings!$B$5,COUNTIFS($B$5:B305,B305,$C$5:C305,"&gt;="&amp;(Settings!$B$5-Settings!$B$9+1),$C$5:C305,"&lt;="&amp;Settings!$B$5)=1),1,0)</f>
        <v>0</v>
      </c>
      <c r="N305" s="29" t="n">
        <f aca="false">IF(AND(D305="Feature Use",COUNTIFS($B$5:B305,B305,$D$5:D305,"Feature Use")=1),1,0)</f>
        <v>0</v>
      </c>
    </row>
    <row r="306" customFormat="false" ht="15" hidden="false" customHeight="false" outlineLevel="0" collapsed="false">
      <c r="A306" s="22" t="s">
        <v>613</v>
      </c>
      <c r="B306" s="22" t="s">
        <v>203</v>
      </c>
      <c r="C306" s="31" t="n">
        <v>46278</v>
      </c>
      <c r="D306" s="22" t="s">
        <v>300</v>
      </c>
      <c r="E306" s="22" t="s">
        <v>305</v>
      </c>
      <c r="F306" s="29" t="str">
        <f aca="false">IF(COUNTIF(Referral_Data!$C$5:$C$1000,B306)&gt;0,"Referred",IF(COUNTIF(Referral_Data!$B$5:$B$1000,B306)&gt;0,"Referrer","Organic"))</f>
        <v>Referrer</v>
      </c>
      <c r="G306" s="29" t="n">
        <f aca="false">IF(COUNTIFS($B$5:B306,B306,$C$5:C306,C306)=1,1,0)</f>
        <v>0</v>
      </c>
      <c r="H306" s="29" t="n">
        <f aca="false">IF(AND(G306=1,COUNTIFS($B$5:$B$1635,B306,$C$5:$C$1635,"&lt;"&amp;C306)&gt;0),1,0)</f>
        <v>0</v>
      </c>
      <c r="I306" s="29" t="n">
        <f aca="false">IF(AND(D306="Feature Use",COUNTIFS($B$5:B306,B306,$D$5:D306,"Feature Use",$E$5:E306,E306)=1),1,0)</f>
        <v>0</v>
      </c>
      <c r="J306" s="29" t="n">
        <f aca="false">IF(AND(D306="Feature Use",COUNTIFS($B$5:B306,B306,$D$5:D306,"Feature Use",$E$5:E306,E306)=2),1,0)</f>
        <v>0</v>
      </c>
      <c r="K306" s="29" t="n">
        <f aca="false">IF(COUNTIF($B$5:B306,B306)=1,1,0)</f>
        <v>0</v>
      </c>
      <c r="L306" s="29" t="n">
        <f aca="false">IF(AND(C306&gt;=Settings!$B$5-Settings!$B$8+1,C306&lt;=Settings!$B$5,COUNTIFS($B$5:B306,B306,$C$5:C306,"&gt;="&amp;(Settings!$B$5-Settings!$B$8+1),$C$5:C306,"&lt;="&amp;Settings!$B$5)=1),1,0)</f>
        <v>0</v>
      </c>
      <c r="M306" s="29" t="n">
        <f aca="false">IF(AND(C306&gt;=Settings!$B$5-Settings!$B$9+1,C306&lt;=Settings!$B$5,COUNTIFS($B$5:B306,B306,$C$5:C306,"&gt;="&amp;(Settings!$B$5-Settings!$B$9+1),$C$5:C306,"&lt;="&amp;Settings!$B$5)=1),1,0)</f>
        <v>0</v>
      </c>
      <c r="N306" s="29" t="n">
        <f aca="false">IF(AND(D306="Feature Use",COUNTIFS($B$5:B306,B306,$D$5:D306,"Feature Use")=1),1,0)</f>
        <v>0</v>
      </c>
    </row>
    <row r="307" customFormat="false" ht="15" hidden="false" customHeight="false" outlineLevel="0" collapsed="false">
      <c r="A307" s="22" t="s">
        <v>614</v>
      </c>
      <c r="B307" s="22" t="s">
        <v>203</v>
      </c>
      <c r="C307" s="31" t="n">
        <v>46278</v>
      </c>
      <c r="D307" s="22" t="s">
        <v>300</v>
      </c>
      <c r="E307" s="22" t="s">
        <v>301</v>
      </c>
      <c r="F307" s="29" t="str">
        <f aca="false">IF(COUNTIF(Referral_Data!$C$5:$C$1000,B307)&gt;0,"Referred",IF(COUNTIF(Referral_Data!$B$5:$B$1000,B307)&gt;0,"Referrer","Organic"))</f>
        <v>Referrer</v>
      </c>
      <c r="G307" s="29" t="n">
        <f aca="false">IF(COUNTIFS($B$5:B307,B307,$C$5:C307,C307)=1,1,0)</f>
        <v>0</v>
      </c>
      <c r="H307" s="29" t="n">
        <f aca="false">IF(AND(G307=1,COUNTIFS($B$5:$B$1635,B307,$C$5:$C$1635,"&lt;"&amp;C307)&gt;0),1,0)</f>
        <v>0</v>
      </c>
      <c r="I307" s="29" t="n">
        <f aca="false">IF(AND(D307="Feature Use",COUNTIFS($B$5:B307,B307,$D$5:D307,"Feature Use",$E$5:E307,E307)=1),1,0)</f>
        <v>0</v>
      </c>
      <c r="J307" s="29" t="n">
        <f aca="false">IF(AND(D307="Feature Use",COUNTIFS($B$5:B307,B307,$D$5:D307,"Feature Use",$E$5:E307,E307)=2),1,0)</f>
        <v>0</v>
      </c>
      <c r="K307" s="29" t="n">
        <f aca="false">IF(COUNTIF($B$5:B307,B307)=1,1,0)</f>
        <v>0</v>
      </c>
      <c r="L307" s="29" t="n">
        <f aca="false">IF(AND(C307&gt;=Settings!$B$5-Settings!$B$8+1,C307&lt;=Settings!$B$5,COUNTIFS($B$5:B307,B307,$C$5:C307,"&gt;="&amp;(Settings!$B$5-Settings!$B$8+1),$C$5:C307,"&lt;="&amp;Settings!$B$5)=1),1,0)</f>
        <v>0</v>
      </c>
      <c r="M307" s="29" t="n">
        <f aca="false">IF(AND(C307&gt;=Settings!$B$5-Settings!$B$9+1,C307&lt;=Settings!$B$5,COUNTIFS($B$5:B307,B307,$C$5:C307,"&gt;="&amp;(Settings!$B$5-Settings!$B$9+1),$C$5:C307,"&lt;="&amp;Settings!$B$5)=1),1,0)</f>
        <v>0</v>
      </c>
      <c r="N307" s="29" t="n">
        <f aca="false">IF(AND(D307="Feature Use",COUNTIFS($B$5:B307,B307,$D$5:D307,"Feature Use")=1),1,0)</f>
        <v>0</v>
      </c>
    </row>
    <row r="308" customFormat="false" ht="15" hidden="false" customHeight="false" outlineLevel="0" collapsed="false">
      <c r="A308" s="22" t="s">
        <v>615</v>
      </c>
      <c r="B308" s="22" t="s">
        <v>203</v>
      </c>
      <c r="C308" s="31" t="n">
        <v>46278</v>
      </c>
      <c r="D308" s="22" t="s">
        <v>308</v>
      </c>
      <c r="E308" s="22" t="s">
        <v>305</v>
      </c>
      <c r="F308" s="29" t="str">
        <f aca="false">IF(COUNTIF(Referral_Data!$C$5:$C$1000,B308)&gt;0,"Referred",IF(COUNTIF(Referral_Data!$B$5:$B$1000,B308)&gt;0,"Referrer","Organic"))</f>
        <v>Referrer</v>
      </c>
      <c r="G308" s="29" t="n">
        <f aca="false">IF(COUNTIFS($B$5:B308,B308,$C$5:C308,C308)=1,1,0)</f>
        <v>0</v>
      </c>
      <c r="H308" s="29" t="n">
        <f aca="false">IF(AND(G308=1,COUNTIFS($B$5:$B$1635,B308,$C$5:$C$1635,"&lt;"&amp;C308)&gt;0),1,0)</f>
        <v>0</v>
      </c>
      <c r="I308" s="29" t="n">
        <f aca="false">IF(AND(D308="Feature Use",COUNTIFS($B$5:B308,B308,$D$5:D308,"Feature Use",$E$5:E308,E308)=1),1,0)</f>
        <v>0</v>
      </c>
      <c r="J308" s="29" t="n">
        <f aca="false">IF(AND(D308="Feature Use",COUNTIFS($B$5:B308,B308,$D$5:D308,"Feature Use",$E$5:E308,E308)=2),1,0)</f>
        <v>0</v>
      </c>
      <c r="K308" s="29" t="n">
        <f aca="false">IF(COUNTIF($B$5:B308,B308)=1,1,0)</f>
        <v>0</v>
      </c>
      <c r="L308" s="29" t="n">
        <f aca="false">IF(AND(C308&gt;=Settings!$B$5-Settings!$B$8+1,C308&lt;=Settings!$B$5,COUNTIFS($B$5:B308,B308,$C$5:C308,"&gt;="&amp;(Settings!$B$5-Settings!$B$8+1),$C$5:C308,"&lt;="&amp;Settings!$B$5)=1),1,0)</f>
        <v>0</v>
      </c>
      <c r="M308" s="29" t="n">
        <f aca="false">IF(AND(C308&gt;=Settings!$B$5-Settings!$B$9+1,C308&lt;=Settings!$B$5,COUNTIFS($B$5:B308,B308,$C$5:C308,"&gt;="&amp;(Settings!$B$5-Settings!$B$9+1),$C$5:C308,"&lt;="&amp;Settings!$B$5)=1),1,0)</f>
        <v>0</v>
      </c>
      <c r="N308" s="29" t="n">
        <f aca="false">IF(AND(D308="Feature Use",COUNTIFS($B$5:B308,B308,$D$5:D308,"Feature Use")=1),1,0)</f>
        <v>0</v>
      </c>
    </row>
    <row r="309" customFormat="false" ht="15" hidden="false" customHeight="false" outlineLevel="0" collapsed="false">
      <c r="A309" s="22" t="s">
        <v>616</v>
      </c>
      <c r="B309" s="22" t="s">
        <v>203</v>
      </c>
      <c r="C309" s="31" t="n">
        <v>46278</v>
      </c>
      <c r="D309" s="22" t="s">
        <v>308</v>
      </c>
      <c r="E309" s="22" t="s">
        <v>305</v>
      </c>
      <c r="F309" s="29" t="str">
        <f aca="false">IF(COUNTIF(Referral_Data!$C$5:$C$1000,B309)&gt;0,"Referred",IF(COUNTIF(Referral_Data!$B$5:$B$1000,B309)&gt;0,"Referrer","Organic"))</f>
        <v>Referrer</v>
      </c>
      <c r="G309" s="29" t="n">
        <f aca="false">IF(COUNTIFS($B$5:B309,B309,$C$5:C309,C309)=1,1,0)</f>
        <v>0</v>
      </c>
      <c r="H309" s="29" t="n">
        <f aca="false">IF(AND(G309=1,COUNTIFS($B$5:$B$1635,B309,$C$5:$C$1635,"&lt;"&amp;C309)&gt;0),1,0)</f>
        <v>0</v>
      </c>
      <c r="I309" s="29" t="n">
        <f aca="false">IF(AND(D309="Feature Use",COUNTIFS($B$5:B309,B309,$D$5:D309,"Feature Use",$E$5:E309,E309)=1),1,0)</f>
        <v>0</v>
      </c>
      <c r="J309" s="29" t="n">
        <f aca="false">IF(AND(D309="Feature Use",COUNTIFS($B$5:B309,B309,$D$5:D309,"Feature Use",$E$5:E309,E309)=2),1,0)</f>
        <v>0</v>
      </c>
      <c r="K309" s="29" t="n">
        <f aca="false">IF(COUNTIF($B$5:B309,B309)=1,1,0)</f>
        <v>0</v>
      </c>
      <c r="L309" s="29" t="n">
        <f aca="false">IF(AND(C309&gt;=Settings!$B$5-Settings!$B$8+1,C309&lt;=Settings!$B$5,COUNTIFS($B$5:B309,B309,$C$5:C309,"&gt;="&amp;(Settings!$B$5-Settings!$B$8+1),$C$5:C309,"&lt;="&amp;Settings!$B$5)=1),1,0)</f>
        <v>0</v>
      </c>
      <c r="M309" s="29" t="n">
        <f aca="false">IF(AND(C309&gt;=Settings!$B$5-Settings!$B$9+1,C309&lt;=Settings!$B$5,COUNTIFS($B$5:B309,B309,$C$5:C309,"&gt;="&amp;(Settings!$B$5-Settings!$B$9+1),$C$5:C309,"&lt;="&amp;Settings!$B$5)=1),1,0)</f>
        <v>0</v>
      </c>
      <c r="N309" s="29" t="n">
        <f aca="false">IF(AND(D309="Feature Use",COUNTIFS($B$5:B309,B309,$D$5:D309,"Feature Use")=1),1,0)</f>
        <v>0</v>
      </c>
    </row>
    <row r="310" customFormat="false" ht="15" hidden="false" customHeight="false" outlineLevel="0" collapsed="false">
      <c r="A310" s="22" t="s">
        <v>617</v>
      </c>
      <c r="B310" s="22" t="s">
        <v>183</v>
      </c>
      <c r="C310" s="31" t="n">
        <v>46278</v>
      </c>
      <c r="D310" s="22" t="s">
        <v>297</v>
      </c>
      <c r="E310" s="22" t="s">
        <v>298</v>
      </c>
      <c r="F310" s="29" t="str">
        <f aca="false">IF(COUNTIF(Referral_Data!$C$5:$C$1000,B310)&gt;0,"Referred",IF(COUNTIF(Referral_Data!$B$5:$B$1000,B310)&gt;0,"Referrer","Organic"))</f>
        <v>Referrer</v>
      </c>
      <c r="G310" s="29" t="n">
        <f aca="false">IF(COUNTIFS($B$5:B310,B310,$C$5:C310,C310)=1,1,0)</f>
        <v>1</v>
      </c>
      <c r="H310" s="29" t="n">
        <f aca="false">IF(AND(G310=1,COUNTIFS($B$5:$B$1635,B310,$C$5:$C$1635,"&lt;"&amp;C310)&gt;0),1,0)</f>
        <v>1</v>
      </c>
      <c r="I310" s="29" t="n">
        <f aca="false">IF(AND(D310="Feature Use",COUNTIFS($B$5:B310,B310,$D$5:D310,"Feature Use",$E$5:E310,E310)=1),1,0)</f>
        <v>0</v>
      </c>
      <c r="J310" s="29" t="n">
        <f aca="false">IF(AND(D310="Feature Use",COUNTIFS($B$5:B310,B310,$D$5:D310,"Feature Use",$E$5:E310,E310)=2),1,0)</f>
        <v>0</v>
      </c>
      <c r="K310" s="29" t="n">
        <f aca="false">IF(COUNTIF($B$5:B310,B310)=1,1,0)</f>
        <v>0</v>
      </c>
      <c r="L310" s="29" t="n">
        <f aca="false">IF(AND(C310&gt;=Settings!$B$5-Settings!$B$8+1,C310&lt;=Settings!$B$5,COUNTIFS($B$5:B310,B310,$C$5:C310,"&gt;="&amp;(Settings!$B$5-Settings!$B$8+1),$C$5:C310,"&lt;="&amp;Settings!$B$5)=1),1,0)</f>
        <v>0</v>
      </c>
      <c r="M310" s="29" t="n">
        <f aca="false">IF(AND(C310&gt;=Settings!$B$5-Settings!$B$9+1,C310&lt;=Settings!$B$5,COUNTIFS($B$5:B310,B310,$C$5:C310,"&gt;="&amp;(Settings!$B$5-Settings!$B$9+1),$C$5:C310,"&lt;="&amp;Settings!$B$5)=1),1,0)</f>
        <v>0</v>
      </c>
      <c r="N310" s="29" t="n">
        <f aca="false">IF(AND(D310="Feature Use",COUNTIFS($B$5:B310,B310,$D$5:D310,"Feature Use")=1),1,0)</f>
        <v>0</v>
      </c>
    </row>
    <row r="311" customFormat="false" ht="15" hidden="false" customHeight="false" outlineLevel="0" collapsed="false">
      <c r="A311" s="22" t="s">
        <v>618</v>
      </c>
      <c r="B311" s="22" t="s">
        <v>183</v>
      </c>
      <c r="C311" s="31" t="n">
        <v>46278</v>
      </c>
      <c r="D311" s="22" t="s">
        <v>300</v>
      </c>
      <c r="E311" s="22" t="s">
        <v>301</v>
      </c>
      <c r="F311" s="29" t="str">
        <f aca="false">IF(COUNTIF(Referral_Data!$C$5:$C$1000,B311)&gt;0,"Referred",IF(COUNTIF(Referral_Data!$B$5:$B$1000,B311)&gt;0,"Referrer","Organic"))</f>
        <v>Referrer</v>
      </c>
      <c r="G311" s="29" t="n">
        <f aca="false">IF(COUNTIFS($B$5:B311,B311,$C$5:C311,C311)=1,1,0)</f>
        <v>0</v>
      </c>
      <c r="H311" s="29" t="n">
        <f aca="false">IF(AND(G311=1,COUNTIFS($B$5:$B$1635,B311,$C$5:$C$1635,"&lt;"&amp;C311)&gt;0),1,0)</f>
        <v>0</v>
      </c>
      <c r="I311" s="29" t="n">
        <f aca="false">IF(AND(D311="Feature Use",COUNTIFS($B$5:B311,B311,$D$5:D311,"Feature Use",$E$5:E311,E311)=1),1,0)</f>
        <v>0</v>
      </c>
      <c r="J311" s="29" t="n">
        <f aca="false">IF(AND(D311="Feature Use",COUNTIFS($B$5:B311,B311,$D$5:D311,"Feature Use",$E$5:E311,E311)=2),1,0)</f>
        <v>1</v>
      </c>
      <c r="K311" s="29" t="n">
        <f aca="false">IF(COUNTIF($B$5:B311,B311)=1,1,0)</f>
        <v>0</v>
      </c>
      <c r="L311" s="29" t="n">
        <f aca="false">IF(AND(C311&gt;=Settings!$B$5-Settings!$B$8+1,C311&lt;=Settings!$B$5,COUNTIFS($B$5:B311,B311,$C$5:C311,"&gt;="&amp;(Settings!$B$5-Settings!$B$8+1),$C$5:C311,"&lt;="&amp;Settings!$B$5)=1),1,0)</f>
        <v>0</v>
      </c>
      <c r="M311" s="29" t="n">
        <f aca="false">IF(AND(C311&gt;=Settings!$B$5-Settings!$B$9+1,C311&lt;=Settings!$B$5,COUNTIFS($B$5:B311,B311,$C$5:C311,"&gt;="&amp;(Settings!$B$5-Settings!$B$9+1),$C$5:C311,"&lt;="&amp;Settings!$B$5)=1),1,0)</f>
        <v>0</v>
      </c>
      <c r="N311" s="29" t="n">
        <f aca="false">IF(AND(D311="Feature Use",COUNTIFS($B$5:B311,B311,$D$5:D311,"Feature Use")=1),1,0)</f>
        <v>0</v>
      </c>
    </row>
    <row r="312" customFormat="false" ht="15" hidden="false" customHeight="false" outlineLevel="0" collapsed="false">
      <c r="A312" s="22" t="s">
        <v>619</v>
      </c>
      <c r="B312" s="22" t="s">
        <v>183</v>
      </c>
      <c r="C312" s="31" t="n">
        <v>46278</v>
      </c>
      <c r="D312" s="22" t="s">
        <v>300</v>
      </c>
      <c r="E312" s="22" t="s">
        <v>301</v>
      </c>
      <c r="F312" s="29" t="str">
        <f aca="false">IF(COUNTIF(Referral_Data!$C$5:$C$1000,B312)&gt;0,"Referred",IF(COUNTIF(Referral_Data!$B$5:$B$1000,B312)&gt;0,"Referrer","Organic"))</f>
        <v>Referrer</v>
      </c>
      <c r="G312" s="29" t="n">
        <f aca="false">IF(COUNTIFS($B$5:B312,B312,$C$5:C312,C312)=1,1,0)</f>
        <v>0</v>
      </c>
      <c r="H312" s="29" t="n">
        <f aca="false">IF(AND(G312=1,COUNTIFS($B$5:$B$1635,B312,$C$5:$C$1635,"&lt;"&amp;C312)&gt;0),1,0)</f>
        <v>0</v>
      </c>
      <c r="I312" s="29" t="n">
        <f aca="false">IF(AND(D312="Feature Use",COUNTIFS($B$5:B312,B312,$D$5:D312,"Feature Use",$E$5:E312,E312)=1),1,0)</f>
        <v>0</v>
      </c>
      <c r="J312" s="29" t="n">
        <f aca="false">IF(AND(D312="Feature Use",COUNTIFS($B$5:B312,B312,$D$5:D312,"Feature Use",$E$5:E312,E312)=2),1,0)</f>
        <v>0</v>
      </c>
      <c r="K312" s="29" t="n">
        <f aca="false">IF(COUNTIF($B$5:B312,B312)=1,1,0)</f>
        <v>0</v>
      </c>
      <c r="L312" s="29" t="n">
        <f aca="false">IF(AND(C312&gt;=Settings!$B$5-Settings!$B$8+1,C312&lt;=Settings!$B$5,COUNTIFS($B$5:B312,B312,$C$5:C312,"&gt;="&amp;(Settings!$B$5-Settings!$B$8+1),$C$5:C312,"&lt;="&amp;Settings!$B$5)=1),1,0)</f>
        <v>0</v>
      </c>
      <c r="M312" s="29" t="n">
        <f aca="false">IF(AND(C312&gt;=Settings!$B$5-Settings!$B$9+1,C312&lt;=Settings!$B$5,COUNTIFS($B$5:B312,B312,$C$5:C312,"&gt;="&amp;(Settings!$B$5-Settings!$B$9+1),$C$5:C312,"&lt;="&amp;Settings!$B$5)=1),1,0)</f>
        <v>0</v>
      </c>
      <c r="N312" s="29" t="n">
        <f aca="false">IF(AND(D312="Feature Use",COUNTIFS($B$5:B312,B312,$D$5:D312,"Feature Use")=1),1,0)</f>
        <v>0</v>
      </c>
    </row>
    <row r="313" customFormat="false" ht="15" hidden="false" customHeight="false" outlineLevel="0" collapsed="false">
      <c r="A313" s="22" t="s">
        <v>620</v>
      </c>
      <c r="B313" s="22" t="s">
        <v>427</v>
      </c>
      <c r="C313" s="31" t="n">
        <v>46279</v>
      </c>
      <c r="D313" s="22" t="s">
        <v>297</v>
      </c>
      <c r="E313" s="22" t="s">
        <v>298</v>
      </c>
      <c r="F313" s="29" t="str">
        <f aca="false">IF(COUNTIF(Referral_Data!$C$5:$C$1000,B313)&gt;0,"Referred",IF(COUNTIF(Referral_Data!$B$5:$B$1000,B313)&gt;0,"Referrer","Organic"))</f>
        <v>Organic</v>
      </c>
      <c r="G313" s="29" t="n">
        <f aca="false">IF(COUNTIFS($B$5:B313,B313,$C$5:C313,C313)=1,1,0)</f>
        <v>1</v>
      </c>
      <c r="H313" s="29" t="n">
        <f aca="false">IF(AND(G313=1,COUNTIFS($B$5:$B$1635,B313,$C$5:$C$1635,"&lt;"&amp;C313)&gt;0),1,0)</f>
        <v>1</v>
      </c>
      <c r="I313" s="29" t="n">
        <f aca="false">IF(AND(D313="Feature Use",COUNTIFS($B$5:B313,B313,$D$5:D313,"Feature Use",$E$5:E313,E313)=1),1,0)</f>
        <v>0</v>
      </c>
      <c r="J313" s="29" t="n">
        <f aca="false">IF(AND(D313="Feature Use",COUNTIFS($B$5:B313,B313,$D$5:D313,"Feature Use",$E$5:E313,E313)=2),1,0)</f>
        <v>0</v>
      </c>
      <c r="K313" s="29" t="n">
        <f aca="false">IF(COUNTIF($B$5:B313,B313)=1,1,0)</f>
        <v>0</v>
      </c>
      <c r="L313" s="29" t="n">
        <f aca="false">IF(AND(C313&gt;=Settings!$B$5-Settings!$B$8+1,C313&lt;=Settings!$B$5,COUNTIFS($B$5:B313,B313,$C$5:C313,"&gt;="&amp;(Settings!$B$5-Settings!$B$8+1),$C$5:C313,"&lt;="&amp;Settings!$B$5)=1),1,0)</f>
        <v>0</v>
      </c>
      <c r="M313" s="29" t="n">
        <f aca="false">IF(AND(C313&gt;=Settings!$B$5-Settings!$B$9+1,C313&lt;=Settings!$B$5,COUNTIFS($B$5:B313,B313,$C$5:C313,"&gt;="&amp;(Settings!$B$5-Settings!$B$9+1),$C$5:C313,"&lt;="&amp;Settings!$B$5)=1),1,0)</f>
        <v>0</v>
      </c>
      <c r="N313" s="29" t="n">
        <f aca="false">IF(AND(D313="Feature Use",COUNTIFS($B$5:B313,B313,$D$5:D313,"Feature Use")=1),1,0)</f>
        <v>0</v>
      </c>
    </row>
    <row r="314" customFormat="false" ht="15" hidden="false" customHeight="false" outlineLevel="0" collapsed="false">
      <c r="A314" s="22" t="s">
        <v>621</v>
      </c>
      <c r="B314" s="22" t="s">
        <v>427</v>
      </c>
      <c r="C314" s="31" t="n">
        <v>46279</v>
      </c>
      <c r="D314" s="22" t="s">
        <v>300</v>
      </c>
      <c r="E314" s="22" t="s">
        <v>319</v>
      </c>
      <c r="F314" s="29" t="str">
        <f aca="false">IF(COUNTIF(Referral_Data!$C$5:$C$1000,B314)&gt;0,"Referred",IF(COUNTIF(Referral_Data!$B$5:$B$1000,B314)&gt;0,"Referrer","Organic"))</f>
        <v>Organic</v>
      </c>
      <c r="G314" s="29" t="n">
        <f aca="false">IF(COUNTIFS($B$5:B314,B314,$C$5:C314,C314)=1,1,0)</f>
        <v>0</v>
      </c>
      <c r="H314" s="29" t="n">
        <f aca="false">IF(AND(G314=1,COUNTIFS($B$5:$B$1635,B314,$C$5:$C$1635,"&lt;"&amp;C314)&gt;0),1,0)</f>
        <v>0</v>
      </c>
      <c r="I314" s="29" t="n">
        <f aca="false">IF(AND(D314="Feature Use",COUNTIFS($B$5:B314,B314,$D$5:D314,"Feature Use",$E$5:E314,E314)=1),1,0)</f>
        <v>1</v>
      </c>
      <c r="J314" s="29" t="n">
        <f aca="false">IF(AND(D314="Feature Use",COUNTIFS($B$5:B314,B314,$D$5:D314,"Feature Use",$E$5:E314,E314)=2),1,0)</f>
        <v>0</v>
      </c>
      <c r="K314" s="29" t="n">
        <f aca="false">IF(COUNTIF($B$5:B314,B314)=1,1,0)</f>
        <v>0</v>
      </c>
      <c r="L314" s="29" t="n">
        <f aca="false">IF(AND(C314&gt;=Settings!$B$5-Settings!$B$8+1,C314&lt;=Settings!$B$5,COUNTIFS($B$5:B314,B314,$C$5:C314,"&gt;="&amp;(Settings!$B$5-Settings!$B$8+1),$C$5:C314,"&lt;="&amp;Settings!$B$5)=1),1,0)</f>
        <v>0</v>
      </c>
      <c r="M314" s="29" t="n">
        <f aca="false">IF(AND(C314&gt;=Settings!$B$5-Settings!$B$9+1,C314&lt;=Settings!$B$5,COUNTIFS($B$5:B314,B314,$C$5:C314,"&gt;="&amp;(Settings!$B$5-Settings!$B$9+1),$C$5:C314,"&lt;="&amp;Settings!$B$5)=1),1,0)</f>
        <v>0</v>
      </c>
      <c r="N314" s="29" t="n">
        <f aca="false">IF(AND(D314="Feature Use",COUNTIFS($B$5:B314,B314,$D$5:D314,"Feature Use")=1),1,0)</f>
        <v>0</v>
      </c>
    </row>
    <row r="315" customFormat="false" ht="15" hidden="false" customHeight="false" outlineLevel="0" collapsed="false">
      <c r="A315" s="22" t="s">
        <v>622</v>
      </c>
      <c r="B315" s="22" t="s">
        <v>427</v>
      </c>
      <c r="C315" s="31" t="n">
        <v>46279</v>
      </c>
      <c r="D315" s="22" t="s">
        <v>308</v>
      </c>
      <c r="E315" s="22" t="s">
        <v>305</v>
      </c>
      <c r="F315" s="29" t="str">
        <f aca="false">IF(COUNTIF(Referral_Data!$C$5:$C$1000,B315)&gt;0,"Referred",IF(COUNTIF(Referral_Data!$B$5:$B$1000,B315)&gt;0,"Referrer","Organic"))</f>
        <v>Organic</v>
      </c>
      <c r="G315" s="29" t="n">
        <f aca="false">IF(COUNTIFS($B$5:B315,B315,$C$5:C315,C315)=1,1,0)</f>
        <v>0</v>
      </c>
      <c r="H315" s="29" t="n">
        <f aca="false">IF(AND(G315=1,COUNTIFS($B$5:$B$1635,B315,$C$5:$C$1635,"&lt;"&amp;C315)&gt;0),1,0)</f>
        <v>0</v>
      </c>
      <c r="I315" s="29" t="n">
        <f aca="false">IF(AND(D315="Feature Use",COUNTIFS($B$5:B315,B315,$D$5:D315,"Feature Use",$E$5:E315,E315)=1),1,0)</f>
        <v>0</v>
      </c>
      <c r="J315" s="29" t="n">
        <f aca="false">IF(AND(D315="Feature Use",COUNTIFS($B$5:B315,B315,$D$5:D315,"Feature Use",$E$5:E315,E315)=2),1,0)</f>
        <v>0</v>
      </c>
      <c r="K315" s="29" t="n">
        <f aca="false">IF(COUNTIF($B$5:B315,B315)=1,1,0)</f>
        <v>0</v>
      </c>
      <c r="L315" s="29" t="n">
        <f aca="false">IF(AND(C315&gt;=Settings!$B$5-Settings!$B$8+1,C315&lt;=Settings!$B$5,COUNTIFS($B$5:B315,B315,$C$5:C315,"&gt;="&amp;(Settings!$B$5-Settings!$B$8+1),$C$5:C315,"&lt;="&amp;Settings!$B$5)=1),1,0)</f>
        <v>0</v>
      </c>
      <c r="M315" s="29" t="n">
        <f aca="false">IF(AND(C315&gt;=Settings!$B$5-Settings!$B$9+1,C315&lt;=Settings!$B$5,COUNTIFS($B$5:B315,B315,$C$5:C315,"&gt;="&amp;(Settings!$B$5-Settings!$B$9+1),$C$5:C315,"&lt;="&amp;Settings!$B$5)=1),1,0)</f>
        <v>0</v>
      </c>
      <c r="N315" s="29" t="n">
        <f aca="false">IF(AND(D315="Feature Use",COUNTIFS($B$5:B315,B315,$D$5:D315,"Feature Use")=1),1,0)</f>
        <v>0</v>
      </c>
    </row>
    <row r="316" customFormat="false" ht="15" hidden="false" customHeight="false" outlineLevel="0" collapsed="false">
      <c r="A316" s="22" t="s">
        <v>623</v>
      </c>
      <c r="B316" s="22" t="s">
        <v>329</v>
      </c>
      <c r="C316" s="31" t="n">
        <v>46279</v>
      </c>
      <c r="D316" s="22" t="s">
        <v>297</v>
      </c>
      <c r="E316" s="22" t="s">
        <v>298</v>
      </c>
      <c r="F316" s="29" t="str">
        <f aca="false">IF(COUNTIF(Referral_Data!$C$5:$C$1000,B316)&gt;0,"Referred",IF(COUNTIF(Referral_Data!$B$5:$B$1000,B316)&gt;0,"Referrer","Organic"))</f>
        <v>Organic</v>
      </c>
      <c r="G316" s="29" t="n">
        <f aca="false">IF(COUNTIFS($B$5:B316,B316,$C$5:C316,C316)=1,1,0)</f>
        <v>1</v>
      </c>
      <c r="H316" s="29" t="n">
        <f aca="false">IF(AND(G316=1,COUNTIFS($B$5:$B$1635,B316,$C$5:$C$1635,"&lt;"&amp;C316)&gt;0),1,0)</f>
        <v>1</v>
      </c>
      <c r="I316" s="29" t="n">
        <f aca="false">IF(AND(D316="Feature Use",COUNTIFS($B$5:B316,B316,$D$5:D316,"Feature Use",$E$5:E316,E316)=1),1,0)</f>
        <v>0</v>
      </c>
      <c r="J316" s="29" t="n">
        <f aca="false">IF(AND(D316="Feature Use",COUNTIFS($B$5:B316,B316,$D$5:D316,"Feature Use",$E$5:E316,E316)=2),1,0)</f>
        <v>0</v>
      </c>
      <c r="K316" s="29" t="n">
        <f aca="false">IF(COUNTIF($B$5:B316,B316)=1,1,0)</f>
        <v>0</v>
      </c>
      <c r="L316" s="29" t="n">
        <f aca="false">IF(AND(C316&gt;=Settings!$B$5-Settings!$B$8+1,C316&lt;=Settings!$B$5,COUNTIFS($B$5:B316,B316,$C$5:C316,"&gt;="&amp;(Settings!$B$5-Settings!$B$8+1),$C$5:C316,"&lt;="&amp;Settings!$B$5)=1),1,0)</f>
        <v>0</v>
      </c>
      <c r="M316" s="29" t="n">
        <f aca="false">IF(AND(C316&gt;=Settings!$B$5-Settings!$B$9+1,C316&lt;=Settings!$B$5,COUNTIFS($B$5:B316,B316,$C$5:C316,"&gt;="&amp;(Settings!$B$5-Settings!$B$9+1),$C$5:C316,"&lt;="&amp;Settings!$B$5)=1),1,0)</f>
        <v>0</v>
      </c>
      <c r="N316" s="29" t="n">
        <f aca="false">IF(AND(D316="Feature Use",COUNTIFS($B$5:B316,B316,$D$5:D316,"Feature Use")=1),1,0)</f>
        <v>0</v>
      </c>
    </row>
    <row r="317" customFormat="false" ht="15" hidden="false" customHeight="false" outlineLevel="0" collapsed="false">
      <c r="A317" s="22" t="s">
        <v>624</v>
      </c>
      <c r="B317" s="22" t="s">
        <v>329</v>
      </c>
      <c r="C317" s="31" t="n">
        <v>46279</v>
      </c>
      <c r="D317" s="22" t="s">
        <v>300</v>
      </c>
      <c r="E317" s="22" t="s">
        <v>311</v>
      </c>
      <c r="F317" s="29" t="str">
        <f aca="false">IF(COUNTIF(Referral_Data!$C$5:$C$1000,B317)&gt;0,"Referred",IF(COUNTIF(Referral_Data!$B$5:$B$1000,B317)&gt;0,"Referrer","Organic"))</f>
        <v>Organic</v>
      </c>
      <c r="G317" s="29" t="n">
        <f aca="false">IF(COUNTIFS($B$5:B317,B317,$C$5:C317,C317)=1,1,0)</f>
        <v>0</v>
      </c>
      <c r="H317" s="29" t="n">
        <f aca="false">IF(AND(G317=1,COUNTIFS($B$5:$B$1635,B317,$C$5:$C$1635,"&lt;"&amp;C317)&gt;0),1,0)</f>
        <v>0</v>
      </c>
      <c r="I317" s="29" t="n">
        <f aca="false">IF(AND(D317="Feature Use",COUNTIFS($B$5:B317,B317,$D$5:D317,"Feature Use",$E$5:E317,E317)=1),1,0)</f>
        <v>0</v>
      </c>
      <c r="J317" s="29" t="n">
        <f aca="false">IF(AND(D317="Feature Use",COUNTIFS($B$5:B317,B317,$D$5:D317,"Feature Use",$E$5:E317,E317)=2),1,0)</f>
        <v>1</v>
      </c>
      <c r="K317" s="29" t="n">
        <f aca="false">IF(COUNTIF($B$5:B317,B317)=1,1,0)</f>
        <v>0</v>
      </c>
      <c r="L317" s="29" t="n">
        <f aca="false">IF(AND(C317&gt;=Settings!$B$5-Settings!$B$8+1,C317&lt;=Settings!$B$5,COUNTIFS($B$5:B317,B317,$C$5:C317,"&gt;="&amp;(Settings!$B$5-Settings!$B$8+1),$C$5:C317,"&lt;="&amp;Settings!$B$5)=1),1,0)</f>
        <v>0</v>
      </c>
      <c r="M317" s="29" t="n">
        <f aca="false">IF(AND(C317&gt;=Settings!$B$5-Settings!$B$9+1,C317&lt;=Settings!$B$5,COUNTIFS($B$5:B317,B317,$C$5:C317,"&gt;="&amp;(Settings!$B$5-Settings!$B$9+1),$C$5:C317,"&lt;="&amp;Settings!$B$5)=1),1,0)</f>
        <v>0</v>
      </c>
      <c r="N317" s="29" t="n">
        <f aca="false">IF(AND(D317="Feature Use",COUNTIFS($B$5:B317,B317,$D$5:D317,"Feature Use")=1),1,0)</f>
        <v>0</v>
      </c>
    </row>
    <row r="318" customFormat="false" ht="15" hidden="false" customHeight="false" outlineLevel="0" collapsed="false">
      <c r="A318" s="22" t="s">
        <v>625</v>
      </c>
      <c r="B318" s="22" t="s">
        <v>329</v>
      </c>
      <c r="C318" s="31" t="n">
        <v>46279</v>
      </c>
      <c r="D318" s="22" t="s">
        <v>300</v>
      </c>
      <c r="E318" s="22" t="s">
        <v>311</v>
      </c>
      <c r="F318" s="29" t="str">
        <f aca="false">IF(COUNTIF(Referral_Data!$C$5:$C$1000,B318)&gt;0,"Referred",IF(COUNTIF(Referral_Data!$B$5:$B$1000,B318)&gt;0,"Referrer","Organic"))</f>
        <v>Organic</v>
      </c>
      <c r="G318" s="29" t="n">
        <f aca="false">IF(COUNTIFS($B$5:B318,B318,$C$5:C318,C318)=1,1,0)</f>
        <v>0</v>
      </c>
      <c r="H318" s="29" t="n">
        <f aca="false">IF(AND(G318=1,COUNTIFS($B$5:$B$1635,B318,$C$5:$C$1635,"&lt;"&amp;C318)&gt;0),1,0)</f>
        <v>0</v>
      </c>
      <c r="I318" s="29" t="n">
        <f aca="false">IF(AND(D318="Feature Use",COUNTIFS($B$5:B318,B318,$D$5:D318,"Feature Use",$E$5:E318,E318)=1),1,0)</f>
        <v>0</v>
      </c>
      <c r="J318" s="29" t="n">
        <f aca="false">IF(AND(D318="Feature Use",COUNTIFS($B$5:B318,B318,$D$5:D318,"Feature Use",$E$5:E318,E318)=2),1,0)</f>
        <v>0</v>
      </c>
      <c r="K318" s="29" t="n">
        <f aca="false">IF(COUNTIF($B$5:B318,B318)=1,1,0)</f>
        <v>0</v>
      </c>
      <c r="L318" s="29" t="n">
        <f aca="false">IF(AND(C318&gt;=Settings!$B$5-Settings!$B$8+1,C318&lt;=Settings!$B$5,COUNTIFS($B$5:B318,B318,$C$5:C318,"&gt;="&amp;(Settings!$B$5-Settings!$B$8+1),$C$5:C318,"&lt;="&amp;Settings!$B$5)=1),1,0)</f>
        <v>0</v>
      </c>
      <c r="M318" s="29" t="n">
        <f aca="false">IF(AND(C318&gt;=Settings!$B$5-Settings!$B$9+1,C318&lt;=Settings!$B$5,COUNTIFS($B$5:B318,B318,$C$5:C318,"&gt;="&amp;(Settings!$B$5-Settings!$B$9+1),$C$5:C318,"&lt;="&amp;Settings!$B$5)=1),1,0)</f>
        <v>0</v>
      </c>
      <c r="N318" s="29" t="n">
        <f aca="false">IF(AND(D318="Feature Use",COUNTIFS($B$5:B318,B318,$D$5:D318,"Feature Use")=1),1,0)</f>
        <v>0</v>
      </c>
    </row>
    <row r="319" customFormat="false" ht="15" hidden="false" customHeight="false" outlineLevel="0" collapsed="false">
      <c r="A319" s="22" t="s">
        <v>626</v>
      </c>
      <c r="B319" s="22" t="s">
        <v>329</v>
      </c>
      <c r="C319" s="31" t="n">
        <v>46279</v>
      </c>
      <c r="D319" s="22" t="s">
        <v>308</v>
      </c>
      <c r="E319" s="22" t="s">
        <v>305</v>
      </c>
      <c r="F319" s="29" t="str">
        <f aca="false">IF(COUNTIF(Referral_Data!$C$5:$C$1000,B319)&gt;0,"Referred",IF(COUNTIF(Referral_Data!$B$5:$B$1000,B319)&gt;0,"Referrer","Organic"))</f>
        <v>Organic</v>
      </c>
      <c r="G319" s="29" t="n">
        <f aca="false">IF(COUNTIFS($B$5:B319,B319,$C$5:C319,C319)=1,1,0)</f>
        <v>0</v>
      </c>
      <c r="H319" s="29" t="n">
        <f aca="false">IF(AND(G319=1,COUNTIFS($B$5:$B$1635,B319,$C$5:$C$1635,"&lt;"&amp;C319)&gt;0),1,0)</f>
        <v>0</v>
      </c>
      <c r="I319" s="29" t="n">
        <f aca="false">IF(AND(D319="Feature Use",COUNTIFS($B$5:B319,B319,$D$5:D319,"Feature Use",$E$5:E319,E319)=1),1,0)</f>
        <v>0</v>
      </c>
      <c r="J319" s="29" t="n">
        <f aca="false">IF(AND(D319="Feature Use",COUNTIFS($B$5:B319,B319,$D$5:D319,"Feature Use",$E$5:E319,E319)=2),1,0)</f>
        <v>0</v>
      </c>
      <c r="K319" s="29" t="n">
        <f aca="false">IF(COUNTIF($B$5:B319,B319)=1,1,0)</f>
        <v>0</v>
      </c>
      <c r="L319" s="29" t="n">
        <f aca="false">IF(AND(C319&gt;=Settings!$B$5-Settings!$B$8+1,C319&lt;=Settings!$B$5,COUNTIFS($B$5:B319,B319,$C$5:C319,"&gt;="&amp;(Settings!$B$5-Settings!$B$8+1),$C$5:C319,"&lt;="&amp;Settings!$B$5)=1),1,0)</f>
        <v>0</v>
      </c>
      <c r="M319" s="29" t="n">
        <f aca="false">IF(AND(C319&gt;=Settings!$B$5-Settings!$B$9+1,C319&lt;=Settings!$B$5,COUNTIFS($B$5:B319,B319,$C$5:C319,"&gt;="&amp;(Settings!$B$5-Settings!$B$9+1),$C$5:C319,"&lt;="&amp;Settings!$B$5)=1),1,0)</f>
        <v>0</v>
      </c>
      <c r="N319" s="29" t="n">
        <f aca="false">IF(AND(D319="Feature Use",COUNTIFS($B$5:B319,B319,$D$5:D319,"Feature Use")=1),1,0)</f>
        <v>0</v>
      </c>
    </row>
    <row r="320" customFormat="false" ht="15" hidden="false" customHeight="false" outlineLevel="0" collapsed="false">
      <c r="A320" s="22" t="s">
        <v>627</v>
      </c>
      <c r="B320" s="22" t="s">
        <v>329</v>
      </c>
      <c r="C320" s="31" t="n">
        <v>46279</v>
      </c>
      <c r="D320" s="22" t="s">
        <v>308</v>
      </c>
      <c r="E320" s="22" t="s">
        <v>301</v>
      </c>
      <c r="F320" s="29" t="str">
        <f aca="false">IF(COUNTIF(Referral_Data!$C$5:$C$1000,B320)&gt;0,"Referred",IF(COUNTIF(Referral_Data!$B$5:$B$1000,B320)&gt;0,"Referrer","Organic"))</f>
        <v>Organic</v>
      </c>
      <c r="G320" s="29" t="n">
        <f aca="false">IF(COUNTIFS($B$5:B320,B320,$C$5:C320,C320)=1,1,0)</f>
        <v>0</v>
      </c>
      <c r="H320" s="29" t="n">
        <f aca="false">IF(AND(G320=1,COUNTIFS($B$5:$B$1635,B320,$C$5:$C$1635,"&lt;"&amp;C320)&gt;0),1,0)</f>
        <v>0</v>
      </c>
      <c r="I320" s="29" t="n">
        <f aca="false">IF(AND(D320="Feature Use",COUNTIFS($B$5:B320,B320,$D$5:D320,"Feature Use",$E$5:E320,E320)=1),1,0)</f>
        <v>0</v>
      </c>
      <c r="J320" s="29" t="n">
        <f aca="false">IF(AND(D320="Feature Use",COUNTIFS($B$5:B320,B320,$D$5:D320,"Feature Use",$E$5:E320,E320)=2),1,0)</f>
        <v>0</v>
      </c>
      <c r="K320" s="29" t="n">
        <f aca="false">IF(COUNTIF($B$5:B320,B320)=1,1,0)</f>
        <v>0</v>
      </c>
      <c r="L320" s="29" t="n">
        <f aca="false">IF(AND(C320&gt;=Settings!$B$5-Settings!$B$8+1,C320&lt;=Settings!$B$5,COUNTIFS($B$5:B320,B320,$C$5:C320,"&gt;="&amp;(Settings!$B$5-Settings!$B$8+1),$C$5:C320,"&lt;="&amp;Settings!$B$5)=1),1,0)</f>
        <v>0</v>
      </c>
      <c r="M320" s="29" t="n">
        <f aca="false">IF(AND(C320&gt;=Settings!$B$5-Settings!$B$9+1,C320&lt;=Settings!$B$5,COUNTIFS($B$5:B320,B320,$C$5:C320,"&gt;="&amp;(Settings!$B$5-Settings!$B$9+1),$C$5:C320,"&lt;="&amp;Settings!$B$5)=1),1,0)</f>
        <v>0</v>
      </c>
      <c r="N320" s="29" t="n">
        <f aca="false">IF(AND(D320="Feature Use",COUNTIFS($B$5:B320,B320,$D$5:D320,"Feature Use")=1),1,0)</f>
        <v>0</v>
      </c>
    </row>
    <row r="321" customFormat="false" ht="15" hidden="false" customHeight="false" outlineLevel="0" collapsed="false">
      <c r="A321" s="22" t="s">
        <v>628</v>
      </c>
      <c r="B321" s="22" t="s">
        <v>168</v>
      </c>
      <c r="C321" s="31" t="n">
        <v>46279</v>
      </c>
      <c r="D321" s="22" t="s">
        <v>297</v>
      </c>
      <c r="E321" s="22" t="s">
        <v>298</v>
      </c>
      <c r="F321" s="29" t="str">
        <f aca="false">IF(COUNTIF(Referral_Data!$C$5:$C$1000,B321)&gt;0,"Referred",IF(COUNTIF(Referral_Data!$B$5:$B$1000,B321)&gt;0,"Referrer","Organic"))</f>
        <v>Referred</v>
      </c>
      <c r="G321" s="29" t="n">
        <f aca="false">IF(COUNTIFS($B$5:B321,B321,$C$5:C321,C321)=1,1,0)</f>
        <v>1</v>
      </c>
      <c r="H321" s="29" t="n">
        <f aca="false">IF(AND(G321=1,COUNTIFS($B$5:$B$1635,B321,$C$5:$C$1635,"&lt;"&amp;C321)&gt;0),1,0)</f>
        <v>1</v>
      </c>
      <c r="I321" s="29" t="n">
        <f aca="false">IF(AND(D321="Feature Use",COUNTIFS($B$5:B321,B321,$D$5:D321,"Feature Use",$E$5:E321,E321)=1),1,0)</f>
        <v>0</v>
      </c>
      <c r="J321" s="29" t="n">
        <f aca="false">IF(AND(D321="Feature Use",COUNTIFS($B$5:B321,B321,$D$5:D321,"Feature Use",$E$5:E321,E321)=2),1,0)</f>
        <v>0</v>
      </c>
      <c r="K321" s="29" t="n">
        <f aca="false">IF(COUNTIF($B$5:B321,B321)=1,1,0)</f>
        <v>0</v>
      </c>
      <c r="L321" s="29" t="n">
        <f aca="false">IF(AND(C321&gt;=Settings!$B$5-Settings!$B$8+1,C321&lt;=Settings!$B$5,COUNTIFS($B$5:B321,B321,$C$5:C321,"&gt;="&amp;(Settings!$B$5-Settings!$B$8+1),$C$5:C321,"&lt;="&amp;Settings!$B$5)=1),1,0)</f>
        <v>0</v>
      </c>
      <c r="M321" s="29" t="n">
        <f aca="false">IF(AND(C321&gt;=Settings!$B$5-Settings!$B$9+1,C321&lt;=Settings!$B$5,COUNTIFS($B$5:B321,B321,$C$5:C321,"&gt;="&amp;(Settings!$B$5-Settings!$B$9+1),$C$5:C321,"&lt;="&amp;Settings!$B$5)=1),1,0)</f>
        <v>0</v>
      </c>
      <c r="N321" s="29" t="n">
        <f aca="false">IF(AND(D321="Feature Use",COUNTIFS($B$5:B321,B321,$D$5:D321,"Feature Use")=1),1,0)</f>
        <v>0</v>
      </c>
    </row>
    <row r="322" customFormat="false" ht="15" hidden="false" customHeight="false" outlineLevel="0" collapsed="false">
      <c r="A322" s="22" t="s">
        <v>629</v>
      </c>
      <c r="B322" s="22" t="s">
        <v>168</v>
      </c>
      <c r="C322" s="31" t="n">
        <v>46279</v>
      </c>
      <c r="D322" s="22" t="s">
        <v>300</v>
      </c>
      <c r="E322" s="22" t="s">
        <v>311</v>
      </c>
      <c r="F322" s="29" t="str">
        <f aca="false">IF(COUNTIF(Referral_Data!$C$5:$C$1000,B322)&gt;0,"Referred",IF(COUNTIF(Referral_Data!$B$5:$B$1000,B322)&gt;0,"Referrer","Organic"))</f>
        <v>Referred</v>
      </c>
      <c r="G322" s="29" t="n">
        <f aca="false">IF(COUNTIFS($B$5:B322,B322,$C$5:C322,C322)=1,1,0)</f>
        <v>0</v>
      </c>
      <c r="H322" s="29" t="n">
        <f aca="false">IF(AND(G322=1,COUNTIFS($B$5:$B$1635,B322,$C$5:$C$1635,"&lt;"&amp;C322)&gt;0),1,0)</f>
        <v>0</v>
      </c>
      <c r="I322" s="29" t="n">
        <f aca="false">IF(AND(D322="Feature Use",COUNTIFS($B$5:B322,B322,$D$5:D322,"Feature Use",$E$5:E322,E322)=1),1,0)</f>
        <v>0</v>
      </c>
      <c r="J322" s="29" t="n">
        <f aca="false">IF(AND(D322="Feature Use",COUNTIFS($B$5:B322,B322,$D$5:D322,"Feature Use",$E$5:E322,E322)=2),1,0)</f>
        <v>0</v>
      </c>
      <c r="K322" s="29" t="n">
        <f aca="false">IF(COUNTIF($B$5:B322,B322)=1,1,0)</f>
        <v>0</v>
      </c>
      <c r="L322" s="29" t="n">
        <f aca="false">IF(AND(C322&gt;=Settings!$B$5-Settings!$B$8+1,C322&lt;=Settings!$B$5,COUNTIFS($B$5:B322,B322,$C$5:C322,"&gt;="&amp;(Settings!$B$5-Settings!$B$8+1),$C$5:C322,"&lt;="&amp;Settings!$B$5)=1),1,0)</f>
        <v>0</v>
      </c>
      <c r="M322" s="29" t="n">
        <f aca="false">IF(AND(C322&gt;=Settings!$B$5-Settings!$B$9+1,C322&lt;=Settings!$B$5,COUNTIFS($B$5:B322,B322,$C$5:C322,"&gt;="&amp;(Settings!$B$5-Settings!$B$9+1),$C$5:C322,"&lt;="&amp;Settings!$B$5)=1),1,0)</f>
        <v>0</v>
      </c>
      <c r="N322" s="29" t="n">
        <f aca="false">IF(AND(D322="Feature Use",COUNTIFS($B$5:B322,B322,$D$5:D322,"Feature Use")=1),1,0)</f>
        <v>0</v>
      </c>
    </row>
    <row r="323" customFormat="false" ht="15" hidden="false" customHeight="false" outlineLevel="0" collapsed="false">
      <c r="A323" s="22" t="s">
        <v>630</v>
      </c>
      <c r="B323" s="22" t="s">
        <v>168</v>
      </c>
      <c r="C323" s="31" t="n">
        <v>46279</v>
      </c>
      <c r="D323" s="22" t="s">
        <v>300</v>
      </c>
      <c r="E323" s="22" t="s">
        <v>301</v>
      </c>
      <c r="F323" s="29" t="str">
        <f aca="false">IF(COUNTIF(Referral_Data!$C$5:$C$1000,B323)&gt;0,"Referred",IF(COUNTIF(Referral_Data!$B$5:$B$1000,B323)&gt;0,"Referrer","Organic"))</f>
        <v>Referred</v>
      </c>
      <c r="G323" s="29" t="n">
        <f aca="false">IF(COUNTIFS($B$5:B323,B323,$C$5:C323,C323)=1,1,0)</f>
        <v>0</v>
      </c>
      <c r="H323" s="29" t="n">
        <f aca="false">IF(AND(G323=1,COUNTIFS($B$5:$B$1635,B323,$C$5:$C$1635,"&lt;"&amp;C323)&gt;0),1,0)</f>
        <v>0</v>
      </c>
      <c r="I323" s="29" t="n">
        <f aca="false">IF(AND(D323="Feature Use",COUNTIFS($B$5:B323,B323,$D$5:D323,"Feature Use",$E$5:E323,E323)=1),1,0)</f>
        <v>1</v>
      </c>
      <c r="J323" s="29" t="n">
        <f aca="false">IF(AND(D323="Feature Use",COUNTIFS($B$5:B323,B323,$D$5:D323,"Feature Use",$E$5:E323,E323)=2),1,0)</f>
        <v>0</v>
      </c>
      <c r="K323" s="29" t="n">
        <f aca="false">IF(COUNTIF($B$5:B323,B323)=1,1,0)</f>
        <v>0</v>
      </c>
      <c r="L323" s="29" t="n">
        <f aca="false">IF(AND(C323&gt;=Settings!$B$5-Settings!$B$8+1,C323&lt;=Settings!$B$5,COUNTIFS($B$5:B323,B323,$C$5:C323,"&gt;="&amp;(Settings!$B$5-Settings!$B$8+1),$C$5:C323,"&lt;="&amp;Settings!$B$5)=1),1,0)</f>
        <v>0</v>
      </c>
      <c r="M323" s="29" t="n">
        <f aca="false">IF(AND(C323&gt;=Settings!$B$5-Settings!$B$9+1,C323&lt;=Settings!$B$5,COUNTIFS($B$5:B323,B323,$C$5:C323,"&gt;="&amp;(Settings!$B$5-Settings!$B$9+1),$C$5:C323,"&lt;="&amp;Settings!$B$5)=1),1,0)</f>
        <v>0</v>
      </c>
      <c r="N323" s="29" t="n">
        <f aca="false">IF(AND(D323="Feature Use",COUNTIFS($B$5:B323,B323,$D$5:D323,"Feature Use")=1),1,0)</f>
        <v>0</v>
      </c>
    </row>
    <row r="324" customFormat="false" ht="15" hidden="false" customHeight="false" outlineLevel="0" collapsed="false">
      <c r="A324" s="22" t="s">
        <v>631</v>
      </c>
      <c r="B324" s="22" t="s">
        <v>168</v>
      </c>
      <c r="C324" s="31" t="n">
        <v>46279</v>
      </c>
      <c r="D324" s="22" t="s">
        <v>308</v>
      </c>
      <c r="E324" s="22" t="s">
        <v>301</v>
      </c>
      <c r="F324" s="29" t="str">
        <f aca="false">IF(COUNTIF(Referral_Data!$C$5:$C$1000,B324)&gt;0,"Referred",IF(COUNTIF(Referral_Data!$B$5:$B$1000,B324)&gt;0,"Referrer","Organic"))</f>
        <v>Referred</v>
      </c>
      <c r="G324" s="29" t="n">
        <f aca="false">IF(COUNTIFS($B$5:B324,B324,$C$5:C324,C324)=1,1,0)</f>
        <v>0</v>
      </c>
      <c r="H324" s="29" t="n">
        <f aca="false">IF(AND(G324=1,COUNTIFS($B$5:$B$1635,B324,$C$5:$C$1635,"&lt;"&amp;C324)&gt;0),1,0)</f>
        <v>0</v>
      </c>
      <c r="I324" s="29" t="n">
        <f aca="false">IF(AND(D324="Feature Use",COUNTIFS($B$5:B324,B324,$D$5:D324,"Feature Use",$E$5:E324,E324)=1),1,0)</f>
        <v>0</v>
      </c>
      <c r="J324" s="29" t="n">
        <f aca="false">IF(AND(D324="Feature Use",COUNTIFS($B$5:B324,B324,$D$5:D324,"Feature Use",$E$5:E324,E324)=2),1,0)</f>
        <v>0</v>
      </c>
      <c r="K324" s="29" t="n">
        <f aca="false">IF(COUNTIF($B$5:B324,B324)=1,1,0)</f>
        <v>0</v>
      </c>
      <c r="L324" s="29" t="n">
        <f aca="false">IF(AND(C324&gt;=Settings!$B$5-Settings!$B$8+1,C324&lt;=Settings!$B$5,COUNTIFS($B$5:B324,B324,$C$5:C324,"&gt;="&amp;(Settings!$B$5-Settings!$B$8+1),$C$5:C324,"&lt;="&amp;Settings!$B$5)=1),1,0)</f>
        <v>0</v>
      </c>
      <c r="M324" s="29" t="n">
        <f aca="false">IF(AND(C324&gt;=Settings!$B$5-Settings!$B$9+1,C324&lt;=Settings!$B$5,COUNTIFS($B$5:B324,B324,$C$5:C324,"&gt;="&amp;(Settings!$B$5-Settings!$B$9+1),$C$5:C324,"&lt;="&amp;Settings!$B$5)=1),1,0)</f>
        <v>0</v>
      </c>
      <c r="N324" s="29" t="n">
        <f aca="false">IF(AND(D324="Feature Use",COUNTIFS($B$5:B324,B324,$D$5:D324,"Feature Use")=1),1,0)</f>
        <v>0</v>
      </c>
    </row>
    <row r="325" customFormat="false" ht="15" hidden="false" customHeight="false" outlineLevel="0" collapsed="false">
      <c r="A325" s="22" t="s">
        <v>632</v>
      </c>
      <c r="B325" s="22" t="s">
        <v>184</v>
      </c>
      <c r="C325" s="31" t="n">
        <v>46279</v>
      </c>
      <c r="D325" s="22" t="s">
        <v>297</v>
      </c>
      <c r="E325" s="22" t="s">
        <v>298</v>
      </c>
      <c r="F325" s="29" t="str">
        <f aca="false">IF(COUNTIF(Referral_Data!$C$5:$C$1000,B325)&gt;0,"Referred",IF(COUNTIF(Referral_Data!$B$5:$B$1000,B325)&gt;0,"Referrer","Organic"))</f>
        <v>Referred</v>
      </c>
      <c r="G325" s="29" t="n">
        <f aca="false">IF(COUNTIFS($B$5:B325,B325,$C$5:C325,C325)=1,1,0)</f>
        <v>1</v>
      </c>
      <c r="H325" s="29" t="n">
        <f aca="false">IF(AND(G325=1,COUNTIFS($B$5:$B$1635,B325,$C$5:$C$1635,"&lt;"&amp;C325)&gt;0),1,0)</f>
        <v>0</v>
      </c>
      <c r="I325" s="29" t="n">
        <f aca="false">IF(AND(D325="Feature Use",COUNTIFS($B$5:B325,B325,$D$5:D325,"Feature Use",$E$5:E325,E325)=1),1,0)</f>
        <v>0</v>
      </c>
      <c r="J325" s="29" t="n">
        <f aca="false">IF(AND(D325="Feature Use",COUNTIFS($B$5:B325,B325,$D$5:D325,"Feature Use",$E$5:E325,E325)=2),1,0)</f>
        <v>0</v>
      </c>
      <c r="K325" s="29" t="n">
        <f aca="false">IF(COUNTIF($B$5:B325,B325)=1,1,0)</f>
        <v>1</v>
      </c>
      <c r="L325" s="29" t="n">
        <f aca="false">IF(AND(C325&gt;=Settings!$B$5-Settings!$B$8+1,C325&lt;=Settings!$B$5,COUNTIFS($B$5:B325,B325,$C$5:C325,"&gt;="&amp;(Settings!$B$5-Settings!$B$8+1),$C$5:C325,"&lt;="&amp;Settings!$B$5)=1),1,0)</f>
        <v>0</v>
      </c>
      <c r="M325" s="29" t="n">
        <f aca="false">IF(AND(C325&gt;=Settings!$B$5-Settings!$B$9+1,C325&lt;=Settings!$B$5,COUNTIFS($B$5:B325,B325,$C$5:C325,"&gt;="&amp;(Settings!$B$5-Settings!$B$9+1),$C$5:C325,"&lt;="&amp;Settings!$B$5)=1),1,0)</f>
        <v>0</v>
      </c>
      <c r="N325" s="29" t="n">
        <f aca="false">IF(AND(D325="Feature Use",COUNTIFS($B$5:B325,B325,$D$5:D325,"Feature Use")=1),1,0)</f>
        <v>0</v>
      </c>
    </row>
    <row r="326" customFormat="false" ht="15" hidden="false" customHeight="false" outlineLevel="0" collapsed="false">
      <c r="A326" s="22" t="s">
        <v>633</v>
      </c>
      <c r="B326" s="22" t="s">
        <v>184</v>
      </c>
      <c r="C326" s="31" t="n">
        <v>46279</v>
      </c>
      <c r="D326" s="22" t="s">
        <v>300</v>
      </c>
      <c r="E326" s="22" t="s">
        <v>319</v>
      </c>
      <c r="F326" s="29" t="str">
        <f aca="false">IF(COUNTIF(Referral_Data!$C$5:$C$1000,B326)&gt;0,"Referred",IF(COUNTIF(Referral_Data!$B$5:$B$1000,B326)&gt;0,"Referrer","Organic"))</f>
        <v>Referred</v>
      </c>
      <c r="G326" s="29" t="n">
        <f aca="false">IF(COUNTIFS($B$5:B326,B326,$C$5:C326,C326)=1,1,0)</f>
        <v>0</v>
      </c>
      <c r="H326" s="29" t="n">
        <f aca="false">IF(AND(G326=1,COUNTIFS($B$5:$B$1635,B326,$C$5:$C$1635,"&lt;"&amp;C326)&gt;0),1,0)</f>
        <v>0</v>
      </c>
      <c r="I326" s="29" t="n">
        <f aca="false">IF(AND(D326="Feature Use",COUNTIFS($B$5:B326,B326,$D$5:D326,"Feature Use",$E$5:E326,E326)=1),1,0)</f>
        <v>1</v>
      </c>
      <c r="J326" s="29" t="n">
        <f aca="false">IF(AND(D326="Feature Use",COUNTIFS($B$5:B326,B326,$D$5:D326,"Feature Use",$E$5:E326,E326)=2),1,0)</f>
        <v>0</v>
      </c>
      <c r="K326" s="29" t="n">
        <f aca="false">IF(COUNTIF($B$5:B326,B326)=1,1,0)</f>
        <v>0</v>
      </c>
      <c r="L326" s="29" t="n">
        <f aca="false">IF(AND(C326&gt;=Settings!$B$5-Settings!$B$8+1,C326&lt;=Settings!$B$5,COUNTIFS($B$5:B326,B326,$C$5:C326,"&gt;="&amp;(Settings!$B$5-Settings!$B$8+1),$C$5:C326,"&lt;="&amp;Settings!$B$5)=1),1,0)</f>
        <v>0</v>
      </c>
      <c r="M326" s="29" t="n">
        <f aca="false">IF(AND(C326&gt;=Settings!$B$5-Settings!$B$9+1,C326&lt;=Settings!$B$5,COUNTIFS($B$5:B326,B326,$C$5:C326,"&gt;="&amp;(Settings!$B$5-Settings!$B$9+1),$C$5:C326,"&lt;="&amp;Settings!$B$5)=1),1,0)</f>
        <v>0</v>
      </c>
      <c r="N326" s="29" t="n">
        <f aca="false">IF(AND(D326="Feature Use",COUNTIFS($B$5:B326,B326,$D$5:D326,"Feature Use")=1),1,0)</f>
        <v>1</v>
      </c>
    </row>
    <row r="327" customFormat="false" ht="15" hidden="false" customHeight="false" outlineLevel="0" collapsed="false">
      <c r="A327" s="22" t="s">
        <v>634</v>
      </c>
      <c r="B327" s="22" t="s">
        <v>184</v>
      </c>
      <c r="C327" s="31" t="n">
        <v>46279</v>
      </c>
      <c r="D327" s="22" t="s">
        <v>300</v>
      </c>
      <c r="E327" s="22" t="s">
        <v>311</v>
      </c>
      <c r="F327" s="29" t="str">
        <f aca="false">IF(COUNTIF(Referral_Data!$C$5:$C$1000,B327)&gt;0,"Referred",IF(COUNTIF(Referral_Data!$B$5:$B$1000,B327)&gt;0,"Referrer","Organic"))</f>
        <v>Referred</v>
      </c>
      <c r="G327" s="29" t="n">
        <f aca="false">IF(COUNTIFS($B$5:B327,B327,$C$5:C327,C327)=1,1,0)</f>
        <v>0</v>
      </c>
      <c r="H327" s="29" t="n">
        <f aca="false">IF(AND(G327=1,COUNTIFS($B$5:$B$1635,B327,$C$5:$C$1635,"&lt;"&amp;C327)&gt;0),1,0)</f>
        <v>0</v>
      </c>
      <c r="I327" s="29" t="n">
        <f aca="false">IF(AND(D327="Feature Use",COUNTIFS($B$5:B327,B327,$D$5:D327,"Feature Use",$E$5:E327,E327)=1),1,0)</f>
        <v>1</v>
      </c>
      <c r="J327" s="29" t="n">
        <f aca="false">IF(AND(D327="Feature Use",COUNTIFS($B$5:B327,B327,$D$5:D327,"Feature Use",$E$5:E327,E327)=2),1,0)</f>
        <v>0</v>
      </c>
      <c r="K327" s="29" t="n">
        <f aca="false">IF(COUNTIF($B$5:B327,B327)=1,1,0)</f>
        <v>0</v>
      </c>
      <c r="L327" s="29" t="n">
        <f aca="false">IF(AND(C327&gt;=Settings!$B$5-Settings!$B$8+1,C327&lt;=Settings!$B$5,COUNTIFS($B$5:B327,B327,$C$5:C327,"&gt;="&amp;(Settings!$B$5-Settings!$B$8+1),$C$5:C327,"&lt;="&amp;Settings!$B$5)=1),1,0)</f>
        <v>0</v>
      </c>
      <c r="M327" s="29" t="n">
        <f aca="false">IF(AND(C327&gt;=Settings!$B$5-Settings!$B$9+1,C327&lt;=Settings!$B$5,COUNTIFS($B$5:B327,B327,$C$5:C327,"&gt;="&amp;(Settings!$B$5-Settings!$B$9+1),$C$5:C327,"&lt;="&amp;Settings!$B$5)=1),1,0)</f>
        <v>0</v>
      </c>
      <c r="N327" s="29" t="n">
        <f aca="false">IF(AND(D327="Feature Use",COUNTIFS($B$5:B327,B327,$D$5:D327,"Feature Use")=1),1,0)</f>
        <v>0</v>
      </c>
    </row>
    <row r="328" customFormat="false" ht="15" hidden="false" customHeight="false" outlineLevel="0" collapsed="false">
      <c r="A328" s="22" t="s">
        <v>635</v>
      </c>
      <c r="B328" s="22" t="s">
        <v>194</v>
      </c>
      <c r="C328" s="31" t="n">
        <v>46279</v>
      </c>
      <c r="D328" s="22" t="s">
        <v>297</v>
      </c>
      <c r="E328" s="22" t="s">
        <v>298</v>
      </c>
      <c r="F328" s="29" t="str">
        <f aca="false">IF(COUNTIF(Referral_Data!$C$5:$C$1000,B328)&gt;0,"Referred",IF(COUNTIF(Referral_Data!$B$5:$B$1000,B328)&gt;0,"Referrer","Organic"))</f>
        <v>Referred</v>
      </c>
      <c r="G328" s="29" t="n">
        <f aca="false">IF(COUNTIFS($B$5:B328,B328,$C$5:C328,C328)=1,1,0)</f>
        <v>1</v>
      </c>
      <c r="H328" s="29" t="n">
        <f aca="false">IF(AND(G328=1,COUNTIFS($B$5:$B$1635,B328,$C$5:$C$1635,"&lt;"&amp;C328)&gt;0),1,0)</f>
        <v>1</v>
      </c>
      <c r="I328" s="29" t="n">
        <f aca="false">IF(AND(D328="Feature Use",COUNTIFS($B$5:B328,B328,$D$5:D328,"Feature Use",$E$5:E328,E328)=1),1,0)</f>
        <v>0</v>
      </c>
      <c r="J328" s="29" t="n">
        <f aca="false">IF(AND(D328="Feature Use",COUNTIFS($B$5:B328,B328,$D$5:D328,"Feature Use",$E$5:E328,E328)=2),1,0)</f>
        <v>0</v>
      </c>
      <c r="K328" s="29" t="n">
        <f aca="false">IF(COUNTIF($B$5:B328,B328)=1,1,0)</f>
        <v>0</v>
      </c>
      <c r="L328" s="29" t="n">
        <f aca="false">IF(AND(C328&gt;=Settings!$B$5-Settings!$B$8+1,C328&lt;=Settings!$B$5,COUNTIFS($B$5:B328,B328,$C$5:C328,"&gt;="&amp;(Settings!$B$5-Settings!$B$8+1),$C$5:C328,"&lt;="&amp;Settings!$B$5)=1),1,0)</f>
        <v>0</v>
      </c>
      <c r="M328" s="29" t="n">
        <f aca="false">IF(AND(C328&gt;=Settings!$B$5-Settings!$B$9+1,C328&lt;=Settings!$B$5,COUNTIFS($B$5:B328,B328,$C$5:C328,"&gt;="&amp;(Settings!$B$5-Settings!$B$9+1),$C$5:C328,"&lt;="&amp;Settings!$B$5)=1),1,0)</f>
        <v>0</v>
      </c>
      <c r="N328" s="29" t="n">
        <f aca="false">IF(AND(D328="Feature Use",COUNTIFS($B$5:B328,B328,$D$5:D328,"Feature Use")=1),1,0)</f>
        <v>0</v>
      </c>
    </row>
    <row r="329" customFormat="false" ht="15" hidden="false" customHeight="false" outlineLevel="0" collapsed="false">
      <c r="A329" s="22" t="s">
        <v>636</v>
      </c>
      <c r="B329" s="22" t="s">
        <v>194</v>
      </c>
      <c r="C329" s="31" t="n">
        <v>46279</v>
      </c>
      <c r="D329" s="22" t="s">
        <v>300</v>
      </c>
      <c r="E329" s="22" t="s">
        <v>305</v>
      </c>
      <c r="F329" s="29" t="str">
        <f aca="false">IF(COUNTIF(Referral_Data!$C$5:$C$1000,B329)&gt;0,"Referred",IF(COUNTIF(Referral_Data!$B$5:$B$1000,B329)&gt;0,"Referrer","Organic"))</f>
        <v>Referred</v>
      </c>
      <c r="G329" s="29" t="n">
        <f aca="false">IF(COUNTIFS($B$5:B329,B329,$C$5:C329,C329)=1,1,0)</f>
        <v>0</v>
      </c>
      <c r="H329" s="29" t="n">
        <f aca="false">IF(AND(G329=1,COUNTIFS($B$5:$B$1635,B329,$C$5:$C$1635,"&lt;"&amp;C329)&gt;0),1,0)</f>
        <v>0</v>
      </c>
      <c r="I329" s="29" t="n">
        <f aca="false">IF(AND(D329="Feature Use",COUNTIFS($B$5:B329,B329,$D$5:D329,"Feature Use",$E$5:E329,E329)=1),1,0)</f>
        <v>0</v>
      </c>
      <c r="J329" s="29" t="n">
        <f aca="false">IF(AND(D329="Feature Use",COUNTIFS($B$5:B329,B329,$D$5:D329,"Feature Use",$E$5:E329,E329)=2),1,0)</f>
        <v>0</v>
      </c>
      <c r="K329" s="29" t="n">
        <f aca="false">IF(COUNTIF($B$5:B329,B329)=1,1,0)</f>
        <v>0</v>
      </c>
      <c r="L329" s="29" t="n">
        <f aca="false">IF(AND(C329&gt;=Settings!$B$5-Settings!$B$8+1,C329&lt;=Settings!$B$5,COUNTIFS($B$5:B329,B329,$C$5:C329,"&gt;="&amp;(Settings!$B$5-Settings!$B$8+1),$C$5:C329,"&lt;="&amp;Settings!$B$5)=1),1,0)</f>
        <v>0</v>
      </c>
      <c r="M329" s="29" t="n">
        <f aca="false">IF(AND(C329&gt;=Settings!$B$5-Settings!$B$9+1,C329&lt;=Settings!$B$5,COUNTIFS($B$5:B329,B329,$C$5:C329,"&gt;="&amp;(Settings!$B$5-Settings!$B$9+1),$C$5:C329,"&lt;="&amp;Settings!$B$5)=1),1,0)</f>
        <v>0</v>
      </c>
      <c r="N329" s="29" t="n">
        <f aca="false">IF(AND(D329="Feature Use",COUNTIFS($B$5:B329,B329,$D$5:D329,"Feature Use")=1),1,0)</f>
        <v>0</v>
      </c>
    </row>
    <row r="330" customFormat="false" ht="15" hidden="false" customHeight="false" outlineLevel="0" collapsed="false">
      <c r="A330" s="22" t="s">
        <v>637</v>
      </c>
      <c r="B330" s="22" t="s">
        <v>194</v>
      </c>
      <c r="C330" s="31" t="n">
        <v>46279</v>
      </c>
      <c r="D330" s="22" t="s">
        <v>308</v>
      </c>
      <c r="E330" s="22" t="s">
        <v>311</v>
      </c>
      <c r="F330" s="29" t="str">
        <f aca="false">IF(COUNTIF(Referral_Data!$C$5:$C$1000,B330)&gt;0,"Referred",IF(COUNTIF(Referral_Data!$B$5:$B$1000,B330)&gt;0,"Referrer","Organic"))</f>
        <v>Referred</v>
      </c>
      <c r="G330" s="29" t="n">
        <f aca="false">IF(COUNTIFS($B$5:B330,B330,$C$5:C330,C330)=1,1,0)</f>
        <v>0</v>
      </c>
      <c r="H330" s="29" t="n">
        <f aca="false">IF(AND(G330=1,COUNTIFS($B$5:$B$1635,B330,$C$5:$C$1635,"&lt;"&amp;C330)&gt;0),1,0)</f>
        <v>0</v>
      </c>
      <c r="I330" s="29" t="n">
        <f aca="false">IF(AND(D330="Feature Use",COUNTIFS($B$5:B330,B330,$D$5:D330,"Feature Use",$E$5:E330,E330)=1),1,0)</f>
        <v>0</v>
      </c>
      <c r="J330" s="29" t="n">
        <f aca="false">IF(AND(D330="Feature Use",COUNTIFS($B$5:B330,B330,$D$5:D330,"Feature Use",$E$5:E330,E330)=2),1,0)</f>
        <v>0</v>
      </c>
      <c r="K330" s="29" t="n">
        <f aca="false">IF(COUNTIF($B$5:B330,B330)=1,1,0)</f>
        <v>0</v>
      </c>
      <c r="L330" s="29" t="n">
        <f aca="false">IF(AND(C330&gt;=Settings!$B$5-Settings!$B$8+1,C330&lt;=Settings!$B$5,COUNTIFS($B$5:B330,B330,$C$5:C330,"&gt;="&amp;(Settings!$B$5-Settings!$B$8+1),$C$5:C330,"&lt;="&amp;Settings!$B$5)=1),1,0)</f>
        <v>0</v>
      </c>
      <c r="M330" s="29" t="n">
        <f aca="false">IF(AND(C330&gt;=Settings!$B$5-Settings!$B$9+1,C330&lt;=Settings!$B$5,COUNTIFS($B$5:B330,B330,$C$5:C330,"&gt;="&amp;(Settings!$B$5-Settings!$B$9+1),$C$5:C330,"&lt;="&amp;Settings!$B$5)=1),1,0)</f>
        <v>0</v>
      </c>
      <c r="N330" s="29" t="n">
        <f aca="false">IF(AND(D330="Feature Use",COUNTIFS($B$5:B330,B330,$D$5:D330,"Feature Use")=1),1,0)</f>
        <v>0</v>
      </c>
    </row>
    <row r="331" customFormat="false" ht="15" hidden="false" customHeight="false" outlineLevel="0" collapsed="false">
      <c r="A331" s="22" t="s">
        <v>638</v>
      </c>
      <c r="B331" s="22" t="s">
        <v>194</v>
      </c>
      <c r="C331" s="31" t="n">
        <v>46279</v>
      </c>
      <c r="D331" s="22" t="s">
        <v>308</v>
      </c>
      <c r="E331" s="22" t="s">
        <v>305</v>
      </c>
      <c r="F331" s="29" t="str">
        <f aca="false">IF(COUNTIF(Referral_Data!$C$5:$C$1000,B331)&gt;0,"Referred",IF(COUNTIF(Referral_Data!$B$5:$B$1000,B331)&gt;0,"Referrer","Organic"))</f>
        <v>Referred</v>
      </c>
      <c r="G331" s="29" t="n">
        <f aca="false">IF(COUNTIFS($B$5:B331,B331,$C$5:C331,C331)=1,1,0)</f>
        <v>0</v>
      </c>
      <c r="H331" s="29" t="n">
        <f aca="false">IF(AND(G331=1,COUNTIFS($B$5:$B$1635,B331,$C$5:$C$1635,"&lt;"&amp;C331)&gt;0),1,0)</f>
        <v>0</v>
      </c>
      <c r="I331" s="29" t="n">
        <f aca="false">IF(AND(D331="Feature Use",COUNTIFS($B$5:B331,B331,$D$5:D331,"Feature Use",$E$5:E331,E331)=1),1,0)</f>
        <v>0</v>
      </c>
      <c r="J331" s="29" t="n">
        <f aca="false">IF(AND(D331="Feature Use",COUNTIFS($B$5:B331,B331,$D$5:D331,"Feature Use",$E$5:E331,E331)=2),1,0)</f>
        <v>0</v>
      </c>
      <c r="K331" s="29" t="n">
        <f aca="false">IF(COUNTIF($B$5:B331,B331)=1,1,0)</f>
        <v>0</v>
      </c>
      <c r="L331" s="29" t="n">
        <f aca="false">IF(AND(C331&gt;=Settings!$B$5-Settings!$B$8+1,C331&lt;=Settings!$B$5,COUNTIFS($B$5:B331,B331,$C$5:C331,"&gt;="&amp;(Settings!$B$5-Settings!$B$8+1),$C$5:C331,"&lt;="&amp;Settings!$B$5)=1),1,0)</f>
        <v>0</v>
      </c>
      <c r="M331" s="29" t="n">
        <f aca="false">IF(AND(C331&gt;=Settings!$B$5-Settings!$B$9+1,C331&lt;=Settings!$B$5,COUNTIFS($B$5:B331,B331,$C$5:C331,"&gt;="&amp;(Settings!$B$5-Settings!$B$9+1),$C$5:C331,"&lt;="&amp;Settings!$B$5)=1),1,0)</f>
        <v>0</v>
      </c>
      <c r="N331" s="29" t="n">
        <f aca="false">IF(AND(D331="Feature Use",COUNTIFS($B$5:B331,B331,$D$5:D331,"Feature Use")=1),1,0)</f>
        <v>0</v>
      </c>
    </row>
    <row r="332" customFormat="false" ht="15" hidden="false" customHeight="false" outlineLevel="0" collapsed="false">
      <c r="A332" s="22" t="s">
        <v>639</v>
      </c>
      <c r="B332" s="22" t="s">
        <v>213</v>
      </c>
      <c r="C332" s="31" t="n">
        <v>46279</v>
      </c>
      <c r="D332" s="22" t="s">
        <v>297</v>
      </c>
      <c r="E332" s="22" t="s">
        <v>298</v>
      </c>
      <c r="F332" s="29" t="str">
        <f aca="false">IF(COUNTIF(Referral_Data!$C$5:$C$1000,B332)&gt;0,"Referred",IF(COUNTIF(Referral_Data!$B$5:$B$1000,B332)&gt;0,"Referrer","Organic"))</f>
        <v>Referred</v>
      </c>
      <c r="G332" s="29" t="n">
        <f aca="false">IF(COUNTIFS($B$5:B332,B332,$C$5:C332,C332)=1,1,0)</f>
        <v>1</v>
      </c>
      <c r="H332" s="29" t="n">
        <f aca="false">IF(AND(G332=1,COUNTIFS($B$5:$B$1635,B332,$C$5:$C$1635,"&lt;"&amp;C332)&gt;0),1,0)</f>
        <v>1</v>
      </c>
      <c r="I332" s="29" t="n">
        <f aca="false">IF(AND(D332="Feature Use",COUNTIFS($B$5:B332,B332,$D$5:D332,"Feature Use",$E$5:E332,E332)=1),1,0)</f>
        <v>0</v>
      </c>
      <c r="J332" s="29" t="n">
        <f aca="false">IF(AND(D332="Feature Use",COUNTIFS($B$5:B332,B332,$D$5:D332,"Feature Use",$E$5:E332,E332)=2),1,0)</f>
        <v>0</v>
      </c>
      <c r="K332" s="29" t="n">
        <f aca="false">IF(COUNTIF($B$5:B332,B332)=1,1,0)</f>
        <v>0</v>
      </c>
      <c r="L332" s="29" t="n">
        <f aca="false">IF(AND(C332&gt;=Settings!$B$5-Settings!$B$8+1,C332&lt;=Settings!$B$5,COUNTIFS($B$5:B332,B332,$C$5:C332,"&gt;="&amp;(Settings!$B$5-Settings!$B$8+1),$C$5:C332,"&lt;="&amp;Settings!$B$5)=1),1,0)</f>
        <v>0</v>
      </c>
      <c r="M332" s="29" t="n">
        <f aca="false">IF(AND(C332&gt;=Settings!$B$5-Settings!$B$9+1,C332&lt;=Settings!$B$5,COUNTIFS($B$5:B332,B332,$C$5:C332,"&gt;="&amp;(Settings!$B$5-Settings!$B$9+1),$C$5:C332,"&lt;="&amp;Settings!$B$5)=1),1,0)</f>
        <v>0</v>
      </c>
      <c r="N332" s="29" t="n">
        <f aca="false">IF(AND(D332="Feature Use",COUNTIFS($B$5:B332,B332,$D$5:D332,"Feature Use")=1),1,0)</f>
        <v>0</v>
      </c>
    </row>
    <row r="333" customFormat="false" ht="15" hidden="false" customHeight="false" outlineLevel="0" collapsed="false">
      <c r="A333" s="22" t="s">
        <v>640</v>
      </c>
      <c r="B333" s="22" t="s">
        <v>213</v>
      </c>
      <c r="C333" s="31" t="n">
        <v>46279</v>
      </c>
      <c r="D333" s="22" t="s">
        <v>300</v>
      </c>
      <c r="E333" s="22" t="s">
        <v>301</v>
      </c>
      <c r="F333" s="29" t="str">
        <f aca="false">IF(COUNTIF(Referral_Data!$C$5:$C$1000,B333)&gt;0,"Referred",IF(COUNTIF(Referral_Data!$B$5:$B$1000,B333)&gt;0,"Referrer","Organic"))</f>
        <v>Referred</v>
      </c>
      <c r="G333" s="29" t="n">
        <f aca="false">IF(COUNTIFS($B$5:B333,B333,$C$5:C333,C333)=1,1,0)</f>
        <v>0</v>
      </c>
      <c r="H333" s="29" t="n">
        <f aca="false">IF(AND(G333=1,COUNTIFS($B$5:$B$1635,B333,$C$5:$C$1635,"&lt;"&amp;C333)&gt;0),1,0)</f>
        <v>0</v>
      </c>
      <c r="I333" s="29" t="n">
        <f aca="false">IF(AND(D333="Feature Use",COUNTIFS($B$5:B333,B333,$D$5:D333,"Feature Use",$E$5:E333,E333)=1),1,0)</f>
        <v>0</v>
      </c>
      <c r="J333" s="29" t="n">
        <f aca="false">IF(AND(D333="Feature Use",COUNTIFS($B$5:B333,B333,$D$5:D333,"Feature Use",$E$5:E333,E333)=2),1,0)</f>
        <v>1</v>
      </c>
      <c r="K333" s="29" t="n">
        <f aca="false">IF(COUNTIF($B$5:B333,B333)=1,1,0)</f>
        <v>0</v>
      </c>
      <c r="L333" s="29" t="n">
        <f aca="false">IF(AND(C333&gt;=Settings!$B$5-Settings!$B$8+1,C333&lt;=Settings!$B$5,COUNTIFS($B$5:B333,B333,$C$5:C333,"&gt;="&amp;(Settings!$B$5-Settings!$B$8+1),$C$5:C333,"&lt;="&amp;Settings!$B$5)=1),1,0)</f>
        <v>0</v>
      </c>
      <c r="M333" s="29" t="n">
        <f aca="false">IF(AND(C333&gt;=Settings!$B$5-Settings!$B$9+1,C333&lt;=Settings!$B$5,COUNTIFS($B$5:B333,B333,$C$5:C333,"&gt;="&amp;(Settings!$B$5-Settings!$B$9+1),$C$5:C333,"&lt;="&amp;Settings!$B$5)=1),1,0)</f>
        <v>0</v>
      </c>
      <c r="N333" s="29" t="n">
        <f aca="false">IF(AND(D333="Feature Use",COUNTIFS($B$5:B333,B333,$D$5:D333,"Feature Use")=1),1,0)</f>
        <v>0</v>
      </c>
    </row>
    <row r="334" customFormat="false" ht="15" hidden="false" customHeight="false" outlineLevel="0" collapsed="false">
      <c r="A334" s="22" t="s">
        <v>641</v>
      </c>
      <c r="B334" s="22" t="s">
        <v>228</v>
      </c>
      <c r="C334" s="31" t="n">
        <v>46279</v>
      </c>
      <c r="D334" s="22" t="s">
        <v>297</v>
      </c>
      <c r="E334" s="22" t="s">
        <v>298</v>
      </c>
      <c r="F334" s="29" t="str">
        <f aca="false">IF(COUNTIF(Referral_Data!$C$5:$C$1000,B334)&gt;0,"Referred",IF(COUNTIF(Referral_Data!$B$5:$B$1000,B334)&gt;0,"Referrer","Organic"))</f>
        <v>Referred</v>
      </c>
      <c r="G334" s="29" t="n">
        <f aca="false">IF(COUNTIFS($B$5:B334,B334,$C$5:C334,C334)=1,1,0)</f>
        <v>1</v>
      </c>
      <c r="H334" s="29" t="n">
        <f aca="false">IF(AND(G334=1,COUNTIFS($B$5:$B$1635,B334,$C$5:$C$1635,"&lt;"&amp;C334)&gt;0),1,0)</f>
        <v>0</v>
      </c>
      <c r="I334" s="29" t="n">
        <f aca="false">IF(AND(D334="Feature Use",COUNTIFS($B$5:B334,B334,$D$5:D334,"Feature Use",$E$5:E334,E334)=1),1,0)</f>
        <v>0</v>
      </c>
      <c r="J334" s="29" t="n">
        <f aca="false">IF(AND(D334="Feature Use",COUNTIFS($B$5:B334,B334,$D$5:D334,"Feature Use",$E$5:E334,E334)=2),1,0)</f>
        <v>0</v>
      </c>
      <c r="K334" s="29" t="n">
        <f aca="false">IF(COUNTIF($B$5:B334,B334)=1,1,0)</f>
        <v>1</v>
      </c>
      <c r="L334" s="29" t="n">
        <f aca="false">IF(AND(C334&gt;=Settings!$B$5-Settings!$B$8+1,C334&lt;=Settings!$B$5,COUNTIFS($B$5:B334,B334,$C$5:C334,"&gt;="&amp;(Settings!$B$5-Settings!$B$8+1),$C$5:C334,"&lt;="&amp;Settings!$B$5)=1),1,0)</f>
        <v>0</v>
      </c>
      <c r="M334" s="29" t="n">
        <f aca="false">IF(AND(C334&gt;=Settings!$B$5-Settings!$B$9+1,C334&lt;=Settings!$B$5,COUNTIFS($B$5:B334,B334,$C$5:C334,"&gt;="&amp;(Settings!$B$5-Settings!$B$9+1),$C$5:C334,"&lt;="&amp;Settings!$B$5)=1),1,0)</f>
        <v>0</v>
      </c>
      <c r="N334" s="29" t="n">
        <f aca="false">IF(AND(D334="Feature Use",COUNTIFS($B$5:B334,B334,$D$5:D334,"Feature Use")=1),1,0)</f>
        <v>0</v>
      </c>
    </row>
    <row r="335" customFormat="false" ht="15" hidden="false" customHeight="false" outlineLevel="0" collapsed="false">
      <c r="A335" s="22" t="s">
        <v>642</v>
      </c>
      <c r="B335" s="22" t="s">
        <v>228</v>
      </c>
      <c r="C335" s="31" t="n">
        <v>46279</v>
      </c>
      <c r="D335" s="22" t="s">
        <v>300</v>
      </c>
      <c r="E335" s="22" t="s">
        <v>311</v>
      </c>
      <c r="F335" s="29" t="str">
        <f aca="false">IF(COUNTIF(Referral_Data!$C$5:$C$1000,B335)&gt;0,"Referred",IF(COUNTIF(Referral_Data!$B$5:$B$1000,B335)&gt;0,"Referrer","Organic"))</f>
        <v>Referred</v>
      </c>
      <c r="G335" s="29" t="n">
        <f aca="false">IF(COUNTIFS($B$5:B335,B335,$C$5:C335,C335)=1,1,0)</f>
        <v>0</v>
      </c>
      <c r="H335" s="29" t="n">
        <f aca="false">IF(AND(G335=1,COUNTIFS($B$5:$B$1635,B335,$C$5:$C$1635,"&lt;"&amp;C335)&gt;0),1,0)</f>
        <v>0</v>
      </c>
      <c r="I335" s="29" t="n">
        <f aca="false">IF(AND(D335="Feature Use",COUNTIFS($B$5:B335,B335,$D$5:D335,"Feature Use",$E$5:E335,E335)=1),1,0)</f>
        <v>1</v>
      </c>
      <c r="J335" s="29" t="n">
        <f aca="false">IF(AND(D335="Feature Use",COUNTIFS($B$5:B335,B335,$D$5:D335,"Feature Use",$E$5:E335,E335)=2),1,0)</f>
        <v>0</v>
      </c>
      <c r="K335" s="29" t="n">
        <f aca="false">IF(COUNTIF($B$5:B335,B335)=1,1,0)</f>
        <v>0</v>
      </c>
      <c r="L335" s="29" t="n">
        <f aca="false">IF(AND(C335&gt;=Settings!$B$5-Settings!$B$8+1,C335&lt;=Settings!$B$5,COUNTIFS($B$5:B335,B335,$C$5:C335,"&gt;="&amp;(Settings!$B$5-Settings!$B$8+1),$C$5:C335,"&lt;="&amp;Settings!$B$5)=1),1,0)</f>
        <v>0</v>
      </c>
      <c r="M335" s="29" t="n">
        <f aca="false">IF(AND(C335&gt;=Settings!$B$5-Settings!$B$9+1,C335&lt;=Settings!$B$5,COUNTIFS($B$5:B335,B335,$C$5:C335,"&gt;="&amp;(Settings!$B$5-Settings!$B$9+1),$C$5:C335,"&lt;="&amp;Settings!$B$5)=1),1,0)</f>
        <v>0</v>
      </c>
      <c r="N335" s="29" t="n">
        <f aca="false">IF(AND(D335="Feature Use",COUNTIFS($B$5:B335,B335,$D$5:D335,"Feature Use")=1),1,0)</f>
        <v>1</v>
      </c>
    </row>
    <row r="336" customFormat="false" ht="15" hidden="false" customHeight="false" outlineLevel="0" collapsed="false">
      <c r="A336" s="22" t="s">
        <v>643</v>
      </c>
      <c r="B336" s="22" t="s">
        <v>167</v>
      </c>
      <c r="C336" s="31" t="n">
        <v>46279</v>
      </c>
      <c r="D336" s="22" t="s">
        <v>297</v>
      </c>
      <c r="E336" s="22" t="s">
        <v>298</v>
      </c>
      <c r="F336" s="29" t="str">
        <f aca="false">IF(COUNTIF(Referral_Data!$C$5:$C$1000,B336)&gt;0,"Referred",IF(COUNTIF(Referral_Data!$B$5:$B$1000,B336)&gt;0,"Referrer","Organic"))</f>
        <v>Referrer</v>
      </c>
      <c r="G336" s="29" t="n">
        <f aca="false">IF(COUNTIFS($B$5:B336,B336,$C$5:C336,C336)=1,1,0)</f>
        <v>1</v>
      </c>
      <c r="H336" s="29" t="n">
        <f aca="false">IF(AND(G336=1,COUNTIFS($B$5:$B$1635,B336,$C$5:$C$1635,"&lt;"&amp;C336)&gt;0),1,0)</f>
        <v>1</v>
      </c>
      <c r="I336" s="29" t="n">
        <f aca="false">IF(AND(D336="Feature Use",COUNTIFS($B$5:B336,B336,$D$5:D336,"Feature Use",$E$5:E336,E336)=1),1,0)</f>
        <v>0</v>
      </c>
      <c r="J336" s="29" t="n">
        <f aca="false">IF(AND(D336="Feature Use",COUNTIFS($B$5:B336,B336,$D$5:D336,"Feature Use",$E$5:E336,E336)=2),1,0)</f>
        <v>0</v>
      </c>
      <c r="K336" s="29" t="n">
        <f aca="false">IF(COUNTIF($B$5:B336,B336)=1,1,0)</f>
        <v>0</v>
      </c>
      <c r="L336" s="29" t="n">
        <f aca="false">IF(AND(C336&gt;=Settings!$B$5-Settings!$B$8+1,C336&lt;=Settings!$B$5,COUNTIFS($B$5:B336,B336,$C$5:C336,"&gt;="&amp;(Settings!$B$5-Settings!$B$8+1),$C$5:C336,"&lt;="&amp;Settings!$B$5)=1),1,0)</f>
        <v>0</v>
      </c>
      <c r="M336" s="29" t="n">
        <f aca="false">IF(AND(C336&gt;=Settings!$B$5-Settings!$B$9+1,C336&lt;=Settings!$B$5,COUNTIFS($B$5:B336,B336,$C$5:C336,"&gt;="&amp;(Settings!$B$5-Settings!$B$9+1),$C$5:C336,"&lt;="&amp;Settings!$B$5)=1),1,0)</f>
        <v>0</v>
      </c>
      <c r="N336" s="29" t="n">
        <f aca="false">IF(AND(D336="Feature Use",COUNTIFS($B$5:B336,B336,$D$5:D336,"Feature Use")=1),1,0)</f>
        <v>0</v>
      </c>
    </row>
    <row r="337" customFormat="false" ht="15" hidden="false" customHeight="false" outlineLevel="0" collapsed="false">
      <c r="A337" s="22" t="s">
        <v>644</v>
      </c>
      <c r="B337" s="22" t="s">
        <v>167</v>
      </c>
      <c r="C337" s="31" t="n">
        <v>46279</v>
      </c>
      <c r="D337" s="22" t="s">
        <v>300</v>
      </c>
      <c r="E337" s="22" t="s">
        <v>319</v>
      </c>
      <c r="F337" s="29" t="str">
        <f aca="false">IF(COUNTIF(Referral_Data!$C$5:$C$1000,B337)&gt;0,"Referred",IF(COUNTIF(Referral_Data!$B$5:$B$1000,B337)&gt;0,"Referrer","Organic"))</f>
        <v>Referrer</v>
      </c>
      <c r="G337" s="29" t="n">
        <f aca="false">IF(COUNTIFS($B$5:B337,B337,$C$5:C337,C337)=1,1,0)</f>
        <v>0</v>
      </c>
      <c r="H337" s="29" t="n">
        <f aca="false">IF(AND(G337=1,COUNTIFS($B$5:$B$1635,B337,$C$5:$C$1635,"&lt;"&amp;C337)&gt;0),1,0)</f>
        <v>0</v>
      </c>
      <c r="I337" s="29" t="n">
        <f aca="false">IF(AND(D337="Feature Use",COUNTIFS($B$5:B337,B337,$D$5:D337,"Feature Use",$E$5:E337,E337)=1),1,0)</f>
        <v>0</v>
      </c>
      <c r="J337" s="29" t="n">
        <f aca="false">IF(AND(D337="Feature Use",COUNTIFS($B$5:B337,B337,$D$5:D337,"Feature Use",$E$5:E337,E337)=2),1,0)</f>
        <v>0</v>
      </c>
      <c r="K337" s="29" t="n">
        <f aca="false">IF(COUNTIF($B$5:B337,B337)=1,1,0)</f>
        <v>0</v>
      </c>
      <c r="L337" s="29" t="n">
        <f aca="false">IF(AND(C337&gt;=Settings!$B$5-Settings!$B$8+1,C337&lt;=Settings!$B$5,COUNTIFS($B$5:B337,B337,$C$5:C337,"&gt;="&amp;(Settings!$B$5-Settings!$B$8+1),$C$5:C337,"&lt;="&amp;Settings!$B$5)=1),1,0)</f>
        <v>0</v>
      </c>
      <c r="M337" s="29" t="n">
        <f aca="false">IF(AND(C337&gt;=Settings!$B$5-Settings!$B$9+1,C337&lt;=Settings!$B$5,COUNTIFS($B$5:B337,B337,$C$5:C337,"&gt;="&amp;(Settings!$B$5-Settings!$B$9+1),$C$5:C337,"&lt;="&amp;Settings!$B$5)=1),1,0)</f>
        <v>0</v>
      </c>
      <c r="N337" s="29" t="n">
        <f aca="false">IF(AND(D337="Feature Use",COUNTIFS($B$5:B337,B337,$D$5:D337,"Feature Use")=1),1,0)</f>
        <v>0</v>
      </c>
    </row>
    <row r="338" customFormat="false" ht="15" hidden="false" customHeight="false" outlineLevel="0" collapsed="false">
      <c r="A338" s="22" t="s">
        <v>645</v>
      </c>
      <c r="B338" s="22" t="s">
        <v>173</v>
      </c>
      <c r="C338" s="31" t="n">
        <v>46279</v>
      </c>
      <c r="D338" s="22" t="s">
        <v>297</v>
      </c>
      <c r="E338" s="22" t="s">
        <v>298</v>
      </c>
      <c r="F338" s="29" t="str">
        <f aca="false">IF(COUNTIF(Referral_Data!$C$5:$C$1000,B338)&gt;0,"Referred",IF(COUNTIF(Referral_Data!$B$5:$B$1000,B338)&gt;0,"Referrer","Organic"))</f>
        <v>Referrer</v>
      </c>
      <c r="G338" s="29" t="n">
        <f aca="false">IF(COUNTIFS($B$5:B338,B338,$C$5:C338,C338)=1,1,0)</f>
        <v>1</v>
      </c>
      <c r="H338" s="29" t="n">
        <f aca="false">IF(AND(G338=1,COUNTIFS($B$5:$B$1635,B338,$C$5:$C$1635,"&lt;"&amp;C338)&gt;0),1,0)</f>
        <v>1</v>
      </c>
      <c r="I338" s="29" t="n">
        <f aca="false">IF(AND(D338="Feature Use",COUNTIFS($B$5:B338,B338,$D$5:D338,"Feature Use",$E$5:E338,E338)=1),1,0)</f>
        <v>0</v>
      </c>
      <c r="J338" s="29" t="n">
        <f aca="false">IF(AND(D338="Feature Use",COUNTIFS($B$5:B338,B338,$D$5:D338,"Feature Use",$E$5:E338,E338)=2),1,0)</f>
        <v>0</v>
      </c>
      <c r="K338" s="29" t="n">
        <f aca="false">IF(COUNTIF($B$5:B338,B338)=1,1,0)</f>
        <v>0</v>
      </c>
      <c r="L338" s="29" t="n">
        <f aca="false">IF(AND(C338&gt;=Settings!$B$5-Settings!$B$8+1,C338&lt;=Settings!$B$5,COUNTIFS($B$5:B338,B338,$C$5:C338,"&gt;="&amp;(Settings!$B$5-Settings!$B$8+1),$C$5:C338,"&lt;="&amp;Settings!$B$5)=1),1,0)</f>
        <v>0</v>
      </c>
      <c r="M338" s="29" t="n">
        <f aca="false">IF(AND(C338&gt;=Settings!$B$5-Settings!$B$9+1,C338&lt;=Settings!$B$5,COUNTIFS($B$5:B338,B338,$C$5:C338,"&gt;="&amp;(Settings!$B$5-Settings!$B$9+1),$C$5:C338,"&lt;="&amp;Settings!$B$5)=1),1,0)</f>
        <v>0</v>
      </c>
      <c r="N338" s="29" t="n">
        <f aca="false">IF(AND(D338="Feature Use",COUNTIFS($B$5:B338,B338,$D$5:D338,"Feature Use")=1),1,0)</f>
        <v>0</v>
      </c>
    </row>
    <row r="339" customFormat="false" ht="15" hidden="false" customHeight="false" outlineLevel="0" collapsed="false">
      <c r="A339" s="22" t="s">
        <v>646</v>
      </c>
      <c r="B339" s="22" t="s">
        <v>173</v>
      </c>
      <c r="C339" s="31" t="n">
        <v>46279</v>
      </c>
      <c r="D339" s="22" t="s">
        <v>300</v>
      </c>
      <c r="E339" s="22" t="s">
        <v>305</v>
      </c>
      <c r="F339" s="29" t="str">
        <f aca="false">IF(COUNTIF(Referral_Data!$C$5:$C$1000,B339)&gt;0,"Referred",IF(COUNTIF(Referral_Data!$B$5:$B$1000,B339)&gt;0,"Referrer","Organic"))</f>
        <v>Referrer</v>
      </c>
      <c r="G339" s="29" t="n">
        <f aca="false">IF(COUNTIFS($B$5:B339,B339,$C$5:C339,C339)=1,1,0)</f>
        <v>0</v>
      </c>
      <c r="H339" s="29" t="n">
        <f aca="false">IF(AND(G339=1,COUNTIFS($B$5:$B$1635,B339,$C$5:$C$1635,"&lt;"&amp;C339)&gt;0),1,0)</f>
        <v>0</v>
      </c>
      <c r="I339" s="29" t="n">
        <f aca="false">IF(AND(D339="Feature Use",COUNTIFS($B$5:B339,B339,$D$5:D339,"Feature Use",$E$5:E339,E339)=1),1,0)</f>
        <v>0</v>
      </c>
      <c r="J339" s="29" t="n">
        <f aca="false">IF(AND(D339="Feature Use",COUNTIFS($B$5:B339,B339,$D$5:D339,"Feature Use",$E$5:E339,E339)=2),1,0)</f>
        <v>0</v>
      </c>
      <c r="K339" s="29" t="n">
        <f aca="false">IF(COUNTIF($B$5:B339,B339)=1,1,0)</f>
        <v>0</v>
      </c>
      <c r="L339" s="29" t="n">
        <f aca="false">IF(AND(C339&gt;=Settings!$B$5-Settings!$B$8+1,C339&lt;=Settings!$B$5,COUNTIFS($B$5:B339,B339,$C$5:C339,"&gt;="&amp;(Settings!$B$5-Settings!$B$8+1),$C$5:C339,"&lt;="&amp;Settings!$B$5)=1),1,0)</f>
        <v>0</v>
      </c>
      <c r="M339" s="29" t="n">
        <f aca="false">IF(AND(C339&gt;=Settings!$B$5-Settings!$B$9+1,C339&lt;=Settings!$B$5,COUNTIFS($B$5:B339,B339,$C$5:C339,"&gt;="&amp;(Settings!$B$5-Settings!$B$9+1),$C$5:C339,"&lt;="&amp;Settings!$B$5)=1),1,0)</f>
        <v>0</v>
      </c>
      <c r="N339" s="29" t="n">
        <f aca="false">IF(AND(D339="Feature Use",COUNTIFS($B$5:B339,B339,$D$5:D339,"Feature Use")=1),1,0)</f>
        <v>0</v>
      </c>
    </row>
    <row r="340" customFormat="false" ht="15" hidden="false" customHeight="false" outlineLevel="0" collapsed="false">
      <c r="A340" s="22" t="s">
        <v>647</v>
      </c>
      <c r="B340" s="22" t="s">
        <v>178</v>
      </c>
      <c r="C340" s="31" t="n">
        <v>46279</v>
      </c>
      <c r="D340" s="22" t="s">
        <v>297</v>
      </c>
      <c r="E340" s="22" t="s">
        <v>298</v>
      </c>
      <c r="F340" s="29" t="str">
        <f aca="false">IF(COUNTIF(Referral_Data!$C$5:$C$1000,B340)&gt;0,"Referred",IF(COUNTIF(Referral_Data!$B$5:$B$1000,B340)&gt;0,"Referrer","Organic"))</f>
        <v>Referrer</v>
      </c>
      <c r="G340" s="29" t="n">
        <f aca="false">IF(COUNTIFS($B$5:B340,B340,$C$5:C340,C340)=1,1,0)</f>
        <v>1</v>
      </c>
      <c r="H340" s="29" t="n">
        <f aca="false">IF(AND(G340=1,COUNTIFS($B$5:$B$1635,B340,$C$5:$C$1635,"&lt;"&amp;C340)&gt;0),1,0)</f>
        <v>1</v>
      </c>
      <c r="I340" s="29" t="n">
        <f aca="false">IF(AND(D340="Feature Use",COUNTIFS($B$5:B340,B340,$D$5:D340,"Feature Use",$E$5:E340,E340)=1),1,0)</f>
        <v>0</v>
      </c>
      <c r="J340" s="29" t="n">
        <f aca="false">IF(AND(D340="Feature Use",COUNTIFS($B$5:B340,B340,$D$5:D340,"Feature Use",$E$5:E340,E340)=2),1,0)</f>
        <v>0</v>
      </c>
      <c r="K340" s="29" t="n">
        <f aca="false">IF(COUNTIF($B$5:B340,B340)=1,1,0)</f>
        <v>0</v>
      </c>
      <c r="L340" s="29" t="n">
        <f aca="false">IF(AND(C340&gt;=Settings!$B$5-Settings!$B$8+1,C340&lt;=Settings!$B$5,COUNTIFS($B$5:B340,B340,$C$5:C340,"&gt;="&amp;(Settings!$B$5-Settings!$B$8+1),$C$5:C340,"&lt;="&amp;Settings!$B$5)=1),1,0)</f>
        <v>0</v>
      </c>
      <c r="M340" s="29" t="n">
        <f aca="false">IF(AND(C340&gt;=Settings!$B$5-Settings!$B$9+1,C340&lt;=Settings!$B$5,COUNTIFS($B$5:B340,B340,$C$5:C340,"&gt;="&amp;(Settings!$B$5-Settings!$B$9+1),$C$5:C340,"&lt;="&amp;Settings!$B$5)=1),1,0)</f>
        <v>0</v>
      </c>
      <c r="N340" s="29" t="n">
        <f aca="false">IF(AND(D340="Feature Use",COUNTIFS($B$5:B340,B340,$D$5:D340,"Feature Use")=1),1,0)</f>
        <v>0</v>
      </c>
    </row>
    <row r="341" customFormat="false" ht="15" hidden="false" customHeight="false" outlineLevel="0" collapsed="false">
      <c r="A341" s="22" t="s">
        <v>648</v>
      </c>
      <c r="B341" s="22" t="s">
        <v>178</v>
      </c>
      <c r="C341" s="31" t="n">
        <v>46279</v>
      </c>
      <c r="D341" s="22" t="s">
        <v>300</v>
      </c>
      <c r="E341" s="22" t="s">
        <v>319</v>
      </c>
      <c r="F341" s="29" t="str">
        <f aca="false">IF(COUNTIF(Referral_Data!$C$5:$C$1000,B341)&gt;0,"Referred",IF(COUNTIF(Referral_Data!$B$5:$B$1000,B341)&gt;0,"Referrer","Organic"))</f>
        <v>Referrer</v>
      </c>
      <c r="G341" s="29" t="n">
        <f aca="false">IF(COUNTIFS($B$5:B341,B341,$C$5:C341,C341)=1,1,0)</f>
        <v>0</v>
      </c>
      <c r="H341" s="29" t="n">
        <f aca="false">IF(AND(G341=1,COUNTIFS($B$5:$B$1635,B341,$C$5:$C$1635,"&lt;"&amp;C341)&gt;0),1,0)</f>
        <v>0</v>
      </c>
      <c r="I341" s="29" t="n">
        <f aca="false">IF(AND(D341="Feature Use",COUNTIFS($B$5:B341,B341,$D$5:D341,"Feature Use",$E$5:E341,E341)=1),1,0)</f>
        <v>0</v>
      </c>
      <c r="J341" s="29" t="n">
        <f aca="false">IF(AND(D341="Feature Use",COUNTIFS($B$5:B341,B341,$D$5:D341,"Feature Use",$E$5:E341,E341)=2),1,0)</f>
        <v>0</v>
      </c>
      <c r="K341" s="29" t="n">
        <f aca="false">IF(COUNTIF($B$5:B341,B341)=1,1,0)</f>
        <v>0</v>
      </c>
      <c r="L341" s="29" t="n">
        <f aca="false">IF(AND(C341&gt;=Settings!$B$5-Settings!$B$8+1,C341&lt;=Settings!$B$5,COUNTIFS($B$5:B341,B341,$C$5:C341,"&gt;="&amp;(Settings!$B$5-Settings!$B$8+1),$C$5:C341,"&lt;="&amp;Settings!$B$5)=1),1,0)</f>
        <v>0</v>
      </c>
      <c r="M341" s="29" t="n">
        <f aca="false">IF(AND(C341&gt;=Settings!$B$5-Settings!$B$9+1,C341&lt;=Settings!$B$5,COUNTIFS($B$5:B341,B341,$C$5:C341,"&gt;="&amp;(Settings!$B$5-Settings!$B$9+1),$C$5:C341,"&lt;="&amp;Settings!$B$5)=1),1,0)</f>
        <v>0</v>
      </c>
      <c r="N341" s="29" t="n">
        <f aca="false">IF(AND(D341="Feature Use",COUNTIFS($B$5:B341,B341,$D$5:D341,"Feature Use")=1),1,0)</f>
        <v>0</v>
      </c>
    </row>
    <row r="342" customFormat="false" ht="15" hidden="false" customHeight="false" outlineLevel="0" collapsed="false">
      <c r="A342" s="22" t="s">
        <v>649</v>
      </c>
      <c r="B342" s="22" t="s">
        <v>178</v>
      </c>
      <c r="C342" s="31" t="n">
        <v>46279</v>
      </c>
      <c r="D342" s="22" t="s">
        <v>300</v>
      </c>
      <c r="E342" s="22" t="s">
        <v>305</v>
      </c>
      <c r="F342" s="29" t="str">
        <f aca="false">IF(COUNTIF(Referral_Data!$C$5:$C$1000,B342)&gt;0,"Referred",IF(COUNTIF(Referral_Data!$B$5:$B$1000,B342)&gt;0,"Referrer","Organic"))</f>
        <v>Referrer</v>
      </c>
      <c r="G342" s="29" t="n">
        <f aca="false">IF(COUNTIFS($B$5:B342,B342,$C$5:C342,C342)=1,1,0)</f>
        <v>0</v>
      </c>
      <c r="H342" s="29" t="n">
        <f aca="false">IF(AND(G342=1,COUNTIFS($B$5:$B$1635,B342,$C$5:$C$1635,"&lt;"&amp;C342)&gt;0),1,0)</f>
        <v>0</v>
      </c>
      <c r="I342" s="29" t="n">
        <f aca="false">IF(AND(D342="Feature Use",COUNTIFS($B$5:B342,B342,$D$5:D342,"Feature Use",$E$5:E342,E342)=1),1,0)</f>
        <v>0</v>
      </c>
      <c r="J342" s="29" t="n">
        <f aca="false">IF(AND(D342="Feature Use",COUNTIFS($B$5:B342,B342,$D$5:D342,"Feature Use",$E$5:E342,E342)=2),1,0)</f>
        <v>0</v>
      </c>
      <c r="K342" s="29" t="n">
        <f aca="false">IF(COUNTIF($B$5:B342,B342)=1,1,0)</f>
        <v>0</v>
      </c>
      <c r="L342" s="29" t="n">
        <f aca="false">IF(AND(C342&gt;=Settings!$B$5-Settings!$B$8+1,C342&lt;=Settings!$B$5,COUNTIFS($B$5:B342,B342,$C$5:C342,"&gt;="&amp;(Settings!$B$5-Settings!$B$8+1),$C$5:C342,"&lt;="&amp;Settings!$B$5)=1),1,0)</f>
        <v>0</v>
      </c>
      <c r="M342" s="29" t="n">
        <f aca="false">IF(AND(C342&gt;=Settings!$B$5-Settings!$B$9+1,C342&lt;=Settings!$B$5,COUNTIFS($B$5:B342,B342,$C$5:C342,"&gt;="&amp;(Settings!$B$5-Settings!$B$9+1),$C$5:C342,"&lt;="&amp;Settings!$B$5)=1),1,0)</f>
        <v>0</v>
      </c>
      <c r="N342" s="29" t="n">
        <f aca="false">IF(AND(D342="Feature Use",COUNTIFS($B$5:B342,B342,$D$5:D342,"Feature Use")=1),1,0)</f>
        <v>0</v>
      </c>
    </row>
    <row r="343" customFormat="false" ht="15" hidden="false" customHeight="false" outlineLevel="0" collapsed="false">
      <c r="A343" s="22" t="s">
        <v>650</v>
      </c>
      <c r="B343" s="22" t="s">
        <v>200</v>
      </c>
      <c r="C343" s="31" t="n">
        <v>46279</v>
      </c>
      <c r="D343" s="22" t="s">
        <v>297</v>
      </c>
      <c r="E343" s="22" t="s">
        <v>298</v>
      </c>
      <c r="F343" s="29" t="str">
        <f aca="false">IF(COUNTIF(Referral_Data!$C$5:$C$1000,B343)&gt;0,"Referred",IF(COUNTIF(Referral_Data!$B$5:$B$1000,B343)&gt;0,"Referrer","Organic"))</f>
        <v>Referrer</v>
      </c>
      <c r="G343" s="29" t="n">
        <f aca="false">IF(COUNTIFS($B$5:B343,B343,$C$5:C343,C343)=1,1,0)</f>
        <v>1</v>
      </c>
      <c r="H343" s="29" t="n">
        <f aca="false">IF(AND(G343=1,COUNTIFS($B$5:$B$1635,B343,$C$5:$C$1635,"&lt;"&amp;C343)&gt;0),1,0)</f>
        <v>1</v>
      </c>
      <c r="I343" s="29" t="n">
        <f aca="false">IF(AND(D343="Feature Use",COUNTIFS($B$5:B343,B343,$D$5:D343,"Feature Use",$E$5:E343,E343)=1),1,0)</f>
        <v>0</v>
      </c>
      <c r="J343" s="29" t="n">
        <f aca="false">IF(AND(D343="Feature Use",COUNTIFS($B$5:B343,B343,$D$5:D343,"Feature Use",$E$5:E343,E343)=2),1,0)</f>
        <v>0</v>
      </c>
      <c r="K343" s="29" t="n">
        <f aca="false">IF(COUNTIF($B$5:B343,B343)=1,1,0)</f>
        <v>0</v>
      </c>
      <c r="L343" s="29" t="n">
        <f aca="false">IF(AND(C343&gt;=Settings!$B$5-Settings!$B$8+1,C343&lt;=Settings!$B$5,COUNTIFS($B$5:B343,B343,$C$5:C343,"&gt;="&amp;(Settings!$B$5-Settings!$B$8+1),$C$5:C343,"&lt;="&amp;Settings!$B$5)=1),1,0)</f>
        <v>0</v>
      </c>
      <c r="M343" s="29" t="n">
        <f aca="false">IF(AND(C343&gt;=Settings!$B$5-Settings!$B$9+1,C343&lt;=Settings!$B$5,COUNTIFS($B$5:B343,B343,$C$5:C343,"&gt;="&amp;(Settings!$B$5-Settings!$B$9+1),$C$5:C343,"&lt;="&amp;Settings!$B$5)=1),1,0)</f>
        <v>0</v>
      </c>
      <c r="N343" s="29" t="n">
        <f aca="false">IF(AND(D343="Feature Use",COUNTIFS($B$5:B343,B343,$D$5:D343,"Feature Use")=1),1,0)</f>
        <v>0</v>
      </c>
    </row>
    <row r="344" customFormat="false" ht="15" hidden="false" customHeight="false" outlineLevel="0" collapsed="false">
      <c r="A344" s="22" t="s">
        <v>651</v>
      </c>
      <c r="B344" s="22" t="s">
        <v>200</v>
      </c>
      <c r="C344" s="31" t="n">
        <v>46279</v>
      </c>
      <c r="D344" s="22" t="s">
        <v>300</v>
      </c>
      <c r="E344" s="22" t="s">
        <v>319</v>
      </c>
      <c r="F344" s="29" t="str">
        <f aca="false">IF(COUNTIF(Referral_Data!$C$5:$C$1000,B344)&gt;0,"Referred",IF(COUNTIF(Referral_Data!$B$5:$B$1000,B344)&gt;0,"Referrer","Organic"))</f>
        <v>Referrer</v>
      </c>
      <c r="G344" s="29" t="n">
        <f aca="false">IF(COUNTIFS($B$5:B344,B344,$C$5:C344,C344)=1,1,0)</f>
        <v>0</v>
      </c>
      <c r="H344" s="29" t="n">
        <f aca="false">IF(AND(G344=1,COUNTIFS($B$5:$B$1635,B344,$C$5:$C$1635,"&lt;"&amp;C344)&gt;0),1,0)</f>
        <v>0</v>
      </c>
      <c r="I344" s="29" t="n">
        <f aca="false">IF(AND(D344="Feature Use",COUNTIFS($B$5:B344,B344,$D$5:D344,"Feature Use",$E$5:E344,E344)=1),1,0)</f>
        <v>1</v>
      </c>
      <c r="J344" s="29" t="n">
        <f aca="false">IF(AND(D344="Feature Use",COUNTIFS($B$5:B344,B344,$D$5:D344,"Feature Use",$E$5:E344,E344)=2),1,0)</f>
        <v>0</v>
      </c>
      <c r="K344" s="29" t="n">
        <f aca="false">IF(COUNTIF($B$5:B344,B344)=1,1,0)</f>
        <v>0</v>
      </c>
      <c r="L344" s="29" t="n">
        <f aca="false">IF(AND(C344&gt;=Settings!$B$5-Settings!$B$8+1,C344&lt;=Settings!$B$5,COUNTIFS($B$5:B344,B344,$C$5:C344,"&gt;="&amp;(Settings!$B$5-Settings!$B$8+1),$C$5:C344,"&lt;="&amp;Settings!$B$5)=1),1,0)</f>
        <v>0</v>
      </c>
      <c r="M344" s="29" t="n">
        <f aca="false">IF(AND(C344&gt;=Settings!$B$5-Settings!$B$9+1,C344&lt;=Settings!$B$5,COUNTIFS($B$5:B344,B344,$C$5:C344,"&gt;="&amp;(Settings!$B$5-Settings!$B$9+1),$C$5:C344,"&lt;="&amp;Settings!$B$5)=1),1,0)</f>
        <v>0</v>
      </c>
      <c r="N344" s="29" t="n">
        <f aca="false">IF(AND(D344="Feature Use",COUNTIFS($B$5:B344,B344,$D$5:D344,"Feature Use")=1),1,0)</f>
        <v>0</v>
      </c>
    </row>
    <row r="345" customFormat="false" ht="15" hidden="false" customHeight="false" outlineLevel="0" collapsed="false">
      <c r="A345" s="22" t="s">
        <v>652</v>
      </c>
      <c r="B345" s="22" t="s">
        <v>200</v>
      </c>
      <c r="C345" s="31" t="n">
        <v>46279</v>
      </c>
      <c r="D345" s="22" t="s">
        <v>300</v>
      </c>
      <c r="E345" s="22" t="s">
        <v>311</v>
      </c>
      <c r="F345" s="29" t="str">
        <f aca="false">IF(COUNTIF(Referral_Data!$C$5:$C$1000,B345)&gt;0,"Referred",IF(COUNTIF(Referral_Data!$B$5:$B$1000,B345)&gt;0,"Referrer","Organic"))</f>
        <v>Referrer</v>
      </c>
      <c r="G345" s="29" t="n">
        <f aca="false">IF(COUNTIFS($B$5:B345,B345,$C$5:C345,C345)=1,1,0)</f>
        <v>0</v>
      </c>
      <c r="H345" s="29" t="n">
        <f aca="false">IF(AND(G345=1,COUNTIFS($B$5:$B$1635,B345,$C$5:$C$1635,"&lt;"&amp;C345)&gt;0),1,0)</f>
        <v>0</v>
      </c>
      <c r="I345" s="29" t="n">
        <f aca="false">IF(AND(D345="Feature Use",COUNTIFS($B$5:B345,B345,$D$5:D345,"Feature Use",$E$5:E345,E345)=1),1,0)</f>
        <v>0</v>
      </c>
      <c r="J345" s="29" t="n">
        <f aca="false">IF(AND(D345="Feature Use",COUNTIFS($B$5:B345,B345,$D$5:D345,"Feature Use",$E$5:E345,E345)=2),1,0)</f>
        <v>1</v>
      </c>
      <c r="K345" s="29" t="n">
        <f aca="false">IF(COUNTIF($B$5:B345,B345)=1,1,0)</f>
        <v>0</v>
      </c>
      <c r="L345" s="29" t="n">
        <f aca="false">IF(AND(C345&gt;=Settings!$B$5-Settings!$B$8+1,C345&lt;=Settings!$B$5,COUNTIFS($B$5:B345,B345,$C$5:C345,"&gt;="&amp;(Settings!$B$5-Settings!$B$8+1),$C$5:C345,"&lt;="&amp;Settings!$B$5)=1),1,0)</f>
        <v>0</v>
      </c>
      <c r="M345" s="29" t="n">
        <f aca="false">IF(AND(C345&gt;=Settings!$B$5-Settings!$B$9+1,C345&lt;=Settings!$B$5,COUNTIFS($B$5:B345,B345,$C$5:C345,"&gt;="&amp;(Settings!$B$5-Settings!$B$9+1),$C$5:C345,"&lt;="&amp;Settings!$B$5)=1),1,0)</f>
        <v>0</v>
      </c>
      <c r="N345" s="29" t="n">
        <f aca="false">IF(AND(D345="Feature Use",COUNTIFS($B$5:B345,B345,$D$5:D345,"Feature Use")=1),1,0)</f>
        <v>0</v>
      </c>
    </row>
    <row r="346" customFormat="false" ht="15" hidden="false" customHeight="false" outlineLevel="0" collapsed="false">
      <c r="A346" s="22" t="s">
        <v>653</v>
      </c>
      <c r="B346" s="22" t="s">
        <v>333</v>
      </c>
      <c r="C346" s="31" t="n">
        <v>46280</v>
      </c>
      <c r="D346" s="22" t="s">
        <v>297</v>
      </c>
      <c r="E346" s="22" t="s">
        <v>298</v>
      </c>
      <c r="F346" s="29" t="str">
        <f aca="false">IF(COUNTIF(Referral_Data!$C$5:$C$1000,B346)&gt;0,"Referred",IF(COUNTIF(Referral_Data!$B$5:$B$1000,B346)&gt;0,"Referrer","Organic"))</f>
        <v>Organic</v>
      </c>
      <c r="G346" s="29" t="n">
        <f aca="false">IF(COUNTIFS($B$5:B346,B346,$C$5:C346,C346)=1,1,0)</f>
        <v>1</v>
      </c>
      <c r="H346" s="29" t="n">
        <f aca="false">IF(AND(G346=1,COUNTIFS($B$5:$B$1635,B346,$C$5:$C$1635,"&lt;"&amp;C346)&gt;0),1,0)</f>
        <v>1</v>
      </c>
      <c r="I346" s="29" t="n">
        <f aca="false">IF(AND(D346="Feature Use",COUNTIFS($B$5:B346,B346,$D$5:D346,"Feature Use",$E$5:E346,E346)=1),1,0)</f>
        <v>0</v>
      </c>
      <c r="J346" s="29" t="n">
        <f aca="false">IF(AND(D346="Feature Use",COUNTIFS($B$5:B346,B346,$D$5:D346,"Feature Use",$E$5:E346,E346)=2),1,0)</f>
        <v>0</v>
      </c>
      <c r="K346" s="29" t="n">
        <f aca="false">IF(COUNTIF($B$5:B346,B346)=1,1,0)</f>
        <v>0</v>
      </c>
      <c r="L346" s="29" t="n">
        <f aca="false">IF(AND(C346&gt;=Settings!$B$5-Settings!$B$8+1,C346&lt;=Settings!$B$5,COUNTIFS($B$5:B346,B346,$C$5:C346,"&gt;="&amp;(Settings!$B$5-Settings!$B$8+1),$C$5:C346,"&lt;="&amp;Settings!$B$5)=1),1,0)</f>
        <v>0</v>
      </c>
      <c r="M346" s="29" t="n">
        <f aca="false">IF(AND(C346&gt;=Settings!$B$5-Settings!$B$9+1,C346&lt;=Settings!$B$5,COUNTIFS($B$5:B346,B346,$C$5:C346,"&gt;="&amp;(Settings!$B$5-Settings!$B$9+1),$C$5:C346,"&lt;="&amp;Settings!$B$5)=1),1,0)</f>
        <v>0</v>
      </c>
      <c r="N346" s="29" t="n">
        <f aca="false">IF(AND(D346="Feature Use",COUNTIFS($B$5:B346,B346,$D$5:D346,"Feature Use")=1),1,0)</f>
        <v>0</v>
      </c>
    </row>
    <row r="347" customFormat="false" ht="15" hidden="false" customHeight="false" outlineLevel="0" collapsed="false">
      <c r="A347" s="22" t="s">
        <v>654</v>
      </c>
      <c r="B347" s="22" t="s">
        <v>333</v>
      </c>
      <c r="C347" s="31" t="n">
        <v>46280</v>
      </c>
      <c r="D347" s="22" t="s">
        <v>300</v>
      </c>
      <c r="E347" s="22" t="s">
        <v>311</v>
      </c>
      <c r="F347" s="29" t="str">
        <f aca="false">IF(COUNTIF(Referral_Data!$C$5:$C$1000,B347)&gt;0,"Referred",IF(COUNTIF(Referral_Data!$B$5:$B$1000,B347)&gt;0,"Referrer","Organic"))</f>
        <v>Organic</v>
      </c>
      <c r="G347" s="29" t="n">
        <f aca="false">IF(COUNTIFS($B$5:B347,B347,$C$5:C347,C347)=1,1,0)</f>
        <v>0</v>
      </c>
      <c r="H347" s="29" t="n">
        <f aca="false">IF(AND(G347=1,COUNTIFS($B$5:$B$1635,B347,$C$5:$C$1635,"&lt;"&amp;C347)&gt;0),1,0)</f>
        <v>0</v>
      </c>
      <c r="I347" s="29" t="n">
        <f aca="false">IF(AND(D347="Feature Use",COUNTIFS($B$5:B347,B347,$D$5:D347,"Feature Use",$E$5:E347,E347)=1),1,0)</f>
        <v>0</v>
      </c>
      <c r="J347" s="29" t="n">
        <f aca="false">IF(AND(D347="Feature Use",COUNTIFS($B$5:B347,B347,$D$5:D347,"Feature Use",$E$5:E347,E347)=2),1,0)</f>
        <v>0</v>
      </c>
      <c r="K347" s="29" t="n">
        <f aca="false">IF(COUNTIF($B$5:B347,B347)=1,1,0)</f>
        <v>0</v>
      </c>
      <c r="L347" s="29" t="n">
        <f aca="false">IF(AND(C347&gt;=Settings!$B$5-Settings!$B$8+1,C347&lt;=Settings!$B$5,COUNTIFS($B$5:B347,B347,$C$5:C347,"&gt;="&amp;(Settings!$B$5-Settings!$B$8+1),$C$5:C347,"&lt;="&amp;Settings!$B$5)=1),1,0)</f>
        <v>0</v>
      </c>
      <c r="M347" s="29" t="n">
        <f aca="false">IF(AND(C347&gt;=Settings!$B$5-Settings!$B$9+1,C347&lt;=Settings!$B$5,COUNTIFS($B$5:B347,B347,$C$5:C347,"&gt;="&amp;(Settings!$B$5-Settings!$B$9+1),$C$5:C347,"&lt;="&amp;Settings!$B$5)=1),1,0)</f>
        <v>0</v>
      </c>
      <c r="N347" s="29" t="n">
        <f aca="false">IF(AND(D347="Feature Use",COUNTIFS($B$5:B347,B347,$D$5:D347,"Feature Use")=1),1,0)</f>
        <v>0</v>
      </c>
    </row>
    <row r="348" customFormat="false" ht="15" hidden="false" customHeight="false" outlineLevel="0" collapsed="false">
      <c r="A348" s="22" t="s">
        <v>655</v>
      </c>
      <c r="B348" s="22" t="s">
        <v>333</v>
      </c>
      <c r="C348" s="31" t="n">
        <v>46280</v>
      </c>
      <c r="D348" s="22" t="s">
        <v>300</v>
      </c>
      <c r="E348" s="22" t="s">
        <v>301</v>
      </c>
      <c r="F348" s="29" t="str">
        <f aca="false">IF(COUNTIF(Referral_Data!$C$5:$C$1000,B348)&gt;0,"Referred",IF(COUNTIF(Referral_Data!$B$5:$B$1000,B348)&gt;0,"Referrer","Organic"))</f>
        <v>Organic</v>
      </c>
      <c r="G348" s="29" t="n">
        <f aca="false">IF(COUNTIFS($B$5:B348,B348,$C$5:C348,C348)=1,1,0)</f>
        <v>0</v>
      </c>
      <c r="H348" s="29" t="n">
        <f aca="false">IF(AND(G348=1,COUNTIFS($B$5:$B$1635,B348,$C$5:$C$1635,"&lt;"&amp;C348)&gt;0),1,0)</f>
        <v>0</v>
      </c>
      <c r="I348" s="29" t="n">
        <f aca="false">IF(AND(D348="Feature Use",COUNTIFS($B$5:B348,B348,$D$5:D348,"Feature Use",$E$5:E348,E348)=1),1,0)</f>
        <v>0</v>
      </c>
      <c r="J348" s="29" t="n">
        <f aca="false">IF(AND(D348="Feature Use",COUNTIFS($B$5:B348,B348,$D$5:D348,"Feature Use",$E$5:E348,E348)=2),1,0)</f>
        <v>0</v>
      </c>
      <c r="K348" s="29" t="n">
        <f aca="false">IF(COUNTIF($B$5:B348,B348)=1,1,0)</f>
        <v>0</v>
      </c>
      <c r="L348" s="29" t="n">
        <f aca="false">IF(AND(C348&gt;=Settings!$B$5-Settings!$B$8+1,C348&lt;=Settings!$B$5,COUNTIFS($B$5:B348,B348,$C$5:C348,"&gt;="&amp;(Settings!$B$5-Settings!$B$8+1),$C$5:C348,"&lt;="&amp;Settings!$B$5)=1),1,0)</f>
        <v>0</v>
      </c>
      <c r="M348" s="29" t="n">
        <f aca="false">IF(AND(C348&gt;=Settings!$B$5-Settings!$B$9+1,C348&lt;=Settings!$B$5,COUNTIFS($B$5:B348,B348,$C$5:C348,"&gt;="&amp;(Settings!$B$5-Settings!$B$9+1),$C$5:C348,"&lt;="&amp;Settings!$B$5)=1),1,0)</f>
        <v>0</v>
      </c>
      <c r="N348" s="29" t="n">
        <f aca="false">IF(AND(D348="Feature Use",COUNTIFS($B$5:B348,B348,$D$5:D348,"Feature Use")=1),1,0)</f>
        <v>0</v>
      </c>
    </row>
    <row r="349" customFormat="false" ht="15" hidden="false" customHeight="false" outlineLevel="0" collapsed="false">
      <c r="A349" s="22" t="s">
        <v>656</v>
      </c>
      <c r="B349" s="22" t="s">
        <v>333</v>
      </c>
      <c r="C349" s="31" t="n">
        <v>46280</v>
      </c>
      <c r="D349" s="22" t="s">
        <v>308</v>
      </c>
      <c r="E349" s="22" t="s">
        <v>311</v>
      </c>
      <c r="F349" s="29" t="str">
        <f aca="false">IF(COUNTIF(Referral_Data!$C$5:$C$1000,B349)&gt;0,"Referred",IF(COUNTIF(Referral_Data!$B$5:$B$1000,B349)&gt;0,"Referrer","Organic"))</f>
        <v>Organic</v>
      </c>
      <c r="G349" s="29" t="n">
        <f aca="false">IF(COUNTIFS($B$5:B349,B349,$C$5:C349,C349)=1,1,0)</f>
        <v>0</v>
      </c>
      <c r="H349" s="29" t="n">
        <f aca="false">IF(AND(G349=1,COUNTIFS($B$5:$B$1635,B349,$C$5:$C$1635,"&lt;"&amp;C349)&gt;0),1,0)</f>
        <v>0</v>
      </c>
      <c r="I349" s="29" t="n">
        <f aca="false">IF(AND(D349="Feature Use",COUNTIFS($B$5:B349,B349,$D$5:D349,"Feature Use",$E$5:E349,E349)=1),1,0)</f>
        <v>0</v>
      </c>
      <c r="J349" s="29" t="n">
        <f aca="false">IF(AND(D349="Feature Use",COUNTIFS($B$5:B349,B349,$D$5:D349,"Feature Use",$E$5:E349,E349)=2),1,0)</f>
        <v>0</v>
      </c>
      <c r="K349" s="29" t="n">
        <f aca="false">IF(COUNTIF($B$5:B349,B349)=1,1,0)</f>
        <v>0</v>
      </c>
      <c r="L349" s="29" t="n">
        <f aca="false">IF(AND(C349&gt;=Settings!$B$5-Settings!$B$8+1,C349&lt;=Settings!$B$5,COUNTIFS($B$5:B349,B349,$C$5:C349,"&gt;="&amp;(Settings!$B$5-Settings!$B$8+1),$C$5:C349,"&lt;="&amp;Settings!$B$5)=1),1,0)</f>
        <v>0</v>
      </c>
      <c r="M349" s="29" t="n">
        <f aca="false">IF(AND(C349&gt;=Settings!$B$5-Settings!$B$9+1,C349&lt;=Settings!$B$5,COUNTIFS($B$5:B349,B349,$C$5:C349,"&gt;="&amp;(Settings!$B$5-Settings!$B$9+1),$C$5:C349,"&lt;="&amp;Settings!$B$5)=1),1,0)</f>
        <v>0</v>
      </c>
      <c r="N349" s="29" t="n">
        <f aca="false">IF(AND(D349="Feature Use",COUNTIFS($B$5:B349,B349,$D$5:D349,"Feature Use")=1),1,0)</f>
        <v>0</v>
      </c>
    </row>
    <row r="350" customFormat="false" ht="15" hidden="false" customHeight="false" outlineLevel="0" collapsed="false">
      <c r="A350" s="22" t="s">
        <v>657</v>
      </c>
      <c r="B350" s="22" t="s">
        <v>333</v>
      </c>
      <c r="C350" s="31" t="n">
        <v>46280</v>
      </c>
      <c r="D350" s="22" t="s">
        <v>308</v>
      </c>
      <c r="E350" s="22" t="s">
        <v>311</v>
      </c>
      <c r="F350" s="29" t="str">
        <f aca="false">IF(COUNTIF(Referral_Data!$C$5:$C$1000,B350)&gt;0,"Referred",IF(COUNTIF(Referral_Data!$B$5:$B$1000,B350)&gt;0,"Referrer","Organic"))</f>
        <v>Organic</v>
      </c>
      <c r="G350" s="29" t="n">
        <f aca="false">IF(COUNTIFS($B$5:B350,B350,$C$5:C350,C350)=1,1,0)</f>
        <v>0</v>
      </c>
      <c r="H350" s="29" t="n">
        <f aca="false">IF(AND(G350=1,COUNTIFS($B$5:$B$1635,B350,$C$5:$C$1635,"&lt;"&amp;C350)&gt;0),1,0)</f>
        <v>0</v>
      </c>
      <c r="I350" s="29" t="n">
        <f aca="false">IF(AND(D350="Feature Use",COUNTIFS($B$5:B350,B350,$D$5:D350,"Feature Use",$E$5:E350,E350)=1),1,0)</f>
        <v>0</v>
      </c>
      <c r="J350" s="29" t="n">
        <f aca="false">IF(AND(D350="Feature Use",COUNTIFS($B$5:B350,B350,$D$5:D350,"Feature Use",$E$5:E350,E350)=2),1,0)</f>
        <v>0</v>
      </c>
      <c r="K350" s="29" t="n">
        <f aca="false">IF(COUNTIF($B$5:B350,B350)=1,1,0)</f>
        <v>0</v>
      </c>
      <c r="L350" s="29" t="n">
        <f aca="false">IF(AND(C350&gt;=Settings!$B$5-Settings!$B$8+1,C350&lt;=Settings!$B$5,COUNTIFS($B$5:B350,B350,$C$5:C350,"&gt;="&amp;(Settings!$B$5-Settings!$B$8+1),$C$5:C350,"&lt;="&amp;Settings!$B$5)=1),1,0)</f>
        <v>0</v>
      </c>
      <c r="M350" s="29" t="n">
        <f aca="false">IF(AND(C350&gt;=Settings!$B$5-Settings!$B$9+1,C350&lt;=Settings!$B$5,COUNTIFS($B$5:B350,B350,$C$5:C350,"&gt;="&amp;(Settings!$B$5-Settings!$B$9+1),$C$5:C350,"&lt;="&amp;Settings!$B$5)=1),1,0)</f>
        <v>0</v>
      </c>
      <c r="N350" s="29" t="n">
        <f aca="false">IF(AND(D350="Feature Use",COUNTIFS($B$5:B350,B350,$D$5:D350,"Feature Use")=1),1,0)</f>
        <v>0</v>
      </c>
    </row>
    <row r="351" customFormat="false" ht="15" hidden="false" customHeight="false" outlineLevel="0" collapsed="false">
      <c r="A351" s="22" t="s">
        <v>658</v>
      </c>
      <c r="B351" s="22" t="s">
        <v>385</v>
      </c>
      <c r="C351" s="31" t="n">
        <v>46280</v>
      </c>
      <c r="D351" s="22" t="s">
        <v>297</v>
      </c>
      <c r="E351" s="22" t="s">
        <v>298</v>
      </c>
      <c r="F351" s="29" t="str">
        <f aca="false">IF(COUNTIF(Referral_Data!$C$5:$C$1000,B351)&gt;0,"Referred",IF(COUNTIF(Referral_Data!$B$5:$B$1000,B351)&gt;0,"Referrer","Organic"))</f>
        <v>Organic</v>
      </c>
      <c r="G351" s="29" t="n">
        <f aca="false">IF(COUNTIFS($B$5:B351,B351,$C$5:C351,C351)=1,1,0)</f>
        <v>1</v>
      </c>
      <c r="H351" s="29" t="n">
        <f aca="false">IF(AND(G351=1,COUNTIFS($B$5:$B$1635,B351,$C$5:$C$1635,"&lt;"&amp;C351)&gt;0),1,0)</f>
        <v>1</v>
      </c>
      <c r="I351" s="29" t="n">
        <f aca="false">IF(AND(D351="Feature Use",COUNTIFS($B$5:B351,B351,$D$5:D351,"Feature Use",$E$5:E351,E351)=1),1,0)</f>
        <v>0</v>
      </c>
      <c r="J351" s="29" t="n">
        <f aca="false">IF(AND(D351="Feature Use",COUNTIFS($B$5:B351,B351,$D$5:D351,"Feature Use",$E$5:E351,E351)=2),1,0)</f>
        <v>0</v>
      </c>
      <c r="K351" s="29" t="n">
        <f aca="false">IF(COUNTIF($B$5:B351,B351)=1,1,0)</f>
        <v>0</v>
      </c>
      <c r="L351" s="29" t="n">
        <f aca="false">IF(AND(C351&gt;=Settings!$B$5-Settings!$B$8+1,C351&lt;=Settings!$B$5,COUNTIFS($B$5:B351,B351,$C$5:C351,"&gt;="&amp;(Settings!$B$5-Settings!$B$8+1),$C$5:C351,"&lt;="&amp;Settings!$B$5)=1),1,0)</f>
        <v>0</v>
      </c>
      <c r="M351" s="29" t="n">
        <f aca="false">IF(AND(C351&gt;=Settings!$B$5-Settings!$B$9+1,C351&lt;=Settings!$B$5,COUNTIFS($B$5:B351,B351,$C$5:C351,"&gt;="&amp;(Settings!$B$5-Settings!$B$9+1),$C$5:C351,"&lt;="&amp;Settings!$B$5)=1),1,0)</f>
        <v>0</v>
      </c>
      <c r="N351" s="29" t="n">
        <f aca="false">IF(AND(D351="Feature Use",COUNTIFS($B$5:B351,B351,$D$5:D351,"Feature Use")=1),1,0)</f>
        <v>0</v>
      </c>
    </row>
    <row r="352" customFormat="false" ht="15" hidden="false" customHeight="false" outlineLevel="0" collapsed="false">
      <c r="A352" s="22" t="s">
        <v>659</v>
      </c>
      <c r="B352" s="22" t="s">
        <v>385</v>
      </c>
      <c r="C352" s="31" t="n">
        <v>46280</v>
      </c>
      <c r="D352" s="22" t="s">
        <v>300</v>
      </c>
      <c r="E352" s="22" t="s">
        <v>311</v>
      </c>
      <c r="F352" s="29" t="str">
        <f aca="false">IF(COUNTIF(Referral_Data!$C$5:$C$1000,B352)&gt;0,"Referred",IF(COUNTIF(Referral_Data!$B$5:$B$1000,B352)&gt;0,"Referrer","Organic"))</f>
        <v>Organic</v>
      </c>
      <c r="G352" s="29" t="n">
        <f aca="false">IF(COUNTIFS($B$5:B352,B352,$C$5:C352,C352)=1,1,0)</f>
        <v>0</v>
      </c>
      <c r="H352" s="29" t="n">
        <f aca="false">IF(AND(G352=1,COUNTIFS($B$5:$B$1635,B352,$C$5:$C$1635,"&lt;"&amp;C352)&gt;0),1,0)</f>
        <v>0</v>
      </c>
      <c r="I352" s="29" t="n">
        <f aca="false">IF(AND(D352="Feature Use",COUNTIFS($B$5:B352,B352,$D$5:D352,"Feature Use",$E$5:E352,E352)=1),1,0)</f>
        <v>0</v>
      </c>
      <c r="J352" s="29" t="n">
        <f aca="false">IF(AND(D352="Feature Use",COUNTIFS($B$5:B352,B352,$D$5:D352,"Feature Use",$E$5:E352,E352)=2),1,0)</f>
        <v>1</v>
      </c>
      <c r="K352" s="29" t="n">
        <f aca="false">IF(COUNTIF($B$5:B352,B352)=1,1,0)</f>
        <v>0</v>
      </c>
      <c r="L352" s="29" t="n">
        <f aca="false">IF(AND(C352&gt;=Settings!$B$5-Settings!$B$8+1,C352&lt;=Settings!$B$5,COUNTIFS($B$5:B352,B352,$C$5:C352,"&gt;="&amp;(Settings!$B$5-Settings!$B$8+1),$C$5:C352,"&lt;="&amp;Settings!$B$5)=1),1,0)</f>
        <v>0</v>
      </c>
      <c r="M352" s="29" t="n">
        <f aca="false">IF(AND(C352&gt;=Settings!$B$5-Settings!$B$9+1,C352&lt;=Settings!$B$5,COUNTIFS($B$5:B352,B352,$C$5:C352,"&gt;="&amp;(Settings!$B$5-Settings!$B$9+1),$C$5:C352,"&lt;="&amp;Settings!$B$5)=1),1,0)</f>
        <v>0</v>
      </c>
      <c r="N352" s="29" t="n">
        <f aca="false">IF(AND(D352="Feature Use",COUNTIFS($B$5:B352,B352,$D$5:D352,"Feature Use")=1),1,0)</f>
        <v>0</v>
      </c>
    </row>
    <row r="353" customFormat="false" ht="15" hidden="false" customHeight="false" outlineLevel="0" collapsed="false">
      <c r="A353" s="22" t="s">
        <v>660</v>
      </c>
      <c r="B353" s="22" t="s">
        <v>385</v>
      </c>
      <c r="C353" s="31" t="n">
        <v>46280</v>
      </c>
      <c r="D353" s="22" t="s">
        <v>300</v>
      </c>
      <c r="E353" s="22" t="s">
        <v>309</v>
      </c>
      <c r="F353" s="29" t="str">
        <f aca="false">IF(COUNTIF(Referral_Data!$C$5:$C$1000,B353)&gt;0,"Referred",IF(COUNTIF(Referral_Data!$B$5:$B$1000,B353)&gt;0,"Referrer","Organic"))</f>
        <v>Organic</v>
      </c>
      <c r="G353" s="29" t="n">
        <f aca="false">IF(COUNTIFS($B$5:B353,B353,$C$5:C353,C353)=1,1,0)</f>
        <v>0</v>
      </c>
      <c r="H353" s="29" t="n">
        <f aca="false">IF(AND(G353=1,COUNTIFS($B$5:$B$1635,B353,$C$5:$C$1635,"&lt;"&amp;C353)&gt;0),1,0)</f>
        <v>0</v>
      </c>
      <c r="I353" s="29" t="n">
        <f aca="false">IF(AND(D353="Feature Use",COUNTIFS($B$5:B353,B353,$D$5:D353,"Feature Use",$E$5:E353,E353)=1),1,0)</f>
        <v>1</v>
      </c>
      <c r="J353" s="29" t="n">
        <f aca="false">IF(AND(D353="Feature Use",COUNTIFS($B$5:B353,B353,$D$5:D353,"Feature Use",$E$5:E353,E353)=2),1,0)</f>
        <v>0</v>
      </c>
      <c r="K353" s="29" t="n">
        <f aca="false">IF(COUNTIF($B$5:B353,B353)=1,1,0)</f>
        <v>0</v>
      </c>
      <c r="L353" s="29" t="n">
        <f aca="false">IF(AND(C353&gt;=Settings!$B$5-Settings!$B$8+1,C353&lt;=Settings!$B$5,COUNTIFS($B$5:B353,B353,$C$5:C353,"&gt;="&amp;(Settings!$B$5-Settings!$B$8+1),$C$5:C353,"&lt;="&amp;Settings!$B$5)=1),1,0)</f>
        <v>0</v>
      </c>
      <c r="M353" s="29" t="n">
        <f aca="false">IF(AND(C353&gt;=Settings!$B$5-Settings!$B$9+1,C353&lt;=Settings!$B$5,COUNTIFS($B$5:B353,B353,$C$5:C353,"&gt;="&amp;(Settings!$B$5-Settings!$B$9+1),$C$5:C353,"&lt;="&amp;Settings!$B$5)=1),1,0)</f>
        <v>0</v>
      </c>
      <c r="N353" s="29" t="n">
        <f aca="false">IF(AND(D353="Feature Use",COUNTIFS($B$5:B353,B353,$D$5:D353,"Feature Use")=1),1,0)</f>
        <v>0</v>
      </c>
    </row>
    <row r="354" customFormat="false" ht="15" hidden="false" customHeight="false" outlineLevel="0" collapsed="false">
      <c r="A354" s="22" t="s">
        <v>661</v>
      </c>
      <c r="B354" s="22" t="s">
        <v>530</v>
      </c>
      <c r="C354" s="31" t="n">
        <v>46280</v>
      </c>
      <c r="D354" s="22" t="s">
        <v>297</v>
      </c>
      <c r="E354" s="22" t="s">
        <v>298</v>
      </c>
      <c r="F354" s="29" t="str">
        <f aca="false">IF(COUNTIF(Referral_Data!$C$5:$C$1000,B354)&gt;0,"Referred",IF(COUNTIF(Referral_Data!$B$5:$B$1000,B354)&gt;0,"Referrer","Organic"))</f>
        <v>Organic</v>
      </c>
      <c r="G354" s="29" t="n">
        <f aca="false">IF(COUNTIFS($B$5:B354,B354,$C$5:C354,C354)=1,1,0)</f>
        <v>1</v>
      </c>
      <c r="H354" s="29" t="n">
        <f aca="false">IF(AND(G354=1,COUNTIFS($B$5:$B$1635,B354,$C$5:$C$1635,"&lt;"&amp;C354)&gt;0),1,0)</f>
        <v>1</v>
      </c>
      <c r="I354" s="29" t="n">
        <f aca="false">IF(AND(D354="Feature Use",COUNTIFS($B$5:B354,B354,$D$5:D354,"Feature Use",$E$5:E354,E354)=1),1,0)</f>
        <v>0</v>
      </c>
      <c r="J354" s="29" t="n">
        <f aca="false">IF(AND(D354="Feature Use",COUNTIFS($B$5:B354,B354,$D$5:D354,"Feature Use",$E$5:E354,E354)=2),1,0)</f>
        <v>0</v>
      </c>
      <c r="K354" s="29" t="n">
        <f aca="false">IF(COUNTIF($B$5:B354,B354)=1,1,0)</f>
        <v>0</v>
      </c>
      <c r="L354" s="29" t="n">
        <f aca="false">IF(AND(C354&gt;=Settings!$B$5-Settings!$B$8+1,C354&lt;=Settings!$B$5,COUNTIFS($B$5:B354,B354,$C$5:C354,"&gt;="&amp;(Settings!$B$5-Settings!$B$8+1),$C$5:C354,"&lt;="&amp;Settings!$B$5)=1),1,0)</f>
        <v>0</v>
      </c>
      <c r="M354" s="29" t="n">
        <f aca="false">IF(AND(C354&gt;=Settings!$B$5-Settings!$B$9+1,C354&lt;=Settings!$B$5,COUNTIFS($B$5:B354,B354,$C$5:C354,"&gt;="&amp;(Settings!$B$5-Settings!$B$9+1),$C$5:C354,"&lt;="&amp;Settings!$B$5)=1),1,0)</f>
        <v>0</v>
      </c>
      <c r="N354" s="29" t="n">
        <f aca="false">IF(AND(D354="Feature Use",COUNTIFS($B$5:B354,B354,$D$5:D354,"Feature Use")=1),1,0)</f>
        <v>0</v>
      </c>
    </row>
    <row r="355" customFormat="false" ht="15" hidden="false" customHeight="false" outlineLevel="0" collapsed="false">
      <c r="A355" s="22" t="s">
        <v>662</v>
      </c>
      <c r="B355" s="22" t="s">
        <v>530</v>
      </c>
      <c r="C355" s="31" t="n">
        <v>46280</v>
      </c>
      <c r="D355" s="22" t="s">
        <v>300</v>
      </c>
      <c r="E355" s="22" t="s">
        <v>311</v>
      </c>
      <c r="F355" s="29" t="str">
        <f aca="false">IF(COUNTIF(Referral_Data!$C$5:$C$1000,B355)&gt;0,"Referred",IF(COUNTIF(Referral_Data!$B$5:$B$1000,B355)&gt;0,"Referrer","Organic"))</f>
        <v>Organic</v>
      </c>
      <c r="G355" s="29" t="n">
        <f aca="false">IF(COUNTIFS($B$5:B355,B355,$C$5:C355,C355)=1,1,0)</f>
        <v>0</v>
      </c>
      <c r="H355" s="29" t="n">
        <f aca="false">IF(AND(G355=1,COUNTIFS($B$5:$B$1635,B355,$C$5:$C$1635,"&lt;"&amp;C355)&gt;0),1,0)</f>
        <v>0</v>
      </c>
      <c r="I355" s="29" t="n">
        <f aca="false">IF(AND(D355="Feature Use",COUNTIFS($B$5:B355,B355,$D$5:D355,"Feature Use",$E$5:E355,E355)=1),1,0)</f>
        <v>0</v>
      </c>
      <c r="J355" s="29" t="n">
        <f aca="false">IF(AND(D355="Feature Use",COUNTIFS($B$5:B355,B355,$D$5:D355,"Feature Use",$E$5:E355,E355)=2),1,0)</f>
        <v>1</v>
      </c>
      <c r="K355" s="29" t="n">
        <f aca="false">IF(COUNTIF($B$5:B355,B355)=1,1,0)</f>
        <v>0</v>
      </c>
      <c r="L355" s="29" t="n">
        <f aca="false">IF(AND(C355&gt;=Settings!$B$5-Settings!$B$8+1,C355&lt;=Settings!$B$5,COUNTIFS($B$5:B355,B355,$C$5:C355,"&gt;="&amp;(Settings!$B$5-Settings!$B$8+1),$C$5:C355,"&lt;="&amp;Settings!$B$5)=1),1,0)</f>
        <v>0</v>
      </c>
      <c r="M355" s="29" t="n">
        <f aca="false">IF(AND(C355&gt;=Settings!$B$5-Settings!$B$9+1,C355&lt;=Settings!$B$5,COUNTIFS($B$5:B355,B355,$C$5:C355,"&gt;="&amp;(Settings!$B$5-Settings!$B$9+1),$C$5:C355,"&lt;="&amp;Settings!$B$5)=1),1,0)</f>
        <v>0</v>
      </c>
      <c r="N355" s="29" t="n">
        <f aca="false">IF(AND(D355="Feature Use",COUNTIFS($B$5:B355,B355,$D$5:D355,"Feature Use")=1),1,0)</f>
        <v>0</v>
      </c>
    </row>
    <row r="356" customFormat="false" ht="15" hidden="false" customHeight="false" outlineLevel="0" collapsed="false">
      <c r="A356" s="22" t="s">
        <v>663</v>
      </c>
      <c r="B356" s="22" t="s">
        <v>530</v>
      </c>
      <c r="C356" s="31" t="n">
        <v>46280</v>
      </c>
      <c r="D356" s="22" t="s">
        <v>300</v>
      </c>
      <c r="E356" s="22" t="s">
        <v>305</v>
      </c>
      <c r="F356" s="29" t="str">
        <f aca="false">IF(COUNTIF(Referral_Data!$C$5:$C$1000,B356)&gt;0,"Referred",IF(COUNTIF(Referral_Data!$B$5:$B$1000,B356)&gt;0,"Referrer","Organic"))</f>
        <v>Organic</v>
      </c>
      <c r="G356" s="29" t="n">
        <f aca="false">IF(COUNTIFS($B$5:B356,B356,$C$5:C356,C356)=1,1,0)</f>
        <v>0</v>
      </c>
      <c r="H356" s="29" t="n">
        <f aca="false">IF(AND(G356=1,COUNTIFS($B$5:$B$1635,B356,$C$5:$C$1635,"&lt;"&amp;C356)&gt;0),1,0)</f>
        <v>0</v>
      </c>
      <c r="I356" s="29" t="n">
        <f aca="false">IF(AND(D356="Feature Use",COUNTIFS($B$5:B356,B356,$D$5:D356,"Feature Use",$E$5:E356,E356)=1),1,0)</f>
        <v>0</v>
      </c>
      <c r="J356" s="29" t="n">
        <f aca="false">IF(AND(D356="Feature Use",COUNTIFS($B$5:B356,B356,$D$5:D356,"Feature Use",$E$5:E356,E356)=2),1,0)</f>
        <v>1</v>
      </c>
      <c r="K356" s="29" t="n">
        <f aca="false">IF(COUNTIF($B$5:B356,B356)=1,1,0)</f>
        <v>0</v>
      </c>
      <c r="L356" s="29" t="n">
        <f aca="false">IF(AND(C356&gt;=Settings!$B$5-Settings!$B$8+1,C356&lt;=Settings!$B$5,COUNTIFS($B$5:B356,B356,$C$5:C356,"&gt;="&amp;(Settings!$B$5-Settings!$B$8+1),$C$5:C356,"&lt;="&amp;Settings!$B$5)=1),1,0)</f>
        <v>0</v>
      </c>
      <c r="M356" s="29" t="n">
        <f aca="false">IF(AND(C356&gt;=Settings!$B$5-Settings!$B$9+1,C356&lt;=Settings!$B$5,COUNTIFS($B$5:B356,B356,$C$5:C356,"&gt;="&amp;(Settings!$B$5-Settings!$B$9+1),$C$5:C356,"&lt;="&amp;Settings!$B$5)=1),1,0)</f>
        <v>0</v>
      </c>
      <c r="N356" s="29" t="n">
        <f aca="false">IF(AND(D356="Feature Use",COUNTIFS($B$5:B356,B356,$D$5:D356,"Feature Use")=1),1,0)</f>
        <v>0</v>
      </c>
    </row>
    <row r="357" customFormat="false" ht="15" hidden="false" customHeight="false" outlineLevel="0" collapsed="false">
      <c r="A357" s="22" t="s">
        <v>664</v>
      </c>
      <c r="B357" s="22" t="s">
        <v>192</v>
      </c>
      <c r="C357" s="31" t="n">
        <v>46280</v>
      </c>
      <c r="D357" s="22" t="s">
        <v>297</v>
      </c>
      <c r="E357" s="22" t="s">
        <v>298</v>
      </c>
      <c r="F357" s="29" t="str">
        <f aca="false">IF(COUNTIF(Referral_Data!$C$5:$C$1000,B357)&gt;0,"Referred",IF(COUNTIF(Referral_Data!$B$5:$B$1000,B357)&gt;0,"Referrer","Organic"))</f>
        <v>Referred</v>
      </c>
      <c r="G357" s="29" t="n">
        <f aca="false">IF(COUNTIFS($B$5:B357,B357,$C$5:C357,C357)=1,1,0)</f>
        <v>1</v>
      </c>
      <c r="H357" s="29" t="n">
        <f aca="false">IF(AND(G357=1,COUNTIFS($B$5:$B$1635,B357,$C$5:$C$1635,"&lt;"&amp;C357)&gt;0),1,0)</f>
        <v>1</v>
      </c>
      <c r="I357" s="29" t="n">
        <f aca="false">IF(AND(D357="Feature Use",COUNTIFS($B$5:B357,B357,$D$5:D357,"Feature Use",$E$5:E357,E357)=1),1,0)</f>
        <v>0</v>
      </c>
      <c r="J357" s="29" t="n">
        <f aca="false">IF(AND(D357="Feature Use",COUNTIFS($B$5:B357,B357,$D$5:D357,"Feature Use",$E$5:E357,E357)=2),1,0)</f>
        <v>0</v>
      </c>
      <c r="K357" s="29" t="n">
        <f aca="false">IF(COUNTIF($B$5:B357,B357)=1,1,0)</f>
        <v>0</v>
      </c>
      <c r="L357" s="29" t="n">
        <f aca="false">IF(AND(C357&gt;=Settings!$B$5-Settings!$B$8+1,C357&lt;=Settings!$B$5,COUNTIFS($B$5:B357,B357,$C$5:C357,"&gt;="&amp;(Settings!$B$5-Settings!$B$8+1),$C$5:C357,"&lt;="&amp;Settings!$B$5)=1),1,0)</f>
        <v>0</v>
      </c>
      <c r="M357" s="29" t="n">
        <f aca="false">IF(AND(C357&gt;=Settings!$B$5-Settings!$B$9+1,C357&lt;=Settings!$B$5,COUNTIFS($B$5:B357,B357,$C$5:C357,"&gt;="&amp;(Settings!$B$5-Settings!$B$9+1),$C$5:C357,"&lt;="&amp;Settings!$B$5)=1),1,0)</f>
        <v>0</v>
      </c>
      <c r="N357" s="29" t="n">
        <f aca="false">IF(AND(D357="Feature Use",COUNTIFS($B$5:B357,B357,$D$5:D357,"Feature Use")=1),1,0)</f>
        <v>0</v>
      </c>
    </row>
    <row r="358" customFormat="false" ht="15" hidden="false" customHeight="false" outlineLevel="0" collapsed="false">
      <c r="A358" s="22" t="s">
        <v>665</v>
      </c>
      <c r="B358" s="22" t="s">
        <v>192</v>
      </c>
      <c r="C358" s="31" t="n">
        <v>46280</v>
      </c>
      <c r="D358" s="22" t="s">
        <v>300</v>
      </c>
      <c r="E358" s="22" t="s">
        <v>311</v>
      </c>
      <c r="F358" s="29" t="str">
        <f aca="false">IF(COUNTIF(Referral_Data!$C$5:$C$1000,B358)&gt;0,"Referred",IF(COUNTIF(Referral_Data!$B$5:$B$1000,B358)&gt;0,"Referrer","Organic"))</f>
        <v>Referred</v>
      </c>
      <c r="G358" s="29" t="n">
        <f aca="false">IF(COUNTIFS($B$5:B358,B358,$C$5:C358,C358)=1,1,0)</f>
        <v>0</v>
      </c>
      <c r="H358" s="29" t="n">
        <f aca="false">IF(AND(G358=1,COUNTIFS($B$5:$B$1635,B358,$C$5:$C$1635,"&lt;"&amp;C358)&gt;0),1,0)</f>
        <v>0</v>
      </c>
      <c r="I358" s="29" t="n">
        <f aca="false">IF(AND(D358="Feature Use",COUNTIFS($B$5:B358,B358,$D$5:D358,"Feature Use",$E$5:E358,E358)=1),1,0)</f>
        <v>1</v>
      </c>
      <c r="J358" s="29" t="n">
        <f aca="false">IF(AND(D358="Feature Use",COUNTIFS($B$5:B358,B358,$D$5:D358,"Feature Use",$E$5:E358,E358)=2),1,0)</f>
        <v>0</v>
      </c>
      <c r="K358" s="29" t="n">
        <f aca="false">IF(COUNTIF($B$5:B358,B358)=1,1,0)</f>
        <v>0</v>
      </c>
      <c r="L358" s="29" t="n">
        <f aca="false">IF(AND(C358&gt;=Settings!$B$5-Settings!$B$8+1,C358&lt;=Settings!$B$5,COUNTIFS($B$5:B358,B358,$C$5:C358,"&gt;="&amp;(Settings!$B$5-Settings!$B$8+1),$C$5:C358,"&lt;="&amp;Settings!$B$5)=1),1,0)</f>
        <v>0</v>
      </c>
      <c r="M358" s="29" t="n">
        <f aca="false">IF(AND(C358&gt;=Settings!$B$5-Settings!$B$9+1,C358&lt;=Settings!$B$5,COUNTIFS($B$5:B358,B358,$C$5:C358,"&gt;="&amp;(Settings!$B$5-Settings!$B$9+1),$C$5:C358,"&lt;="&amp;Settings!$B$5)=1),1,0)</f>
        <v>0</v>
      </c>
      <c r="N358" s="29" t="n">
        <f aca="false">IF(AND(D358="Feature Use",COUNTIFS($B$5:B358,B358,$D$5:D358,"Feature Use")=1),1,0)</f>
        <v>0</v>
      </c>
    </row>
    <row r="359" customFormat="false" ht="15" hidden="false" customHeight="false" outlineLevel="0" collapsed="false">
      <c r="A359" s="22" t="s">
        <v>666</v>
      </c>
      <c r="B359" s="22" t="s">
        <v>192</v>
      </c>
      <c r="C359" s="31" t="n">
        <v>46280</v>
      </c>
      <c r="D359" s="22" t="s">
        <v>300</v>
      </c>
      <c r="E359" s="22" t="s">
        <v>311</v>
      </c>
      <c r="F359" s="29" t="str">
        <f aca="false">IF(COUNTIF(Referral_Data!$C$5:$C$1000,B359)&gt;0,"Referred",IF(COUNTIF(Referral_Data!$B$5:$B$1000,B359)&gt;0,"Referrer","Organic"))</f>
        <v>Referred</v>
      </c>
      <c r="G359" s="29" t="n">
        <f aca="false">IF(COUNTIFS($B$5:B359,B359,$C$5:C359,C359)=1,1,0)</f>
        <v>0</v>
      </c>
      <c r="H359" s="29" t="n">
        <f aca="false">IF(AND(G359=1,COUNTIFS($B$5:$B$1635,B359,$C$5:$C$1635,"&lt;"&amp;C359)&gt;0),1,0)</f>
        <v>0</v>
      </c>
      <c r="I359" s="29" t="n">
        <f aca="false">IF(AND(D359="Feature Use",COUNTIFS($B$5:B359,B359,$D$5:D359,"Feature Use",$E$5:E359,E359)=1),1,0)</f>
        <v>0</v>
      </c>
      <c r="J359" s="29" t="n">
        <f aca="false">IF(AND(D359="Feature Use",COUNTIFS($B$5:B359,B359,$D$5:D359,"Feature Use",$E$5:E359,E359)=2),1,0)</f>
        <v>1</v>
      </c>
      <c r="K359" s="29" t="n">
        <f aca="false">IF(COUNTIF($B$5:B359,B359)=1,1,0)</f>
        <v>0</v>
      </c>
      <c r="L359" s="29" t="n">
        <f aca="false">IF(AND(C359&gt;=Settings!$B$5-Settings!$B$8+1,C359&lt;=Settings!$B$5,COUNTIFS($B$5:B359,B359,$C$5:C359,"&gt;="&amp;(Settings!$B$5-Settings!$B$8+1),$C$5:C359,"&lt;="&amp;Settings!$B$5)=1),1,0)</f>
        <v>0</v>
      </c>
      <c r="M359" s="29" t="n">
        <f aca="false">IF(AND(C359&gt;=Settings!$B$5-Settings!$B$9+1,C359&lt;=Settings!$B$5,COUNTIFS($B$5:B359,B359,$C$5:C359,"&gt;="&amp;(Settings!$B$5-Settings!$B$9+1),$C$5:C359,"&lt;="&amp;Settings!$B$5)=1),1,0)</f>
        <v>0</v>
      </c>
      <c r="N359" s="29" t="n">
        <f aca="false">IF(AND(D359="Feature Use",COUNTIFS($B$5:B359,B359,$D$5:D359,"Feature Use")=1),1,0)</f>
        <v>0</v>
      </c>
    </row>
    <row r="360" customFormat="false" ht="15" hidden="false" customHeight="false" outlineLevel="0" collapsed="false">
      <c r="A360" s="22" t="s">
        <v>667</v>
      </c>
      <c r="B360" s="22" t="s">
        <v>192</v>
      </c>
      <c r="C360" s="31" t="n">
        <v>46280</v>
      </c>
      <c r="D360" s="22" t="s">
        <v>308</v>
      </c>
      <c r="E360" s="22" t="s">
        <v>311</v>
      </c>
      <c r="F360" s="29" t="str">
        <f aca="false">IF(COUNTIF(Referral_Data!$C$5:$C$1000,B360)&gt;0,"Referred",IF(COUNTIF(Referral_Data!$B$5:$B$1000,B360)&gt;0,"Referrer","Organic"))</f>
        <v>Referred</v>
      </c>
      <c r="G360" s="29" t="n">
        <f aca="false">IF(COUNTIFS($B$5:B360,B360,$C$5:C360,C360)=1,1,0)</f>
        <v>0</v>
      </c>
      <c r="H360" s="29" t="n">
        <f aca="false">IF(AND(G360=1,COUNTIFS($B$5:$B$1635,B360,$C$5:$C$1635,"&lt;"&amp;C360)&gt;0),1,0)</f>
        <v>0</v>
      </c>
      <c r="I360" s="29" t="n">
        <f aca="false">IF(AND(D360="Feature Use",COUNTIFS($B$5:B360,B360,$D$5:D360,"Feature Use",$E$5:E360,E360)=1),1,0)</f>
        <v>0</v>
      </c>
      <c r="J360" s="29" t="n">
        <f aca="false">IF(AND(D360="Feature Use",COUNTIFS($B$5:B360,B360,$D$5:D360,"Feature Use",$E$5:E360,E360)=2),1,0)</f>
        <v>0</v>
      </c>
      <c r="K360" s="29" t="n">
        <f aca="false">IF(COUNTIF($B$5:B360,B360)=1,1,0)</f>
        <v>0</v>
      </c>
      <c r="L360" s="29" t="n">
        <f aca="false">IF(AND(C360&gt;=Settings!$B$5-Settings!$B$8+1,C360&lt;=Settings!$B$5,COUNTIFS($B$5:B360,B360,$C$5:C360,"&gt;="&amp;(Settings!$B$5-Settings!$B$8+1),$C$5:C360,"&lt;="&amp;Settings!$B$5)=1),1,0)</f>
        <v>0</v>
      </c>
      <c r="M360" s="29" t="n">
        <f aca="false">IF(AND(C360&gt;=Settings!$B$5-Settings!$B$9+1,C360&lt;=Settings!$B$5,COUNTIFS($B$5:B360,B360,$C$5:C360,"&gt;="&amp;(Settings!$B$5-Settings!$B$9+1),$C$5:C360,"&lt;="&amp;Settings!$B$5)=1),1,0)</f>
        <v>0</v>
      </c>
      <c r="N360" s="29" t="n">
        <f aca="false">IF(AND(D360="Feature Use",COUNTIFS($B$5:B360,B360,$D$5:D360,"Feature Use")=1),1,0)</f>
        <v>0</v>
      </c>
    </row>
    <row r="361" customFormat="false" ht="15" hidden="false" customHeight="false" outlineLevel="0" collapsed="false">
      <c r="A361" s="22" t="s">
        <v>668</v>
      </c>
      <c r="B361" s="22" t="s">
        <v>194</v>
      </c>
      <c r="C361" s="31" t="n">
        <v>46280</v>
      </c>
      <c r="D361" s="22" t="s">
        <v>297</v>
      </c>
      <c r="E361" s="22" t="s">
        <v>298</v>
      </c>
      <c r="F361" s="29" t="str">
        <f aca="false">IF(COUNTIF(Referral_Data!$C$5:$C$1000,B361)&gt;0,"Referred",IF(COUNTIF(Referral_Data!$B$5:$B$1000,B361)&gt;0,"Referrer","Organic"))</f>
        <v>Referred</v>
      </c>
      <c r="G361" s="29" t="n">
        <f aca="false">IF(COUNTIFS($B$5:B361,B361,$C$5:C361,C361)=1,1,0)</f>
        <v>1</v>
      </c>
      <c r="H361" s="29" t="n">
        <f aca="false">IF(AND(G361=1,COUNTIFS($B$5:$B$1635,B361,$C$5:$C$1635,"&lt;"&amp;C361)&gt;0),1,0)</f>
        <v>1</v>
      </c>
      <c r="I361" s="29" t="n">
        <f aca="false">IF(AND(D361="Feature Use",COUNTIFS($B$5:B361,B361,$D$5:D361,"Feature Use",$E$5:E361,E361)=1),1,0)</f>
        <v>0</v>
      </c>
      <c r="J361" s="29" t="n">
        <f aca="false">IF(AND(D361="Feature Use",COUNTIFS($B$5:B361,B361,$D$5:D361,"Feature Use",$E$5:E361,E361)=2),1,0)</f>
        <v>0</v>
      </c>
      <c r="K361" s="29" t="n">
        <f aca="false">IF(COUNTIF($B$5:B361,B361)=1,1,0)</f>
        <v>0</v>
      </c>
      <c r="L361" s="29" t="n">
        <f aca="false">IF(AND(C361&gt;=Settings!$B$5-Settings!$B$8+1,C361&lt;=Settings!$B$5,COUNTIFS($B$5:B361,B361,$C$5:C361,"&gt;="&amp;(Settings!$B$5-Settings!$B$8+1),$C$5:C361,"&lt;="&amp;Settings!$B$5)=1),1,0)</f>
        <v>0</v>
      </c>
      <c r="M361" s="29" t="n">
        <f aca="false">IF(AND(C361&gt;=Settings!$B$5-Settings!$B$9+1,C361&lt;=Settings!$B$5,COUNTIFS($B$5:B361,B361,$C$5:C361,"&gt;="&amp;(Settings!$B$5-Settings!$B$9+1),$C$5:C361,"&lt;="&amp;Settings!$B$5)=1),1,0)</f>
        <v>0</v>
      </c>
      <c r="N361" s="29" t="n">
        <f aca="false">IF(AND(D361="Feature Use",COUNTIFS($B$5:B361,B361,$D$5:D361,"Feature Use")=1),1,0)</f>
        <v>0</v>
      </c>
    </row>
    <row r="362" customFormat="false" ht="15" hidden="false" customHeight="false" outlineLevel="0" collapsed="false">
      <c r="A362" s="22" t="s">
        <v>669</v>
      </c>
      <c r="B362" s="22" t="s">
        <v>194</v>
      </c>
      <c r="C362" s="31" t="n">
        <v>46280</v>
      </c>
      <c r="D362" s="22" t="s">
        <v>300</v>
      </c>
      <c r="E362" s="22" t="s">
        <v>305</v>
      </c>
      <c r="F362" s="29" t="str">
        <f aca="false">IF(COUNTIF(Referral_Data!$C$5:$C$1000,B362)&gt;0,"Referred",IF(COUNTIF(Referral_Data!$B$5:$B$1000,B362)&gt;0,"Referrer","Organic"))</f>
        <v>Referred</v>
      </c>
      <c r="G362" s="29" t="n">
        <f aca="false">IF(COUNTIFS($B$5:B362,B362,$C$5:C362,C362)=1,1,0)</f>
        <v>0</v>
      </c>
      <c r="H362" s="29" t="n">
        <f aca="false">IF(AND(G362=1,COUNTIFS($B$5:$B$1635,B362,$C$5:$C$1635,"&lt;"&amp;C362)&gt;0),1,0)</f>
        <v>0</v>
      </c>
      <c r="I362" s="29" t="n">
        <f aca="false">IF(AND(D362="Feature Use",COUNTIFS($B$5:B362,B362,$D$5:D362,"Feature Use",$E$5:E362,E362)=1),1,0)</f>
        <v>0</v>
      </c>
      <c r="J362" s="29" t="n">
        <f aca="false">IF(AND(D362="Feature Use",COUNTIFS($B$5:B362,B362,$D$5:D362,"Feature Use",$E$5:E362,E362)=2),1,0)</f>
        <v>0</v>
      </c>
      <c r="K362" s="29" t="n">
        <f aca="false">IF(COUNTIF($B$5:B362,B362)=1,1,0)</f>
        <v>0</v>
      </c>
      <c r="L362" s="29" t="n">
        <f aca="false">IF(AND(C362&gt;=Settings!$B$5-Settings!$B$8+1,C362&lt;=Settings!$B$5,COUNTIFS($B$5:B362,B362,$C$5:C362,"&gt;="&amp;(Settings!$B$5-Settings!$B$8+1),$C$5:C362,"&lt;="&amp;Settings!$B$5)=1),1,0)</f>
        <v>0</v>
      </c>
      <c r="M362" s="29" t="n">
        <f aca="false">IF(AND(C362&gt;=Settings!$B$5-Settings!$B$9+1,C362&lt;=Settings!$B$5,COUNTIFS($B$5:B362,B362,$C$5:C362,"&gt;="&amp;(Settings!$B$5-Settings!$B$9+1),$C$5:C362,"&lt;="&amp;Settings!$B$5)=1),1,0)</f>
        <v>0</v>
      </c>
      <c r="N362" s="29" t="n">
        <f aca="false">IF(AND(D362="Feature Use",COUNTIFS($B$5:B362,B362,$D$5:D362,"Feature Use")=1),1,0)</f>
        <v>0</v>
      </c>
    </row>
    <row r="363" customFormat="false" ht="15" hidden="false" customHeight="false" outlineLevel="0" collapsed="false">
      <c r="A363" s="22" t="s">
        <v>670</v>
      </c>
      <c r="B363" s="22" t="s">
        <v>194</v>
      </c>
      <c r="C363" s="31" t="n">
        <v>46280</v>
      </c>
      <c r="D363" s="22" t="s">
        <v>308</v>
      </c>
      <c r="E363" s="22" t="s">
        <v>301</v>
      </c>
      <c r="F363" s="29" t="str">
        <f aca="false">IF(COUNTIF(Referral_Data!$C$5:$C$1000,B363)&gt;0,"Referred",IF(COUNTIF(Referral_Data!$B$5:$B$1000,B363)&gt;0,"Referrer","Organic"))</f>
        <v>Referred</v>
      </c>
      <c r="G363" s="29" t="n">
        <f aca="false">IF(COUNTIFS($B$5:B363,B363,$C$5:C363,C363)=1,1,0)</f>
        <v>0</v>
      </c>
      <c r="H363" s="29" t="n">
        <f aca="false">IF(AND(G363=1,COUNTIFS($B$5:$B$1635,B363,$C$5:$C$1635,"&lt;"&amp;C363)&gt;0),1,0)</f>
        <v>0</v>
      </c>
      <c r="I363" s="29" t="n">
        <f aca="false">IF(AND(D363="Feature Use",COUNTIFS($B$5:B363,B363,$D$5:D363,"Feature Use",$E$5:E363,E363)=1),1,0)</f>
        <v>0</v>
      </c>
      <c r="J363" s="29" t="n">
        <f aca="false">IF(AND(D363="Feature Use",COUNTIFS($B$5:B363,B363,$D$5:D363,"Feature Use",$E$5:E363,E363)=2),1,0)</f>
        <v>0</v>
      </c>
      <c r="K363" s="29" t="n">
        <f aca="false">IF(COUNTIF($B$5:B363,B363)=1,1,0)</f>
        <v>0</v>
      </c>
      <c r="L363" s="29" t="n">
        <f aca="false">IF(AND(C363&gt;=Settings!$B$5-Settings!$B$8+1,C363&lt;=Settings!$B$5,COUNTIFS($B$5:B363,B363,$C$5:C363,"&gt;="&amp;(Settings!$B$5-Settings!$B$8+1),$C$5:C363,"&lt;="&amp;Settings!$B$5)=1),1,0)</f>
        <v>0</v>
      </c>
      <c r="M363" s="29" t="n">
        <f aca="false">IF(AND(C363&gt;=Settings!$B$5-Settings!$B$9+1,C363&lt;=Settings!$B$5,COUNTIFS($B$5:B363,B363,$C$5:C363,"&gt;="&amp;(Settings!$B$5-Settings!$B$9+1),$C$5:C363,"&lt;="&amp;Settings!$B$5)=1),1,0)</f>
        <v>0</v>
      </c>
      <c r="N363" s="29" t="n">
        <f aca="false">IF(AND(D363="Feature Use",COUNTIFS($B$5:B363,B363,$D$5:D363,"Feature Use")=1),1,0)</f>
        <v>0</v>
      </c>
    </row>
    <row r="364" customFormat="false" ht="15" hidden="false" customHeight="false" outlineLevel="0" collapsed="false">
      <c r="A364" s="22" t="s">
        <v>671</v>
      </c>
      <c r="B364" s="22" t="s">
        <v>204</v>
      </c>
      <c r="C364" s="31" t="n">
        <v>46280</v>
      </c>
      <c r="D364" s="22" t="s">
        <v>297</v>
      </c>
      <c r="E364" s="22" t="s">
        <v>298</v>
      </c>
      <c r="F364" s="29" t="str">
        <f aca="false">IF(COUNTIF(Referral_Data!$C$5:$C$1000,B364)&gt;0,"Referred",IF(COUNTIF(Referral_Data!$B$5:$B$1000,B364)&gt;0,"Referrer","Organic"))</f>
        <v>Referred</v>
      </c>
      <c r="G364" s="29" t="n">
        <f aca="false">IF(COUNTIFS($B$5:B364,B364,$C$5:C364,C364)=1,1,0)</f>
        <v>1</v>
      </c>
      <c r="H364" s="29" t="n">
        <f aca="false">IF(AND(G364=1,COUNTIFS($B$5:$B$1635,B364,$C$5:$C$1635,"&lt;"&amp;C364)&gt;0),1,0)</f>
        <v>1</v>
      </c>
      <c r="I364" s="29" t="n">
        <f aca="false">IF(AND(D364="Feature Use",COUNTIFS($B$5:B364,B364,$D$5:D364,"Feature Use",$E$5:E364,E364)=1),1,0)</f>
        <v>0</v>
      </c>
      <c r="J364" s="29" t="n">
        <f aca="false">IF(AND(D364="Feature Use",COUNTIFS($B$5:B364,B364,$D$5:D364,"Feature Use",$E$5:E364,E364)=2),1,0)</f>
        <v>0</v>
      </c>
      <c r="K364" s="29" t="n">
        <f aca="false">IF(COUNTIF($B$5:B364,B364)=1,1,0)</f>
        <v>0</v>
      </c>
      <c r="L364" s="29" t="n">
        <f aca="false">IF(AND(C364&gt;=Settings!$B$5-Settings!$B$8+1,C364&lt;=Settings!$B$5,COUNTIFS($B$5:B364,B364,$C$5:C364,"&gt;="&amp;(Settings!$B$5-Settings!$B$8+1),$C$5:C364,"&lt;="&amp;Settings!$B$5)=1),1,0)</f>
        <v>0</v>
      </c>
      <c r="M364" s="29" t="n">
        <f aca="false">IF(AND(C364&gt;=Settings!$B$5-Settings!$B$9+1,C364&lt;=Settings!$B$5,COUNTIFS($B$5:B364,B364,$C$5:C364,"&gt;="&amp;(Settings!$B$5-Settings!$B$9+1),$C$5:C364,"&lt;="&amp;Settings!$B$5)=1),1,0)</f>
        <v>0</v>
      </c>
      <c r="N364" s="29" t="n">
        <f aca="false">IF(AND(D364="Feature Use",COUNTIFS($B$5:B364,B364,$D$5:D364,"Feature Use")=1),1,0)</f>
        <v>0</v>
      </c>
    </row>
    <row r="365" customFormat="false" ht="15" hidden="false" customHeight="false" outlineLevel="0" collapsed="false">
      <c r="A365" s="22" t="s">
        <v>672</v>
      </c>
      <c r="B365" s="22" t="s">
        <v>204</v>
      </c>
      <c r="C365" s="31" t="n">
        <v>46280</v>
      </c>
      <c r="D365" s="22" t="s">
        <v>300</v>
      </c>
      <c r="E365" s="22" t="s">
        <v>305</v>
      </c>
      <c r="F365" s="29" t="str">
        <f aca="false">IF(COUNTIF(Referral_Data!$C$5:$C$1000,B365)&gt;0,"Referred",IF(COUNTIF(Referral_Data!$B$5:$B$1000,B365)&gt;0,"Referrer","Organic"))</f>
        <v>Referred</v>
      </c>
      <c r="G365" s="29" t="n">
        <f aca="false">IF(COUNTIFS($B$5:B365,B365,$C$5:C365,C365)=1,1,0)</f>
        <v>0</v>
      </c>
      <c r="H365" s="29" t="n">
        <f aca="false">IF(AND(G365=1,COUNTIFS($B$5:$B$1635,B365,$C$5:$C$1635,"&lt;"&amp;C365)&gt;0),1,0)</f>
        <v>0</v>
      </c>
      <c r="I365" s="29" t="n">
        <f aca="false">IF(AND(D365="Feature Use",COUNTIFS($B$5:B365,B365,$D$5:D365,"Feature Use",$E$5:E365,E365)=1),1,0)</f>
        <v>0</v>
      </c>
      <c r="J365" s="29" t="n">
        <f aca="false">IF(AND(D365="Feature Use",COUNTIFS($B$5:B365,B365,$D$5:D365,"Feature Use",$E$5:E365,E365)=2),1,0)</f>
        <v>0</v>
      </c>
      <c r="K365" s="29" t="n">
        <f aca="false">IF(COUNTIF($B$5:B365,B365)=1,1,0)</f>
        <v>0</v>
      </c>
      <c r="L365" s="29" t="n">
        <f aca="false">IF(AND(C365&gt;=Settings!$B$5-Settings!$B$8+1,C365&lt;=Settings!$B$5,COUNTIFS($B$5:B365,B365,$C$5:C365,"&gt;="&amp;(Settings!$B$5-Settings!$B$8+1),$C$5:C365,"&lt;="&amp;Settings!$B$5)=1),1,0)</f>
        <v>0</v>
      </c>
      <c r="M365" s="29" t="n">
        <f aca="false">IF(AND(C365&gt;=Settings!$B$5-Settings!$B$9+1,C365&lt;=Settings!$B$5,COUNTIFS($B$5:B365,B365,$C$5:C365,"&gt;="&amp;(Settings!$B$5-Settings!$B$9+1),$C$5:C365,"&lt;="&amp;Settings!$B$5)=1),1,0)</f>
        <v>0</v>
      </c>
      <c r="N365" s="29" t="n">
        <f aca="false">IF(AND(D365="Feature Use",COUNTIFS($B$5:B365,B365,$D$5:D365,"Feature Use")=1),1,0)</f>
        <v>0</v>
      </c>
    </row>
    <row r="366" customFormat="false" ht="15" hidden="false" customHeight="false" outlineLevel="0" collapsed="false">
      <c r="A366" s="22" t="s">
        <v>673</v>
      </c>
      <c r="B366" s="22" t="s">
        <v>234</v>
      </c>
      <c r="C366" s="31" t="n">
        <v>46280</v>
      </c>
      <c r="D366" s="22" t="s">
        <v>297</v>
      </c>
      <c r="E366" s="22" t="s">
        <v>298</v>
      </c>
      <c r="F366" s="29" t="str">
        <f aca="false">IF(COUNTIF(Referral_Data!$C$5:$C$1000,B366)&gt;0,"Referred",IF(COUNTIF(Referral_Data!$B$5:$B$1000,B366)&gt;0,"Referrer","Organic"))</f>
        <v>Referred</v>
      </c>
      <c r="G366" s="29" t="n">
        <f aca="false">IF(COUNTIFS($B$5:B366,B366,$C$5:C366,C366)=1,1,0)</f>
        <v>1</v>
      </c>
      <c r="H366" s="29" t="n">
        <f aca="false">IF(AND(G366=1,COUNTIFS($B$5:$B$1635,B366,$C$5:$C$1635,"&lt;"&amp;C366)&gt;0),1,0)</f>
        <v>1</v>
      </c>
      <c r="I366" s="29" t="n">
        <f aca="false">IF(AND(D366="Feature Use",COUNTIFS($B$5:B366,B366,$D$5:D366,"Feature Use",$E$5:E366,E366)=1),1,0)</f>
        <v>0</v>
      </c>
      <c r="J366" s="29" t="n">
        <f aca="false">IF(AND(D366="Feature Use",COUNTIFS($B$5:B366,B366,$D$5:D366,"Feature Use",$E$5:E366,E366)=2),1,0)</f>
        <v>0</v>
      </c>
      <c r="K366" s="29" t="n">
        <f aca="false">IF(COUNTIF($B$5:B366,B366)=1,1,0)</f>
        <v>0</v>
      </c>
      <c r="L366" s="29" t="n">
        <f aca="false">IF(AND(C366&gt;=Settings!$B$5-Settings!$B$8+1,C366&lt;=Settings!$B$5,COUNTIFS($B$5:B366,B366,$C$5:C366,"&gt;="&amp;(Settings!$B$5-Settings!$B$8+1),$C$5:C366,"&lt;="&amp;Settings!$B$5)=1),1,0)</f>
        <v>0</v>
      </c>
      <c r="M366" s="29" t="n">
        <f aca="false">IF(AND(C366&gt;=Settings!$B$5-Settings!$B$9+1,C366&lt;=Settings!$B$5,COUNTIFS($B$5:B366,B366,$C$5:C366,"&gt;="&amp;(Settings!$B$5-Settings!$B$9+1),$C$5:C366,"&lt;="&amp;Settings!$B$5)=1),1,0)</f>
        <v>0</v>
      </c>
      <c r="N366" s="29" t="n">
        <f aca="false">IF(AND(D366="Feature Use",COUNTIFS($B$5:B366,B366,$D$5:D366,"Feature Use")=1),1,0)</f>
        <v>0</v>
      </c>
    </row>
    <row r="367" customFormat="false" ht="15" hidden="false" customHeight="false" outlineLevel="0" collapsed="false">
      <c r="A367" s="22" t="s">
        <v>674</v>
      </c>
      <c r="B367" s="22" t="s">
        <v>234</v>
      </c>
      <c r="C367" s="31" t="n">
        <v>46280</v>
      </c>
      <c r="D367" s="22" t="s">
        <v>300</v>
      </c>
      <c r="E367" s="22" t="s">
        <v>311</v>
      </c>
      <c r="F367" s="29" t="str">
        <f aca="false">IF(COUNTIF(Referral_Data!$C$5:$C$1000,B367)&gt;0,"Referred",IF(COUNTIF(Referral_Data!$B$5:$B$1000,B367)&gt;0,"Referrer","Organic"))</f>
        <v>Referred</v>
      </c>
      <c r="G367" s="29" t="n">
        <f aca="false">IF(COUNTIFS($B$5:B367,B367,$C$5:C367,C367)=1,1,0)</f>
        <v>0</v>
      </c>
      <c r="H367" s="29" t="n">
        <f aca="false">IF(AND(G367=1,COUNTIFS($B$5:$B$1635,B367,$C$5:$C$1635,"&lt;"&amp;C367)&gt;0),1,0)</f>
        <v>0</v>
      </c>
      <c r="I367" s="29" t="n">
        <f aca="false">IF(AND(D367="Feature Use",COUNTIFS($B$5:B367,B367,$D$5:D367,"Feature Use",$E$5:E367,E367)=1),1,0)</f>
        <v>1</v>
      </c>
      <c r="J367" s="29" t="n">
        <f aca="false">IF(AND(D367="Feature Use",COUNTIFS($B$5:B367,B367,$D$5:D367,"Feature Use",$E$5:E367,E367)=2),1,0)</f>
        <v>0</v>
      </c>
      <c r="K367" s="29" t="n">
        <f aca="false">IF(COUNTIF($B$5:B367,B367)=1,1,0)</f>
        <v>0</v>
      </c>
      <c r="L367" s="29" t="n">
        <f aca="false">IF(AND(C367&gt;=Settings!$B$5-Settings!$B$8+1,C367&lt;=Settings!$B$5,COUNTIFS($B$5:B367,B367,$C$5:C367,"&gt;="&amp;(Settings!$B$5-Settings!$B$8+1),$C$5:C367,"&lt;="&amp;Settings!$B$5)=1),1,0)</f>
        <v>0</v>
      </c>
      <c r="M367" s="29" t="n">
        <f aca="false">IF(AND(C367&gt;=Settings!$B$5-Settings!$B$9+1,C367&lt;=Settings!$B$5,COUNTIFS($B$5:B367,B367,$C$5:C367,"&gt;="&amp;(Settings!$B$5-Settings!$B$9+1),$C$5:C367,"&lt;="&amp;Settings!$B$5)=1),1,0)</f>
        <v>0</v>
      </c>
      <c r="N367" s="29" t="n">
        <f aca="false">IF(AND(D367="Feature Use",COUNTIFS($B$5:B367,B367,$D$5:D367,"Feature Use")=1),1,0)</f>
        <v>0</v>
      </c>
    </row>
    <row r="368" customFormat="false" ht="15" hidden="false" customHeight="false" outlineLevel="0" collapsed="false">
      <c r="A368" s="22" t="s">
        <v>675</v>
      </c>
      <c r="B368" s="22" t="s">
        <v>167</v>
      </c>
      <c r="C368" s="31" t="n">
        <v>46280</v>
      </c>
      <c r="D368" s="22" t="s">
        <v>297</v>
      </c>
      <c r="E368" s="22" t="s">
        <v>298</v>
      </c>
      <c r="F368" s="29" t="str">
        <f aca="false">IF(COUNTIF(Referral_Data!$C$5:$C$1000,B368)&gt;0,"Referred",IF(COUNTIF(Referral_Data!$B$5:$B$1000,B368)&gt;0,"Referrer","Organic"))</f>
        <v>Referrer</v>
      </c>
      <c r="G368" s="29" t="n">
        <f aca="false">IF(COUNTIFS($B$5:B368,B368,$C$5:C368,C368)=1,1,0)</f>
        <v>1</v>
      </c>
      <c r="H368" s="29" t="n">
        <f aca="false">IF(AND(G368=1,COUNTIFS($B$5:$B$1635,B368,$C$5:$C$1635,"&lt;"&amp;C368)&gt;0),1,0)</f>
        <v>1</v>
      </c>
      <c r="I368" s="29" t="n">
        <f aca="false">IF(AND(D368="Feature Use",COUNTIFS($B$5:B368,B368,$D$5:D368,"Feature Use",$E$5:E368,E368)=1),1,0)</f>
        <v>0</v>
      </c>
      <c r="J368" s="29" t="n">
        <f aca="false">IF(AND(D368="Feature Use",COUNTIFS($B$5:B368,B368,$D$5:D368,"Feature Use",$E$5:E368,E368)=2),1,0)</f>
        <v>0</v>
      </c>
      <c r="K368" s="29" t="n">
        <f aca="false">IF(COUNTIF($B$5:B368,B368)=1,1,0)</f>
        <v>0</v>
      </c>
      <c r="L368" s="29" t="n">
        <f aca="false">IF(AND(C368&gt;=Settings!$B$5-Settings!$B$8+1,C368&lt;=Settings!$B$5,COUNTIFS($B$5:B368,B368,$C$5:C368,"&gt;="&amp;(Settings!$B$5-Settings!$B$8+1),$C$5:C368,"&lt;="&amp;Settings!$B$5)=1),1,0)</f>
        <v>0</v>
      </c>
      <c r="M368" s="29" t="n">
        <f aca="false">IF(AND(C368&gt;=Settings!$B$5-Settings!$B$9+1,C368&lt;=Settings!$B$5,COUNTIFS($B$5:B368,B368,$C$5:C368,"&gt;="&amp;(Settings!$B$5-Settings!$B$9+1),$C$5:C368,"&lt;="&amp;Settings!$B$5)=1),1,0)</f>
        <v>0</v>
      </c>
      <c r="N368" s="29" t="n">
        <f aca="false">IF(AND(D368="Feature Use",COUNTIFS($B$5:B368,B368,$D$5:D368,"Feature Use")=1),1,0)</f>
        <v>0</v>
      </c>
    </row>
    <row r="369" customFormat="false" ht="15" hidden="false" customHeight="false" outlineLevel="0" collapsed="false">
      <c r="A369" s="22" t="s">
        <v>676</v>
      </c>
      <c r="B369" s="22" t="s">
        <v>167</v>
      </c>
      <c r="C369" s="31" t="n">
        <v>46280</v>
      </c>
      <c r="D369" s="22" t="s">
        <v>300</v>
      </c>
      <c r="E369" s="22" t="s">
        <v>311</v>
      </c>
      <c r="F369" s="29" t="str">
        <f aca="false">IF(COUNTIF(Referral_Data!$C$5:$C$1000,B369)&gt;0,"Referred",IF(COUNTIF(Referral_Data!$B$5:$B$1000,B369)&gt;0,"Referrer","Organic"))</f>
        <v>Referrer</v>
      </c>
      <c r="G369" s="29" t="n">
        <f aca="false">IF(COUNTIFS($B$5:B369,B369,$C$5:C369,C369)=1,1,0)</f>
        <v>0</v>
      </c>
      <c r="H369" s="29" t="n">
        <f aca="false">IF(AND(G369=1,COUNTIFS($B$5:$B$1635,B369,$C$5:$C$1635,"&lt;"&amp;C369)&gt;0),1,0)</f>
        <v>0</v>
      </c>
      <c r="I369" s="29" t="n">
        <f aca="false">IF(AND(D369="Feature Use",COUNTIFS($B$5:B369,B369,$D$5:D369,"Feature Use",$E$5:E369,E369)=1),1,0)</f>
        <v>1</v>
      </c>
      <c r="J369" s="29" t="n">
        <f aca="false">IF(AND(D369="Feature Use",COUNTIFS($B$5:B369,B369,$D$5:D369,"Feature Use",$E$5:E369,E369)=2),1,0)</f>
        <v>0</v>
      </c>
      <c r="K369" s="29" t="n">
        <f aca="false">IF(COUNTIF($B$5:B369,B369)=1,1,0)</f>
        <v>0</v>
      </c>
      <c r="L369" s="29" t="n">
        <f aca="false">IF(AND(C369&gt;=Settings!$B$5-Settings!$B$8+1,C369&lt;=Settings!$B$5,COUNTIFS($B$5:B369,B369,$C$5:C369,"&gt;="&amp;(Settings!$B$5-Settings!$B$8+1),$C$5:C369,"&lt;="&amp;Settings!$B$5)=1),1,0)</f>
        <v>0</v>
      </c>
      <c r="M369" s="29" t="n">
        <f aca="false">IF(AND(C369&gt;=Settings!$B$5-Settings!$B$9+1,C369&lt;=Settings!$B$5,COUNTIFS($B$5:B369,B369,$C$5:C369,"&gt;="&amp;(Settings!$B$5-Settings!$B$9+1),$C$5:C369,"&lt;="&amp;Settings!$B$5)=1),1,0)</f>
        <v>0</v>
      </c>
      <c r="N369" s="29" t="n">
        <f aca="false">IF(AND(D369="Feature Use",COUNTIFS($B$5:B369,B369,$D$5:D369,"Feature Use")=1),1,0)</f>
        <v>0</v>
      </c>
    </row>
    <row r="370" customFormat="false" ht="15" hidden="false" customHeight="false" outlineLevel="0" collapsed="false">
      <c r="A370" s="22" t="s">
        <v>677</v>
      </c>
      <c r="B370" s="22" t="s">
        <v>167</v>
      </c>
      <c r="C370" s="31" t="n">
        <v>46280</v>
      </c>
      <c r="D370" s="22" t="s">
        <v>308</v>
      </c>
      <c r="E370" s="22" t="s">
        <v>305</v>
      </c>
      <c r="F370" s="29" t="str">
        <f aca="false">IF(COUNTIF(Referral_Data!$C$5:$C$1000,B370)&gt;0,"Referred",IF(COUNTIF(Referral_Data!$B$5:$B$1000,B370)&gt;0,"Referrer","Organic"))</f>
        <v>Referrer</v>
      </c>
      <c r="G370" s="29" t="n">
        <f aca="false">IF(COUNTIFS($B$5:B370,B370,$C$5:C370,C370)=1,1,0)</f>
        <v>0</v>
      </c>
      <c r="H370" s="29" t="n">
        <f aca="false">IF(AND(G370=1,COUNTIFS($B$5:$B$1635,B370,$C$5:$C$1635,"&lt;"&amp;C370)&gt;0),1,0)</f>
        <v>0</v>
      </c>
      <c r="I370" s="29" t="n">
        <f aca="false">IF(AND(D370="Feature Use",COUNTIFS($B$5:B370,B370,$D$5:D370,"Feature Use",$E$5:E370,E370)=1),1,0)</f>
        <v>0</v>
      </c>
      <c r="J370" s="29" t="n">
        <f aca="false">IF(AND(D370="Feature Use",COUNTIFS($B$5:B370,B370,$D$5:D370,"Feature Use",$E$5:E370,E370)=2),1,0)</f>
        <v>0</v>
      </c>
      <c r="K370" s="29" t="n">
        <f aca="false">IF(COUNTIF($B$5:B370,B370)=1,1,0)</f>
        <v>0</v>
      </c>
      <c r="L370" s="29" t="n">
        <f aca="false">IF(AND(C370&gt;=Settings!$B$5-Settings!$B$8+1,C370&lt;=Settings!$B$5,COUNTIFS($B$5:B370,B370,$C$5:C370,"&gt;="&amp;(Settings!$B$5-Settings!$B$8+1),$C$5:C370,"&lt;="&amp;Settings!$B$5)=1),1,0)</f>
        <v>0</v>
      </c>
      <c r="M370" s="29" t="n">
        <f aca="false">IF(AND(C370&gt;=Settings!$B$5-Settings!$B$9+1,C370&lt;=Settings!$B$5,COUNTIFS($B$5:B370,B370,$C$5:C370,"&gt;="&amp;(Settings!$B$5-Settings!$B$9+1),$C$5:C370,"&lt;="&amp;Settings!$B$5)=1),1,0)</f>
        <v>0</v>
      </c>
      <c r="N370" s="29" t="n">
        <f aca="false">IF(AND(D370="Feature Use",COUNTIFS($B$5:B370,B370,$D$5:D370,"Feature Use")=1),1,0)</f>
        <v>0</v>
      </c>
    </row>
    <row r="371" customFormat="false" ht="15" hidden="false" customHeight="false" outlineLevel="0" collapsed="false">
      <c r="A371" s="22" t="s">
        <v>678</v>
      </c>
      <c r="B371" s="22" t="s">
        <v>167</v>
      </c>
      <c r="C371" s="31" t="n">
        <v>46280</v>
      </c>
      <c r="D371" s="22" t="s">
        <v>308</v>
      </c>
      <c r="E371" s="22" t="s">
        <v>319</v>
      </c>
      <c r="F371" s="29" t="str">
        <f aca="false">IF(COUNTIF(Referral_Data!$C$5:$C$1000,B371)&gt;0,"Referred",IF(COUNTIF(Referral_Data!$B$5:$B$1000,B371)&gt;0,"Referrer","Organic"))</f>
        <v>Referrer</v>
      </c>
      <c r="G371" s="29" t="n">
        <f aca="false">IF(COUNTIFS($B$5:B371,B371,$C$5:C371,C371)=1,1,0)</f>
        <v>0</v>
      </c>
      <c r="H371" s="29" t="n">
        <f aca="false">IF(AND(G371=1,COUNTIFS($B$5:$B$1635,B371,$C$5:$C$1635,"&lt;"&amp;C371)&gt;0),1,0)</f>
        <v>0</v>
      </c>
      <c r="I371" s="29" t="n">
        <f aca="false">IF(AND(D371="Feature Use",COUNTIFS($B$5:B371,B371,$D$5:D371,"Feature Use",$E$5:E371,E371)=1),1,0)</f>
        <v>0</v>
      </c>
      <c r="J371" s="29" t="n">
        <f aca="false">IF(AND(D371="Feature Use",COUNTIFS($B$5:B371,B371,$D$5:D371,"Feature Use",$E$5:E371,E371)=2),1,0)</f>
        <v>0</v>
      </c>
      <c r="K371" s="29" t="n">
        <f aca="false">IF(COUNTIF($B$5:B371,B371)=1,1,0)</f>
        <v>0</v>
      </c>
      <c r="L371" s="29" t="n">
        <f aca="false">IF(AND(C371&gt;=Settings!$B$5-Settings!$B$8+1,C371&lt;=Settings!$B$5,COUNTIFS($B$5:B371,B371,$C$5:C371,"&gt;="&amp;(Settings!$B$5-Settings!$B$8+1),$C$5:C371,"&lt;="&amp;Settings!$B$5)=1),1,0)</f>
        <v>0</v>
      </c>
      <c r="M371" s="29" t="n">
        <f aca="false">IF(AND(C371&gt;=Settings!$B$5-Settings!$B$9+1,C371&lt;=Settings!$B$5,COUNTIFS($B$5:B371,B371,$C$5:C371,"&gt;="&amp;(Settings!$B$5-Settings!$B$9+1),$C$5:C371,"&lt;="&amp;Settings!$B$5)=1),1,0)</f>
        <v>0</v>
      </c>
      <c r="N371" s="29" t="n">
        <f aca="false">IF(AND(D371="Feature Use",COUNTIFS($B$5:B371,B371,$D$5:D371,"Feature Use")=1),1,0)</f>
        <v>0</v>
      </c>
    </row>
    <row r="372" customFormat="false" ht="15" hidden="false" customHeight="false" outlineLevel="0" collapsed="false">
      <c r="A372" s="22" t="s">
        <v>679</v>
      </c>
      <c r="B372" s="22" t="s">
        <v>173</v>
      </c>
      <c r="C372" s="31" t="n">
        <v>46280</v>
      </c>
      <c r="D372" s="22" t="s">
        <v>297</v>
      </c>
      <c r="E372" s="22" t="s">
        <v>298</v>
      </c>
      <c r="F372" s="29" t="str">
        <f aca="false">IF(COUNTIF(Referral_Data!$C$5:$C$1000,B372)&gt;0,"Referred",IF(COUNTIF(Referral_Data!$B$5:$B$1000,B372)&gt;0,"Referrer","Organic"))</f>
        <v>Referrer</v>
      </c>
      <c r="G372" s="29" t="n">
        <f aca="false">IF(COUNTIFS($B$5:B372,B372,$C$5:C372,C372)=1,1,0)</f>
        <v>1</v>
      </c>
      <c r="H372" s="29" t="n">
        <f aca="false">IF(AND(G372=1,COUNTIFS($B$5:$B$1635,B372,$C$5:$C$1635,"&lt;"&amp;C372)&gt;0),1,0)</f>
        <v>1</v>
      </c>
      <c r="I372" s="29" t="n">
        <f aca="false">IF(AND(D372="Feature Use",COUNTIFS($B$5:B372,B372,$D$5:D372,"Feature Use",$E$5:E372,E372)=1),1,0)</f>
        <v>0</v>
      </c>
      <c r="J372" s="29" t="n">
        <f aca="false">IF(AND(D372="Feature Use",COUNTIFS($B$5:B372,B372,$D$5:D372,"Feature Use",$E$5:E372,E372)=2),1,0)</f>
        <v>0</v>
      </c>
      <c r="K372" s="29" t="n">
        <f aca="false">IF(COUNTIF($B$5:B372,B372)=1,1,0)</f>
        <v>0</v>
      </c>
      <c r="L372" s="29" t="n">
        <f aca="false">IF(AND(C372&gt;=Settings!$B$5-Settings!$B$8+1,C372&lt;=Settings!$B$5,COUNTIFS($B$5:B372,B372,$C$5:C372,"&gt;="&amp;(Settings!$B$5-Settings!$B$8+1),$C$5:C372,"&lt;="&amp;Settings!$B$5)=1),1,0)</f>
        <v>0</v>
      </c>
      <c r="M372" s="29" t="n">
        <f aca="false">IF(AND(C372&gt;=Settings!$B$5-Settings!$B$9+1,C372&lt;=Settings!$B$5,COUNTIFS($B$5:B372,B372,$C$5:C372,"&gt;="&amp;(Settings!$B$5-Settings!$B$9+1),$C$5:C372,"&lt;="&amp;Settings!$B$5)=1),1,0)</f>
        <v>0</v>
      </c>
      <c r="N372" s="29" t="n">
        <f aca="false">IF(AND(D372="Feature Use",COUNTIFS($B$5:B372,B372,$D$5:D372,"Feature Use")=1),1,0)</f>
        <v>0</v>
      </c>
    </row>
    <row r="373" customFormat="false" ht="15" hidden="false" customHeight="false" outlineLevel="0" collapsed="false">
      <c r="A373" s="22" t="s">
        <v>680</v>
      </c>
      <c r="B373" s="22" t="s">
        <v>173</v>
      </c>
      <c r="C373" s="31" t="n">
        <v>46280</v>
      </c>
      <c r="D373" s="22" t="s">
        <v>300</v>
      </c>
      <c r="E373" s="22" t="s">
        <v>305</v>
      </c>
      <c r="F373" s="29" t="str">
        <f aca="false">IF(COUNTIF(Referral_Data!$C$5:$C$1000,B373)&gt;0,"Referred",IF(COUNTIF(Referral_Data!$B$5:$B$1000,B373)&gt;0,"Referrer","Organic"))</f>
        <v>Referrer</v>
      </c>
      <c r="G373" s="29" t="n">
        <f aca="false">IF(COUNTIFS($B$5:B373,B373,$C$5:C373,C373)=1,1,0)</f>
        <v>0</v>
      </c>
      <c r="H373" s="29" t="n">
        <f aca="false">IF(AND(G373=1,COUNTIFS($B$5:$B$1635,B373,$C$5:$C$1635,"&lt;"&amp;C373)&gt;0),1,0)</f>
        <v>0</v>
      </c>
      <c r="I373" s="29" t="n">
        <f aca="false">IF(AND(D373="Feature Use",COUNTIFS($B$5:B373,B373,$D$5:D373,"Feature Use",$E$5:E373,E373)=1),1,0)</f>
        <v>0</v>
      </c>
      <c r="J373" s="29" t="n">
        <f aca="false">IF(AND(D373="Feature Use",COUNTIFS($B$5:B373,B373,$D$5:D373,"Feature Use",$E$5:E373,E373)=2),1,0)</f>
        <v>0</v>
      </c>
      <c r="K373" s="29" t="n">
        <f aca="false">IF(COUNTIF($B$5:B373,B373)=1,1,0)</f>
        <v>0</v>
      </c>
      <c r="L373" s="29" t="n">
        <f aca="false">IF(AND(C373&gt;=Settings!$B$5-Settings!$B$8+1,C373&lt;=Settings!$B$5,COUNTIFS($B$5:B373,B373,$C$5:C373,"&gt;="&amp;(Settings!$B$5-Settings!$B$8+1),$C$5:C373,"&lt;="&amp;Settings!$B$5)=1),1,0)</f>
        <v>0</v>
      </c>
      <c r="M373" s="29" t="n">
        <f aca="false">IF(AND(C373&gt;=Settings!$B$5-Settings!$B$9+1,C373&lt;=Settings!$B$5,COUNTIFS($B$5:B373,B373,$C$5:C373,"&gt;="&amp;(Settings!$B$5-Settings!$B$9+1),$C$5:C373,"&lt;="&amp;Settings!$B$5)=1),1,0)</f>
        <v>0</v>
      </c>
      <c r="N373" s="29" t="n">
        <f aca="false">IF(AND(D373="Feature Use",COUNTIFS($B$5:B373,B373,$D$5:D373,"Feature Use")=1),1,0)</f>
        <v>0</v>
      </c>
    </row>
    <row r="374" customFormat="false" ht="15" hidden="false" customHeight="false" outlineLevel="0" collapsed="false">
      <c r="A374" s="22" t="s">
        <v>681</v>
      </c>
      <c r="B374" s="22" t="s">
        <v>178</v>
      </c>
      <c r="C374" s="31" t="n">
        <v>46280</v>
      </c>
      <c r="D374" s="22" t="s">
        <v>297</v>
      </c>
      <c r="E374" s="22" t="s">
        <v>298</v>
      </c>
      <c r="F374" s="29" t="str">
        <f aca="false">IF(COUNTIF(Referral_Data!$C$5:$C$1000,B374)&gt;0,"Referred",IF(COUNTIF(Referral_Data!$B$5:$B$1000,B374)&gt;0,"Referrer","Organic"))</f>
        <v>Referrer</v>
      </c>
      <c r="G374" s="29" t="n">
        <f aca="false">IF(COUNTIFS($B$5:B374,B374,$C$5:C374,C374)=1,1,0)</f>
        <v>1</v>
      </c>
      <c r="H374" s="29" t="n">
        <f aca="false">IF(AND(G374=1,COUNTIFS($B$5:$B$1635,B374,$C$5:$C$1635,"&lt;"&amp;C374)&gt;0),1,0)</f>
        <v>1</v>
      </c>
      <c r="I374" s="29" t="n">
        <f aca="false">IF(AND(D374="Feature Use",COUNTIFS($B$5:B374,B374,$D$5:D374,"Feature Use",$E$5:E374,E374)=1),1,0)</f>
        <v>0</v>
      </c>
      <c r="J374" s="29" t="n">
        <f aca="false">IF(AND(D374="Feature Use",COUNTIFS($B$5:B374,B374,$D$5:D374,"Feature Use",$E$5:E374,E374)=2),1,0)</f>
        <v>0</v>
      </c>
      <c r="K374" s="29" t="n">
        <f aca="false">IF(COUNTIF($B$5:B374,B374)=1,1,0)</f>
        <v>0</v>
      </c>
      <c r="L374" s="29" t="n">
        <f aca="false">IF(AND(C374&gt;=Settings!$B$5-Settings!$B$8+1,C374&lt;=Settings!$B$5,COUNTIFS($B$5:B374,B374,$C$5:C374,"&gt;="&amp;(Settings!$B$5-Settings!$B$8+1),$C$5:C374,"&lt;="&amp;Settings!$B$5)=1),1,0)</f>
        <v>0</v>
      </c>
      <c r="M374" s="29" t="n">
        <f aca="false">IF(AND(C374&gt;=Settings!$B$5-Settings!$B$9+1,C374&lt;=Settings!$B$5,COUNTIFS($B$5:B374,B374,$C$5:C374,"&gt;="&amp;(Settings!$B$5-Settings!$B$9+1),$C$5:C374,"&lt;="&amp;Settings!$B$5)=1),1,0)</f>
        <v>0</v>
      </c>
      <c r="N374" s="29" t="n">
        <f aca="false">IF(AND(D374="Feature Use",COUNTIFS($B$5:B374,B374,$D$5:D374,"Feature Use")=1),1,0)</f>
        <v>0</v>
      </c>
    </row>
    <row r="375" customFormat="false" ht="15" hidden="false" customHeight="false" outlineLevel="0" collapsed="false">
      <c r="A375" s="22" t="s">
        <v>682</v>
      </c>
      <c r="B375" s="22" t="s">
        <v>178</v>
      </c>
      <c r="C375" s="31" t="n">
        <v>46280</v>
      </c>
      <c r="D375" s="22" t="s">
        <v>300</v>
      </c>
      <c r="E375" s="22" t="s">
        <v>305</v>
      </c>
      <c r="F375" s="29" t="str">
        <f aca="false">IF(COUNTIF(Referral_Data!$C$5:$C$1000,B375)&gt;0,"Referred",IF(COUNTIF(Referral_Data!$B$5:$B$1000,B375)&gt;0,"Referrer","Organic"))</f>
        <v>Referrer</v>
      </c>
      <c r="G375" s="29" t="n">
        <f aca="false">IF(COUNTIFS($B$5:B375,B375,$C$5:C375,C375)=1,1,0)</f>
        <v>0</v>
      </c>
      <c r="H375" s="29" t="n">
        <f aca="false">IF(AND(G375=1,COUNTIFS($B$5:$B$1635,B375,$C$5:$C$1635,"&lt;"&amp;C375)&gt;0),1,0)</f>
        <v>0</v>
      </c>
      <c r="I375" s="29" t="n">
        <f aca="false">IF(AND(D375="Feature Use",COUNTIFS($B$5:B375,B375,$D$5:D375,"Feature Use",$E$5:E375,E375)=1),1,0)</f>
        <v>0</v>
      </c>
      <c r="J375" s="29" t="n">
        <f aca="false">IF(AND(D375="Feature Use",COUNTIFS($B$5:B375,B375,$D$5:D375,"Feature Use",$E$5:E375,E375)=2),1,0)</f>
        <v>0</v>
      </c>
      <c r="K375" s="29" t="n">
        <f aca="false">IF(COUNTIF($B$5:B375,B375)=1,1,0)</f>
        <v>0</v>
      </c>
      <c r="L375" s="29" t="n">
        <f aca="false">IF(AND(C375&gt;=Settings!$B$5-Settings!$B$8+1,C375&lt;=Settings!$B$5,COUNTIFS($B$5:B375,B375,$C$5:C375,"&gt;="&amp;(Settings!$B$5-Settings!$B$8+1),$C$5:C375,"&lt;="&amp;Settings!$B$5)=1),1,0)</f>
        <v>0</v>
      </c>
      <c r="M375" s="29" t="n">
        <f aca="false">IF(AND(C375&gt;=Settings!$B$5-Settings!$B$9+1,C375&lt;=Settings!$B$5,COUNTIFS($B$5:B375,B375,$C$5:C375,"&gt;="&amp;(Settings!$B$5-Settings!$B$9+1),$C$5:C375,"&lt;="&amp;Settings!$B$5)=1),1,0)</f>
        <v>0</v>
      </c>
      <c r="N375" s="29" t="n">
        <f aca="false">IF(AND(D375="Feature Use",COUNTIFS($B$5:B375,B375,$D$5:D375,"Feature Use")=1),1,0)</f>
        <v>0</v>
      </c>
    </row>
    <row r="376" customFormat="false" ht="15" hidden="false" customHeight="false" outlineLevel="0" collapsed="false">
      <c r="A376" s="22" t="s">
        <v>683</v>
      </c>
      <c r="B376" s="22" t="s">
        <v>178</v>
      </c>
      <c r="C376" s="31" t="n">
        <v>46280</v>
      </c>
      <c r="D376" s="22" t="s">
        <v>300</v>
      </c>
      <c r="E376" s="22" t="s">
        <v>301</v>
      </c>
      <c r="F376" s="29" t="str">
        <f aca="false">IF(COUNTIF(Referral_Data!$C$5:$C$1000,B376)&gt;0,"Referred",IF(COUNTIF(Referral_Data!$B$5:$B$1000,B376)&gt;0,"Referrer","Organic"))</f>
        <v>Referrer</v>
      </c>
      <c r="G376" s="29" t="n">
        <f aca="false">IF(COUNTIFS($B$5:B376,B376,$C$5:C376,C376)=1,1,0)</f>
        <v>0</v>
      </c>
      <c r="H376" s="29" t="n">
        <f aca="false">IF(AND(G376=1,COUNTIFS($B$5:$B$1635,B376,$C$5:$C$1635,"&lt;"&amp;C376)&gt;0),1,0)</f>
        <v>0</v>
      </c>
      <c r="I376" s="29" t="n">
        <f aca="false">IF(AND(D376="Feature Use",COUNTIFS($B$5:B376,B376,$D$5:D376,"Feature Use",$E$5:E376,E376)=1),1,0)</f>
        <v>1</v>
      </c>
      <c r="J376" s="29" t="n">
        <f aca="false">IF(AND(D376="Feature Use",COUNTIFS($B$5:B376,B376,$D$5:D376,"Feature Use",$E$5:E376,E376)=2),1,0)</f>
        <v>0</v>
      </c>
      <c r="K376" s="29" t="n">
        <f aca="false">IF(COUNTIF($B$5:B376,B376)=1,1,0)</f>
        <v>0</v>
      </c>
      <c r="L376" s="29" t="n">
        <f aca="false">IF(AND(C376&gt;=Settings!$B$5-Settings!$B$8+1,C376&lt;=Settings!$B$5,COUNTIFS($B$5:B376,B376,$C$5:C376,"&gt;="&amp;(Settings!$B$5-Settings!$B$8+1),$C$5:C376,"&lt;="&amp;Settings!$B$5)=1),1,0)</f>
        <v>0</v>
      </c>
      <c r="M376" s="29" t="n">
        <f aca="false">IF(AND(C376&gt;=Settings!$B$5-Settings!$B$9+1,C376&lt;=Settings!$B$5,COUNTIFS($B$5:B376,B376,$C$5:C376,"&gt;="&amp;(Settings!$B$5-Settings!$B$9+1),$C$5:C376,"&lt;="&amp;Settings!$B$5)=1),1,0)</f>
        <v>0</v>
      </c>
      <c r="N376" s="29" t="n">
        <f aca="false">IF(AND(D376="Feature Use",COUNTIFS($B$5:B376,B376,$D$5:D376,"Feature Use")=1),1,0)</f>
        <v>0</v>
      </c>
    </row>
    <row r="377" customFormat="false" ht="15" hidden="false" customHeight="false" outlineLevel="0" collapsed="false">
      <c r="A377" s="22" t="s">
        <v>684</v>
      </c>
      <c r="B377" s="22" t="s">
        <v>178</v>
      </c>
      <c r="C377" s="31" t="n">
        <v>46280</v>
      </c>
      <c r="D377" s="22" t="s">
        <v>308</v>
      </c>
      <c r="E377" s="22" t="s">
        <v>301</v>
      </c>
      <c r="F377" s="29" t="str">
        <f aca="false">IF(COUNTIF(Referral_Data!$C$5:$C$1000,B377)&gt;0,"Referred",IF(COUNTIF(Referral_Data!$B$5:$B$1000,B377)&gt;0,"Referrer","Organic"))</f>
        <v>Referrer</v>
      </c>
      <c r="G377" s="29" t="n">
        <f aca="false">IF(COUNTIFS($B$5:B377,B377,$C$5:C377,C377)=1,1,0)</f>
        <v>0</v>
      </c>
      <c r="H377" s="29" t="n">
        <f aca="false">IF(AND(G377=1,COUNTIFS($B$5:$B$1635,B377,$C$5:$C$1635,"&lt;"&amp;C377)&gt;0),1,0)</f>
        <v>0</v>
      </c>
      <c r="I377" s="29" t="n">
        <f aca="false">IF(AND(D377="Feature Use",COUNTIFS($B$5:B377,B377,$D$5:D377,"Feature Use",$E$5:E377,E377)=1),1,0)</f>
        <v>0</v>
      </c>
      <c r="J377" s="29" t="n">
        <f aca="false">IF(AND(D377="Feature Use",COUNTIFS($B$5:B377,B377,$D$5:D377,"Feature Use",$E$5:E377,E377)=2),1,0)</f>
        <v>0</v>
      </c>
      <c r="K377" s="29" t="n">
        <f aca="false">IF(COUNTIF($B$5:B377,B377)=1,1,0)</f>
        <v>0</v>
      </c>
      <c r="L377" s="29" t="n">
        <f aca="false">IF(AND(C377&gt;=Settings!$B$5-Settings!$B$8+1,C377&lt;=Settings!$B$5,COUNTIFS($B$5:B377,B377,$C$5:C377,"&gt;="&amp;(Settings!$B$5-Settings!$B$8+1),$C$5:C377,"&lt;="&amp;Settings!$B$5)=1),1,0)</f>
        <v>0</v>
      </c>
      <c r="M377" s="29" t="n">
        <f aca="false">IF(AND(C377&gt;=Settings!$B$5-Settings!$B$9+1,C377&lt;=Settings!$B$5,COUNTIFS($B$5:B377,B377,$C$5:C377,"&gt;="&amp;(Settings!$B$5-Settings!$B$9+1),$C$5:C377,"&lt;="&amp;Settings!$B$5)=1),1,0)</f>
        <v>0</v>
      </c>
      <c r="N377" s="29" t="n">
        <f aca="false">IF(AND(D377="Feature Use",COUNTIFS($B$5:B377,B377,$D$5:D377,"Feature Use")=1),1,0)</f>
        <v>0</v>
      </c>
    </row>
    <row r="378" customFormat="false" ht="15" hidden="false" customHeight="false" outlineLevel="0" collapsed="false">
      <c r="A378" s="22" t="s">
        <v>685</v>
      </c>
      <c r="B378" s="22" t="s">
        <v>178</v>
      </c>
      <c r="C378" s="31" t="n">
        <v>46280</v>
      </c>
      <c r="D378" s="22" t="s">
        <v>308</v>
      </c>
      <c r="E378" s="22" t="s">
        <v>301</v>
      </c>
      <c r="F378" s="29" t="str">
        <f aca="false">IF(COUNTIF(Referral_Data!$C$5:$C$1000,B378)&gt;0,"Referred",IF(COUNTIF(Referral_Data!$B$5:$B$1000,B378)&gt;0,"Referrer","Organic"))</f>
        <v>Referrer</v>
      </c>
      <c r="G378" s="29" t="n">
        <f aca="false">IF(COUNTIFS($B$5:B378,B378,$C$5:C378,C378)=1,1,0)</f>
        <v>0</v>
      </c>
      <c r="H378" s="29" t="n">
        <f aca="false">IF(AND(G378=1,COUNTIFS($B$5:$B$1635,B378,$C$5:$C$1635,"&lt;"&amp;C378)&gt;0),1,0)</f>
        <v>0</v>
      </c>
      <c r="I378" s="29" t="n">
        <f aca="false">IF(AND(D378="Feature Use",COUNTIFS($B$5:B378,B378,$D$5:D378,"Feature Use",$E$5:E378,E378)=1),1,0)</f>
        <v>0</v>
      </c>
      <c r="J378" s="29" t="n">
        <f aca="false">IF(AND(D378="Feature Use",COUNTIFS($B$5:B378,B378,$D$5:D378,"Feature Use",$E$5:E378,E378)=2),1,0)</f>
        <v>0</v>
      </c>
      <c r="K378" s="29" t="n">
        <f aca="false">IF(COUNTIF($B$5:B378,B378)=1,1,0)</f>
        <v>0</v>
      </c>
      <c r="L378" s="29" t="n">
        <f aca="false">IF(AND(C378&gt;=Settings!$B$5-Settings!$B$8+1,C378&lt;=Settings!$B$5,COUNTIFS($B$5:B378,B378,$C$5:C378,"&gt;="&amp;(Settings!$B$5-Settings!$B$8+1),$C$5:C378,"&lt;="&amp;Settings!$B$5)=1),1,0)</f>
        <v>0</v>
      </c>
      <c r="M378" s="29" t="n">
        <f aca="false">IF(AND(C378&gt;=Settings!$B$5-Settings!$B$9+1,C378&lt;=Settings!$B$5,COUNTIFS($B$5:B378,B378,$C$5:C378,"&gt;="&amp;(Settings!$B$5-Settings!$B$9+1),$C$5:C378,"&lt;="&amp;Settings!$B$5)=1),1,0)</f>
        <v>0</v>
      </c>
      <c r="N378" s="29" t="n">
        <f aca="false">IF(AND(D378="Feature Use",COUNTIFS($B$5:B378,B378,$D$5:D378,"Feature Use")=1),1,0)</f>
        <v>0</v>
      </c>
    </row>
    <row r="379" customFormat="false" ht="15" hidden="false" customHeight="false" outlineLevel="0" collapsed="false">
      <c r="A379" s="22" t="s">
        <v>686</v>
      </c>
      <c r="B379" s="22" t="s">
        <v>190</v>
      </c>
      <c r="C379" s="31" t="n">
        <v>46280</v>
      </c>
      <c r="D379" s="22" t="s">
        <v>297</v>
      </c>
      <c r="E379" s="22" t="s">
        <v>298</v>
      </c>
      <c r="F379" s="29" t="str">
        <f aca="false">IF(COUNTIF(Referral_Data!$C$5:$C$1000,B379)&gt;0,"Referred",IF(COUNTIF(Referral_Data!$B$5:$B$1000,B379)&gt;0,"Referrer","Organic"))</f>
        <v>Referrer</v>
      </c>
      <c r="G379" s="29" t="n">
        <f aca="false">IF(COUNTIFS($B$5:B379,B379,$C$5:C379,C379)=1,1,0)</f>
        <v>1</v>
      </c>
      <c r="H379" s="29" t="n">
        <f aca="false">IF(AND(G379=1,COUNTIFS($B$5:$B$1635,B379,$C$5:$C$1635,"&lt;"&amp;C379)&gt;0),1,0)</f>
        <v>1</v>
      </c>
      <c r="I379" s="29" t="n">
        <f aca="false">IF(AND(D379="Feature Use",COUNTIFS($B$5:B379,B379,$D$5:D379,"Feature Use",$E$5:E379,E379)=1),1,0)</f>
        <v>0</v>
      </c>
      <c r="J379" s="29" t="n">
        <f aca="false">IF(AND(D379="Feature Use",COUNTIFS($B$5:B379,B379,$D$5:D379,"Feature Use",$E$5:E379,E379)=2),1,0)</f>
        <v>0</v>
      </c>
      <c r="K379" s="29" t="n">
        <f aca="false">IF(COUNTIF($B$5:B379,B379)=1,1,0)</f>
        <v>0</v>
      </c>
      <c r="L379" s="29" t="n">
        <f aca="false">IF(AND(C379&gt;=Settings!$B$5-Settings!$B$8+1,C379&lt;=Settings!$B$5,COUNTIFS($B$5:B379,B379,$C$5:C379,"&gt;="&amp;(Settings!$B$5-Settings!$B$8+1),$C$5:C379,"&lt;="&amp;Settings!$B$5)=1),1,0)</f>
        <v>0</v>
      </c>
      <c r="M379" s="29" t="n">
        <f aca="false">IF(AND(C379&gt;=Settings!$B$5-Settings!$B$9+1,C379&lt;=Settings!$B$5,COUNTIFS($B$5:B379,B379,$C$5:C379,"&gt;="&amp;(Settings!$B$5-Settings!$B$9+1),$C$5:C379,"&lt;="&amp;Settings!$B$5)=1),1,0)</f>
        <v>0</v>
      </c>
      <c r="N379" s="29" t="n">
        <f aca="false">IF(AND(D379="Feature Use",COUNTIFS($B$5:B379,B379,$D$5:D379,"Feature Use")=1),1,0)</f>
        <v>0</v>
      </c>
    </row>
    <row r="380" customFormat="false" ht="15" hidden="false" customHeight="false" outlineLevel="0" collapsed="false">
      <c r="A380" s="22" t="s">
        <v>687</v>
      </c>
      <c r="B380" s="22" t="s">
        <v>190</v>
      </c>
      <c r="C380" s="31" t="n">
        <v>46280</v>
      </c>
      <c r="D380" s="22" t="s">
        <v>300</v>
      </c>
      <c r="E380" s="22" t="s">
        <v>305</v>
      </c>
      <c r="F380" s="29" t="str">
        <f aca="false">IF(COUNTIF(Referral_Data!$C$5:$C$1000,B380)&gt;0,"Referred",IF(COUNTIF(Referral_Data!$B$5:$B$1000,B380)&gt;0,"Referrer","Organic"))</f>
        <v>Referrer</v>
      </c>
      <c r="G380" s="29" t="n">
        <f aca="false">IF(COUNTIFS($B$5:B380,B380,$C$5:C380,C380)=1,1,0)</f>
        <v>0</v>
      </c>
      <c r="H380" s="29" t="n">
        <f aca="false">IF(AND(G380=1,COUNTIFS($B$5:$B$1635,B380,$C$5:$C$1635,"&lt;"&amp;C380)&gt;0),1,0)</f>
        <v>0</v>
      </c>
      <c r="I380" s="29" t="n">
        <f aca="false">IF(AND(D380="Feature Use",COUNTIFS($B$5:B380,B380,$D$5:D380,"Feature Use",$E$5:E380,E380)=1),1,0)</f>
        <v>0</v>
      </c>
      <c r="J380" s="29" t="n">
        <f aca="false">IF(AND(D380="Feature Use",COUNTIFS($B$5:B380,B380,$D$5:D380,"Feature Use",$E$5:E380,E380)=2),1,0)</f>
        <v>0</v>
      </c>
      <c r="K380" s="29" t="n">
        <f aca="false">IF(COUNTIF($B$5:B380,B380)=1,1,0)</f>
        <v>0</v>
      </c>
      <c r="L380" s="29" t="n">
        <f aca="false">IF(AND(C380&gt;=Settings!$B$5-Settings!$B$8+1,C380&lt;=Settings!$B$5,COUNTIFS($B$5:B380,B380,$C$5:C380,"&gt;="&amp;(Settings!$B$5-Settings!$B$8+1),$C$5:C380,"&lt;="&amp;Settings!$B$5)=1),1,0)</f>
        <v>0</v>
      </c>
      <c r="M380" s="29" t="n">
        <f aca="false">IF(AND(C380&gt;=Settings!$B$5-Settings!$B$9+1,C380&lt;=Settings!$B$5,COUNTIFS($B$5:B380,B380,$C$5:C380,"&gt;="&amp;(Settings!$B$5-Settings!$B$9+1),$C$5:C380,"&lt;="&amp;Settings!$B$5)=1),1,0)</f>
        <v>0</v>
      </c>
      <c r="N380" s="29" t="n">
        <f aca="false">IF(AND(D380="Feature Use",COUNTIFS($B$5:B380,B380,$D$5:D380,"Feature Use")=1),1,0)</f>
        <v>0</v>
      </c>
    </row>
    <row r="381" customFormat="false" ht="15" hidden="false" customHeight="false" outlineLevel="0" collapsed="false">
      <c r="A381" s="22" t="s">
        <v>688</v>
      </c>
      <c r="B381" s="22" t="s">
        <v>190</v>
      </c>
      <c r="C381" s="31" t="n">
        <v>46280</v>
      </c>
      <c r="D381" s="22" t="s">
        <v>308</v>
      </c>
      <c r="E381" s="22" t="s">
        <v>311</v>
      </c>
      <c r="F381" s="29" t="str">
        <f aca="false">IF(COUNTIF(Referral_Data!$C$5:$C$1000,B381)&gt;0,"Referred",IF(COUNTIF(Referral_Data!$B$5:$B$1000,B381)&gt;0,"Referrer","Organic"))</f>
        <v>Referrer</v>
      </c>
      <c r="G381" s="29" t="n">
        <f aca="false">IF(COUNTIFS($B$5:B381,B381,$C$5:C381,C381)=1,1,0)</f>
        <v>0</v>
      </c>
      <c r="H381" s="29" t="n">
        <f aca="false">IF(AND(G381=1,COUNTIFS($B$5:$B$1635,B381,$C$5:$C$1635,"&lt;"&amp;C381)&gt;0),1,0)</f>
        <v>0</v>
      </c>
      <c r="I381" s="29" t="n">
        <f aca="false">IF(AND(D381="Feature Use",COUNTIFS($B$5:B381,B381,$D$5:D381,"Feature Use",$E$5:E381,E381)=1),1,0)</f>
        <v>0</v>
      </c>
      <c r="J381" s="29" t="n">
        <f aca="false">IF(AND(D381="Feature Use",COUNTIFS($B$5:B381,B381,$D$5:D381,"Feature Use",$E$5:E381,E381)=2),1,0)</f>
        <v>0</v>
      </c>
      <c r="K381" s="29" t="n">
        <f aca="false">IF(COUNTIF($B$5:B381,B381)=1,1,0)</f>
        <v>0</v>
      </c>
      <c r="L381" s="29" t="n">
        <f aca="false">IF(AND(C381&gt;=Settings!$B$5-Settings!$B$8+1,C381&lt;=Settings!$B$5,COUNTIFS($B$5:B381,B381,$C$5:C381,"&gt;="&amp;(Settings!$B$5-Settings!$B$8+1),$C$5:C381,"&lt;="&amp;Settings!$B$5)=1),1,0)</f>
        <v>0</v>
      </c>
      <c r="M381" s="29" t="n">
        <f aca="false">IF(AND(C381&gt;=Settings!$B$5-Settings!$B$9+1,C381&lt;=Settings!$B$5,COUNTIFS($B$5:B381,B381,$C$5:C381,"&gt;="&amp;(Settings!$B$5-Settings!$B$9+1),$C$5:C381,"&lt;="&amp;Settings!$B$5)=1),1,0)</f>
        <v>0</v>
      </c>
      <c r="N381" s="29" t="n">
        <f aca="false">IF(AND(D381="Feature Use",COUNTIFS($B$5:B381,B381,$D$5:D381,"Feature Use")=1),1,0)</f>
        <v>0</v>
      </c>
    </row>
    <row r="382" customFormat="false" ht="15" hidden="false" customHeight="false" outlineLevel="0" collapsed="false">
      <c r="A382" s="22" t="s">
        <v>689</v>
      </c>
      <c r="B382" s="22" t="s">
        <v>190</v>
      </c>
      <c r="C382" s="31" t="n">
        <v>46280</v>
      </c>
      <c r="D382" s="22" t="s">
        <v>308</v>
      </c>
      <c r="E382" s="22" t="s">
        <v>319</v>
      </c>
      <c r="F382" s="29" t="str">
        <f aca="false">IF(COUNTIF(Referral_Data!$C$5:$C$1000,B382)&gt;0,"Referred",IF(COUNTIF(Referral_Data!$B$5:$B$1000,B382)&gt;0,"Referrer","Organic"))</f>
        <v>Referrer</v>
      </c>
      <c r="G382" s="29" t="n">
        <f aca="false">IF(COUNTIFS($B$5:B382,B382,$C$5:C382,C382)=1,1,0)</f>
        <v>0</v>
      </c>
      <c r="H382" s="29" t="n">
        <f aca="false">IF(AND(G382=1,COUNTIFS($B$5:$B$1635,B382,$C$5:$C$1635,"&lt;"&amp;C382)&gt;0),1,0)</f>
        <v>0</v>
      </c>
      <c r="I382" s="29" t="n">
        <f aca="false">IF(AND(D382="Feature Use",COUNTIFS($B$5:B382,B382,$D$5:D382,"Feature Use",$E$5:E382,E382)=1),1,0)</f>
        <v>0</v>
      </c>
      <c r="J382" s="29" t="n">
        <f aca="false">IF(AND(D382="Feature Use",COUNTIFS($B$5:B382,B382,$D$5:D382,"Feature Use",$E$5:E382,E382)=2),1,0)</f>
        <v>0</v>
      </c>
      <c r="K382" s="29" t="n">
        <f aca="false">IF(COUNTIF($B$5:B382,B382)=1,1,0)</f>
        <v>0</v>
      </c>
      <c r="L382" s="29" t="n">
        <f aca="false">IF(AND(C382&gt;=Settings!$B$5-Settings!$B$8+1,C382&lt;=Settings!$B$5,COUNTIFS($B$5:B382,B382,$C$5:C382,"&gt;="&amp;(Settings!$B$5-Settings!$B$8+1),$C$5:C382,"&lt;="&amp;Settings!$B$5)=1),1,0)</f>
        <v>0</v>
      </c>
      <c r="M382" s="29" t="n">
        <f aca="false">IF(AND(C382&gt;=Settings!$B$5-Settings!$B$9+1,C382&lt;=Settings!$B$5,COUNTIFS($B$5:B382,B382,$C$5:C382,"&gt;="&amp;(Settings!$B$5-Settings!$B$9+1),$C$5:C382,"&lt;="&amp;Settings!$B$5)=1),1,0)</f>
        <v>0</v>
      </c>
      <c r="N382" s="29" t="n">
        <f aca="false">IF(AND(D382="Feature Use",COUNTIFS($B$5:B382,B382,$D$5:D382,"Feature Use")=1),1,0)</f>
        <v>0</v>
      </c>
    </row>
    <row r="383" customFormat="false" ht="15" hidden="false" customHeight="false" outlineLevel="0" collapsed="false">
      <c r="A383" s="22" t="s">
        <v>690</v>
      </c>
      <c r="B383" s="22" t="s">
        <v>168</v>
      </c>
      <c r="C383" s="31" t="n">
        <v>46281</v>
      </c>
      <c r="D383" s="22" t="s">
        <v>297</v>
      </c>
      <c r="E383" s="22" t="s">
        <v>298</v>
      </c>
      <c r="F383" s="29" t="str">
        <f aca="false">IF(COUNTIF(Referral_Data!$C$5:$C$1000,B383)&gt;0,"Referred",IF(COUNTIF(Referral_Data!$B$5:$B$1000,B383)&gt;0,"Referrer","Organic"))</f>
        <v>Referred</v>
      </c>
      <c r="G383" s="29" t="n">
        <f aca="false">IF(COUNTIFS($B$5:B383,B383,$C$5:C383,C383)=1,1,0)</f>
        <v>1</v>
      </c>
      <c r="H383" s="29" t="n">
        <f aca="false">IF(AND(G383=1,COUNTIFS($B$5:$B$1635,B383,$C$5:$C$1635,"&lt;"&amp;C383)&gt;0),1,0)</f>
        <v>1</v>
      </c>
      <c r="I383" s="29" t="n">
        <f aca="false">IF(AND(D383="Feature Use",COUNTIFS($B$5:B383,B383,$D$5:D383,"Feature Use",$E$5:E383,E383)=1),1,0)</f>
        <v>0</v>
      </c>
      <c r="J383" s="29" t="n">
        <f aca="false">IF(AND(D383="Feature Use",COUNTIFS($B$5:B383,B383,$D$5:D383,"Feature Use",$E$5:E383,E383)=2),1,0)</f>
        <v>0</v>
      </c>
      <c r="K383" s="29" t="n">
        <f aca="false">IF(COUNTIF($B$5:B383,B383)=1,1,0)</f>
        <v>0</v>
      </c>
      <c r="L383" s="29" t="n">
        <f aca="false">IF(AND(C383&gt;=Settings!$B$5-Settings!$B$8+1,C383&lt;=Settings!$B$5,COUNTIFS($B$5:B383,B383,$C$5:C383,"&gt;="&amp;(Settings!$B$5-Settings!$B$8+1),$C$5:C383,"&lt;="&amp;Settings!$B$5)=1),1,0)</f>
        <v>0</v>
      </c>
      <c r="M383" s="29" t="n">
        <f aca="false">IF(AND(C383&gt;=Settings!$B$5-Settings!$B$9+1,C383&lt;=Settings!$B$5,COUNTIFS($B$5:B383,B383,$C$5:C383,"&gt;="&amp;(Settings!$B$5-Settings!$B$9+1),$C$5:C383,"&lt;="&amp;Settings!$B$5)=1),1,0)</f>
        <v>1</v>
      </c>
      <c r="N383" s="29" t="n">
        <f aca="false">IF(AND(D383="Feature Use",COUNTIFS($B$5:B383,B383,$D$5:D383,"Feature Use")=1),1,0)</f>
        <v>0</v>
      </c>
    </row>
    <row r="384" customFormat="false" ht="15" hidden="false" customHeight="false" outlineLevel="0" collapsed="false">
      <c r="A384" s="22" t="s">
        <v>691</v>
      </c>
      <c r="B384" s="22" t="s">
        <v>168</v>
      </c>
      <c r="C384" s="31" t="n">
        <v>46281</v>
      </c>
      <c r="D384" s="22" t="s">
        <v>300</v>
      </c>
      <c r="E384" s="22" t="s">
        <v>309</v>
      </c>
      <c r="F384" s="29" t="str">
        <f aca="false">IF(COUNTIF(Referral_Data!$C$5:$C$1000,B384)&gt;0,"Referred",IF(COUNTIF(Referral_Data!$B$5:$B$1000,B384)&gt;0,"Referrer","Organic"))</f>
        <v>Referred</v>
      </c>
      <c r="G384" s="29" t="n">
        <f aca="false">IF(COUNTIFS($B$5:B384,B384,$C$5:C384,C384)=1,1,0)</f>
        <v>0</v>
      </c>
      <c r="H384" s="29" t="n">
        <f aca="false">IF(AND(G384=1,COUNTIFS($B$5:$B$1635,B384,$C$5:$C$1635,"&lt;"&amp;C384)&gt;0),1,0)</f>
        <v>0</v>
      </c>
      <c r="I384" s="29" t="n">
        <f aca="false">IF(AND(D384="Feature Use",COUNTIFS($B$5:B384,B384,$D$5:D384,"Feature Use",$E$5:E384,E384)=1),1,0)</f>
        <v>1</v>
      </c>
      <c r="J384" s="29" t="n">
        <f aca="false">IF(AND(D384="Feature Use",COUNTIFS($B$5:B384,B384,$D$5:D384,"Feature Use",$E$5:E384,E384)=2),1,0)</f>
        <v>0</v>
      </c>
      <c r="K384" s="29" t="n">
        <f aca="false">IF(COUNTIF($B$5:B384,B384)=1,1,0)</f>
        <v>0</v>
      </c>
      <c r="L384" s="29" t="n">
        <f aca="false">IF(AND(C384&gt;=Settings!$B$5-Settings!$B$8+1,C384&lt;=Settings!$B$5,COUNTIFS($B$5:B384,B384,$C$5:C384,"&gt;="&amp;(Settings!$B$5-Settings!$B$8+1),$C$5:C384,"&lt;="&amp;Settings!$B$5)=1),1,0)</f>
        <v>0</v>
      </c>
      <c r="M384" s="29" t="n">
        <f aca="false">IF(AND(C384&gt;=Settings!$B$5-Settings!$B$9+1,C384&lt;=Settings!$B$5,COUNTIFS($B$5:B384,B384,$C$5:C384,"&gt;="&amp;(Settings!$B$5-Settings!$B$9+1),$C$5:C384,"&lt;="&amp;Settings!$B$5)=1),1,0)</f>
        <v>0</v>
      </c>
      <c r="N384" s="29" t="n">
        <f aca="false">IF(AND(D384="Feature Use",COUNTIFS($B$5:B384,B384,$D$5:D384,"Feature Use")=1),1,0)</f>
        <v>0</v>
      </c>
    </row>
    <row r="385" customFormat="false" ht="15" hidden="false" customHeight="false" outlineLevel="0" collapsed="false">
      <c r="A385" s="22" t="s">
        <v>692</v>
      </c>
      <c r="B385" s="22" t="s">
        <v>168</v>
      </c>
      <c r="C385" s="31" t="n">
        <v>46281</v>
      </c>
      <c r="D385" s="22" t="s">
        <v>308</v>
      </c>
      <c r="E385" s="22" t="s">
        <v>301</v>
      </c>
      <c r="F385" s="29" t="str">
        <f aca="false">IF(COUNTIF(Referral_Data!$C$5:$C$1000,B385)&gt;0,"Referred",IF(COUNTIF(Referral_Data!$B$5:$B$1000,B385)&gt;0,"Referrer","Organic"))</f>
        <v>Referred</v>
      </c>
      <c r="G385" s="29" t="n">
        <f aca="false">IF(COUNTIFS($B$5:B385,B385,$C$5:C385,C385)=1,1,0)</f>
        <v>0</v>
      </c>
      <c r="H385" s="29" t="n">
        <f aca="false">IF(AND(G385=1,COUNTIFS($B$5:$B$1635,B385,$C$5:$C$1635,"&lt;"&amp;C385)&gt;0),1,0)</f>
        <v>0</v>
      </c>
      <c r="I385" s="29" t="n">
        <f aca="false">IF(AND(D385="Feature Use",COUNTIFS($B$5:B385,B385,$D$5:D385,"Feature Use",$E$5:E385,E385)=1),1,0)</f>
        <v>0</v>
      </c>
      <c r="J385" s="29" t="n">
        <f aca="false">IF(AND(D385="Feature Use",COUNTIFS($B$5:B385,B385,$D$5:D385,"Feature Use",$E$5:E385,E385)=2),1,0)</f>
        <v>0</v>
      </c>
      <c r="K385" s="29" t="n">
        <f aca="false">IF(COUNTIF($B$5:B385,B385)=1,1,0)</f>
        <v>0</v>
      </c>
      <c r="L385" s="29" t="n">
        <f aca="false">IF(AND(C385&gt;=Settings!$B$5-Settings!$B$8+1,C385&lt;=Settings!$B$5,COUNTIFS($B$5:B385,B385,$C$5:C385,"&gt;="&amp;(Settings!$B$5-Settings!$B$8+1),$C$5:C385,"&lt;="&amp;Settings!$B$5)=1),1,0)</f>
        <v>0</v>
      </c>
      <c r="M385" s="29" t="n">
        <f aca="false">IF(AND(C385&gt;=Settings!$B$5-Settings!$B$9+1,C385&lt;=Settings!$B$5,COUNTIFS($B$5:B385,B385,$C$5:C385,"&gt;="&amp;(Settings!$B$5-Settings!$B$9+1),$C$5:C385,"&lt;="&amp;Settings!$B$5)=1),1,0)</f>
        <v>0</v>
      </c>
      <c r="N385" s="29" t="n">
        <f aca="false">IF(AND(D385="Feature Use",COUNTIFS($B$5:B385,B385,$D$5:D385,"Feature Use")=1),1,0)</f>
        <v>0</v>
      </c>
    </row>
    <row r="386" customFormat="false" ht="15" hidden="false" customHeight="false" outlineLevel="0" collapsed="false">
      <c r="A386" s="22" t="s">
        <v>693</v>
      </c>
      <c r="B386" s="22" t="s">
        <v>168</v>
      </c>
      <c r="C386" s="31" t="n">
        <v>46281</v>
      </c>
      <c r="D386" s="22" t="s">
        <v>308</v>
      </c>
      <c r="E386" s="22" t="s">
        <v>309</v>
      </c>
      <c r="F386" s="29" t="str">
        <f aca="false">IF(COUNTIF(Referral_Data!$C$5:$C$1000,B386)&gt;0,"Referred",IF(COUNTIF(Referral_Data!$B$5:$B$1000,B386)&gt;0,"Referrer","Organic"))</f>
        <v>Referred</v>
      </c>
      <c r="G386" s="29" t="n">
        <f aca="false">IF(COUNTIFS($B$5:B386,B386,$C$5:C386,C386)=1,1,0)</f>
        <v>0</v>
      </c>
      <c r="H386" s="29" t="n">
        <f aca="false">IF(AND(G386=1,COUNTIFS($B$5:$B$1635,B386,$C$5:$C$1635,"&lt;"&amp;C386)&gt;0),1,0)</f>
        <v>0</v>
      </c>
      <c r="I386" s="29" t="n">
        <f aca="false">IF(AND(D386="Feature Use",COUNTIFS($B$5:B386,B386,$D$5:D386,"Feature Use",$E$5:E386,E386)=1),1,0)</f>
        <v>0</v>
      </c>
      <c r="J386" s="29" t="n">
        <f aca="false">IF(AND(D386="Feature Use",COUNTIFS($B$5:B386,B386,$D$5:D386,"Feature Use",$E$5:E386,E386)=2),1,0)</f>
        <v>0</v>
      </c>
      <c r="K386" s="29" t="n">
        <f aca="false">IF(COUNTIF($B$5:B386,B386)=1,1,0)</f>
        <v>0</v>
      </c>
      <c r="L386" s="29" t="n">
        <f aca="false">IF(AND(C386&gt;=Settings!$B$5-Settings!$B$8+1,C386&lt;=Settings!$B$5,COUNTIFS($B$5:B386,B386,$C$5:C386,"&gt;="&amp;(Settings!$B$5-Settings!$B$8+1),$C$5:C386,"&lt;="&amp;Settings!$B$5)=1),1,0)</f>
        <v>0</v>
      </c>
      <c r="M386" s="29" t="n">
        <f aca="false">IF(AND(C386&gt;=Settings!$B$5-Settings!$B$9+1,C386&lt;=Settings!$B$5,COUNTIFS($B$5:B386,B386,$C$5:C386,"&gt;="&amp;(Settings!$B$5-Settings!$B$9+1),$C$5:C386,"&lt;="&amp;Settings!$B$5)=1),1,0)</f>
        <v>0</v>
      </c>
      <c r="N386" s="29" t="n">
        <f aca="false">IF(AND(D386="Feature Use",COUNTIFS($B$5:B386,B386,$D$5:D386,"Feature Use")=1),1,0)</f>
        <v>0</v>
      </c>
    </row>
    <row r="387" customFormat="false" ht="15" hidden="false" customHeight="false" outlineLevel="0" collapsed="false">
      <c r="A387" s="22" t="s">
        <v>694</v>
      </c>
      <c r="B387" s="22" t="s">
        <v>181</v>
      </c>
      <c r="C387" s="31" t="n">
        <v>46281</v>
      </c>
      <c r="D387" s="22" t="s">
        <v>297</v>
      </c>
      <c r="E387" s="22" t="s">
        <v>298</v>
      </c>
      <c r="F387" s="29" t="str">
        <f aca="false">IF(COUNTIF(Referral_Data!$C$5:$C$1000,B387)&gt;0,"Referred",IF(COUNTIF(Referral_Data!$B$5:$B$1000,B387)&gt;0,"Referrer","Organic"))</f>
        <v>Referred</v>
      </c>
      <c r="G387" s="29" t="n">
        <f aca="false">IF(COUNTIFS($B$5:B387,B387,$C$5:C387,C387)=1,1,0)</f>
        <v>1</v>
      </c>
      <c r="H387" s="29" t="n">
        <f aca="false">IF(AND(G387=1,COUNTIFS($B$5:$B$1635,B387,$C$5:$C$1635,"&lt;"&amp;C387)&gt;0),1,0)</f>
        <v>1</v>
      </c>
      <c r="I387" s="29" t="n">
        <f aca="false">IF(AND(D387="Feature Use",COUNTIFS($B$5:B387,B387,$D$5:D387,"Feature Use",$E$5:E387,E387)=1),1,0)</f>
        <v>0</v>
      </c>
      <c r="J387" s="29" t="n">
        <f aca="false">IF(AND(D387="Feature Use",COUNTIFS($B$5:B387,B387,$D$5:D387,"Feature Use",$E$5:E387,E387)=2),1,0)</f>
        <v>0</v>
      </c>
      <c r="K387" s="29" t="n">
        <f aca="false">IF(COUNTIF($B$5:B387,B387)=1,1,0)</f>
        <v>0</v>
      </c>
      <c r="L387" s="29" t="n">
        <f aca="false">IF(AND(C387&gt;=Settings!$B$5-Settings!$B$8+1,C387&lt;=Settings!$B$5,COUNTIFS($B$5:B387,B387,$C$5:C387,"&gt;="&amp;(Settings!$B$5-Settings!$B$8+1),$C$5:C387,"&lt;="&amp;Settings!$B$5)=1),1,0)</f>
        <v>0</v>
      </c>
      <c r="M387" s="29" t="n">
        <f aca="false">IF(AND(C387&gt;=Settings!$B$5-Settings!$B$9+1,C387&lt;=Settings!$B$5,COUNTIFS($B$5:B387,B387,$C$5:C387,"&gt;="&amp;(Settings!$B$5-Settings!$B$9+1),$C$5:C387,"&lt;="&amp;Settings!$B$5)=1),1,0)</f>
        <v>1</v>
      </c>
      <c r="N387" s="29" t="n">
        <f aca="false">IF(AND(D387="Feature Use",COUNTIFS($B$5:B387,B387,$D$5:D387,"Feature Use")=1),1,0)</f>
        <v>0</v>
      </c>
    </row>
    <row r="388" customFormat="false" ht="15" hidden="false" customHeight="false" outlineLevel="0" collapsed="false">
      <c r="A388" s="22" t="s">
        <v>695</v>
      </c>
      <c r="B388" s="22" t="s">
        <v>181</v>
      </c>
      <c r="C388" s="31" t="n">
        <v>46281</v>
      </c>
      <c r="D388" s="22" t="s">
        <v>300</v>
      </c>
      <c r="E388" s="22" t="s">
        <v>311</v>
      </c>
      <c r="F388" s="29" t="str">
        <f aca="false">IF(COUNTIF(Referral_Data!$C$5:$C$1000,B388)&gt;0,"Referred",IF(COUNTIF(Referral_Data!$B$5:$B$1000,B388)&gt;0,"Referrer","Organic"))</f>
        <v>Referred</v>
      </c>
      <c r="G388" s="29" t="n">
        <f aca="false">IF(COUNTIFS($B$5:B388,B388,$C$5:C388,C388)=1,1,0)</f>
        <v>0</v>
      </c>
      <c r="H388" s="29" t="n">
        <f aca="false">IF(AND(G388=1,COUNTIFS($B$5:$B$1635,B388,$C$5:$C$1635,"&lt;"&amp;C388)&gt;0),1,0)</f>
        <v>0</v>
      </c>
      <c r="I388" s="29" t="n">
        <f aca="false">IF(AND(D388="Feature Use",COUNTIFS($B$5:B388,B388,$D$5:D388,"Feature Use",$E$5:E388,E388)=1),1,0)</f>
        <v>0</v>
      </c>
      <c r="J388" s="29" t="n">
        <f aca="false">IF(AND(D388="Feature Use",COUNTIFS($B$5:B388,B388,$D$5:D388,"Feature Use",$E$5:E388,E388)=2),1,0)</f>
        <v>1</v>
      </c>
      <c r="K388" s="29" t="n">
        <f aca="false">IF(COUNTIF($B$5:B388,B388)=1,1,0)</f>
        <v>0</v>
      </c>
      <c r="L388" s="29" t="n">
        <f aca="false">IF(AND(C388&gt;=Settings!$B$5-Settings!$B$8+1,C388&lt;=Settings!$B$5,COUNTIFS($B$5:B388,B388,$C$5:C388,"&gt;="&amp;(Settings!$B$5-Settings!$B$8+1),$C$5:C388,"&lt;="&amp;Settings!$B$5)=1),1,0)</f>
        <v>0</v>
      </c>
      <c r="M388" s="29" t="n">
        <f aca="false">IF(AND(C388&gt;=Settings!$B$5-Settings!$B$9+1,C388&lt;=Settings!$B$5,COUNTIFS($B$5:B388,B388,$C$5:C388,"&gt;="&amp;(Settings!$B$5-Settings!$B$9+1),$C$5:C388,"&lt;="&amp;Settings!$B$5)=1),1,0)</f>
        <v>0</v>
      </c>
      <c r="N388" s="29" t="n">
        <f aca="false">IF(AND(D388="Feature Use",COUNTIFS($B$5:B388,B388,$D$5:D388,"Feature Use")=1),1,0)</f>
        <v>0</v>
      </c>
    </row>
    <row r="389" customFormat="false" ht="15" hidden="false" customHeight="false" outlineLevel="0" collapsed="false">
      <c r="A389" s="22" t="s">
        <v>696</v>
      </c>
      <c r="B389" s="22" t="s">
        <v>181</v>
      </c>
      <c r="C389" s="31" t="n">
        <v>46281</v>
      </c>
      <c r="D389" s="22" t="s">
        <v>300</v>
      </c>
      <c r="E389" s="22" t="s">
        <v>305</v>
      </c>
      <c r="F389" s="29" t="str">
        <f aca="false">IF(COUNTIF(Referral_Data!$C$5:$C$1000,B389)&gt;0,"Referred",IF(COUNTIF(Referral_Data!$B$5:$B$1000,B389)&gt;0,"Referrer","Organic"))</f>
        <v>Referred</v>
      </c>
      <c r="G389" s="29" t="n">
        <f aca="false">IF(COUNTIFS($B$5:B389,B389,$C$5:C389,C389)=1,1,0)</f>
        <v>0</v>
      </c>
      <c r="H389" s="29" t="n">
        <f aca="false">IF(AND(G389=1,COUNTIFS($B$5:$B$1635,B389,$C$5:$C$1635,"&lt;"&amp;C389)&gt;0),1,0)</f>
        <v>0</v>
      </c>
      <c r="I389" s="29" t="n">
        <f aca="false">IF(AND(D389="Feature Use",COUNTIFS($B$5:B389,B389,$D$5:D389,"Feature Use",$E$5:E389,E389)=1),1,0)</f>
        <v>0</v>
      </c>
      <c r="J389" s="29" t="n">
        <f aca="false">IF(AND(D389="Feature Use",COUNTIFS($B$5:B389,B389,$D$5:D389,"Feature Use",$E$5:E389,E389)=2),1,0)</f>
        <v>1</v>
      </c>
      <c r="K389" s="29" t="n">
        <f aca="false">IF(COUNTIF($B$5:B389,B389)=1,1,0)</f>
        <v>0</v>
      </c>
      <c r="L389" s="29" t="n">
        <f aca="false">IF(AND(C389&gt;=Settings!$B$5-Settings!$B$8+1,C389&lt;=Settings!$B$5,COUNTIFS($B$5:B389,B389,$C$5:C389,"&gt;="&amp;(Settings!$B$5-Settings!$B$8+1),$C$5:C389,"&lt;="&amp;Settings!$B$5)=1),1,0)</f>
        <v>0</v>
      </c>
      <c r="M389" s="29" t="n">
        <f aca="false">IF(AND(C389&gt;=Settings!$B$5-Settings!$B$9+1,C389&lt;=Settings!$B$5,COUNTIFS($B$5:B389,B389,$C$5:C389,"&gt;="&amp;(Settings!$B$5-Settings!$B$9+1),$C$5:C389,"&lt;="&amp;Settings!$B$5)=1),1,0)</f>
        <v>0</v>
      </c>
      <c r="N389" s="29" t="n">
        <f aca="false">IF(AND(D389="Feature Use",COUNTIFS($B$5:B389,B389,$D$5:D389,"Feature Use")=1),1,0)</f>
        <v>0</v>
      </c>
    </row>
    <row r="390" customFormat="false" ht="15" hidden="false" customHeight="false" outlineLevel="0" collapsed="false">
      <c r="A390" s="22" t="s">
        <v>697</v>
      </c>
      <c r="B390" s="22" t="s">
        <v>181</v>
      </c>
      <c r="C390" s="31" t="n">
        <v>46281</v>
      </c>
      <c r="D390" s="22" t="s">
        <v>308</v>
      </c>
      <c r="E390" s="22" t="s">
        <v>319</v>
      </c>
      <c r="F390" s="29" t="str">
        <f aca="false">IF(COUNTIF(Referral_Data!$C$5:$C$1000,B390)&gt;0,"Referred",IF(COUNTIF(Referral_Data!$B$5:$B$1000,B390)&gt;0,"Referrer","Organic"))</f>
        <v>Referred</v>
      </c>
      <c r="G390" s="29" t="n">
        <f aca="false">IF(COUNTIFS($B$5:B390,B390,$C$5:C390,C390)=1,1,0)</f>
        <v>0</v>
      </c>
      <c r="H390" s="29" t="n">
        <f aca="false">IF(AND(G390=1,COUNTIFS($B$5:$B$1635,B390,$C$5:$C$1635,"&lt;"&amp;C390)&gt;0),1,0)</f>
        <v>0</v>
      </c>
      <c r="I390" s="29" t="n">
        <f aca="false">IF(AND(D390="Feature Use",COUNTIFS($B$5:B390,B390,$D$5:D390,"Feature Use",$E$5:E390,E390)=1),1,0)</f>
        <v>0</v>
      </c>
      <c r="J390" s="29" t="n">
        <f aca="false">IF(AND(D390="Feature Use",COUNTIFS($B$5:B390,B390,$D$5:D390,"Feature Use",$E$5:E390,E390)=2),1,0)</f>
        <v>0</v>
      </c>
      <c r="K390" s="29" t="n">
        <f aca="false">IF(COUNTIF($B$5:B390,B390)=1,1,0)</f>
        <v>0</v>
      </c>
      <c r="L390" s="29" t="n">
        <f aca="false">IF(AND(C390&gt;=Settings!$B$5-Settings!$B$8+1,C390&lt;=Settings!$B$5,COUNTIFS($B$5:B390,B390,$C$5:C390,"&gt;="&amp;(Settings!$B$5-Settings!$B$8+1),$C$5:C390,"&lt;="&amp;Settings!$B$5)=1),1,0)</f>
        <v>0</v>
      </c>
      <c r="M390" s="29" t="n">
        <f aca="false">IF(AND(C390&gt;=Settings!$B$5-Settings!$B$9+1,C390&lt;=Settings!$B$5,COUNTIFS($B$5:B390,B390,$C$5:C390,"&gt;="&amp;(Settings!$B$5-Settings!$B$9+1),$C$5:C390,"&lt;="&amp;Settings!$B$5)=1),1,0)</f>
        <v>0</v>
      </c>
      <c r="N390" s="29" t="n">
        <f aca="false">IF(AND(D390="Feature Use",COUNTIFS($B$5:B390,B390,$D$5:D390,"Feature Use")=1),1,0)</f>
        <v>0</v>
      </c>
    </row>
    <row r="391" customFormat="false" ht="15" hidden="false" customHeight="false" outlineLevel="0" collapsed="false">
      <c r="A391" s="22" t="s">
        <v>698</v>
      </c>
      <c r="B391" s="22" t="s">
        <v>181</v>
      </c>
      <c r="C391" s="31" t="n">
        <v>46281</v>
      </c>
      <c r="D391" s="22" t="s">
        <v>308</v>
      </c>
      <c r="E391" s="22" t="s">
        <v>301</v>
      </c>
      <c r="F391" s="29" t="str">
        <f aca="false">IF(COUNTIF(Referral_Data!$C$5:$C$1000,B391)&gt;0,"Referred",IF(COUNTIF(Referral_Data!$B$5:$B$1000,B391)&gt;0,"Referrer","Organic"))</f>
        <v>Referred</v>
      </c>
      <c r="G391" s="29" t="n">
        <f aca="false">IF(COUNTIFS($B$5:B391,B391,$C$5:C391,C391)=1,1,0)</f>
        <v>0</v>
      </c>
      <c r="H391" s="29" t="n">
        <f aca="false">IF(AND(G391=1,COUNTIFS($B$5:$B$1635,B391,$C$5:$C$1635,"&lt;"&amp;C391)&gt;0),1,0)</f>
        <v>0</v>
      </c>
      <c r="I391" s="29" t="n">
        <f aca="false">IF(AND(D391="Feature Use",COUNTIFS($B$5:B391,B391,$D$5:D391,"Feature Use",$E$5:E391,E391)=1),1,0)</f>
        <v>0</v>
      </c>
      <c r="J391" s="29" t="n">
        <f aca="false">IF(AND(D391="Feature Use",COUNTIFS($B$5:B391,B391,$D$5:D391,"Feature Use",$E$5:E391,E391)=2),1,0)</f>
        <v>0</v>
      </c>
      <c r="K391" s="29" t="n">
        <f aca="false">IF(COUNTIF($B$5:B391,B391)=1,1,0)</f>
        <v>0</v>
      </c>
      <c r="L391" s="29" t="n">
        <f aca="false">IF(AND(C391&gt;=Settings!$B$5-Settings!$B$8+1,C391&lt;=Settings!$B$5,COUNTIFS($B$5:B391,B391,$C$5:C391,"&gt;="&amp;(Settings!$B$5-Settings!$B$8+1),$C$5:C391,"&lt;="&amp;Settings!$B$5)=1),1,0)</f>
        <v>0</v>
      </c>
      <c r="M391" s="29" t="n">
        <f aca="false">IF(AND(C391&gt;=Settings!$B$5-Settings!$B$9+1,C391&lt;=Settings!$B$5,COUNTIFS($B$5:B391,B391,$C$5:C391,"&gt;="&amp;(Settings!$B$5-Settings!$B$9+1),$C$5:C391,"&lt;="&amp;Settings!$B$5)=1),1,0)</f>
        <v>0</v>
      </c>
      <c r="N391" s="29" t="n">
        <f aca="false">IF(AND(D391="Feature Use",COUNTIFS($B$5:B391,B391,$D$5:D391,"Feature Use")=1),1,0)</f>
        <v>0</v>
      </c>
    </row>
    <row r="392" customFormat="false" ht="15" hidden="false" customHeight="false" outlineLevel="0" collapsed="false">
      <c r="A392" s="22" t="s">
        <v>699</v>
      </c>
      <c r="B392" s="22" t="s">
        <v>192</v>
      </c>
      <c r="C392" s="31" t="n">
        <v>46281</v>
      </c>
      <c r="D392" s="22" t="s">
        <v>297</v>
      </c>
      <c r="E392" s="22" t="s">
        <v>298</v>
      </c>
      <c r="F392" s="29" t="str">
        <f aca="false">IF(COUNTIF(Referral_Data!$C$5:$C$1000,B392)&gt;0,"Referred",IF(COUNTIF(Referral_Data!$B$5:$B$1000,B392)&gt;0,"Referrer","Organic"))</f>
        <v>Referred</v>
      </c>
      <c r="G392" s="29" t="n">
        <f aca="false">IF(COUNTIFS($B$5:B392,B392,$C$5:C392,C392)=1,1,0)</f>
        <v>1</v>
      </c>
      <c r="H392" s="29" t="n">
        <f aca="false">IF(AND(G392=1,COUNTIFS($B$5:$B$1635,B392,$C$5:$C$1635,"&lt;"&amp;C392)&gt;0),1,0)</f>
        <v>1</v>
      </c>
      <c r="I392" s="29" t="n">
        <f aca="false">IF(AND(D392="Feature Use",COUNTIFS($B$5:B392,B392,$D$5:D392,"Feature Use",$E$5:E392,E392)=1),1,0)</f>
        <v>0</v>
      </c>
      <c r="J392" s="29" t="n">
        <f aca="false">IF(AND(D392="Feature Use",COUNTIFS($B$5:B392,B392,$D$5:D392,"Feature Use",$E$5:E392,E392)=2),1,0)</f>
        <v>0</v>
      </c>
      <c r="K392" s="29" t="n">
        <f aca="false">IF(COUNTIF($B$5:B392,B392)=1,1,0)</f>
        <v>0</v>
      </c>
      <c r="L392" s="29" t="n">
        <f aca="false">IF(AND(C392&gt;=Settings!$B$5-Settings!$B$8+1,C392&lt;=Settings!$B$5,COUNTIFS($B$5:B392,B392,$C$5:C392,"&gt;="&amp;(Settings!$B$5-Settings!$B$8+1),$C$5:C392,"&lt;="&amp;Settings!$B$5)=1),1,0)</f>
        <v>0</v>
      </c>
      <c r="M392" s="29" t="n">
        <f aca="false">IF(AND(C392&gt;=Settings!$B$5-Settings!$B$9+1,C392&lt;=Settings!$B$5,COUNTIFS($B$5:B392,B392,$C$5:C392,"&gt;="&amp;(Settings!$B$5-Settings!$B$9+1),$C$5:C392,"&lt;="&amp;Settings!$B$5)=1),1,0)</f>
        <v>1</v>
      </c>
      <c r="N392" s="29" t="n">
        <f aca="false">IF(AND(D392="Feature Use",COUNTIFS($B$5:B392,B392,$D$5:D392,"Feature Use")=1),1,0)</f>
        <v>0</v>
      </c>
    </row>
    <row r="393" customFormat="false" ht="15" hidden="false" customHeight="false" outlineLevel="0" collapsed="false">
      <c r="A393" s="22" t="s">
        <v>700</v>
      </c>
      <c r="B393" s="22" t="s">
        <v>192</v>
      </c>
      <c r="C393" s="31" t="n">
        <v>46281</v>
      </c>
      <c r="D393" s="22" t="s">
        <v>300</v>
      </c>
      <c r="E393" s="22" t="s">
        <v>301</v>
      </c>
      <c r="F393" s="29" t="str">
        <f aca="false">IF(COUNTIF(Referral_Data!$C$5:$C$1000,B393)&gt;0,"Referred",IF(COUNTIF(Referral_Data!$B$5:$B$1000,B393)&gt;0,"Referrer","Organic"))</f>
        <v>Referred</v>
      </c>
      <c r="G393" s="29" t="n">
        <f aca="false">IF(COUNTIFS($B$5:B393,B393,$C$5:C393,C393)=1,1,0)</f>
        <v>0</v>
      </c>
      <c r="H393" s="29" t="n">
        <f aca="false">IF(AND(G393=1,COUNTIFS($B$5:$B$1635,B393,$C$5:$C$1635,"&lt;"&amp;C393)&gt;0),1,0)</f>
        <v>0</v>
      </c>
      <c r="I393" s="29" t="n">
        <f aca="false">IF(AND(D393="Feature Use",COUNTIFS($B$5:B393,B393,$D$5:D393,"Feature Use",$E$5:E393,E393)=1),1,0)</f>
        <v>0</v>
      </c>
      <c r="J393" s="29" t="n">
        <f aca="false">IF(AND(D393="Feature Use",COUNTIFS($B$5:B393,B393,$D$5:D393,"Feature Use",$E$5:E393,E393)=2),1,0)</f>
        <v>1</v>
      </c>
      <c r="K393" s="29" t="n">
        <f aca="false">IF(COUNTIF($B$5:B393,B393)=1,1,0)</f>
        <v>0</v>
      </c>
      <c r="L393" s="29" t="n">
        <f aca="false">IF(AND(C393&gt;=Settings!$B$5-Settings!$B$8+1,C393&lt;=Settings!$B$5,COUNTIFS($B$5:B393,B393,$C$5:C393,"&gt;="&amp;(Settings!$B$5-Settings!$B$8+1),$C$5:C393,"&lt;="&amp;Settings!$B$5)=1),1,0)</f>
        <v>0</v>
      </c>
      <c r="M393" s="29" t="n">
        <f aca="false">IF(AND(C393&gt;=Settings!$B$5-Settings!$B$9+1,C393&lt;=Settings!$B$5,COUNTIFS($B$5:B393,B393,$C$5:C393,"&gt;="&amp;(Settings!$B$5-Settings!$B$9+1),$C$5:C393,"&lt;="&amp;Settings!$B$5)=1),1,0)</f>
        <v>0</v>
      </c>
      <c r="N393" s="29" t="n">
        <f aca="false">IF(AND(D393="Feature Use",COUNTIFS($B$5:B393,B393,$D$5:D393,"Feature Use")=1),1,0)</f>
        <v>0</v>
      </c>
    </row>
    <row r="394" customFormat="false" ht="15" hidden="false" customHeight="false" outlineLevel="0" collapsed="false">
      <c r="A394" s="22" t="s">
        <v>701</v>
      </c>
      <c r="B394" s="22" t="s">
        <v>204</v>
      </c>
      <c r="C394" s="31" t="n">
        <v>46281</v>
      </c>
      <c r="D394" s="22" t="s">
        <v>297</v>
      </c>
      <c r="E394" s="22" t="s">
        <v>298</v>
      </c>
      <c r="F394" s="29" t="str">
        <f aca="false">IF(COUNTIF(Referral_Data!$C$5:$C$1000,B394)&gt;0,"Referred",IF(COUNTIF(Referral_Data!$B$5:$B$1000,B394)&gt;0,"Referrer","Organic"))</f>
        <v>Referred</v>
      </c>
      <c r="G394" s="29" t="n">
        <f aca="false">IF(COUNTIFS($B$5:B394,B394,$C$5:C394,C394)=1,1,0)</f>
        <v>1</v>
      </c>
      <c r="H394" s="29" t="n">
        <f aca="false">IF(AND(G394=1,COUNTIFS($B$5:$B$1635,B394,$C$5:$C$1635,"&lt;"&amp;C394)&gt;0),1,0)</f>
        <v>1</v>
      </c>
      <c r="I394" s="29" t="n">
        <f aca="false">IF(AND(D394="Feature Use",COUNTIFS($B$5:B394,B394,$D$5:D394,"Feature Use",$E$5:E394,E394)=1),1,0)</f>
        <v>0</v>
      </c>
      <c r="J394" s="29" t="n">
        <f aca="false">IF(AND(D394="Feature Use",COUNTIFS($B$5:B394,B394,$D$5:D394,"Feature Use",$E$5:E394,E394)=2),1,0)</f>
        <v>0</v>
      </c>
      <c r="K394" s="29" t="n">
        <f aca="false">IF(COUNTIF($B$5:B394,B394)=1,1,0)</f>
        <v>0</v>
      </c>
      <c r="L394" s="29" t="n">
        <f aca="false">IF(AND(C394&gt;=Settings!$B$5-Settings!$B$8+1,C394&lt;=Settings!$B$5,COUNTIFS($B$5:B394,B394,$C$5:C394,"&gt;="&amp;(Settings!$B$5-Settings!$B$8+1),$C$5:C394,"&lt;="&amp;Settings!$B$5)=1),1,0)</f>
        <v>0</v>
      </c>
      <c r="M394" s="29" t="n">
        <f aca="false">IF(AND(C394&gt;=Settings!$B$5-Settings!$B$9+1,C394&lt;=Settings!$B$5,COUNTIFS($B$5:B394,B394,$C$5:C394,"&gt;="&amp;(Settings!$B$5-Settings!$B$9+1),$C$5:C394,"&lt;="&amp;Settings!$B$5)=1),1,0)</f>
        <v>1</v>
      </c>
      <c r="N394" s="29" t="n">
        <f aca="false">IF(AND(D394="Feature Use",COUNTIFS($B$5:B394,B394,$D$5:D394,"Feature Use")=1),1,0)</f>
        <v>0</v>
      </c>
    </row>
    <row r="395" customFormat="false" ht="15" hidden="false" customHeight="false" outlineLevel="0" collapsed="false">
      <c r="A395" s="22" t="s">
        <v>702</v>
      </c>
      <c r="B395" s="22" t="s">
        <v>204</v>
      </c>
      <c r="C395" s="31" t="n">
        <v>46281</v>
      </c>
      <c r="D395" s="22" t="s">
        <v>300</v>
      </c>
      <c r="E395" s="22" t="s">
        <v>305</v>
      </c>
      <c r="F395" s="29" t="str">
        <f aca="false">IF(COUNTIF(Referral_Data!$C$5:$C$1000,B395)&gt;0,"Referred",IF(COUNTIF(Referral_Data!$B$5:$B$1000,B395)&gt;0,"Referrer","Organic"))</f>
        <v>Referred</v>
      </c>
      <c r="G395" s="29" t="n">
        <f aca="false">IF(COUNTIFS($B$5:B395,B395,$C$5:C395,C395)=1,1,0)</f>
        <v>0</v>
      </c>
      <c r="H395" s="29" t="n">
        <f aca="false">IF(AND(G395=1,COUNTIFS($B$5:$B$1635,B395,$C$5:$C$1635,"&lt;"&amp;C395)&gt;0),1,0)</f>
        <v>0</v>
      </c>
      <c r="I395" s="29" t="n">
        <f aca="false">IF(AND(D395="Feature Use",COUNTIFS($B$5:B395,B395,$D$5:D395,"Feature Use",$E$5:E395,E395)=1),1,0)</f>
        <v>0</v>
      </c>
      <c r="J395" s="29" t="n">
        <f aca="false">IF(AND(D395="Feature Use",COUNTIFS($B$5:B395,B395,$D$5:D395,"Feature Use",$E$5:E395,E395)=2),1,0)</f>
        <v>0</v>
      </c>
      <c r="K395" s="29" t="n">
        <f aca="false">IF(COUNTIF($B$5:B395,B395)=1,1,0)</f>
        <v>0</v>
      </c>
      <c r="L395" s="29" t="n">
        <f aca="false">IF(AND(C395&gt;=Settings!$B$5-Settings!$B$8+1,C395&lt;=Settings!$B$5,COUNTIFS($B$5:B395,B395,$C$5:C395,"&gt;="&amp;(Settings!$B$5-Settings!$B$8+1),$C$5:C395,"&lt;="&amp;Settings!$B$5)=1),1,0)</f>
        <v>0</v>
      </c>
      <c r="M395" s="29" t="n">
        <f aca="false">IF(AND(C395&gt;=Settings!$B$5-Settings!$B$9+1,C395&lt;=Settings!$B$5,COUNTIFS($B$5:B395,B395,$C$5:C395,"&gt;="&amp;(Settings!$B$5-Settings!$B$9+1),$C$5:C395,"&lt;="&amp;Settings!$B$5)=1),1,0)</f>
        <v>0</v>
      </c>
      <c r="N395" s="29" t="n">
        <f aca="false">IF(AND(D395="Feature Use",COUNTIFS($B$5:B395,B395,$D$5:D395,"Feature Use")=1),1,0)</f>
        <v>0</v>
      </c>
    </row>
    <row r="396" customFormat="false" ht="15" hidden="false" customHeight="false" outlineLevel="0" collapsed="false">
      <c r="A396" s="22" t="s">
        <v>703</v>
      </c>
      <c r="B396" s="22" t="s">
        <v>204</v>
      </c>
      <c r="C396" s="31" t="n">
        <v>46281</v>
      </c>
      <c r="D396" s="22" t="s">
        <v>308</v>
      </c>
      <c r="E396" s="22" t="s">
        <v>311</v>
      </c>
      <c r="F396" s="29" t="str">
        <f aca="false">IF(COUNTIF(Referral_Data!$C$5:$C$1000,B396)&gt;0,"Referred",IF(COUNTIF(Referral_Data!$B$5:$B$1000,B396)&gt;0,"Referrer","Organic"))</f>
        <v>Referred</v>
      </c>
      <c r="G396" s="29" t="n">
        <f aca="false">IF(COUNTIFS($B$5:B396,B396,$C$5:C396,C396)=1,1,0)</f>
        <v>0</v>
      </c>
      <c r="H396" s="29" t="n">
        <f aca="false">IF(AND(G396=1,COUNTIFS($B$5:$B$1635,B396,$C$5:$C$1635,"&lt;"&amp;C396)&gt;0),1,0)</f>
        <v>0</v>
      </c>
      <c r="I396" s="29" t="n">
        <f aca="false">IF(AND(D396="Feature Use",COUNTIFS($B$5:B396,B396,$D$5:D396,"Feature Use",$E$5:E396,E396)=1),1,0)</f>
        <v>0</v>
      </c>
      <c r="J396" s="29" t="n">
        <f aca="false">IF(AND(D396="Feature Use",COUNTIFS($B$5:B396,B396,$D$5:D396,"Feature Use",$E$5:E396,E396)=2),1,0)</f>
        <v>0</v>
      </c>
      <c r="K396" s="29" t="n">
        <f aca="false">IF(COUNTIF($B$5:B396,B396)=1,1,0)</f>
        <v>0</v>
      </c>
      <c r="L396" s="29" t="n">
        <f aca="false">IF(AND(C396&gt;=Settings!$B$5-Settings!$B$8+1,C396&lt;=Settings!$B$5,COUNTIFS($B$5:B396,B396,$C$5:C396,"&gt;="&amp;(Settings!$B$5-Settings!$B$8+1),$C$5:C396,"&lt;="&amp;Settings!$B$5)=1),1,0)</f>
        <v>0</v>
      </c>
      <c r="M396" s="29" t="n">
        <f aca="false">IF(AND(C396&gt;=Settings!$B$5-Settings!$B$9+1,C396&lt;=Settings!$B$5,COUNTIFS($B$5:B396,B396,$C$5:C396,"&gt;="&amp;(Settings!$B$5-Settings!$B$9+1),$C$5:C396,"&lt;="&amp;Settings!$B$5)=1),1,0)</f>
        <v>0</v>
      </c>
      <c r="N396" s="29" t="n">
        <f aca="false">IF(AND(D396="Feature Use",COUNTIFS($B$5:B396,B396,$D$5:D396,"Feature Use")=1),1,0)</f>
        <v>0</v>
      </c>
    </row>
    <row r="397" customFormat="false" ht="15" hidden="false" customHeight="false" outlineLevel="0" collapsed="false">
      <c r="A397" s="22" t="s">
        <v>704</v>
      </c>
      <c r="B397" s="22" t="s">
        <v>234</v>
      </c>
      <c r="C397" s="31" t="n">
        <v>46281</v>
      </c>
      <c r="D397" s="22" t="s">
        <v>297</v>
      </c>
      <c r="E397" s="22" t="s">
        <v>298</v>
      </c>
      <c r="F397" s="29" t="str">
        <f aca="false">IF(COUNTIF(Referral_Data!$C$5:$C$1000,B397)&gt;0,"Referred",IF(COUNTIF(Referral_Data!$B$5:$B$1000,B397)&gt;0,"Referrer","Organic"))</f>
        <v>Referred</v>
      </c>
      <c r="G397" s="29" t="n">
        <f aca="false">IF(COUNTIFS($B$5:B397,B397,$C$5:C397,C397)=1,1,0)</f>
        <v>1</v>
      </c>
      <c r="H397" s="29" t="n">
        <f aca="false">IF(AND(G397=1,COUNTIFS($B$5:$B$1635,B397,$C$5:$C$1635,"&lt;"&amp;C397)&gt;0),1,0)</f>
        <v>1</v>
      </c>
      <c r="I397" s="29" t="n">
        <f aca="false">IF(AND(D397="Feature Use",COUNTIFS($B$5:B397,B397,$D$5:D397,"Feature Use",$E$5:E397,E397)=1),1,0)</f>
        <v>0</v>
      </c>
      <c r="J397" s="29" t="n">
        <f aca="false">IF(AND(D397="Feature Use",COUNTIFS($B$5:B397,B397,$D$5:D397,"Feature Use",$E$5:E397,E397)=2),1,0)</f>
        <v>0</v>
      </c>
      <c r="K397" s="29" t="n">
        <f aca="false">IF(COUNTIF($B$5:B397,B397)=1,1,0)</f>
        <v>0</v>
      </c>
      <c r="L397" s="29" t="n">
        <f aca="false">IF(AND(C397&gt;=Settings!$B$5-Settings!$B$8+1,C397&lt;=Settings!$B$5,COUNTIFS($B$5:B397,B397,$C$5:C397,"&gt;="&amp;(Settings!$B$5-Settings!$B$8+1),$C$5:C397,"&lt;="&amp;Settings!$B$5)=1),1,0)</f>
        <v>0</v>
      </c>
      <c r="M397" s="29" t="n">
        <f aca="false">IF(AND(C397&gt;=Settings!$B$5-Settings!$B$9+1,C397&lt;=Settings!$B$5,COUNTIFS($B$5:B397,B397,$C$5:C397,"&gt;="&amp;(Settings!$B$5-Settings!$B$9+1),$C$5:C397,"&lt;="&amp;Settings!$B$5)=1),1,0)</f>
        <v>1</v>
      </c>
      <c r="N397" s="29" t="n">
        <f aca="false">IF(AND(D397="Feature Use",COUNTIFS($B$5:B397,B397,$D$5:D397,"Feature Use")=1),1,0)</f>
        <v>0</v>
      </c>
    </row>
    <row r="398" customFormat="false" ht="15" hidden="false" customHeight="false" outlineLevel="0" collapsed="false">
      <c r="A398" s="22" t="s">
        <v>705</v>
      </c>
      <c r="B398" s="22" t="s">
        <v>234</v>
      </c>
      <c r="C398" s="31" t="n">
        <v>46281</v>
      </c>
      <c r="D398" s="22" t="s">
        <v>300</v>
      </c>
      <c r="E398" s="22" t="s">
        <v>305</v>
      </c>
      <c r="F398" s="29" t="str">
        <f aca="false">IF(COUNTIF(Referral_Data!$C$5:$C$1000,B398)&gt;0,"Referred",IF(COUNTIF(Referral_Data!$B$5:$B$1000,B398)&gt;0,"Referrer","Organic"))</f>
        <v>Referred</v>
      </c>
      <c r="G398" s="29" t="n">
        <f aca="false">IF(COUNTIFS($B$5:B398,B398,$C$5:C398,C398)=1,1,0)</f>
        <v>0</v>
      </c>
      <c r="H398" s="29" t="n">
        <f aca="false">IF(AND(G398=1,COUNTIFS($B$5:$B$1635,B398,$C$5:$C$1635,"&lt;"&amp;C398)&gt;0),1,0)</f>
        <v>0</v>
      </c>
      <c r="I398" s="29" t="n">
        <f aca="false">IF(AND(D398="Feature Use",COUNTIFS($B$5:B398,B398,$D$5:D398,"Feature Use",$E$5:E398,E398)=1),1,0)</f>
        <v>0</v>
      </c>
      <c r="J398" s="29" t="n">
        <f aca="false">IF(AND(D398="Feature Use",COUNTIFS($B$5:B398,B398,$D$5:D398,"Feature Use",$E$5:E398,E398)=2),1,0)</f>
        <v>1</v>
      </c>
      <c r="K398" s="29" t="n">
        <f aca="false">IF(COUNTIF($B$5:B398,B398)=1,1,0)</f>
        <v>0</v>
      </c>
      <c r="L398" s="29" t="n">
        <f aca="false">IF(AND(C398&gt;=Settings!$B$5-Settings!$B$8+1,C398&lt;=Settings!$B$5,COUNTIFS($B$5:B398,B398,$C$5:C398,"&gt;="&amp;(Settings!$B$5-Settings!$B$8+1),$C$5:C398,"&lt;="&amp;Settings!$B$5)=1),1,0)</f>
        <v>0</v>
      </c>
      <c r="M398" s="29" t="n">
        <f aca="false">IF(AND(C398&gt;=Settings!$B$5-Settings!$B$9+1,C398&lt;=Settings!$B$5,COUNTIFS($B$5:B398,B398,$C$5:C398,"&gt;="&amp;(Settings!$B$5-Settings!$B$9+1),$C$5:C398,"&lt;="&amp;Settings!$B$5)=1),1,0)</f>
        <v>0</v>
      </c>
      <c r="N398" s="29" t="n">
        <f aca="false">IF(AND(D398="Feature Use",COUNTIFS($B$5:B398,B398,$D$5:D398,"Feature Use")=1),1,0)</f>
        <v>0</v>
      </c>
    </row>
    <row r="399" customFormat="false" ht="15" hidden="false" customHeight="false" outlineLevel="0" collapsed="false">
      <c r="A399" s="22" t="s">
        <v>706</v>
      </c>
      <c r="B399" s="22" t="s">
        <v>234</v>
      </c>
      <c r="C399" s="31" t="n">
        <v>46281</v>
      </c>
      <c r="D399" s="22" t="s">
        <v>300</v>
      </c>
      <c r="E399" s="22" t="s">
        <v>319</v>
      </c>
      <c r="F399" s="29" t="str">
        <f aca="false">IF(COUNTIF(Referral_Data!$C$5:$C$1000,B399)&gt;0,"Referred",IF(COUNTIF(Referral_Data!$B$5:$B$1000,B399)&gt;0,"Referrer","Organic"))</f>
        <v>Referred</v>
      </c>
      <c r="G399" s="29" t="n">
        <f aca="false">IF(COUNTIFS($B$5:B399,B399,$C$5:C399,C399)=1,1,0)</f>
        <v>0</v>
      </c>
      <c r="H399" s="29" t="n">
        <f aca="false">IF(AND(G399=1,COUNTIFS($B$5:$B$1635,B399,$C$5:$C$1635,"&lt;"&amp;C399)&gt;0),1,0)</f>
        <v>0</v>
      </c>
      <c r="I399" s="29" t="n">
        <f aca="false">IF(AND(D399="Feature Use",COUNTIFS($B$5:B399,B399,$D$5:D399,"Feature Use",$E$5:E399,E399)=1),1,0)</f>
        <v>1</v>
      </c>
      <c r="J399" s="29" t="n">
        <f aca="false">IF(AND(D399="Feature Use",COUNTIFS($B$5:B399,B399,$D$5:D399,"Feature Use",$E$5:E399,E399)=2),1,0)</f>
        <v>0</v>
      </c>
      <c r="K399" s="29" t="n">
        <f aca="false">IF(COUNTIF($B$5:B399,B399)=1,1,0)</f>
        <v>0</v>
      </c>
      <c r="L399" s="29" t="n">
        <f aca="false">IF(AND(C399&gt;=Settings!$B$5-Settings!$B$8+1,C399&lt;=Settings!$B$5,COUNTIFS($B$5:B399,B399,$C$5:C399,"&gt;="&amp;(Settings!$B$5-Settings!$B$8+1),$C$5:C399,"&lt;="&amp;Settings!$B$5)=1),1,0)</f>
        <v>0</v>
      </c>
      <c r="M399" s="29" t="n">
        <f aca="false">IF(AND(C399&gt;=Settings!$B$5-Settings!$B$9+1,C399&lt;=Settings!$B$5,COUNTIFS($B$5:B399,B399,$C$5:C399,"&gt;="&amp;(Settings!$B$5-Settings!$B$9+1),$C$5:C399,"&lt;="&amp;Settings!$B$5)=1),1,0)</f>
        <v>0</v>
      </c>
      <c r="N399" s="29" t="n">
        <f aca="false">IF(AND(D399="Feature Use",COUNTIFS($B$5:B399,B399,$D$5:D399,"Feature Use")=1),1,0)</f>
        <v>0</v>
      </c>
    </row>
    <row r="400" customFormat="false" ht="15" hidden="false" customHeight="false" outlineLevel="0" collapsed="false">
      <c r="A400" s="22" t="s">
        <v>707</v>
      </c>
      <c r="B400" s="22" t="s">
        <v>234</v>
      </c>
      <c r="C400" s="31" t="n">
        <v>46281</v>
      </c>
      <c r="D400" s="22" t="s">
        <v>308</v>
      </c>
      <c r="E400" s="22" t="s">
        <v>311</v>
      </c>
      <c r="F400" s="29" t="str">
        <f aca="false">IF(COUNTIF(Referral_Data!$C$5:$C$1000,B400)&gt;0,"Referred",IF(COUNTIF(Referral_Data!$B$5:$B$1000,B400)&gt;0,"Referrer","Organic"))</f>
        <v>Referred</v>
      </c>
      <c r="G400" s="29" t="n">
        <f aca="false">IF(COUNTIFS($B$5:B400,B400,$C$5:C400,C400)=1,1,0)</f>
        <v>0</v>
      </c>
      <c r="H400" s="29" t="n">
        <f aca="false">IF(AND(G400=1,COUNTIFS($B$5:$B$1635,B400,$C$5:$C$1635,"&lt;"&amp;C400)&gt;0),1,0)</f>
        <v>0</v>
      </c>
      <c r="I400" s="29" t="n">
        <f aca="false">IF(AND(D400="Feature Use",COUNTIFS($B$5:B400,B400,$D$5:D400,"Feature Use",$E$5:E400,E400)=1),1,0)</f>
        <v>0</v>
      </c>
      <c r="J400" s="29" t="n">
        <f aca="false">IF(AND(D400="Feature Use",COUNTIFS($B$5:B400,B400,$D$5:D400,"Feature Use",$E$5:E400,E400)=2),1,0)</f>
        <v>0</v>
      </c>
      <c r="K400" s="29" t="n">
        <f aca="false">IF(COUNTIF($B$5:B400,B400)=1,1,0)</f>
        <v>0</v>
      </c>
      <c r="L400" s="29" t="n">
        <f aca="false">IF(AND(C400&gt;=Settings!$B$5-Settings!$B$8+1,C400&lt;=Settings!$B$5,COUNTIFS($B$5:B400,B400,$C$5:C400,"&gt;="&amp;(Settings!$B$5-Settings!$B$8+1),$C$5:C400,"&lt;="&amp;Settings!$B$5)=1),1,0)</f>
        <v>0</v>
      </c>
      <c r="M400" s="29" t="n">
        <f aca="false">IF(AND(C400&gt;=Settings!$B$5-Settings!$B$9+1,C400&lt;=Settings!$B$5,COUNTIFS($B$5:B400,B400,$C$5:C400,"&gt;="&amp;(Settings!$B$5-Settings!$B$9+1),$C$5:C400,"&lt;="&amp;Settings!$B$5)=1),1,0)</f>
        <v>0</v>
      </c>
      <c r="N400" s="29" t="n">
        <f aca="false">IF(AND(D400="Feature Use",COUNTIFS($B$5:B400,B400,$D$5:D400,"Feature Use")=1),1,0)</f>
        <v>0</v>
      </c>
    </row>
    <row r="401" customFormat="false" ht="15" hidden="false" customHeight="false" outlineLevel="0" collapsed="false">
      <c r="A401" s="22" t="s">
        <v>708</v>
      </c>
      <c r="B401" s="22" t="s">
        <v>234</v>
      </c>
      <c r="C401" s="31" t="n">
        <v>46281</v>
      </c>
      <c r="D401" s="22" t="s">
        <v>308</v>
      </c>
      <c r="E401" s="22" t="s">
        <v>319</v>
      </c>
      <c r="F401" s="29" t="str">
        <f aca="false">IF(COUNTIF(Referral_Data!$C$5:$C$1000,B401)&gt;0,"Referred",IF(COUNTIF(Referral_Data!$B$5:$B$1000,B401)&gt;0,"Referrer","Organic"))</f>
        <v>Referred</v>
      </c>
      <c r="G401" s="29" t="n">
        <f aca="false">IF(COUNTIFS($B$5:B401,B401,$C$5:C401,C401)=1,1,0)</f>
        <v>0</v>
      </c>
      <c r="H401" s="29" t="n">
        <f aca="false">IF(AND(G401=1,COUNTIFS($B$5:$B$1635,B401,$C$5:$C$1635,"&lt;"&amp;C401)&gt;0),1,0)</f>
        <v>0</v>
      </c>
      <c r="I401" s="29" t="n">
        <f aca="false">IF(AND(D401="Feature Use",COUNTIFS($B$5:B401,B401,$D$5:D401,"Feature Use",$E$5:E401,E401)=1),1,0)</f>
        <v>0</v>
      </c>
      <c r="J401" s="29" t="n">
        <f aca="false">IF(AND(D401="Feature Use",COUNTIFS($B$5:B401,B401,$D$5:D401,"Feature Use",$E$5:E401,E401)=2),1,0)</f>
        <v>0</v>
      </c>
      <c r="K401" s="29" t="n">
        <f aca="false">IF(COUNTIF($B$5:B401,B401)=1,1,0)</f>
        <v>0</v>
      </c>
      <c r="L401" s="29" t="n">
        <f aca="false">IF(AND(C401&gt;=Settings!$B$5-Settings!$B$8+1,C401&lt;=Settings!$B$5,COUNTIFS($B$5:B401,B401,$C$5:C401,"&gt;="&amp;(Settings!$B$5-Settings!$B$8+1),$C$5:C401,"&lt;="&amp;Settings!$B$5)=1),1,0)</f>
        <v>0</v>
      </c>
      <c r="M401" s="29" t="n">
        <f aca="false">IF(AND(C401&gt;=Settings!$B$5-Settings!$B$9+1,C401&lt;=Settings!$B$5,COUNTIFS($B$5:B401,B401,$C$5:C401,"&gt;="&amp;(Settings!$B$5-Settings!$B$9+1),$C$5:C401,"&lt;="&amp;Settings!$B$5)=1),1,0)</f>
        <v>0</v>
      </c>
      <c r="N401" s="29" t="n">
        <f aca="false">IF(AND(D401="Feature Use",COUNTIFS($B$5:B401,B401,$D$5:D401,"Feature Use")=1),1,0)</f>
        <v>0</v>
      </c>
    </row>
    <row r="402" customFormat="false" ht="15" hidden="false" customHeight="false" outlineLevel="0" collapsed="false">
      <c r="A402" s="22" t="s">
        <v>709</v>
      </c>
      <c r="B402" s="22" t="s">
        <v>252</v>
      </c>
      <c r="C402" s="31" t="n">
        <v>46281</v>
      </c>
      <c r="D402" s="22" t="s">
        <v>297</v>
      </c>
      <c r="E402" s="22" t="s">
        <v>298</v>
      </c>
      <c r="F402" s="29" t="str">
        <f aca="false">IF(COUNTIF(Referral_Data!$C$5:$C$1000,B402)&gt;0,"Referred",IF(COUNTIF(Referral_Data!$B$5:$B$1000,B402)&gt;0,"Referrer","Organic"))</f>
        <v>Referred</v>
      </c>
      <c r="G402" s="29" t="n">
        <f aca="false">IF(COUNTIFS($B$5:B402,B402,$C$5:C402,C402)=1,1,0)</f>
        <v>1</v>
      </c>
      <c r="H402" s="29" t="n">
        <f aca="false">IF(AND(G402=1,COUNTIFS($B$5:$B$1635,B402,$C$5:$C$1635,"&lt;"&amp;C402)&gt;0),1,0)</f>
        <v>1</v>
      </c>
      <c r="I402" s="29" t="n">
        <f aca="false">IF(AND(D402="Feature Use",COUNTIFS($B$5:B402,B402,$D$5:D402,"Feature Use",$E$5:E402,E402)=1),1,0)</f>
        <v>0</v>
      </c>
      <c r="J402" s="29" t="n">
        <f aca="false">IF(AND(D402="Feature Use",COUNTIFS($B$5:B402,B402,$D$5:D402,"Feature Use",$E$5:E402,E402)=2),1,0)</f>
        <v>0</v>
      </c>
      <c r="K402" s="29" t="n">
        <f aca="false">IF(COUNTIF($B$5:B402,B402)=1,1,0)</f>
        <v>0</v>
      </c>
      <c r="L402" s="29" t="n">
        <f aca="false">IF(AND(C402&gt;=Settings!$B$5-Settings!$B$8+1,C402&lt;=Settings!$B$5,COUNTIFS($B$5:B402,B402,$C$5:C402,"&gt;="&amp;(Settings!$B$5-Settings!$B$8+1),$C$5:C402,"&lt;="&amp;Settings!$B$5)=1),1,0)</f>
        <v>0</v>
      </c>
      <c r="M402" s="29" t="n">
        <f aca="false">IF(AND(C402&gt;=Settings!$B$5-Settings!$B$9+1,C402&lt;=Settings!$B$5,COUNTIFS($B$5:B402,B402,$C$5:C402,"&gt;="&amp;(Settings!$B$5-Settings!$B$9+1),$C$5:C402,"&lt;="&amp;Settings!$B$5)=1),1,0)</f>
        <v>1</v>
      </c>
      <c r="N402" s="29" t="n">
        <f aca="false">IF(AND(D402="Feature Use",COUNTIFS($B$5:B402,B402,$D$5:D402,"Feature Use")=1),1,0)</f>
        <v>0</v>
      </c>
    </row>
    <row r="403" customFormat="false" ht="15" hidden="false" customHeight="false" outlineLevel="0" collapsed="false">
      <c r="A403" s="22" t="s">
        <v>710</v>
      </c>
      <c r="B403" s="22" t="s">
        <v>252</v>
      </c>
      <c r="C403" s="31" t="n">
        <v>46281</v>
      </c>
      <c r="D403" s="22" t="s">
        <v>300</v>
      </c>
      <c r="E403" s="22" t="s">
        <v>305</v>
      </c>
      <c r="F403" s="29" t="str">
        <f aca="false">IF(COUNTIF(Referral_Data!$C$5:$C$1000,B403)&gt;0,"Referred",IF(COUNTIF(Referral_Data!$B$5:$B$1000,B403)&gt;0,"Referrer","Organic"))</f>
        <v>Referred</v>
      </c>
      <c r="G403" s="29" t="n">
        <f aca="false">IF(COUNTIFS($B$5:B403,B403,$C$5:C403,C403)=1,1,0)</f>
        <v>0</v>
      </c>
      <c r="H403" s="29" t="n">
        <f aca="false">IF(AND(G403=1,COUNTIFS($B$5:$B$1635,B403,$C$5:$C$1635,"&lt;"&amp;C403)&gt;0),1,0)</f>
        <v>0</v>
      </c>
      <c r="I403" s="29" t="n">
        <f aca="false">IF(AND(D403="Feature Use",COUNTIFS($B$5:B403,B403,$D$5:D403,"Feature Use",$E$5:E403,E403)=1),1,0)</f>
        <v>1</v>
      </c>
      <c r="J403" s="29" t="n">
        <f aca="false">IF(AND(D403="Feature Use",COUNTIFS($B$5:B403,B403,$D$5:D403,"Feature Use",$E$5:E403,E403)=2),1,0)</f>
        <v>0</v>
      </c>
      <c r="K403" s="29" t="n">
        <f aca="false">IF(COUNTIF($B$5:B403,B403)=1,1,0)</f>
        <v>0</v>
      </c>
      <c r="L403" s="29" t="n">
        <f aca="false">IF(AND(C403&gt;=Settings!$B$5-Settings!$B$8+1,C403&lt;=Settings!$B$5,COUNTIFS($B$5:B403,B403,$C$5:C403,"&gt;="&amp;(Settings!$B$5-Settings!$B$8+1),$C$5:C403,"&lt;="&amp;Settings!$B$5)=1),1,0)</f>
        <v>0</v>
      </c>
      <c r="M403" s="29" t="n">
        <f aca="false">IF(AND(C403&gt;=Settings!$B$5-Settings!$B$9+1,C403&lt;=Settings!$B$5,COUNTIFS($B$5:B403,B403,$C$5:C403,"&gt;="&amp;(Settings!$B$5-Settings!$B$9+1),$C$5:C403,"&lt;="&amp;Settings!$B$5)=1),1,0)</f>
        <v>0</v>
      </c>
      <c r="N403" s="29" t="n">
        <f aca="false">IF(AND(D403="Feature Use",COUNTIFS($B$5:B403,B403,$D$5:D403,"Feature Use")=1),1,0)</f>
        <v>0</v>
      </c>
    </row>
    <row r="404" customFormat="false" ht="15" hidden="false" customHeight="false" outlineLevel="0" collapsed="false">
      <c r="A404" s="22" t="s">
        <v>711</v>
      </c>
      <c r="B404" s="22" t="s">
        <v>252</v>
      </c>
      <c r="C404" s="31" t="n">
        <v>46281</v>
      </c>
      <c r="D404" s="22" t="s">
        <v>300</v>
      </c>
      <c r="E404" s="22" t="s">
        <v>311</v>
      </c>
      <c r="F404" s="29" t="str">
        <f aca="false">IF(COUNTIF(Referral_Data!$C$5:$C$1000,B404)&gt;0,"Referred",IF(COUNTIF(Referral_Data!$B$5:$B$1000,B404)&gt;0,"Referrer","Organic"))</f>
        <v>Referred</v>
      </c>
      <c r="G404" s="29" t="n">
        <f aca="false">IF(COUNTIFS($B$5:B404,B404,$C$5:C404,C404)=1,1,0)</f>
        <v>0</v>
      </c>
      <c r="H404" s="29" t="n">
        <f aca="false">IF(AND(G404=1,COUNTIFS($B$5:$B$1635,B404,$C$5:$C$1635,"&lt;"&amp;C404)&gt;0),1,0)</f>
        <v>0</v>
      </c>
      <c r="I404" s="29" t="n">
        <f aca="false">IF(AND(D404="Feature Use",COUNTIFS($B$5:B404,B404,$D$5:D404,"Feature Use",$E$5:E404,E404)=1),1,0)</f>
        <v>0</v>
      </c>
      <c r="J404" s="29" t="n">
        <f aca="false">IF(AND(D404="Feature Use",COUNTIFS($B$5:B404,B404,$D$5:D404,"Feature Use",$E$5:E404,E404)=2),1,0)</f>
        <v>1</v>
      </c>
      <c r="K404" s="29" t="n">
        <f aca="false">IF(COUNTIF($B$5:B404,B404)=1,1,0)</f>
        <v>0</v>
      </c>
      <c r="L404" s="29" t="n">
        <f aca="false">IF(AND(C404&gt;=Settings!$B$5-Settings!$B$8+1,C404&lt;=Settings!$B$5,COUNTIFS($B$5:B404,B404,$C$5:C404,"&gt;="&amp;(Settings!$B$5-Settings!$B$8+1),$C$5:C404,"&lt;="&amp;Settings!$B$5)=1),1,0)</f>
        <v>0</v>
      </c>
      <c r="M404" s="29" t="n">
        <f aca="false">IF(AND(C404&gt;=Settings!$B$5-Settings!$B$9+1,C404&lt;=Settings!$B$5,COUNTIFS($B$5:B404,B404,$C$5:C404,"&gt;="&amp;(Settings!$B$5-Settings!$B$9+1),$C$5:C404,"&lt;="&amp;Settings!$B$5)=1),1,0)</f>
        <v>0</v>
      </c>
      <c r="N404" s="29" t="n">
        <f aca="false">IF(AND(D404="Feature Use",COUNTIFS($B$5:B404,B404,$D$5:D404,"Feature Use")=1),1,0)</f>
        <v>0</v>
      </c>
    </row>
    <row r="405" customFormat="false" ht="15" hidden="false" customHeight="false" outlineLevel="0" collapsed="false">
      <c r="A405" s="22" t="s">
        <v>712</v>
      </c>
      <c r="B405" s="22" t="s">
        <v>261</v>
      </c>
      <c r="C405" s="31" t="n">
        <v>46281</v>
      </c>
      <c r="D405" s="22" t="s">
        <v>297</v>
      </c>
      <c r="E405" s="22" t="s">
        <v>298</v>
      </c>
      <c r="F405" s="29" t="str">
        <f aca="false">IF(COUNTIF(Referral_Data!$C$5:$C$1000,B405)&gt;0,"Referred",IF(COUNTIF(Referral_Data!$B$5:$B$1000,B405)&gt;0,"Referrer","Organic"))</f>
        <v>Referred</v>
      </c>
      <c r="G405" s="29" t="n">
        <f aca="false">IF(COUNTIFS($B$5:B405,B405,$C$5:C405,C405)=1,1,0)</f>
        <v>1</v>
      </c>
      <c r="H405" s="29" t="n">
        <f aca="false">IF(AND(G405=1,COUNTIFS($B$5:$B$1635,B405,$C$5:$C$1635,"&lt;"&amp;C405)&gt;0),1,0)</f>
        <v>0</v>
      </c>
      <c r="I405" s="29" t="n">
        <f aca="false">IF(AND(D405="Feature Use",COUNTIFS($B$5:B405,B405,$D$5:D405,"Feature Use",$E$5:E405,E405)=1),1,0)</f>
        <v>0</v>
      </c>
      <c r="J405" s="29" t="n">
        <f aca="false">IF(AND(D405="Feature Use",COUNTIFS($B$5:B405,B405,$D$5:D405,"Feature Use",$E$5:E405,E405)=2),1,0)</f>
        <v>0</v>
      </c>
      <c r="K405" s="29" t="n">
        <f aca="false">IF(COUNTIF($B$5:B405,B405)=1,1,0)</f>
        <v>1</v>
      </c>
      <c r="L405" s="29" t="n">
        <f aca="false">IF(AND(C405&gt;=Settings!$B$5-Settings!$B$8+1,C405&lt;=Settings!$B$5,COUNTIFS($B$5:B405,B405,$C$5:C405,"&gt;="&amp;(Settings!$B$5-Settings!$B$8+1),$C$5:C405,"&lt;="&amp;Settings!$B$5)=1),1,0)</f>
        <v>0</v>
      </c>
      <c r="M405" s="29" t="n">
        <f aca="false">IF(AND(C405&gt;=Settings!$B$5-Settings!$B$9+1,C405&lt;=Settings!$B$5,COUNTIFS($B$5:B405,B405,$C$5:C405,"&gt;="&amp;(Settings!$B$5-Settings!$B$9+1),$C$5:C405,"&lt;="&amp;Settings!$B$5)=1),1,0)</f>
        <v>1</v>
      </c>
      <c r="N405" s="29" t="n">
        <f aca="false">IF(AND(D405="Feature Use",COUNTIFS($B$5:B405,B405,$D$5:D405,"Feature Use")=1),1,0)</f>
        <v>0</v>
      </c>
    </row>
    <row r="406" customFormat="false" ht="15" hidden="false" customHeight="false" outlineLevel="0" collapsed="false">
      <c r="A406" s="22" t="s">
        <v>713</v>
      </c>
      <c r="B406" s="22" t="s">
        <v>261</v>
      </c>
      <c r="C406" s="31" t="n">
        <v>46281</v>
      </c>
      <c r="D406" s="22" t="s">
        <v>300</v>
      </c>
      <c r="E406" s="22" t="s">
        <v>305</v>
      </c>
      <c r="F406" s="29" t="str">
        <f aca="false">IF(COUNTIF(Referral_Data!$C$5:$C$1000,B406)&gt;0,"Referred",IF(COUNTIF(Referral_Data!$B$5:$B$1000,B406)&gt;0,"Referrer","Organic"))</f>
        <v>Referred</v>
      </c>
      <c r="G406" s="29" t="n">
        <f aca="false">IF(COUNTIFS($B$5:B406,B406,$C$5:C406,C406)=1,1,0)</f>
        <v>0</v>
      </c>
      <c r="H406" s="29" t="n">
        <f aca="false">IF(AND(G406=1,COUNTIFS($B$5:$B$1635,B406,$C$5:$C$1635,"&lt;"&amp;C406)&gt;0),1,0)</f>
        <v>0</v>
      </c>
      <c r="I406" s="29" t="n">
        <f aca="false">IF(AND(D406="Feature Use",COUNTIFS($B$5:B406,B406,$D$5:D406,"Feature Use",$E$5:E406,E406)=1),1,0)</f>
        <v>1</v>
      </c>
      <c r="J406" s="29" t="n">
        <f aca="false">IF(AND(D406="Feature Use",COUNTIFS($B$5:B406,B406,$D$5:D406,"Feature Use",$E$5:E406,E406)=2),1,0)</f>
        <v>0</v>
      </c>
      <c r="K406" s="29" t="n">
        <f aca="false">IF(COUNTIF($B$5:B406,B406)=1,1,0)</f>
        <v>0</v>
      </c>
      <c r="L406" s="29" t="n">
        <f aca="false">IF(AND(C406&gt;=Settings!$B$5-Settings!$B$8+1,C406&lt;=Settings!$B$5,COUNTIFS($B$5:B406,B406,$C$5:C406,"&gt;="&amp;(Settings!$B$5-Settings!$B$8+1),$C$5:C406,"&lt;="&amp;Settings!$B$5)=1),1,0)</f>
        <v>0</v>
      </c>
      <c r="M406" s="29" t="n">
        <f aca="false">IF(AND(C406&gt;=Settings!$B$5-Settings!$B$9+1,C406&lt;=Settings!$B$5,COUNTIFS($B$5:B406,B406,$C$5:C406,"&gt;="&amp;(Settings!$B$5-Settings!$B$9+1),$C$5:C406,"&lt;="&amp;Settings!$B$5)=1),1,0)</f>
        <v>0</v>
      </c>
      <c r="N406" s="29" t="n">
        <f aca="false">IF(AND(D406="Feature Use",COUNTIFS($B$5:B406,B406,$D$5:D406,"Feature Use")=1),1,0)</f>
        <v>1</v>
      </c>
    </row>
    <row r="407" customFormat="false" ht="15" hidden="false" customHeight="false" outlineLevel="0" collapsed="false">
      <c r="A407" s="22" t="s">
        <v>714</v>
      </c>
      <c r="B407" s="22" t="s">
        <v>167</v>
      </c>
      <c r="C407" s="31" t="n">
        <v>46281</v>
      </c>
      <c r="D407" s="22" t="s">
        <v>297</v>
      </c>
      <c r="E407" s="22" t="s">
        <v>298</v>
      </c>
      <c r="F407" s="29" t="str">
        <f aca="false">IF(COUNTIF(Referral_Data!$C$5:$C$1000,B407)&gt;0,"Referred",IF(COUNTIF(Referral_Data!$B$5:$B$1000,B407)&gt;0,"Referrer","Organic"))</f>
        <v>Referrer</v>
      </c>
      <c r="G407" s="29" t="n">
        <f aca="false">IF(COUNTIFS($B$5:B407,B407,$C$5:C407,C407)=1,1,0)</f>
        <v>1</v>
      </c>
      <c r="H407" s="29" t="n">
        <f aca="false">IF(AND(G407=1,COUNTIFS($B$5:$B$1635,B407,$C$5:$C$1635,"&lt;"&amp;C407)&gt;0),1,0)</f>
        <v>1</v>
      </c>
      <c r="I407" s="29" t="n">
        <f aca="false">IF(AND(D407="Feature Use",COUNTIFS($B$5:B407,B407,$D$5:D407,"Feature Use",$E$5:E407,E407)=1),1,0)</f>
        <v>0</v>
      </c>
      <c r="J407" s="29" t="n">
        <f aca="false">IF(AND(D407="Feature Use",COUNTIFS($B$5:B407,B407,$D$5:D407,"Feature Use",$E$5:E407,E407)=2),1,0)</f>
        <v>0</v>
      </c>
      <c r="K407" s="29" t="n">
        <f aca="false">IF(COUNTIF($B$5:B407,B407)=1,1,0)</f>
        <v>0</v>
      </c>
      <c r="L407" s="29" t="n">
        <f aca="false">IF(AND(C407&gt;=Settings!$B$5-Settings!$B$8+1,C407&lt;=Settings!$B$5,COUNTIFS($B$5:B407,B407,$C$5:C407,"&gt;="&amp;(Settings!$B$5-Settings!$B$8+1),$C$5:C407,"&lt;="&amp;Settings!$B$5)=1),1,0)</f>
        <v>0</v>
      </c>
      <c r="M407" s="29" t="n">
        <f aca="false">IF(AND(C407&gt;=Settings!$B$5-Settings!$B$9+1,C407&lt;=Settings!$B$5,COUNTIFS($B$5:B407,B407,$C$5:C407,"&gt;="&amp;(Settings!$B$5-Settings!$B$9+1),$C$5:C407,"&lt;="&amp;Settings!$B$5)=1),1,0)</f>
        <v>1</v>
      </c>
      <c r="N407" s="29" t="n">
        <f aca="false">IF(AND(D407="Feature Use",COUNTIFS($B$5:B407,B407,$D$5:D407,"Feature Use")=1),1,0)</f>
        <v>0</v>
      </c>
    </row>
    <row r="408" customFormat="false" ht="15" hidden="false" customHeight="false" outlineLevel="0" collapsed="false">
      <c r="A408" s="22" t="s">
        <v>715</v>
      </c>
      <c r="B408" s="22" t="s">
        <v>167</v>
      </c>
      <c r="C408" s="31" t="n">
        <v>46281</v>
      </c>
      <c r="D408" s="22" t="s">
        <v>300</v>
      </c>
      <c r="E408" s="22" t="s">
        <v>305</v>
      </c>
      <c r="F408" s="29" t="str">
        <f aca="false">IF(COUNTIF(Referral_Data!$C$5:$C$1000,B408)&gt;0,"Referred",IF(COUNTIF(Referral_Data!$B$5:$B$1000,B408)&gt;0,"Referrer","Organic"))</f>
        <v>Referrer</v>
      </c>
      <c r="G408" s="29" t="n">
        <f aca="false">IF(COUNTIFS($B$5:B408,B408,$C$5:C408,C408)=1,1,0)</f>
        <v>0</v>
      </c>
      <c r="H408" s="29" t="n">
        <f aca="false">IF(AND(G408=1,COUNTIFS($B$5:$B$1635,B408,$C$5:$C$1635,"&lt;"&amp;C408)&gt;0),1,0)</f>
        <v>0</v>
      </c>
      <c r="I408" s="29" t="n">
        <f aca="false">IF(AND(D408="Feature Use",COUNTIFS($B$5:B408,B408,$D$5:D408,"Feature Use",$E$5:E408,E408)=1),1,0)</f>
        <v>1</v>
      </c>
      <c r="J408" s="29" t="n">
        <f aca="false">IF(AND(D408="Feature Use",COUNTIFS($B$5:B408,B408,$D$5:D408,"Feature Use",$E$5:E408,E408)=2),1,0)</f>
        <v>0</v>
      </c>
      <c r="K408" s="29" t="n">
        <f aca="false">IF(COUNTIF($B$5:B408,B408)=1,1,0)</f>
        <v>0</v>
      </c>
      <c r="L408" s="29" t="n">
        <f aca="false">IF(AND(C408&gt;=Settings!$B$5-Settings!$B$8+1,C408&lt;=Settings!$B$5,COUNTIFS($B$5:B408,B408,$C$5:C408,"&gt;="&amp;(Settings!$B$5-Settings!$B$8+1),$C$5:C408,"&lt;="&amp;Settings!$B$5)=1),1,0)</f>
        <v>0</v>
      </c>
      <c r="M408" s="29" t="n">
        <f aca="false">IF(AND(C408&gt;=Settings!$B$5-Settings!$B$9+1,C408&lt;=Settings!$B$5,COUNTIFS($B$5:B408,B408,$C$5:C408,"&gt;="&amp;(Settings!$B$5-Settings!$B$9+1),$C$5:C408,"&lt;="&amp;Settings!$B$5)=1),1,0)</f>
        <v>0</v>
      </c>
      <c r="N408" s="29" t="n">
        <f aca="false">IF(AND(D408="Feature Use",COUNTIFS($B$5:B408,B408,$D$5:D408,"Feature Use")=1),1,0)</f>
        <v>0</v>
      </c>
    </row>
    <row r="409" customFormat="false" ht="15" hidden="false" customHeight="false" outlineLevel="0" collapsed="false">
      <c r="A409" s="22" t="s">
        <v>716</v>
      </c>
      <c r="B409" s="22" t="s">
        <v>167</v>
      </c>
      <c r="C409" s="31" t="n">
        <v>46281</v>
      </c>
      <c r="D409" s="22" t="s">
        <v>300</v>
      </c>
      <c r="E409" s="22" t="s">
        <v>309</v>
      </c>
      <c r="F409" s="29" t="str">
        <f aca="false">IF(COUNTIF(Referral_Data!$C$5:$C$1000,B409)&gt;0,"Referred",IF(COUNTIF(Referral_Data!$B$5:$B$1000,B409)&gt;0,"Referrer","Organic"))</f>
        <v>Referrer</v>
      </c>
      <c r="G409" s="29" t="n">
        <f aca="false">IF(COUNTIFS($B$5:B409,B409,$C$5:C409,C409)=1,1,0)</f>
        <v>0</v>
      </c>
      <c r="H409" s="29" t="n">
        <f aca="false">IF(AND(G409=1,COUNTIFS($B$5:$B$1635,B409,$C$5:$C$1635,"&lt;"&amp;C409)&gt;0),1,0)</f>
        <v>0</v>
      </c>
      <c r="I409" s="29" t="n">
        <f aca="false">IF(AND(D409="Feature Use",COUNTIFS($B$5:B409,B409,$D$5:D409,"Feature Use",$E$5:E409,E409)=1),1,0)</f>
        <v>1</v>
      </c>
      <c r="J409" s="29" t="n">
        <f aca="false">IF(AND(D409="Feature Use",COUNTIFS($B$5:B409,B409,$D$5:D409,"Feature Use",$E$5:E409,E409)=2),1,0)</f>
        <v>0</v>
      </c>
      <c r="K409" s="29" t="n">
        <f aca="false">IF(COUNTIF($B$5:B409,B409)=1,1,0)</f>
        <v>0</v>
      </c>
      <c r="L409" s="29" t="n">
        <f aca="false">IF(AND(C409&gt;=Settings!$B$5-Settings!$B$8+1,C409&lt;=Settings!$B$5,COUNTIFS($B$5:B409,B409,$C$5:C409,"&gt;="&amp;(Settings!$B$5-Settings!$B$8+1),$C$5:C409,"&lt;="&amp;Settings!$B$5)=1),1,0)</f>
        <v>0</v>
      </c>
      <c r="M409" s="29" t="n">
        <f aca="false">IF(AND(C409&gt;=Settings!$B$5-Settings!$B$9+1,C409&lt;=Settings!$B$5,COUNTIFS($B$5:B409,B409,$C$5:C409,"&gt;="&amp;(Settings!$B$5-Settings!$B$9+1),$C$5:C409,"&lt;="&amp;Settings!$B$5)=1),1,0)</f>
        <v>0</v>
      </c>
      <c r="N409" s="29" t="n">
        <f aca="false">IF(AND(D409="Feature Use",COUNTIFS($B$5:B409,B409,$D$5:D409,"Feature Use")=1),1,0)</f>
        <v>0</v>
      </c>
    </row>
    <row r="410" customFormat="false" ht="15" hidden="false" customHeight="false" outlineLevel="0" collapsed="false">
      <c r="A410" s="22" t="s">
        <v>717</v>
      </c>
      <c r="B410" s="22" t="s">
        <v>167</v>
      </c>
      <c r="C410" s="31" t="n">
        <v>46281</v>
      </c>
      <c r="D410" s="22" t="s">
        <v>308</v>
      </c>
      <c r="E410" s="22" t="s">
        <v>305</v>
      </c>
      <c r="F410" s="29" t="str">
        <f aca="false">IF(COUNTIF(Referral_Data!$C$5:$C$1000,B410)&gt;0,"Referred",IF(COUNTIF(Referral_Data!$B$5:$B$1000,B410)&gt;0,"Referrer","Organic"))</f>
        <v>Referrer</v>
      </c>
      <c r="G410" s="29" t="n">
        <f aca="false">IF(COUNTIFS($B$5:B410,B410,$C$5:C410,C410)=1,1,0)</f>
        <v>0</v>
      </c>
      <c r="H410" s="29" t="n">
        <f aca="false">IF(AND(G410=1,COUNTIFS($B$5:$B$1635,B410,$C$5:$C$1635,"&lt;"&amp;C410)&gt;0),1,0)</f>
        <v>0</v>
      </c>
      <c r="I410" s="29" t="n">
        <f aca="false">IF(AND(D410="Feature Use",COUNTIFS($B$5:B410,B410,$D$5:D410,"Feature Use",$E$5:E410,E410)=1),1,0)</f>
        <v>0</v>
      </c>
      <c r="J410" s="29" t="n">
        <f aca="false">IF(AND(D410="Feature Use",COUNTIFS($B$5:B410,B410,$D$5:D410,"Feature Use",$E$5:E410,E410)=2),1,0)</f>
        <v>0</v>
      </c>
      <c r="K410" s="29" t="n">
        <f aca="false">IF(COUNTIF($B$5:B410,B410)=1,1,0)</f>
        <v>0</v>
      </c>
      <c r="L410" s="29" t="n">
        <f aca="false">IF(AND(C410&gt;=Settings!$B$5-Settings!$B$8+1,C410&lt;=Settings!$B$5,COUNTIFS($B$5:B410,B410,$C$5:C410,"&gt;="&amp;(Settings!$B$5-Settings!$B$8+1),$C$5:C410,"&lt;="&amp;Settings!$B$5)=1),1,0)</f>
        <v>0</v>
      </c>
      <c r="M410" s="29" t="n">
        <f aca="false">IF(AND(C410&gt;=Settings!$B$5-Settings!$B$9+1,C410&lt;=Settings!$B$5,COUNTIFS($B$5:B410,B410,$C$5:C410,"&gt;="&amp;(Settings!$B$5-Settings!$B$9+1),$C$5:C410,"&lt;="&amp;Settings!$B$5)=1),1,0)</f>
        <v>0</v>
      </c>
      <c r="N410" s="29" t="n">
        <f aca="false">IF(AND(D410="Feature Use",COUNTIFS($B$5:B410,B410,$D$5:D410,"Feature Use")=1),1,0)</f>
        <v>0</v>
      </c>
    </row>
    <row r="411" customFormat="false" ht="15" hidden="false" customHeight="false" outlineLevel="0" collapsed="false">
      <c r="A411" s="22" t="s">
        <v>718</v>
      </c>
      <c r="B411" s="22" t="s">
        <v>167</v>
      </c>
      <c r="C411" s="31" t="n">
        <v>46281</v>
      </c>
      <c r="D411" s="22" t="s">
        <v>308</v>
      </c>
      <c r="E411" s="22" t="s">
        <v>311</v>
      </c>
      <c r="F411" s="29" t="str">
        <f aca="false">IF(COUNTIF(Referral_Data!$C$5:$C$1000,B411)&gt;0,"Referred",IF(COUNTIF(Referral_Data!$B$5:$B$1000,B411)&gt;0,"Referrer","Organic"))</f>
        <v>Referrer</v>
      </c>
      <c r="G411" s="29" t="n">
        <f aca="false">IF(COUNTIFS($B$5:B411,B411,$C$5:C411,C411)=1,1,0)</f>
        <v>0</v>
      </c>
      <c r="H411" s="29" t="n">
        <f aca="false">IF(AND(G411=1,COUNTIFS($B$5:$B$1635,B411,$C$5:$C$1635,"&lt;"&amp;C411)&gt;0),1,0)</f>
        <v>0</v>
      </c>
      <c r="I411" s="29" t="n">
        <f aca="false">IF(AND(D411="Feature Use",COUNTIFS($B$5:B411,B411,$D$5:D411,"Feature Use",$E$5:E411,E411)=1),1,0)</f>
        <v>0</v>
      </c>
      <c r="J411" s="29" t="n">
        <f aca="false">IF(AND(D411="Feature Use",COUNTIFS($B$5:B411,B411,$D$5:D411,"Feature Use",$E$5:E411,E411)=2),1,0)</f>
        <v>0</v>
      </c>
      <c r="K411" s="29" t="n">
        <f aca="false">IF(COUNTIF($B$5:B411,B411)=1,1,0)</f>
        <v>0</v>
      </c>
      <c r="L411" s="29" t="n">
        <f aca="false">IF(AND(C411&gt;=Settings!$B$5-Settings!$B$8+1,C411&lt;=Settings!$B$5,COUNTIFS($B$5:B411,B411,$C$5:C411,"&gt;="&amp;(Settings!$B$5-Settings!$B$8+1),$C$5:C411,"&lt;="&amp;Settings!$B$5)=1),1,0)</f>
        <v>0</v>
      </c>
      <c r="M411" s="29" t="n">
        <f aca="false">IF(AND(C411&gt;=Settings!$B$5-Settings!$B$9+1,C411&lt;=Settings!$B$5,COUNTIFS($B$5:B411,B411,$C$5:C411,"&gt;="&amp;(Settings!$B$5-Settings!$B$9+1),$C$5:C411,"&lt;="&amp;Settings!$B$5)=1),1,0)</f>
        <v>0</v>
      </c>
      <c r="N411" s="29" t="n">
        <f aca="false">IF(AND(D411="Feature Use",COUNTIFS($B$5:B411,B411,$D$5:D411,"Feature Use")=1),1,0)</f>
        <v>0</v>
      </c>
    </row>
    <row r="412" customFormat="false" ht="15" hidden="false" customHeight="false" outlineLevel="0" collapsed="false">
      <c r="A412" s="22" t="s">
        <v>719</v>
      </c>
      <c r="B412" s="22" t="s">
        <v>196</v>
      </c>
      <c r="C412" s="31" t="n">
        <v>46281</v>
      </c>
      <c r="D412" s="22" t="s">
        <v>297</v>
      </c>
      <c r="E412" s="22" t="s">
        <v>298</v>
      </c>
      <c r="F412" s="29" t="str">
        <f aca="false">IF(COUNTIF(Referral_Data!$C$5:$C$1000,B412)&gt;0,"Referred",IF(COUNTIF(Referral_Data!$B$5:$B$1000,B412)&gt;0,"Referrer","Organic"))</f>
        <v>Referrer</v>
      </c>
      <c r="G412" s="29" t="n">
        <f aca="false">IF(COUNTIFS($B$5:B412,B412,$C$5:C412,C412)=1,1,0)</f>
        <v>1</v>
      </c>
      <c r="H412" s="29" t="n">
        <f aca="false">IF(AND(G412=1,COUNTIFS($B$5:$B$1635,B412,$C$5:$C$1635,"&lt;"&amp;C412)&gt;0),1,0)</f>
        <v>1</v>
      </c>
      <c r="I412" s="29" t="n">
        <f aca="false">IF(AND(D412="Feature Use",COUNTIFS($B$5:B412,B412,$D$5:D412,"Feature Use",$E$5:E412,E412)=1),1,0)</f>
        <v>0</v>
      </c>
      <c r="J412" s="29" t="n">
        <f aca="false">IF(AND(D412="Feature Use",COUNTIFS($B$5:B412,B412,$D$5:D412,"Feature Use",$E$5:E412,E412)=2),1,0)</f>
        <v>0</v>
      </c>
      <c r="K412" s="29" t="n">
        <f aca="false">IF(COUNTIF($B$5:B412,B412)=1,1,0)</f>
        <v>0</v>
      </c>
      <c r="L412" s="29" t="n">
        <f aca="false">IF(AND(C412&gt;=Settings!$B$5-Settings!$B$8+1,C412&lt;=Settings!$B$5,COUNTIFS($B$5:B412,B412,$C$5:C412,"&gt;="&amp;(Settings!$B$5-Settings!$B$8+1),$C$5:C412,"&lt;="&amp;Settings!$B$5)=1),1,0)</f>
        <v>0</v>
      </c>
      <c r="M412" s="29" t="n">
        <f aca="false">IF(AND(C412&gt;=Settings!$B$5-Settings!$B$9+1,C412&lt;=Settings!$B$5,COUNTIFS($B$5:B412,B412,$C$5:C412,"&gt;="&amp;(Settings!$B$5-Settings!$B$9+1),$C$5:C412,"&lt;="&amp;Settings!$B$5)=1),1,0)</f>
        <v>1</v>
      </c>
      <c r="N412" s="29" t="n">
        <f aca="false">IF(AND(D412="Feature Use",COUNTIFS($B$5:B412,B412,$D$5:D412,"Feature Use")=1),1,0)</f>
        <v>0</v>
      </c>
    </row>
    <row r="413" customFormat="false" ht="15" hidden="false" customHeight="false" outlineLevel="0" collapsed="false">
      <c r="A413" s="22" t="s">
        <v>720</v>
      </c>
      <c r="B413" s="22" t="s">
        <v>196</v>
      </c>
      <c r="C413" s="31" t="n">
        <v>46281</v>
      </c>
      <c r="D413" s="22" t="s">
        <v>300</v>
      </c>
      <c r="E413" s="22" t="s">
        <v>301</v>
      </c>
      <c r="F413" s="29" t="str">
        <f aca="false">IF(COUNTIF(Referral_Data!$C$5:$C$1000,B413)&gt;0,"Referred",IF(COUNTIF(Referral_Data!$B$5:$B$1000,B413)&gt;0,"Referrer","Organic"))</f>
        <v>Referrer</v>
      </c>
      <c r="G413" s="29" t="n">
        <f aca="false">IF(COUNTIFS($B$5:B413,B413,$C$5:C413,C413)=1,1,0)</f>
        <v>0</v>
      </c>
      <c r="H413" s="29" t="n">
        <f aca="false">IF(AND(G413=1,COUNTIFS($B$5:$B$1635,B413,$C$5:$C$1635,"&lt;"&amp;C413)&gt;0),1,0)</f>
        <v>0</v>
      </c>
      <c r="I413" s="29" t="n">
        <f aca="false">IF(AND(D413="Feature Use",COUNTIFS($B$5:B413,B413,$D$5:D413,"Feature Use",$E$5:E413,E413)=1),1,0)</f>
        <v>1</v>
      </c>
      <c r="J413" s="29" t="n">
        <f aca="false">IF(AND(D413="Feature Use",COUNTIFS($B$5:B413,B413,$D$5:D413,"Feature Use",$E$5:E413,E413)=2),1,0)</f>
        <v>0</v>
      </c>
      <c r="K413" s="29" t="n">
        <f aca="false">IF(COUNTIF($B$5:B413,B413)=1,1,0)</f>
        <v>0</v>
      </c>
      <c r="L413" s="29" t="n">
        <f aca="false">IF(AND(C413&gt;=Settings!$B$5-Settings!$B$8+1,C413&lt;=Settings!$B$5,COUNTIFS($B$5:B413,B413,$C$5:C413,"&gt;="&amp;(Settings!$B$5-Settings!$B$8+1),$C$5:C413,"&lt;="&amp;Settings!$B$5)=1),1,0)</f>
        <v>0</v>
      </c>
      <c r="M413" s="29" t="n">
        <f aca="false">IF(AND(C413&gt;=Settings!$B$5-Settings!$B$9+1,C413&lt;=Settings!$B$5,COUNTIFS($B$5:B413,B413,$C$5:C413,"&gt;="&amp;(Settings!$B$5-Settings!$B$9+1),$C$5:C413,"&lt;="&amp;Settings!$B$5)=1),1,0)</f>
        <v>0</v>
      </c>
      <c r="N413" s="29" t="n">
        <f aca="false">IF(AND(D413="Feature Use",COUNTIFS($B$5:B413,B413,$D$5:D413,"Feature Use")=1),1,0)</f>
        <v>0</v>
      </c>
    </row>
    <row r="414" customFormat="false" ht="15" hidden="false" customHeight="false" outlineLevel="0" collapsed="false">
      <c r="A414" s="22" t="s">
        <v>721</v>
      </c>
      <c r="B414" s="22" t="s">
        <v>196</v>
      </c>
      <c r="C414" s="31" t="n">
        <v>46281</v>
      </c>
      <c r="D414" s="22" t="s">
        <v>308</v>
      </c>
      <c r="E414" s="22" t="s">
        <v>311</v>
      </c>
      <c r="F414" s="29" t="str">
        <f aca="false">IF(COUNTIF(Referral_Data!$C$5:$C$1000,B414)&gt;0,"Referred",IF(COUNTIF(Referral_Data!$B$5:$B$1000,B414)&gt;0,"Referrer","Organic"))</f>
        <v>Referrer</v>
      </c>
      <c r="G414" s="29" t="n">
        <f aca="false">IF(COUNTIFS($B$5:B414,B414,$C$5:C414,C414)=1,1,0)</f>
        <v>0</v>
      </c>
      <c r="H414" s="29" t="n">
        <f aca="false">IF(AND(G414=1,COUNTIFS($B$5:$B$1635,B414,$C$5:$C$1635,"&lt;"&amp;C414)&gt;0),1,0)</f>
        <v>0</v>
      </c>
      <c r="I414" s="29" t="n">
        <f aca="false">IF(AND(D414="Feature Use",COUNTIFS($B$5:B414,B414,$D$5:D414,"Feature Use",$E$5:E414,E414)=1),1,0)</f>
        <v>0</v>
      </c>
      <c r="J414" s="29" t="n">
        <f aca="false">IF(AND(D414="Feature Use",COUNTIFS($B$5:B414,B414,$D$5:D414,"Feature Use",$E$5:E414,E414)=2),1,0)</f>
        <v>0</v>
      </c>
      <c r="K414" s="29" t="n">
        <f aca="false">IF(COUNTIF($B$5:B414,B414)=1,1,0)</f>
        <v>0</v>
      </c>
      <c r="L414" s="29" t="n">
        <f aca="false">IF(AND(C414&gt;=Settings!$B$5-Settings!$B$8+1,C414&lt;=Settings!$B$5,COUNTIFS($B$5:B414,B414,$C$5:C414,"&gt;="&amp;(Settings!$B$5-Settings!$B$8+1),$C$5:C414,"&lt;="&amp;Settings!$B$5)=1),1,0)</f>
        <v>0</v>
      </c>
      <c r="M414" s="29" t="n">
        <f aca="false">IF(AND(C414&gt;=Settings!$B$5-Settings!$B$9+1,C414&lt;=Settings!$B$5,COUNTIFS($B$5:B414,B414,$C$5:C414,"&gt;="&amp;(Settings!$B$5-Settings!$B$9+1),$C$5:C414,"&lt;="&amp;Settings!$B$5)=1),1,0)</f>
        <v>0</v>
      </c>
      <c r="N414" s="29" t="n">
        <f aca="false">IF(AND(D414="Feature Use",COUNTIFS($B$5:B414,B414,$D$5:D414,"Feature Use")=1),1,0)</f>
        <v>0</v>
      </c>
    </row>
    <row r="415" customFormat="false" ht="15" hidden="false" customHeight="false" outlineLevel="0" collapsed="false">
      <c r="A415" s="22" t="s">
        <v>722</v>
      </c>
      <c r="B415" s="22" t="s">
        <v>196</v>
      </c>
      <c r="C415" s="31" t="n">
        <v>46281</v>
      </c>
      <c r="D415" s="22" t="s">
        <v>308</v>
      </c>
      <c r="E415" s="22" t="s">
        <v>301</v>
      </c>
      <c r="F415" s="29" t="str">
        <f aca="false">IF(COUNTIF(Referral_Data!$C$5:$C$1000,B415)&gt;0,"Referred",IF(COUNTIF(Referral_Data!$B$5:$B$1000,B415)&gt;0,"Referrer","Organic"))</f>
        <v>Referrer</v>
      </c>
      <c r="G415" s="29" t="n">
        <f aca="false">IF(COUNTIFS($B$5:B415,B415,$C$5:C415,C415)=1,1,0)</f>
        <v>0</v>
      </c>
      <c r="H415" s="29" t="n">
        <f aca="false">IF(AND(G415=1,COUNTIFS($B$5:$B$1635,B415,$C$5:$C$1635,"&lt;"&amp;C415)&gt;0),1,0)</f>
        <v>0</v>
      </c>
      <c r="I415" s="29" t="n">
        <f aca="false">IF(AND(D415="Feature Use",COUNTIFS($B$5:B415,B415,$D$5:D415,"Feature Use",$E$5:E415,E415)=1),1,0)</f>
        <v>0</v>
      </c>
      <c r="J415" s="29" t="n">
        <f aca="false">IF(AND(D415="Feature Use",COUNTIFS($B$5:B415,B415,$D$5:D415,"Feature Use",$E$5:E415,E415)=2),1,0)</f>
        <v>0</v>
      </c>
      <c r="K415" s="29" t="n">
        <f aca="false">IF(COUNTIF($B$5:B415,B415)=1,1,0)</f>
        <v>0</v>
      </c>
      <c r="L415" s="29" t="n">
        <f aca="false">IF(AND(C415&gt;=Settings!$B$5-Settings!$B$8+1,C415&lt;=Settings!$B$5,COUNTIFS($B$5:B415,B415,$C$5:C415,"&gt;="&amp;(Settings!$B$5-Settings!$B$8+1),$C$5:C415,"&lt;="&amp;Settings!$B$5)=1),1,0)</f>
        <v>0</v>
      </c>
      <c r="M415" s="29" t="n">
        <f aca="false">IF(AND(C415&gt;=Settings!$B$5-Settings!$B$9+1,C415&lt;=Settings!$B$5,COUNTIFS($B$5:B415,B415,$C$5:C415,"&gt;="&amp;(Settings!$B$5-Settings!$B$9+1),$C$5:C415,"&lt;="&amp;Settings!$B$5)=1),1,0)</f>
        <v>0</v>
      </c>
      <c r="N415" s="29" t="n">
        <f aca="false">IF(AND(D415="Feature Use",COUNTIFS($B$5:B415,B415,$D$5:D415,"Feature Use")=1),1,0)</f>
        <v>0</v>
      </c>
    </row>
    <row r="416" customFormat="false" ht="15" hidden="false" customHeight="false" outlineLevel="0" collapsed="false">
      <c r="A416" s="22" t="s">
        <v>723</v>
      </c>
      <c r="B416" s="22" t="s">
        <v>208</v>
      </c>
      <c r="C416" s="31" t="n">
        <v>46281</v>
      </c>
      <c r="D416" s="22" t="s">
        <v>297</v>
      </c>
      <c r="E416" s="22" t="s">
        <v>298</v>
      </c>
      <c r="F416" s="29" t="str">
        <f aca="false">IF(COUNTIF(Referral_Data!$C$5:$C$1000,B416)&gt;0,"Referred",IF(COUNTIF(Referral_Data!$B$5:$B$1000,B416)&gt;0,"Referrer","Organic"))</f>
        <v>Referrer</v>
      </c>
      <c r="G416" s="29" t="n">
        <f aca="false">IF(COUNTIFS($B$5:B416,B416,$C$5:C416,C416)=1,1,0)</f>
        <v>1</v>
      </c>
      <c r="H416" s="29" t="n">
        <f aca="false">IF(AND(G416=1,COUNTIFS($B$5:$B$1635,B416,$C$5:$C$1635,"&lt;"&amp;C416)&gt;0),1,0)</f>
        <v>1</v>
      </c>
      <c r="I416" s="29" t="n">
        <f aca="false">IF(AND(D416="Feature Use",COUNTIFS($B$5:B416,B416,$D$5:D416,"Feature Use",$E$5:E416,E416)=1),1,0)</f>
        <v>0</v>
      </c>
      <c r="J416" s="29" t="n">
        <f aca="false">IF(AND(D416="Feature Use",COUNTIFS($B$5:B416,B416,$D$5:D416,"Feature Use",$E$5:E416,E416)=2),1,0)</f>
        <v>0</v>
      </c>
      <c r="K416" s="29" t="n">
        <f aca="false">IF(COUNTIF($B$5:B416,B416)=1,1,0)</f>
        <v>0</v>
      </c>
      <c r="L416" s="29" t="n">
        <f aca="false">IF(AND(C416&gt;=Settings!$B$5-Settings!$B$8+1,C416&lt;=Settings!$B$5,COUNTIFS($B$5:B416,B416,$C$5:C416,"&gt;="&amp;(Settings!$B$5-Settings!$B$8+1),$C$5:C416,"&lt;="&amp;Settings!$B$5)=1),1,0)</f>
        <v>0</v>
      </c>
      <c r="M416" s="29" t="n">
        <f aca="false">IF(AND(C416&gt;=Settings!$B$5-Settings!$B$9+1,C416&lt;=Settings!$B$5,COUNTIFS($B$5:B416,B416,$C$5:C416,"&gt;="&amp;(Settings!$B$5-Settings!$B$9+1),$C$5:C416,"&lt;="&amp;Settings!$B$5)=1),1,0)</f>
        <v>1</v>
      </c>
      <c r="N416" s="29" t="n">
        <f aca="false">IF(AND(D416="Feature Use",COUNTIFS($B$5:B416,B416,$D$5:D416,"Feature Use")=1),1,0)</f>
        <v>0</v>
      </c>
    </row>
    <row r="417" customFormat="false" ht="15" hidden="false" customHeight="false" outlineLevel="0" collapsed="false">
      <c r="A417" s="22" t="s">
        <v>724</v>
      </c>
      <c r="B417" s="22" t="s">
        <v>208</v>
      </c>
      <c r="C417" s="31" t="n">
        <v>46281</v>
      </c>
      <c r="D417" s="22" t="s">
        <v>300</v>
      </c>
      <c r="E417" s="22" t="s">
        <v>319</v>
      </c>
      <c r="F417" s="29" t="str">
        <f aca="false">IF(COUNTIF(Referral_Data!$C$5:$C$1000,B417)&gt;0,"Referred",IF(COUNTIF(Referral_Data!$B$5:$B$1000,B417)&gt;0,"Referrer","Organic"))</f>
        <v>Referrer</v>
      </c>
      <c r="G417" s="29" t="n">
        <f aca="false">IF(COUNTIFS($B$5:B417,B417,$C$5:C417,C417)=1,1,0)</f>
        <v>0</v>
      </c>
      <c r="H417" s="29" t="n">
        <f aca="false">IF(AND(G417=1,COUNTIFS($B$5:$B$1635,B417,$C$5:$C$1635,"&lt;"&amp;C417)&gt;0),1,0)</f>
        <v>0</v>
      </c>
      <c r="I417" s="29" t="n">
        <f aca="false">IF(AND(D417="Feature Use",COUNTIFS($B$5:B417,B417,$D$5:D417,"Feature Use",$E$5:E417,E417)=1),1,0)</f>
        <v>0</v>
      </c>
      <c r="J417" s="29" t="n">
        <f aca="false">IF(AND(D417="Feature Use",COUNTIFS($B$5:B417,B417,$D$5:D417,"Feature Use",$E$5:E417,E417)=2),1,0)</f>
        <v>0</v>
      </c>
      <c r="K417" s="29" t="n">
        <f aca="false">IF(COUNTIF($B$5:B417,B417)=1,1,0)</f>
        <v>0</v>
      </c>
      <c r="L417" s="29" t="n">
        <f aca="false">IF(AND(C417&gt;=Settings!$B$5-Settings!$B$8+1,C417&lt;=Settings!$B$5,COUNTIFS($B$5:B417,B417,$C$5:C417,"&gt;="&amp;(Settings!$B$5-Settings!$B$8+1),$C$5:C417,"&lt;="&amp;Settings!$B$5)=1),1,0)</f>
        <v>0</v>
      </c>
      <c r="M417" s="29" t="n">
        <f aca="false">IF(AND(C417&gt;=Settings!$B$5-Settings!$B$9+1,C417&lt;=Settings!$B$5,COUNTIFS($B$5:B417,B417,$C$5:C417,"&gt;="&amp;(Settings!$B$5-Settings!$B$9+1),$C$5:C417,"&lt;="&amp;Settings!$B$5)=1),1,0)</f>
        <v>0</v>
      </c>
      <c r="N417" s="29" t="n">
        <f aca="false">IF(AND(D417="Feature Use",COUNTIFS($B$5:B417,B417,$D$5:D417,"Feature Use")=1),1,0)</f>
        <v>0</v>
      </c>
    </row>
    <row r="418" customFormat="false" ht="15" hidden="false" customHeight="false" outlineLevel="0" collapsed="false">
      <c r="A418" s="22" t="s">
        <v>725</v>
      </c>
      <c r="B418" s="22" t="s">
        <v>203</v>
      </c>
      <c r="C418" s="31" t="n">
        <v>46281</v>
      </c>
      <c r="D418" s="22" t="s">
        <v>297</v>
      </c>
      <c r="E418" s="22" t="s">
        <v>298</v>
      </c>
      <c r="F418" s="29" t="str">
        <f aca="false">IF(COUNTIF(Referral_Data!$C$5:$C$1000,B418)&gt;0,"Referred",IF(COUNTIF(Referral_Data!$B$5:$B$1000,B418)&gt;0,"Referrer","Organic"))</f>
        <v>Referrer</v>
      </c>
      <c r="G418" s="29" t="n">
        <f aca="false">IF(COUNTIFS($B$5:B418,B418,$C$5:C418,C418)=1,1,0)</f>
        <v>1</v>
      </c>
      <c r="H418" s="29" t="n">
        <f aca="false">IF(AND(G418=1,COUNTIFS($B$5:$B$1635,B418,$C$5:$C$1635,"&lt;"&amp;C418)&gt;0),1,0)</f>
        <v>1</v>
      </c>
      <c r="I418" s="29" t="n">
        <f aca="false">IF(AND(D418="Feature Use",COUNTIFS($B$5:B418,B418,$D$5:D418,"Feature Use",$E$5:E418,E418)=1),1,0)</f>
        <v>0</v>
      </c>
      <c r="J418" s="29" t="n">
        <f aca="false">IF(AND(D418="Feature Use",COUNTIFS($B$5:B418,B418,$D$5:D418,"Feature Use",$E$5:E418,E418)=2),1,0)</f>
        <v>0</v>
      </c>
      <c r="K418" s="29" t="n">
        <f aca="false">IF(COUNTIF($B$5:B418,B418)=1,1,0)</f>
        <v>0</v>
      </c>
      <c r="L418" s="29" t="n">
        <f aca="false">IF(AND(C418&gt;=Settings!$B$5-Settings!$B$8+1,C418&lt;=Settings!$B$5,COUNTIFS($B$5:B418,B418,$C$5:C418,"&gt;="&amp;(Settings!$B$5-Settings!$B$8+1),$C$5:C418,"&lt;="&amp;Settings!$B$5)=1),1,0)</f>
        <v>0</v>
      </c>
      <c r="M418" s="29" t="n">
        <f aca="false">IF(AND(C418&gt;=Settings!$B$5-Settings!$B$9+1,C418&lt;=Settings!$B$5,COUNTIFS($B$5:B418,B418,$C$5:C418,"&gt;="&amp;(Settings!$B$5-Settings!$B$9+1),$C$5:C418,"&lt;="&amp;Settings!$B$5)=1),1,0)</f>
        <v>1</v>
      </c>
      <c r="N418" s="29" t="n">
        <f aca="false">IF(AND(D418="Feature Use",COUNTIFS($B$5:B418,B418,$D$5:D418,"Feature Use")=1),1,0)</f>
        <v>0</v>
      </c>
    </row>
    <row r="419" customFormat="false" ht="15" hidden="false" customHeight="false" outlineLevel="0" collapsed="false">
      <c r="A419" s="22" t="s">
        <v>726</v>
      </c>
      <c r="B419" s="22" t="s">
        <v>203</v>
      </c>
      <c r="C419" s="31" t="n">
        <v>46281</v>
      </c>
      <c r="D419" s="22" t="s">
        <v>300</v>
      </c>
      <c r="E419" s="22" t="s">
        <v>311</v>
      </c>
      <c r="F419" s="29" t="str">
        <f aca="false">IF(COUNTIF(Referral_Data!$C$5:$C$1000,B419)&gt;0,"Referred",IF(COUNTIF(Referral_Data!$B$5:$B$1000,B419)&gt;0,"Referrer","Organic"))</f>
        <v>Referrer</v>
      </c>
      <c r="G419" s="29" t="n">
        <f aca="false">IF(COUNTIFS($B$5:B419,B419,$C$5:C419,C419)=1,1,0)</f>
        <v>0</v>
      </c>
      <c r="H419" s="29" t="n">
        <f aca="false">IF(AND(G419=1,COUNTIFS($B$5:$B$1635,B419,$C$5:$C$1635,"&lt;"&amp;C419)&gt;0),1,0)</f>
        <v>0</v>
      </c>
      <c r="I419" s="29" t="n">
        <f aca="false">IF(AND(D419="Feature Use",COUNTIFS($B$5:B419,B419,$D$5:D419,"Feature Use",$E$5:E419,E419)=1),1,0)</f>
        <v>1</v>
      </c>
      <c r="J419" s="29" t="n">
        <f aca="false">IF(AND(D419="Feature Use",COUNTIFS($B$5:B419,B419,$D$5:D419,"Feature Use",$E$5:E419,E419)=2),1,0)</f>
        <v>0</v>
      </c>
      <c r="K419" s="29" t="n">
        <f aca="false">IF(COUNTIF($B$5:B419,B419)=1,1,0)</f>
        <v>0</v>
      </c>
      <c r="L419" s="29" t="n">
        <f aca="false">IF(AND(C419&gt;=Settings!$B$5-Settings!$B$8+1,C419&lt;=Settings!$B$5,COUNTIFS($B$5:B419,B419,$C$5:C419,"&gt;="&amp;(Settings!$B$5-Settings!$B$8+1),$C$5:C419,"&lt;="&amp;Settings!$B$5)=1),1,0)</f>
        <v>0</v>
      </c>
      <c r="M419" s="29" t="n">
        <f aca="false">IF(AND(C419&gt;=Settings!$B$5-Settings!$B$9+1,C419&lt;=Settings!$B$5,COUNTIFS($B$5:B419,B419,$C$5:C419,"&gt;="&amp;(Settings!$B$5-Settings!$B$9+1),$C$5:C419,"&lt;="&amp;Settings!$B$5)=1),1,0)</f>
        <v>0</v>
      </c>
      <c r="N419" s="29" t="n">
        <f aca="false">IF(AND(D419="Feature Use",COUNTIFS($B$5:B419,B419,$D$5:D419,"Feature Use")=1),1,0)</f>
        <v>0</v>
      </c>
    </row>
    <row r="420" customFormat="false" ht="15" hidden="false" customHeight="false" outlineLevel="0" collapsed="false">
      <c r="A420" s="22" t="s">
        <v>727</v>
      </c>
      <c r="B420" s="22" t="s">
        <v>190</v>
      </c>
      <c r="C420" s="31" t="n">
        <v>46281</v>
      </c>
      <c r="D420" s="22" t="s">
        <v>297</v>
      </c>
      <c r="E420" s="22" t="s">
        <v>298</v>
      </c>
      <c r="F420" s="29" t="str">
        <f aca="false">IF(COUNTIF(Referral_Data!$C$5:$C$1000,B420)&gt;0,"Referred",IF(COUNTIF(Referral_Data!$B$5:$B$1000,B420)&gt;0,"Referrer","Organic"))</f>
        <v>Referrer</v>
      </c>
      <c r="G420" s="29" t="n">
        <f aca="false">IF(COUNTIFS($B$5:B420,B420,$C$5:C420,C420)=1,1,0)</f>
        <v>1</v>
      </c>
      <c r="H420" s="29" t="n">
        <f aca="false">IF(AND(G420=1,COUNTIFS($B$5:$B$1635,B420,$C$5:$C$1635,"&lt;"&amp;C420)&gt;0),1,0)</f>
        <v>1</v>
      </c>
      <c r="I420" s="29" t="n">
        <f aca="false">IF(AND(D420="Feature Use",COUNTIFS($B$5:B420,B420,$D$5:D420,"Feature Use",$E$5:E420,E420)=1),1,0)</f>
        <v>0</v>
      </c>
      <c r="J420" s="29" t="n">
        <f aca="false">IF(AND(D420="Feature Use",COUNTIFS($B$5:B420,B420,$D$5:D420,"Feature Use",$E$5:E420,E420)=2),1,0)</f>
        <v>0</v>
      </c>
      <c r="K420" s="29" t="n">
        <f aca="false">IF(COUNTIF($B$5:B420,B420)=1,1,0)</f>
        <v>0</v>
      </c>
      <c r="L420" s="29" t="n">
        <f aca="false">IF(AND(C420&gt;=Settings!$B$5-Settings!$B$8+1,C420&lt;=Settings!$B$5,COUNTIFS($B$5:B420,B420,$C$5:C420,"&gt;="&amp;(Settings!$B$5-Settings!$B$8+1),$C$5:C420,"&lt;="&amp;Settings!$B$5)=1),1,0)</f>
        <v>0</v>
      </c>
      <c r="M420" s="29" t="n">
        <f aca="false">IF(AND(C420&gt;=Settings!$B$5-Settings!$B$9+1,C420&lt;=Settings!$B$5,COUNTIFS($B$5:B420,B420,$C$5:C420,"&gt;="&amp;(Settings!$B$5-Settings!$B$9+1),$C$5:C420,"&lt;="&amp;Settings!$B$5)=1),1,0)</f>
        <v>1</v>
      </c>
      <c r="N420" s="29" t="n">
        <f aca="false">IF(AND(D420="Feature Use",COUNTIFS($B$5:B420,B420,$D$5:D420,"Feature Use")=1),1,0)</f>
        <v>0</v>
      </c>
    </row>
    <row r="421" customFormat="false" ht="15" hidden="false" customHeight="false" outlineLevel="0" collapsed="false">
      <c r="A421" s="22" t="s">
        <v>728</v>
      </c>
      <c r="B421" s="22" t="s">
        <v>190</v>
      </c>
      <c r="C421" s="31" t="n">
        <v>46281</v>
      </c>
      <c r="D421" s="22" t="s">
        <v>300</v>
      </c>
      <c r="E421" s="22" t="s">
        <v>311</v>
      </c>
      <c r="F421" s="29" t="str">
        <f aca="false">IF(COUNTIF(Referral_Data!$C$5:$C$1000,B421)&gt;0,"Referred",IF(COUNTIF(Referral_Data!$B$5:$B$1000,B421)&gt;0,"Referrer","Organic"))</f>
        <v>Referrer</v>
      </c>
      <c r="G421" s="29" t="n">
        <f aca="false">IF(COUNTIFS($B$5:B421,B421,$C$5:C421,C421)=1,1,0)</f>
        <v>0</v>
      </c>
      <c r="H421" s="29" t="n">
        <f aca="false">IF(AND(G421=1,COUNTIFS($B$5:$B$1635,B421,$C$5:$C$1635,"&lt;"&amp;C421)&gt;0),1,0)</f>
        <v>0</v>
      </c>
      <c r="I421" s="29" t="n">
        <f aca="false">IF(AND(D421="Feature Use",COUNTIFS($B$5:B421,B421,$D$5:D421,"Feature Use",$E$5:E421,E421)=1),1,0)</f>
        <v>1</v>
      </c>
      <c r="J421" s="29" t="n">
        <f aca="false">IF(AND(D421="Feature Use",COUNTIFS($B$5:B421,B421,$D$5:D421,"Feature Use",$E$5:E421,E421)=2),1,0)</f>
        <v>0</v>
      </c>
      <c r="K421" s="29" t="n">
        <f aca="false">IF(COUNTIF($B$5:B421,B421)=1,1,0)</f>
        <v>0</v>
      </c>
      <c r="L421" s="29" t="n">
        <f aca="false">IF(AND(C421&gt;=Settings!$B$5-Settings!$B$8+1,C421&lt;=Settings!$B$5,COUNTIFS($B$5:B421,B421,$C$5:C421,"&gt;="&amp;(Settings!$B$5-Settings!$B$8+1),$C$5:C421,"&lt;="&amp;Settings!$B$5)=1),1,0)</f>
        <v>0</v>
      </c>
      <c r="M421" s="29" t="n">
        <f aca="false">IF(AND(C421&gt;=Settings!$B$5-Settings!$B$9+1,C421&lt;=Settings!$B$5,COUNTIFS($B$5:B421,B421,$C$5:C421,"&gt;="&amp;(Settings!$B$5-Settings!$B$9+1),$C$5:C421,"&lt;="&amp;Settings!$B$5)=1),1,0)</f>
        <v>0</v>
      </c>
      <c r="N421" s="29" t="n">
        <f aca="false">IF(AND(D421="Feature Use",COUNTIFS($B$5:B421,B421,$D$5:D421,"Feature Use")=1),1,0)</f>
        <v>0</v>
      </c>
    </row>
    <row r="422" customFormat="false" ht="15" hidden="false" customHeight="false" outlineLevel="0" collapsed="false">
      <c r="A422" s="22" t="s">
        <v>729</v>
      </c>
      <c r="B422" s="22" t="s">
        <v>190</v>
      </c>
      <c r="C422" s="31" t="n">
        <v>46281</v>
      </c>
      <c r="D422" s="22" t="s">
        <v>300</v>
      </c>
      <c r="E422" s="22" t="s">
        <v>305</v>
      </c>
      <c r="F422" s="29" t="str">
        <f aca="false">IF(COUNTIF(Referral_Data!$C$5:$C$1000,B422)&gt;0,"Referred",IF(COUNTIF(Referral_Data!$B$5:$B$1000,B422)&gt;0,"Referrer","Organic"))</f>
        <v>Referrer</v>
      </c>
      <c r="G422" s="29" t="n">
        <f aca="false">IF(COUNTIFS($B$5:B422,B422,$C$5:C422,C422)=1,1,0)</f>
        <v>0</v>
      </c>
      <c r="H422" s="29" t="n">
        <f aca="false">IF(AND(G422=1,COUNTIFS($B$5:$B$1635,B422,$C$5:$C$1635,"&lt;"&amp;C422)&gt;0),1,0)</f>
        <v>0</v>
      </c>
      <c r="I422" s="29" t="n">
        <f aca="false">IF(AND(D422="Feature Use",COUNTIFS($B$5:B422,B422,$D$5:D422,"Feature Use",$E$5:E422,E422)=1),1,0)</f>
        <v>0</v>
      </c>
      <c r="J422" s="29" t="n">
        <f aca="false">IF(AND(D422="Feature Use",COUNTIFS($B$5:B422,B422,$D$5:D422,"Feature Use",$E$5:E422,E422)=2),1,0)</f>
        <v>0</v>
      </c>
      <c r="K422" s="29" t="n">
        <f aca="false">IF(COUNTIF($B$5:B422,B422)=1,1,0)</f>
        <v>0</v>
      </c>
      <c r="L422" s="29" t="n">
        <f aca="false">IF(AND(C422&gt;=Settings!$B$5-Settings!$B$8+1,C422&lt;=Settings!$B$5,COUNTIFS($B$5:B422,B422,$C$5:C422,"&gt;="&amp;(Settings!$B$5-Settings!$B$8+1),$C$5:C422,"&lt;="&amp;Settings!$B$5)=1),1,0)</f>
        <v>0</v>
      </c>
      <c r="M422" s="29" t="n">
        <f aca="false">IF(AND(C422&gt;=Settings!$B$5-Settings!$B$9+1,C422&lt;=Settings!$B$5,COUNTIFS($B$5:B422,B422,$C$5:C422,"&gt;="&amp;(Settings!$B$5-Settings!$B$9+1),$C$5:C422,"&lt;="&amp;Settings!$B$5)=1),1,0)</f>
        <v>0</v>
      </c>
      <c r="N422" s="29" t="n">
        <f aca="false">IF(AND(D422="Feature Use",COUNTIFS($B$5:B422,B422,$D$5:D422,"Feature Use")=1),1,0)</f>
        <v>0</v>
      </c>
    </row>
    <row r="423" customFormat="false" ht="15" hidden="false" customHeight="false" outlineLevel="0" collapsed="false">
      <c r="A423" s="22" t="s">
        <v>730</v>
      </c>
      <c r="B423" s="22" t="s">
        <v>200</v>
      </c>
      <c r="C423" s="31" t="n">
        <v>46281</v>
      </c>
      <c r="D423" s="22" t="s">
        <v>297</v>
      </c>
      <c r="E423" s="22" t="s">
        <v>298</v>
      </c>
      <c r="F423" s="29" t="str">
        <f aca="false">IF(COUNTIF(Referral_Data!$C$5:$C$1000,B423)&gt;0,"Referred",IF(COUNTIF(Referral_Data!$B$5:$B$1000,B423)&gt;0,"Referrer","Organic"))</f>
        <v>Referrer</v>
      </c>
      <c r="G423" s="29" t="n">
        <f aca="false">IF(COUNTIFS($B$5:B423,B423,$C$5:C423,C423)=1,1,0)</f>
        <v>1</v>
      </c>
      <c r="H423" s="29" t="n">
        <f aca="false">IF(AND(G423=1,COUNTIFS($B$5:$B$1635,B423,$C$5:$C$1635,"&lt;"&amp;C423)&gt;0),1,0)</f>
        <v>1</v>
      </c>
      <c r="I423" s="29" t="n">
        <f aca="false">IF(AND(D423="Feature Use",COUNTIFS($B$5:B423,B423,$D$5:D423,"Feature Use",$E$5:E423,E423)=1),1,0)</f>
        <v>0</v>
      </c>
      <c r="J423" s="29" t="n">
        <f aca="false">IF(AND(D423="Feature Use",COUNTIFS($B$5:B423,B423,$D$5:D423,"Feature Use",$E$5:E423,E423)=2),1,0)</f>
        <v>0</v>
      </c>
      <c r="K423" s="29" t="n">
        <f aca="false">IF(COUNTIF($B$5:B423,B423)=1,1,0)</f>
        <v>0</v>
      </c>
      <c r="L423" s="29" t="n">
        <f aca="false">IF(AND(C423&gt;=Settings!$B$5-Settings!$B$8+1,C423&lt;=Settings!$B$5,COUNTIFS($B$5:B423,B423,$C$5:C423,"&gt;="&amp;(Settings!$B$5-Settings!$B$8+1),$C$5:C423,"&lt;="&amp;Settings!$B$5)=1),1,0)</f>
        <v>0</v>
      </c>
      <c r="M423" s="29" t="n">
        <f aca="false">IF(AND(C423&gt;=Settings!$B$5-Settings!$B$9+1,C423&lt;=Settings!$B$5,COUNTIFS($B$5:B423,B423,$C$5:C423,"&gt;="&amp;(Settings!$B$5-Settings!$B$9+1),$C$5:C423,"&lt;="&amp;Settings!$B$5)=1),1,0)</f>
        <v>1</v>
      </c>
      <c r="N423" s="29" t="n">
        <f aca="false">IF(AND(D423="Feature Use",COUNTIFS($B$5:B423,B423,$D$5:D423,"Feature Use")=1),1,0)</f>
        <v>0</v>
      </c>
    </row>
    <row r="424" customFormat="false" ht="15" hidden="false" customHeight="false" outlineLevel="0" collapsed="false">
      <c r="A424" s="22" t="s">
        <v>731</v>
      </c>
      <c r="B424" s="22" t="s">
        <v>200</v>
      </c>
      <c r="C424" s="31" t="n">
        <v>46281</v>
      </c>
      <c r="D424" s="22" t="s">
        <v>300</v>
      </c>
      <c r="E424" s="22" t="s">
        <v>319</v>
      </c>
      <c r="F424" s="29" t="str">
        <f aca="false">IF(COUNTIF(Referral_Data!$C$5:$C$1000,B424)&gt;0,"Referred",IF(COUNTIF(Referral_Data!$B$5:$B$1000,B424)&gt;0,"Referrer","Organic"))</f>
        <v>Referrer</v>
      </c>
      <c r="G424" s="29" t="n">
        <f aca="false">IF(COUNTIFS($B$5:B424,B424,$C$5:C424,C424)=1,1,0)</f>
        <v>0</v>
      </c>
      <c r="H424" s="29" t="n">
        <f aca="false">IF(AND(G424=1,COUNTIFS($B$5:$B$1635,B424,$C$5:$C$1635,"&lt;"&amp;C424)&gt;0),1,0)</f>
        <v>0</v>
      </c>
      <c r="I424" s="29" t="n">
        <f aca="false">IF(AND(D424="Feature Use",COUNTIFS($B$5:B424,B424,$D$5:D424,"Feature Use",$E$5:E424,E424)=1),1,0)</f>
        <v>0</v>
      </c>
      <c r="J424" s="29" t="n">
        <f aca="false">IF(AND(D424="Feature Use",COUNTIFS($B$5:B424,B424,$D$5:D424,"Feature Use",$E$5:E424,E424)=2),1,0)</f>
        <v>1</v>
      </c>
      <c r="K424" s="29" t="n">
        <f aca="false">IF(COUNTIF($B$5:B424,B424)=1,1,0)</f>
        <v>0</v>
      </c>
      <c r="L424" s="29" t="n">
        <f aca="false">IF(AND(C424&gt;=Settings!$B$5-Settings!$B$8+1,C424&lt;=Settings!$B$5,COUNTIFS($B$5:B424,B424,$C$5:C424,"&gt;="&amp;(Settings!$B$5-Settings!$B$8+1),$C$5:C424,"&lt;="&amp;Settings!$B$5)=1),1,0)</f>
        <v>0</v>
      </c>
      <c r="M424" s="29" t="n">
        <f aca="false">IF(AND(C424&gt;=Settings!$B$5-Settings!$B$9+1,C424&lt;=Settings!$B$5,COUNTIFS($B$5:B424,B424,$C$5:C424,"&gt;="&amp;(Settings!$B$5-Settings!$B$9+1),$C$5:C424,"&lt;="&amp;Settings!$B$5)=1),1,0)</f>
        <v>0</v>
      </c>
      <c r="N424" s="29" t="n">
        <f aca="false">IF(AND(D424="Feature Use",COUNTIFS($B$5:B424,B424,$D$5:D424,"Feature Use")=1),1,0)</f>
        <v>0</v>
      </c>
    </row>
    <row r="425" customFormat="false" ht="15" hidden="false" customHeight="false" outlineLevel="0" collapsed="false">
      <c r="A425" s="22" t="s">
        <v>732</v>
      </c>
      <c r="B425" s="22" t="s">
        <v>200</v>
      </c>
      <c r="C425" s="31" t="n">
        <v>46281</v>
      </c>
      <c r="D425" s="22" t="s">
        <v>308</v>
      </c>
      <c r="E425" s="22" t="s">
        <v>305</v>
      </c>
      <c r="F425" s="29" t="str">
        <f aca="false">IF(COUNTIF(Referral_Data!$C$5:$C$1000,B425)&gt;0,"Referred",IF(COUNTIF(Referral_Data!$B$5:$B$1000,B425)&gt;0,"Referrer","Organic"))</f>
        <v>Referrer</v>
      </c>
      <c r="G425" s="29" t="n">
        <f aca="false">IF(COUNTIFS($B$5:B425,B425,$C$5:C425,C425)=1,1,0)</f>
        <v>0</v>
      </c>
      <c r="H425" s="29" t="n">
        <f aca="false">IF(AND(G425=1,COUNTIFS($B$5:$B$1635,B425,$C$5:$C$1635,"&lt;"&amp;C425)&gt;0),1,0)</f>
        <v>0</v>
      </c>
      <c r="I425" s="29" t="n">
        <f aca="false">IF(AND(D425="Feature Use",COUNTIFS($B$5:B425,B425,$D$5:D425,"Feature Use",$E$5:E425,E425)=1),1,0)</f>
        <v>0</v>
      </c>
      <c r="J425" s="29" t="n">
        <f aca="false">IF(AND(D425="Feature Use",COUNTIFS($B$5:B425,B425,$D$5:D425,"Feature Use",$E$5:E425,E425)=2),1,0)</f>
        <v>0</v>
      </c>
      <c r="K425" s="29" t="n">
        <f aca="false">IF(COUNTIF($B$5:B425,B425)=1,1,0)</f>
        <v>0</v>
      </c>
      <c r="L425" s="29" t="n">
        <f aca="false">IF(AND(C425&gt;=Settings!$B$5-Settings!$B$8+1,C425&lt;=Settings!$B$5,COUNTIFS($B$5:B425,B425,$C$5:C425,"&gt;="&amp;(Settings!$B$5-Settings!$B$8+1),$C$5:C425,"&lt;="&amp;Settings!$B$5)=1),1,0)</f>
        <v>0</v>
      </c>
      <c r="M425" s="29" t="n">
        <f aca="false">IF(AND(C425&gt;=Settings!$B$5-Settings!$B$9+1,C425&lt;=Settings!$B$5,COUNTIFS($B$5:B425,B425,$C$5:C425,"&gt;="&amp;(Settings!$B$5-Settings!$B$9+1),$C$5:C425,"&lt;="&amp;Settings!$B$5)=1),1,0)</f>
        <v>0</v>
      </c>
      <c r="N425" s="29" t="n">
        <f aca="false">IF(AND(D425="Feature Use",COUNTIFS($B$5:B425,B425,$D$5:D425,"Feature Use")=1),1,0)</f>
        <v>0</v>
      </c>
    </row>
    <row r="426" customFormat="false" ht="15" hidden="false" customHeight="false" outlineLevel="0" collapsed="false">
      <c r="A426" s="22" t="s">
        <v>733</v>
      </c>
      <c r="B426" s="22" t="s">
        <v>296</v>
      </c>
      <c r="C426" s="31" t="n">
        <v>46282</v>
      </c>
      <c r="D426" s="22" t="s">
        <v>297</v>
      </c>
      <c r="E426" s="22" t="s">
        <v>298</v>
      </c>
      <c r="F426" s="29" t="str">
        <f aca="false">IF(COUNTIF(Referral_Data!$C$5:$C$1000,B426)&gt;0,"Referred",IF(COUNTIF(Referral_Data!$B$5:$B$1000,B426)&gt;0,"Referrer","Organic"))</f>
        <v>Organic</v>
      </c>
      <c r="G426" s="29" t="n">
        <f aca="false">IF(COUNTIFS($B$5:B426,B426,$C$5:C426,C426)=1,1,0)</f>
        <v>1</v>
      </c>
      <c r="H426" s="29" t="n">
        <f aca="false">IF(AND(G426=1,COUNTIFS($B$5:$B$1635,B426,$C$5:$C$1635,"&lt;"&amp;C426)&gt;0),1,0)</f>
        <v>1</v>
      </c>
      <c r="I426" s="29" t="n">
        <f aca="false">IF(AND(D426="Feature Use",COUNTIFS($B$5:B426,B426,$D$5:D426,"Feature Use",$E$5:E426,E426)=1),1,0)</f>
        <v>0</v>
      </c>
      <c r="J426" s="29" t="n">
        <f aca="false">IF(AND(D426="Feature Use",COUNTIFS($B$5:B426,B426,$D$5:D426,"Feature Use",$E$5:E426,E426)=2),1,0)</f>
        <v>0</v>
      </c>
      <c r="K426" s="29" t="n">
        <f aca="false">IF(COUNTIF($B$5:B426,B426)=1,1,0)</f>
        <v>0</v>
      </c>
      <c r="L426" s="29" t="n">
        <f aca="false">IF(AND(C426&gt;=Settings!$B$5-Settings!$B$8+1,C426&lt;=Settings!$B$5,COUNTIFS($B$5:B426,B426,$C$5:C426,"&gt;="&amp;(Settings!$B$5-Settings!$B$8+1),$C$5:C426,"&lt;="&amp;Settings!$B$5)=1),1,0)</f>
        <v>0</v>
      </c>
      <c r="M426" s="29" t="n">
        <f aca="false">IF(AND(C426&gt;=Settings!$B$5-Settings!$B$9+1,C426&lt;=Settings!$B$5,COUNTIFS($B$5:B426,B426,$C$5:C426,"&gt;="&amp;(Settings!$B$5-Settings!$B$9+1),$C$5:C426,"&lt;="&amp;Settings!$B$5)=1),1,0)</f>
        <v>1</v>
      </c>
      <c r="N426" s="29" t="n">
        <f aca="false">IF(AND(D426="Feature Use",COUNTIFS($B$5:B426,B426,$D$5:D426,"Feature Use")=1),1,0)</f>
        <v>0</v>
      </c>
    </row>
    <row r="427" customFormat="false" ht="15" hidden="false" customHeight="false" outlineLevel="0" collapsed="false">
      <c r="A427" s="22" t="s">
        <v>734</v>
      </c>
      <c r="B427" s="22" t="s">
        <v>296</v>
      </c>
      <c r="C427" s="31" t="n">
        <v>46282</v>
      </c>
      <c r="D427" s="22" t="s">
        <v>300</v>
      </c>
      <c r="E427" s="22" t="s">
        <v>311</v>
      </c>
      <c r="F427" s="29" t="str">
        <f aca="false">IF(COUNTIF(Referral_Data!$C$5:$C$1000,B427)&gt;0,"Referred",IF(COUNTIF(Referral_Data!$B$5:$B$1000,B427)&gt;0,"Referrer","Organic"))</f>
        <v>Organic</v>
      </c>
      <c r="G427" s="29" t="n">
        <f aca="false">IF(COUNTIFS($B$5:B427,B427,$C$5:C427,C427)=1,1,0)</f>
        <v>0</v>
      </c>
      <c r="H427" s="29" t="n">
        <f aca="false">IF(AND(G427=1,COUNTIFS($B$5:$B$1635,B427,$C$5:$C$1635,"&lt;"&amp;C427)&gt;0),1,0)</f>
        <v>0</v>
      </c>
      <c r="I427" s="29" t="n">
        <f aca="false">IF(AND(D427="Feature Use",COUNTIFS($B$5:B427,B427,$D$5:D427,"Feature Use",$E$5:E427,E427)=1),1,0)</f>
        <v>0</v>
      </c>
      <c r="J427" s="29" t="n">
        <f aca="false">IF(AND(D427="Feature Use",COUNTIFS($B$5:B427,B427,$D$5:D427,"Feature Use",$E$5:E427,E427)=2),1,0)</f>
        <v>1</v>
      </c>
      <c r="K427" s="29" t="n">
        <f aca="false">IF(COUNTIF($B$5:B427,B427)=1,1,0)</f>
        <v>0</v>
      </c>
      <c r="L427" s="29" t="n">
        <f aca="false">IF(AND(C427&gt;=Settings!$B$5-Settings!$B$8+1,C427&lt;=Settings!$B$5,COUNTIFS($B$5:B427,B427,$C$5:C427,"&gt;="&amp;(Settings!$B$5-Settings!$B$8+1),$C$5:C427,"&lt;="&amp;Settings!$B$5)=1),1,0)</f>
        <v>0</v>
      </c>
      <c r="M427" s="29" t="n">
        <f aca="false">IF(AND(C427&gt;=Settings!$B$5-Settings!$B$9+1,C427&lt;=Settings!$B$5,COUNTIFS($B$5:B427,B427,$C$5:C427,"&gt;="&amp;(Settings!$B$5-Settings!$B$9+1),$C$5:C427,"&lt;="&amp;Settings!$B$5)=1),1,0)</f>
        <v>0</v>
      </c>
      <c r="N427" s="29" t="n">
        <f aca="false">IF(AND(D427="Feature Use",COUNTIFS($B$5:B427,B427,$D$5:D427,"Feature Use")=1),1,0)</f>
        <v>0</v>
      </c>
    </row>
    <row r="428" customFormat="false" ht="15" hidden="false" customHeight="false" outlineLevel="0" collapsed="false">
      <c r="A428" s="22" t="s">
        <v>735</v>
      </c>
      <c r="B428" s="22" t="s">
        <v>296</v>
      </c>
      <c r="C428" s="31" t="n">
        <v>46282</v>
      </c>
      <c r="D428" s="22" t="s">
        <v>308</v>
      </c>
      <c r="E428" s="22" t="s">
        <v>301</v>
      </c>
      <c r="F428" s="29" t="str">
        <f aca="false">IF(COUNTIF(Referral_Data!$C$5:$C$1000,B428)&gt;0,"Referred",IF(COUNTIF(Referral_Data!$B$5:$B$1000,B428)&gt;0,"Referrer","Organic"))</f>
        <v>Organic</v>
      </c>
      <c r="G428" s="29" t="n">
        <f aca="false">IF(COUNTIFS($B$5:B428,B428,$C$5:C428,C428)=1,1,0)</f>
        <v>0</v>
      </c>
      <c r="H428" s="29" t="n">
        <f aca="false">IF(AND(G428=1,COUNTIFS($B$5:$B$1635,B428,$C$5:$C$1635,"&lt;"&amp;C428)&gt;0),1,0)</f>
        <v>0</v>
      </c>
      <c r="I428" s="29" t="n">
        <f aca="false">IF(AND(D428="Feature Use",COUNTIFS($B$5:B428,B428,$D$5:D428,"Feature Use",$E$5:E428,E428)=1),1,0)</f>
        <v>0</v>
      </c>
      <c r="J428" s="29" t="n">
        <f aca="false">IF(AND(D428="Feature Use",COUNTIFS($B$5:B428,B428,$D$5:D428,"Feature Use",$E$5:E428,E428)=2),1,0)</f>
        <v>0</v>
      </c>
      <c r="K428" s="29" t="n">
        <f aca="false">IF(COUNTIF($B$5:B428,B428)=1,1,0)</f>
        <v>0</v>
      </c>
      <c r="L428" s="29" t="n">
        <f aca="false">IF(AND(C428&gt;=Settings!$B$5-Settings!$B$8+1,C428&lt;=Settings!$B$5,COUNTIFS($B$5:B428,B428,$C$5:C428,"&gt;="&amp;(Settings!$B$5-Settings!$B$8+1),$C$5:C428,"&lt;="&amp;Settings!$B$5)=1),1,0)</f>
        <v>0</v>
      </c>
      <c r="M428" s="29" t="n">
        <f aca="false">IF(AND(C428&gt;=Settings!$B$5-Settings!$B$9+1,C428&lt;=Settings!$B$5,COUNTIFS($B$5:B428,B428,$C$5:C428,"&gt;="&amp;(Settings!$B$5-Settings!$B$9+1),$C$5:C428,"&lt;="&amp;Settings!$B$5)=1),1,0)</f>
        <v>0</v>
      </c>
      <c r="N428" s="29" t="n">
        <f aca="false">IF(AND(D428="Feature Use",COUNTIFS($B$5:B428,B428,$D$5:D428,"Feature Use")=1),1,0)</f>
        <v>0</v>
      </c>
    </row>
    <row r="429" customFormat="false" ht="15" hidden="false" customHeight="false" outlineLevel="0" collapsed="false">
      <c r="A429" s="22" t="s">
        <v>736</v>
      </c>
      <c r="B429" s="22" t="s">
        <v>303</v>
      </c>
      <c r="C429" s="31" t="n">
        <v>46282</v>
      </c>
      <c r="D429" s="22" t="s">
        <v>297</v>
      </c>
      <c r="E429" s="22" t="s">
        <v>298</v>
      </c>
      <c r="F429" s="29" t="str">
        <f aca="false">IF(COUNTIF(Referral_Data!$C$5:$C$1000,B429)&gt;0,"Referred",IF(COUNTIF(Referral_Data!$B$5:$B$1000,B429)&gt;0,"Referrer","Organic"))</f>
        <v>Organic</v>
      </c>
      <c r="G429" s="29" t="n">
        <f aca="false">IF(COUNTIFS($B$5:B429,B429,$C$5:C429,C429)=1,1,0)</f>
        <v>1</v>
      </c>
      <c r="H429" s="29" t="n">
        <f aca="false">IF(AND(G429=1,COUNTIFS($B$5:$B$1635,B429,$C$5:$C$1635,"&lt;"&amp;C429)&gt;0),1,0)</f>
        <v>1</v>
      </c>
      <c r="I429" s="29" t="n">
        <f aca="false">IF(AND(D429="Feature Use",COUNTIFS($B$5:B429,B429,$D$5:D429,"Feature Use",$E$5:E429,E429)=1),1,0)</f>
        <v>0</v>
      </c>
      <c r="J429" s="29" t="n">
        <f aca="false">IF(AND(D429="Feature Use",COUNTIFS($B$5:B429,B429,$D$5:D429,"Feature Use",$E$5:E429,E429)=2),1,0)</f>
        <v>0</v>
      </c>
      <c r="K429" s="29" t="n">
        <f aca="false">IF(COUNTIF($B$5:B429,B429)=1,1,0)</f>
        <v>0</v>
      </c>
      <c r="L429" s="29" t="n">
        <f aca="false">IF(AND(C429&gt;=Settings!$B$5-Settings!$B$8+1,C429&lt;=Settings!$B$5,COUNTIFS($B$5:B429,B429,$C$5:C429,"&gt;="&amp;(Settings!$B$5-Settings!$B$8+1),$C$5:C429,"&lt;="&amp;Settings!$B$5)=1),1,0)</f>
        <v>0</v>
      </c>
      <c r="M429" s="29" t="n">
        <f aca="false">IF(AND(C429&gt;=Settings!$B$5-Settings!$B$9+1,C429&lt;=Settings!$B$5,COUNTIFS($B$5:B429,B429,$C$5:C429,"&gt;="&amp;(Settings!$B$5-Settings!$B$9+1),$C$5:C429,"&lt;="&amp;Settings!$B$5)=1),1,0)</f>
        <v>1</v>
      </c>
      <c r="N429" s="29" t="n">
        <f aca="false">IF(AND(D429="Feature Use",COUNTIFS($B$5:B429,B429,$D$5:D429,"Feature Use")=1),1,0)</f>
        <v>0</v>
      </c>
    </row>
    <row r="430" customFormat="false" ht="15" hidden="false" customHeight="false" outlineLevel="0" collapsed="false">
      <c r="A430" s="22" t="s">
        <v>737</v>
      </c>
      <c r="B430" s="22" t="s">
        <v>303</v>
      </c>
      <c r="C430" s="31" t="n">
        <v>46282</v>
      </c>
      <c r="D430" s="22" t="s">
        <v>300</v>
      </c>
      <c r="E430" s="22" t="s">
        <v>311</v>
      </c>
      <c r="F430" s="29" t="str">
        <f aca="false">IF(COUNTIF(Referral_Data!$C$5:$C$1000,B430)&gt;0,"Referred",IF(COUNTIF(Referral_Data!$B$5:$B$1000,B430)&gt;0,"Referrer","Organic"))</f>
        <v>Organic</v>
      </c>
      <c r="G430" s="29" t="n">
        <f aca="false">IF(COUNTIFS($B$5:B430,B430,$C$5:C430,C430)=1,1,0)</f>
        <v>0</v>
      </c>
      <c r="H430" s="29" t="n">
        <f aca="false">IF(AND(G430=1,COUNTIFS($B$5:$B$1635,B430,$C$5:$C$1635,"&lt;"&amp;C430)&gt;0),1,0)</f>
        <v>0</v>
      </c>
      <c r="I430" s="29" t="n">
        <f aca="false">IF(AND(D430="Feature Use",COUNTIFS($B$5:B430,B430,$D$5:D430,"Feature Use",$E$5:E430,E430)=1),1,0)</f>
        <v>0</v>
      </c>
      <c r="J430" s="29" t="n">
        <f aca="false">IF(AND(D430="Feature Use",COUNTIFS($B$5:B430,B430,$D$5:D430,"Feature Use",$E$5:E430,E430)=2),1,0)</f>
        <v>1</v>
      </c>
      <c r="K430" s="29" t="n">
        <f aca="false">IF(COUNTIF($B$5:B430,B430)=1,1,0)</f>
        <v>0</v>
      </c>
      <c r="L430" s="29" t="n">
        <f aca="false">IF(AND(C430&gt;=Settings!$B$5-Settings!$B$8+1,C430&lt;=Settings!$B$5,COUNTIFS($B$5:B430,B430,$C$5:C430,"&gt;="&amp;(Settings!$B$5-Settings!$B$8+1),$C$5:C430,"&lt;="&amp;Settings!$B$5)=1),1,0)</f>
        <v>0</v>
      </c>
      <c r="M430" s="29" t="n">
        <f aca="false">IF(AND(C430&gt;=Settings!$B$5-Settings!$B$9+1,C430&lt;=Settings!$B$5,COUNTIFS($B$5:B430,B430,$C$5:C430,"&gt;="&amp;(Settings!$B$5-Settings!$B$9+1),$C$5:C430,"&lt;="&amp;Settings!$B$5)=1),1,0)</f>
        <v>0</v>
      </c>
      <c r="N430" s="29" t="n">
        <f aca="false">IF(AND(D430="Feature Use",COUNTIFS($B$5:B430,B430,$D$5:D430,"Feature Use")=1),1,0)</f>
        <v>0</v>
      </c>
    </row>
    <row r="431" customFormat="false" ht="15" hidden="false" customHeight="false" outlineLevel="0" collapsed="false">
      <c r="A431" s="22" t="s">
        <v>738</v>
      </c>
      <c r="B431" s="22" t="s">
        <v>313</v>
      </c>
      <c r="C431" s="31" t="n">
        <v>46282</v>
      </c>
      <c r="D431" s="22" t="s">
        <v>297</v>
      </c>
      <c r="E431" s="22" t="s">
        <v>298</v>
      </c>
      <c r="F431" s="29" t="str">
        <f aca="false">IF(COUNTIF(Referral_Data!$C$5:$C$1000,B431)&gt;0,"Referred",IF(COUNTIF(Referral_Data!$B$5:$B$1000,B431)&gt;0,"Referrer","Organic"))</f>
        <v>Organic</v>
      </c>
      <c r="G431" s="29" t="n">
        <f aca="false">IF(COUNTIFS($B$5:B431,B431,$C$5:C431,C431)=1,1,0)</f>
        <v>1</v>
      </c>
      <c r="H431" s="29" t="n">
        <f aca="false">IF(AND(G431=1,COUNTIFS($B$5:$B$1635,B431,$C$5:$C$1635,"&lt;"&amp;C431)&gt;0),1,0)</f>
        <v>1</v>
      </c>
      <c r="I431" s="29" t="n">
        <f aca="false">IF(AND(D431="Feature Use",COUNTIFS($B$5:B431,B431,$D$5:D431,"Feature Use",$E$5:E431,E431)=1),1,0)</f>
        <v>0</v>
      </c>
      <c r="J431" s="29" t="n">
        <f aca="false">IF(AND(D431="Feature Use",COUNTIFS($B$5:B431,B431,$D$5:D431,"Feature Use",$E$5:E431,E431)=2),1,0)</f>
        <v>0</v>
      </c>
      <c r="K431" s="29" t="n">
        <f aca="false">IF(COUNTIF($B$5:B431,B431)=1,1,0)</f>
        <v>0</v>
      </c>
      <c r="L431" s="29" t="n">
        <f aca="false">IF(AND(C431&gt;=Settings!$B$5-Settings!$B$8+1,C431&lt;=Settings!$B$5,COUNTIFS($B$5:B431,B431,$C$5:C431,"&gt;="&amp;(Settings!$B$5-Settings!$B$8+1),$C$5:C431,"&lt;="&amp;Settings!$B$5)=1),1,0)</f>
        <v>0</v>
      </c>
      <c r="M431" s="29" t="n">
        <f aca="false">IF(AND(C431&gt;=Settings!$B$5-Settings!$B$9+1,C431&lt;=Settings!$B$5,COUNTIFS($B$5:B431,B431,$C$5:C431,"&gt;="&amp;(Settings!$B$5-Settings!$B$9+1),$C$5:C431,"&lt;="&amp;Settings!$B$5)=1),1,0)</f>
        <v>1</v>
      </c>
      <c r="N431" s="29" t="n">
        <f aca="false">IF(AND(D431="Feature Use",COUNTIFS($B$5:B431,B431,$D$5:D431,"Feature Use")=1),1,0)</f>
        <v>0</v>
      </c>
    </row>
    <row r="432" customFormat="false" ht="15" hidden="false" customHeight="false" outlineLevel="0" collapsed="false">
      <c r="A432" s="22" t="s">
        <v>739</v>
      </c>
      <c r="B432" s="22" t="s">
        <v>313</v>
      </c>
      <c r="C432" s="31" t="n">
        <v>46282</v>
      </c>
      <c r="D432" s="22" t="s">
        <v>300</v>
      </c>
      <c r="E432" s="22" t="s">
        <v>311</v>
      </c>
      <c r="F432" s="29" t="str">
        <f aca="false">IF(COUNTIF(Referral_Data!$C$5:$C$1000,B432)&gt;0,"Referred",IF(COUNTIF(Referral_Data!$B$5:$B$1000,B432)&gt;0,"Referrer","Organic"))</f>
        <v>Organic</v>
      </c>
      <c r="G432" s="29" t="n">
        <f aca="false">IF(COUNTIFS($B$5:B432,B432,$C$5:C432,C432)=1,1,0)</f>
        <v>0</v>
      </c>
      <c r="H432" s="29" t="n">
        <f aca="false">IF(AND(G432=1,COUNTIFS($B$5:$B$1635,B432,$C$5:$C$1635,"&lt;"&amp;C432)&gt;0),1,0)</f>
        <v>0</v>
      </c>
      <c r="I432" s="29" t="n">
        <f aca="false">IF(AND(D432="Feature Use",COUNTIFS($B$5:B432,B432,$D$5:D432,"Feature Use",$E$5:E432,E432)=1),1,0)</f>
        <v>0</v>
      </c>
      <c r="J432" s="29" t="n">
        <f aca="false">IF(AND(D432="Feature Use",COUNTIFS($B$5:B432,B432,$D$5:D432,"Feature Use",$E$5:E432,E432)=2),1,0)</f>
        <v>1</v>
      </c>
      <c r="K432" s="29" t="n">
        <f aca="false">IF(COUNTIF($B$5:B432,B432)=1,1,0)</f>
        <v>0</v>
      </c>
      <c r="L432" s="29" t="n">
        <f aca="false">IF(AND(C432&gt;=Settings!$B$5-Settings!$B$8+1,C432&lt;=Settings!$B$5,COUNTIFS($B$5:B432,B432,$C$5:C432,"&gt;="&amp;(Settings!$B$5-Settings!$B$8+1),$C$5:C432,"&lt;="&amp;Settings!$B$5)=1),1,0)</f>
        <v>0</v>
      </c>
      <c r="M432" s="29" t="n">
        <f aca="false">IF(AND(C432&gt;=Settings!$B$5-Settings!$B$9+1,C432&lt;=Settings!$B$5,COUNTIFS($B$5:B432,B432,$C$5:C432,"&gt;="&amp;(Settings!$B$5-Settings!$B$9+1),$C$5:C432,"&lt;="&amp;Settings!$B$5)=1),1,0)</f>
        <v>0</v>
      </c>
      <c r="N432" s="29" t="n">
        <f aca="false">IF(AND(D432="Feature Use",COUNTIFS($B$5:B432,B432,$D$5:D432,"Feature Use")=1),1,0)</f>
        <v>0</v>
      </c>
    </row>
    <row r="433" customFormat="false" ht="15" hidden="false" customHeight="false" outlineLevel="0" collapsed="false">
      <c r="A433" s="22" t="s">
        <v>740</v>
      </c>
      <c r="B433" s="22" t="s">
        <v>313</v>
      </c>
      <c r="C433" s="31" t="n">
        <v>46282</v>
      </c>
      <c r="D433" s="22" t="s">
        <v>300</v>
      </c>
      <c r="E433" s="22" t="s">
        <v>305</v>
      </c>
      <c r="F433" s="29" t="str">
        <f aca="false">IF(COUNTIF(Referral_Data!$C$5:$C$1000,B433)&gt;0,"Referred",IF(COUNTIF(Referral_Data!$B$5:$B$1000,B433)&gt;0,"Referrer","Organic"))</f>
        <v>Organic</v>
      </c>
      <c r="G433" s="29" t="n">
        <f aca="false">IF(COUNTIFS($B$5:B433,B433,$C$5:C433,C433)=1,1,0)</f>
        <v>0</v>
      </c>
      <c r="H433" s="29" t="n">
        <f aca="false">IF(AND(G433=1,COUNTIFS($B$5:$B$1635,B433,$C$5:$C$1635,"&lt;"&amp;C433)&gt;0),1,0)</f>
        <v>0</v>
      </c>
      <c r="I433" s="29" t="n">
        <f aca="false">IF(AND(D433="Feature Use",COUNTIFS($B$5:B433,B433,$D$5:D433,"Feature Use",$E$5:E433,E433)=1),1,0)</f>
        <v>0</v>
      </c>
      <c r="J433" s="29" t="n">
        <f aca="false">IF(AND(D433="Feature Use",COUNTIFS($B$5:B433,B433,$D$5:D433,"Feature Use",$E$5:E433,E433)=2),1,0)</f>
        <v>0</v>
      </c>
      <c r="K433" s="29" t="n">
        <f aca="false">IF(COUNTIF($B$5:B433,B433)=1,1,0)</f>
        <v>0</v>
      </c>
      <c r="L433" s="29" t="n">
        <f aca="false">IF(AND(C433&gt;=Settings!$B$5-Settings!$B$8+1,C433&lt;=Settings!$B$5,COUNTIFS($B$5:B433,B433,$C$5:C433,"&gt;="&amp;(Settings!$B$5-Settings!$B$8+1),$C$5:C433,"&lt;="&amp;Settings!$B$5)=1),1,0)</f>
        <v>0</v>
      </c>
      <c r="M433" s="29" t="n">
        <f aca="false">IF(AND(C433&gt;=Settings!$B$5-Settings!$B$9+1,C433&lt;=Settings!$B$5,COUNTIFS($B$5:B433,B433,$C$5:C433,"&gt;="&amp;(Settings!$B$5-Settings!$B$9+1),$C$5:C433,"&lt;="&amp;Settings!$B$5)=1),1,0)</f>
        <v>0</v>
      </c>
      <c r="N433" s="29" t="n">
        <f aca="false">IF(AND(D433="Feature Use",COUNTIFS($B$5:B433,B433,$D$5:D433,"Feature Use")=1),1,0)</f>
        <v>0</v>
      </c>
    </row>
    <row r="434" customFormat="false" ht="15" hidden="false" customHeight="false" outlineLevel="0" collapsed="false">
      <c r="A434" s="22" t="s">
        <v>741</v>
      </c>
      <c r="B434" s="22" t="s">
        <v>168</v>
      </c>
      <c r="C434" s="31" t="n">
        <v>46282</v>
      </c>
      <c r="D434" s="22" t="s">
        <v>297</v>
      </c>
      <c r="E434" s="22" t="s">
        <v>298</v>
      </c>
      <c r="F434" s="29" t="str">
        <f aca="false">IF(COUNTIF(Referral_Data!$C$5:$C$1000,B434)&gt;0,"Referred",IF(COUNTIF(Referral_Data!$B$5:$B$1000,B434)&gt;0,"Referrer","Organic"))</f>
        <v>Referred</v>
      </c>
      <c r="G434" s="29" t="n">
        <f aca="false">IF(COUNTIFS($B$5:B434,B434,$C$5:C434,C434)=1,1,0)</f>
        <v>1</v>
      </c>
      <c r="H434" s="29" t="n">
        <f aca="false">IF(AND(G434=1,COUNTIFS($B$5:$B$1635,B434,$C$5:$C$1635,"&lt;"&amp;C434)&gt;0),1,0)</f>
        <v>1</v>
      </c>
      <c r="I434" s="29" t="n">
        <f aca="false">IF(AND(D434="Feature Use",COUNTIFS($B$5:B434,B434,$D$5:D434,"Feature Use",$E$5:E434,E434)=1),1,0)</f>
        <v>0</v>
      </c>
      <c r="J434" s="29" t="n">
        <f aca="false">IF(AND(D434="Feature Use",COUNTIFS($B$5:B434,B434,$D$5:D434,"Feature Use",$E$5:E434,E434)=2),1,0)</f>
        <v>0</v>
      </c>
      <c r="K434" s="29" t="n">
        <f aca="false">IF(COUNTIF($B$5:B434,B434)=1,1,0)</f>
        <v>0</v>
      </c>
      <c r="L434" s="29" t="n">
        <f aca="false">IF(AND(C434&gt;=Settings!$B$5-Settings!$B$8+1,C434&lt;=Settings!$B$5,COUNTIFS($B$5:B434,B434,$C$5:C434,"&gt;="&amp;(Settings!$B$5-Settings!$B$8+1),$C$5:C434,"&lt;="&amp;Settings!$B$5)=1),1,0)</f>
        <v>0</v>
      </c>
      <c r="M434" s="29" t="n">
        <f aca="false">IF(AND(C434&gt;=Settings!$B$5-Settings!$B$9+1,C434&lt;=Settings!$B$5,COUNTIFS($B$5:B434,B434,$C$5:C434,"&gt;="&amp;(Settings!$B$5-Settings!$B$9+1),$C$5:C434,"&lt;="&amp;Settings!$B$5)=1),1,0)</f>
        <v>0</v>
      </c>
      <c r="N434" s="29" t="n">
        <f aca="false">IF(AND(D434="Feature Use",COUNTIFS($B$5:B434,B434,$D$5:D434,"Feature Use")=1),1,0)</f>
        <v>0</v>
      </c>
    </row>
    <row r="435" customFormat="false" ht="15" hidden="false" customHeight="false" outlineLevel="0" collapsed="false">
      <c r="A435" s="22" t="s">
        <v>742</v>
      </c>
      <c r="B435" s="22" t="s">
        <v>168</v>
      </c>
      <c r="C435" s="31" t="n">
        <v>46282</v>
      </c>
      <c r="D435" s="22" t="s">
        <v>300</v>
      </c>
      <c r="E435" s="22" t="s">
        <v>311</v>
      </c>
      <c r="F435" s="29" t="str">
        <f aca="false">IF(COUNTIF(Referral_Data!$C$5:$C$1000,B435)&gt;0,"Referred",IF(COUNTIF(Referral_Data!$B$5:$B$1000,B435)&gt;0,"Referrer","Organic"))</f>
        <v>Referred</v>
      </c>
      <c r="G435" s="29" t="n">
        <f aca="false">IF(COUNTIFS($B$5:B435,B435,$C$5:C435,C435)=1,1,0)</f>
        <v>0</v>
      </c>
      <c r="H435" s="29" t="n">
        <f aca="false">IF(AND(G435=1,COUNTIFS($B$5:$B$1635,B435,$C$5:$C$1635,"&lt;"&amp;C435)&gt;0),1,0)</f>
        <v>0</v>
      </c>
      <c r="I435" s="29" t="n">
        <f aca="false">IF(AND(D435="Feature Use",COUNTIFS($B$5:B435,B435,$D$5:D435,"Feature Use",$E$5:E435,E435)=1),1,0)</f>
        <v>0</v>
      </c>
      <c r="J435" s="29" t="n">
        <f aca="false">IF(AND(D435="Feature Use",COUNTIFS($B$5:B435,B435,$D$5:D435,"Feature Use",$E$5:E435,E435)=2),1,0)</f>
        <v>0</v>
      </c>
      <c r="K435" s="29" t="n">
        <f aca="false">IF(COUNTIF($B$5:B435,B435)=1,1,0)</f>
        <v>0</v>
      </c>
      <c r="L435" s="29" t="n">
        <f aca="false">IF(AND(C435&gt;=Settings!$B$5-Settings!$B$8+1,C435&lt;=Settings!$B$5,COUNTIFS($B$5:B435,B435,$C$5:C435,"&gt;="&amp;(Settings!$B$5-Settings!$B$8+1),$C$5:C435,"&lt;="&amp;Settings!$B$5)=1),1,0)</f>
        <v>0</v>
      </c>
      <c r="M435" s="29" t="n">
        <f aca="false">IF(AND(C435&gt;=Settings!$B$5-Settings!$B$9+1,C435&lt;=Settings!$B$5,COUNTIFS($B$5:B435,B435,$C$5:C435,"&gt;="&amp;(Settings!$B$5-Settings!$B$9+1),$C$5:C435,"&lt;="&amp;Settings!$B$5)=1),1,0)</f>
        <v>0</v>
      </c>
      <c r="N435" s="29" t="n">
        <f aca="false">IF(AND(D435="Feature Use",COUNTIFS($B$5:B435,B435,$D$5:D435,"Feature Use")=1),1,0)</f>
        <v>0</v>
      </c>
    </row>
    <row r="436" customFormat="false" ht="15" hidden="false" customHeight="false" outlineLevel="0" collapsed="false">
      <c r="A436" s="22" t="s">
        <v>743</v>
      </c>
      <c r="B436" s="22" t="s">
        <v>168</v>
      </c>
      <c r="C436" s="31" t="n">
        <v>46282</v>
      </c>
      <c r="D436" s="22" t="s">
        <v>308</v>
      </c>
      <c r="E436" s="22" t="s">
        <v>305</v>
      </c>
      <c r="F436" s="29" t="str">
        <f aca="false">IF(COUNTIF(Referral_Data!$C$5:$C$1000,B436)&gt;0,"Referred",IF(COUNTIF(Referral_Data!$B$5:$B$1000,B436)&gt;0,"Referrer","Organic"))</f>
        <v>Referred</v>
      </c>
      <c r="G436" s="29" t="n">
        <f aca="false">IF(COUNTIFS($B$5:B436,B436,$C$5:C436,C436)=1,1,0)</f>
        <v>0</v>
      </c>
      <c r="H436" s="29" t="n">
        <f aca="false">IF(AND(G436=1,COUNTIFS($B$5:$B$1635,B436,$C$5:$C$1635,"&lt;"&amp;C436)&gt;0),1,0)</f>
        <v>0</v>
      </c>
      <c r="I436" s="29" t="n">
        <f aca="false">IF(AND(D436="Feature Use",COUNTIFS($B$5:B436,B436,$D$5:D436,"Feature Use",$E$5:E436,E436)=1),1,0)</f>
        <v>0</v>
      </c>
      <c r="J436" s="29" t="n">
        <f aca="false">IF(AND(D436="Feature Use",COUNTIFS($B$5:B436,B436,$D$5:D436,"Feature Use",$E$5:E436,E436)=2),1,0)</f>
        <v>0</v>
      </c>
      <c r="K436" s="29" t="n">
        <f aca="false">IF(COUNTIF($B$5:B436,B436)=1,1,0)</f>
        <v>0</v>
      </c>
      <c r="L436" s="29" t="n">
        <f aca="false">IF(AND(C436&gt;=Settings!$B$5-Settings!$B$8+1,C436&lt;=Settings!$B$5,COUNTIFS($B$5:B436,B436,$C$5:C436,"&gt;="&amp;(Settings!$B$5-Settings!$B$8+1),$C$5:C436,"&lt;="&amp;Settings!$B$5)=1),1,0)</f>
        <v>0</v>
      </c>
      <c r="M436" s="29" t="n">
        <f aca="false">IF(AND(C436&gt;=Settings!$B$5-Settings!$B$9+1,C436&lt;=Settings!$B$5,COUNTIFS($B$5:B436,B436,$C$5:C436,"&gt;="&amp;(Settings!$B$5-Settings!$B$9+1),$C$5:C436,"&lt;="&amp;Settings!$B$5)=1),1,0)</f>
        <v>0</v>
      </c>
      <c r="N436" s="29" t="n">
        <f aca="false">IF(AND(D436="Feature Use",COUNTIFS($B$5:B436,B436,$D$5:D436,"Feature Use")=1),1,0)</f>
        <v>0</v>
      </c>
    </row>
    <row r="437" customFormat="false" ht="15" hidden="false" customHeight="false" outlineLevel="0" collapsed="false">
      <c r="A437" s="22" t="s">
        <v>744</v>
      </c>
      <c r="B437" s="22" t="s">
        <v>168</v>
      </c>
      <c r="C437" s="31" t="n">
        <v>46282</v>
      </c>
      <c r="D437" s="22" t="s">
        <v>308</v>
      </c>
      <c r="E437" s="22" t="s">
        <v>305</v>
      </c>
      <c r="F437" s="29" t="str">
        <f aca="false">IF(COUNTIF(Referral_Data!$C$5:$C$1000,B437)&gt;0,"Referred",IF(COUNTIF(Referral_Data!$B$5:$B$1000,B437)&gt;0,"Referrer","Organic"))</f>
        <v>Referred</v>
      </c>
      <c r="G437" s="29" t="n">
        <f aca="false">IF(COUNTIFS($B$5:B437,B437,$C$5:C437,C437)=1,1,0)</f>
        <v>0</v>
      </c>
      <c r="H437" s="29" t="n">
        <f aca="false">IF(AND(G437=1,COUNTIFS($B$5:$B$1635,B437,$C$5:$C$1635,"&lt;"&amp;C437)&gt;0),1,0)</f>
        <v>0</v>
      </c>
      <c r="I437" s="29" t="n">
        <f aca="false">IF(AND(D437="Feature Use",COUNTIFS($B$5:B437,B437,$D$5:D437,"Feature Use",$E$5:E437,E437)=1),1,0)</f>
        <v>0</v>
      </c>
      <c r="J437" s="29" t="n">
        <f aca="false">IF(AND(D437="Feature Use",COUNTIFS($B$5:B437,B437,$D$5:D437,"Feature Use",$E$5:E437,E437)=2),1,0)</f>
        <v>0</v>
      </c>
      <c r="K437" s="29" t="n">
        <f aca="false">IF(COUNTIF($B$5:B437,B437)=1,1,0)</f>
        <v>0</v>
      </c>
      <c r="L437" s="29" t="n">
        <f aca="false">IF(AND(C437&gt;=Settings!$B$5-Settings!$B$8+1,C437&lt;=Settings!$B$5,COUNTIFS($B$5:B437,B437,$C$5:C437,"&gt;="&amp;(Settings!$B$5-Settings!$B$8+1),$C$5:C437,"&lt;="&amp;Settings!$B$5)=1),1,0)</f>
        <v>0</v>
      </c>
      <c r="M437" s="29" t="n">
        <f aca="false">IF(AND(C437&gt;=Settings!$B$5-Settings!$B$9+1,C437&lt;=Settings!$B$5,COUNTIFS($B$5:B437,B437,$C$5:C437,"&gt;="&amp;(Settings!$B$5-Settings!$B$9+1),$C$5:C437,"&lt;="&amp;Settings!$B$5)=1),1,0)</f>
        <v>0</v>
      </c>
      <c r="N437" s="29" t="n">
        <f aca="false">IF(AND(D437="Feature Use",COUNTIFS($B$5:B437,B437,$D$5:D437,"Feature Use")=1),1,0)</f>
        <v>0</v>
      </c>
    </row>
    <row r="438" customFormat="false" ht="15" hidden="false" customHeight="false" outlineLevel="0" collapsed="false">
      <c r="A438" s="22" t="s">
        <v>745</v>
      </c>
      <c r="B438" s="22" t="s">
        <v>181</v>
      </c>
      <c r="C438" s="31" t="n">
        <v>46282</v>
      </c>
      <c r="D438" s="22" t="s">
        <v>297</v>
      </c>
      <c r="E438" s="22" t="s">
        <v>298</v>
      </c>
      <c r="F438" s="29" t="str">
        <f aca="false">IF(COUNTIF(Referral_Data!$C$5:$C$1000,B438)&gt;0,"Referred",IF(COUNTIF(Referral_Data!$B$5:$B$1000,B438)&gt;0,"Referrer","Organic"))</f>
        <v>Referred</v>
      </c>
      <c r="G438" s="29" t="n">
        <f aca="false">IF(COUNTIFS($B$5:B438,B438,$C$5:C438,C438)=1,1,0)</f>
        <v>1</v>
      </c>
      <c r="H438" s="29" t="n">
        <f aca="false">IF(AND(G438=1,COUNTIFS($B$5:$B$1635,B438,$C$5:$C$1635,"&lt;"&amp;C438)&gt;0),1,0)</f>
        <v>1</v>
      </c>
      <c r="I438" s="29" t="n">
        <f aca="false">IF(AND(D438="Feature Use",COUNTIFS($B$5:B438,B438,$D$5:D438,"Feature Use",$E$5:E438,E438)=1),1,0)</f>
        <v>0</v>
      </c>
      <c r="J438" s="29" t="n">
        <f aca="false">IF(AND(D438="Feature Use",COUNTIFS($B$5:B438,B438,$D$5:D438,"Feature Use",$E$5:E438,E438)=2),1,0)</f>
        <v>0</v>
      </c>
      <c r="K438" s="29" t="n">
        <f aca="false">IF(COUNTIF($B$5:B438,B438)=1,1,0)</f>
        <v>0</v>
      </c>
      <c r="L438" s="29" t="n">
        <f aca="false">IF(AND(C438&gt;=Settings!$B$5-Settings!$B$8+1,C438&lt;=Settings!$B$5,COUNTIFS($B$5:B438,B438,$C$5:C438,"&gt;="&amp;(Settings!$B$5-Settings!$B$8+1),$C$5:C438,"&lt;="&amp;Settings!$B$5)=1),1,0)</f>
        <v>0</v>
      </c>
      <c r="M438" s="29" t="n">
        <f aca="false">IF(AND(C438&gt;=Settings!$B$5-Settings!$B$9+1,C438&lt;=Settings!$B$5,COUNTIFS($B$5:B438,B438,$C$5:C438,"&gt;="&amp;(Settings!$B$5-Settings!$B$9+1),$C$5:C438,"&lt;="&amp;Settings!$B$5)=1),1,0)</f>
        <v>0</v>
      </c>
      <c r="N438" s="29" t="n">
        <f aca="false">IF(AND(D438="Feature Use",COUNTIFS($B$5:B438,B438,$D$5:D438,"Feature Use")=1),1,0)</f>
        <v>0</v>
      </c>
    </row>
    <row r="439" customFormat="false" ht="15" hidden="false" customHeight="false" outlineLevel="0" collapsed="false">
      <c r="A439" s="22" t="s">
        <v>746</v>
      </c>
      <c r="B439" s="22" t="s">
        <v>181</v>
      </c>
      <c r="C439" s="31" t="n">
        <v>46282</v>
      </c>
      <c r="D439" s="22" t="s">
        <v>300</v>
      </c>
      <c r="E439" s="22" t="s">
        <v>309</v>
      </c>
      <c r="F439" s="29" t="str">
        <f aca="false">IF(COUNTIF(Referral_Data!$C$5:$C$1000,B439)&gt;0,"Referred",IF(COUNTIF(Referral_Data!$B$5:$B$1000,B439)&gt;0,"Referrer","Organic"))</f>
        <v>Referred</v>
      </c>
      <c r="G439" s="29" t="n">
        <f aca="false">IF(COUNTIFS($B$5:B439,B439,$C$5:C439,C439)=1,1,0)</f>
        <v>0</v>
      </c>
      <c r="H439" s="29" t="n">
        <f aca="false">IF(AND(G439=1,COUNTIFS($B$5:$B$1635,B439,$C$5:$C$1635,"&lt;"&amp;C439)&gt;0),1,0)</f>
        <v>0</v>
      </c>
      <c r="I439" s="29" t="n">
        <f aca="false">IF(AND(D439="Feature Use",COUNTIFS($B$5:B439,B439,$D$5:D439,"Feature Use",$E$5:E439,E439)=1),1,0)</f>
        <v>1</v>
      </c>
      <c r="J439" s="29" t="n">
        <f aca="false">IF(AND(D439="Feature Use",COUNTIFS($B$5:B439,B439,$D$5:D439,"Feature Use",$E$5:E439,E439)=2),1,0)</f>
        <v>0</v>
      </c>
      <c r="K439" s="29" t="n">
        <f aca="false">IF(COUNTIF($B$5:B439,B439)=1,1,0)</f>
        <v>0</v>
      </c>
      <c r="L439" s="29" t="n">
        <f aca="false">IF(AND(C439&gt;=Settings!$B$5-Settings!$B$8+1,C439&lt;=Settings!$B$5,COUNTIFS($B$5:B439,B439,$C$5:C439,"&gt;="&amp;(Settings!$B$5-Settings!$B$8+1),$C$5:C439,"&lt;="&amp;Settings!$B$5)=1),1,0)</f>
        <v>0</v>
      </c>
      <c r="M439" s="29" t="n">
        <f aca="false">IF(AND(C439&gt;=Settings!$B$5-Settings!$B$9+1,C439&lt;=Settings!$B$5,COUNTIFS($B$5:B439,B439,$C$5:C439,"&gt;="&amp;(Settings!$B$5-Settings!$B$9+1),$C$5:C439,"&lt;="&amp;Settings!$B$5)=1),1,0)</f>
        <v>0</v>
      </c>
      <c r="N439" s="29" t="n">
        <f aca="false">IF(AND(D439="Feature Use",COUNTIFS($B$5:B439,B439,$D$5:D439,"Feature Use")=1),1,0)</f>
        <v>0</v>
      </c>
    </row>
    <row r="440" customFormat="false" ht="15" hidden="false" customHeight="false" outlineLevel="0" collapsed="false">
      <c r="A440" s="22" t="s">
        <v>747</v>
      </c>
      <c r="B440" s="22" t="s">
        <v>181</v>
      </c>
      <c r="C440" s="31" t="n">
        <v>46282</v>
      </c>
      <c r="D440" s="22" t="s">
        <v>308</v>
      </c>
      <c r="E440" s="22" t="s">
        <v>305</v>
      </c>
      <c r="F440" s="29" t="str">
        <f aca="false">IF(COUNTIF(Referral_Data!$C$5:$C$1000,B440)&gt;0,"Referred",IF(COUNTIF(Referral_Data!$B$5:$B$1000,B440)&gt;0,"Referrer","Organic"))</f>
        <v>Referred</v>
      </c>
      <c r="G440" s="29" t="n">
        <f aca="false">IF(COUNTIFS($B$5:B440,B440,$C$5:C440,C440)=1,1,0)</f>
        <v>0</v>
      </c>
      <c r="H440" s="29" t="n">
        <f aca="false">IF(AND(G440=1,COUNTIFS($B$5:$B$1635,B440,$C$5:$C$1635,"&lt;"&amp;C440)&gt;0),1,0)</f>
        <v>0</v>
      </c>
      <c r="I440" s="29" t="n">
        <f aca="false">IF(AND(D440="Feature Use",COUNTIFS($B$5:B440,B440,$D$5:D440,"Feature Use",$E$5:E440,E440)=1),1,0)</f>
        <v>0</v>
      </c>
      <c r="J440" s="29" t="n">
        <f aca="false">IF(AND(D440="Feature Use",COUNTIFS($B$5:B440,B440,$D$5:D440,"Feature Use",$E$5:E440,E440)=2),1,0)</f>
        <v>0</v>
      </c>
      <c r="K440" s="29" t="n">
        <f aca="false">IF(COUNTIF($B$5:B440,B440)=1,1,0)</f>
        <v>0</v>
      </c>
      <c r="L440" s="29" t="n">
        <f aca="false">IF(AND(C440&gt;=Settings!$B$5-Settings!$B$8+1,C440&lt;=Settings!$B$5,COUNTIFS($B$5:B440,B440,$C$5:C440,"&gt;="&amp;(Settings!$B$5-Settings!$B$8+1),$C$5:C440,"&lt;="&amp;Settings!$B$5)=1),1,0)</f>
        <v>0</v>
      </c>
      <c r="M440" s="29" t="n">
        <f aca="false">IF(AND(C440&gt;=Settings!$B$5-Settings!$B$9+1,C440&lt;=Settings!$B$5,COUNTIFS($B$5:B440,B440,$C$5:C440,"&gt;="&amp;(Settings!$B$5-Settings!$B$9+1),$C$5:C440,"&lt;="&amp;Settings!$B$5)=1),1,0)</f>
        <v>0</v>
      </c>
      <c r="N440" s="29" t="n">
        <f aca="false">IF(AND(D440="Feature Use",COUNTIFS($B$5:B440,B440,$D$5:D440,"Feature Use")=1),1,0)</f>
        <v>0</v>
      </c>
    </row>
    <row r="441" customFormat="false" ht="15" hidden="false" customHeight="false" outlineLevel="0" collapsed="false">
      <c r="A441" s="22" t="s">
        <v>748</v>
      </c>
      <c r="B441" s="22" t="s">
        <v>181</v>
      </c>
      <c r="C441" s="31" t="n">
        <v>46282</v>
      </c>
      <c r="D441" s="22" t="s">
        <v>308</v>
      </c>
      <c r="E441" s="22" t="s">
        <v>309</v>
      </c>
      <c r="F441" s="29" t="str">
        <f aca="false">IF(COUNTIF(Referral_Data!$C$5:$C$1000,B441)&gt;0,"Referred",IF(COUNTIF(Referral_Data!$B$5:$B$1000,B441)&gt;0,"Referrer","Organic"))</f>
        <v>Referred</v>
      </c>
      <c r="G441" s="29" t="n">
        <f aca="false">IF(COUNTIFS($B$5:B441,B441,$C$5:C441,C441)=1,1,0)</f>
        <v>0</v>
      </c>
      <c r="H441" s="29" t="n">
        <f aca="false">IF(AND(G441=1,COUNTIFS($B$5:$B$1635,B441,$C$5:$C$1635,"&lt;"&amp;C441)&gt;0),1,0)</f>
        <v>0</v>
      </c>
      <c r="I441" s="29" t="n">
        <f aca="false">IF(AND(D441="Feature Use",COUNTIFS($B$5:B441,B441,$D$5:D441,"Feature Use",$E$5:E441,E441)=1),1,0)</f>
        <v>0</v>
      </c>
      <c r="J441" s="29" t="n">
        <f aca="false">IF(AND(D441="Feature Use",COUNTIFS($B$5:B441,B441,$D$5:D441,"Feature Use",$E$5:E441,E441)=2),1,0)</f>
        <v>0</v>
      </c>
      <c r="K441" s="29" t="n">
        <f aca="false">IF(COUNTIF($B$5:B441,B441)=1,1,0)</f>
        <v>0</v>
      </c>
      <c r="L441" s="29" t="n">
        <f aca="false">IF(AND(C441&gt;=Settings!$B$5-Settings!$B$8+1,C441&lt;=Settings!$B$5,COUNTIFS($B$5:B441,B441,$C$5:C441,"&gt;="&amp;(Settings!$B$5-Settings!$B$8+1),$C$5:C441,"&lt;="&amp;Settings!$B$5)=1),1,0)</f>
        <v>0</v>
      </c>
      <c r="M441" s="29" t="n">
        <f aca="false">IF(AND(C441&gt;=Settings!$B$5-Settings!$B$9+1,C441&lt;=Settings!$B$5,COUNTIFS($B$5:B441,B441,$C$5:C441,"&gt;="&amp;(Settings!$B$5-Settings!$B$9+1),$C$5:C441,"&lt;="&amp;Settings!$B$5)=1),1,0)</f>
        <v>0</v>
      </c>
      <c r="N441" s="29" t="n">
        <f aca="false">IF(AND(D441="Feature Use",COUNTIFS($B$5:B441,B441,$D$5:D441,"Feature Use")=1),1,0)</f>
        <v>0</v>
      </c>
    </row>
    <row r="442" customFormat="false" ht="15" hidden="false" customHeight="false" outlineLevel="0" collapsed="false">
      <c r="A442" s="22" t="s">
        <v>749</v>
      </c>
      <c r="B442" s="22" t="s">
        <v>184</v>
      </c>
      <c r="C442" s="31" t="n">
        <v>46282</v>
      </c>
      <c r="D442" s="22" t="s">
        <v>297</v>
      </c>
      <c r="E442" s="22" t="s">
        <v>298</v>
      </c>
      <c r="F442" s="29" t="str">
        <f aca="false">IF(COUNTIF(Referral_Data!$C$5:$C$1000,B442)&gt;0,"Referred",IF(COUNTIF(Referral_Data!$B$5:$B$1000,B442)&gt;0,"Referrer","Organic"))</f>
        <v>Referred</v>
      </c>
      <c r="G442" s="29" t="n">
        <f aca="false">IF(COUNTIFS($B$5:B442,B442,$C$5:C442,C442)=1,1,0)</f>
        <v>1</v>
      </c>
      <c r="H442" s="29" t="n">
        <f aca="false">IF(AND(G442=1,COUNTIFS($B$5:$B$1635,B442,$C$5:$C$1635,"&lt;"&amp;C442)&gt;0),1,0)</f>
        <v>1</v>
      </c>
      <c r="I442" s="29" t="n">
        <f aca="false">IF(AND(D442="Feature Use",COUNTIFS($B$5:B442,B442,$D$5:D442,"Feature Use",$E$5:E442,E442)=1),1,0)</f>
        <v>0</v>
      </c>
      <c r="J442" s="29" t="n">
        <f aca="false">IF(AND(D442="Feature Use",COUNTIFS($B$5:B442,B442,$D$5:D442,"Feature Use",$E$5:E442,E442)=2),1,0)</f>
        <v>0</v>
      </c>
      <c r="K442" s="29" t="n">
        <f aca="false">IF(COUNTIF($B$5:B442,B442)=1,1,0)</f>
        <v>0</v>
      </c>
      <c r="L442" s="29" t="n">
        <f aca="false">IF(AND(C442&gt;=Settings!$B$5-Settings!$B$8+1,C442&lt;=Settings!$B$5,COUNTIFS($B$5:B442,B442,$C$5:C442,"&gt;="&amp;(Settings!$B$5-Settings!$B$8+1),$C$5:C442,"&lt;="&amp;Settings!$B$5)=1),1,0)</f>
        <v>0</v>
      </c>
      <c r="M442" s="29" t="n">
        <f aca="false">IF(AND(C442&gt;=Settings!$B$5-Settings!$B$9+1,C442&lt;=Settings!$B$5,COUNTIFS($B$5:B442,B442,$C$5:C442,"&gt;="&amp;(Settings!$B$5-Settings!$B$9+1),$C$5:C442,"&lt;="&amp;Settings!$B$5)=1),1,0)</f>
        <v>1</v>
      </c>
      <c r="N442" s="29" t="n">
        <f aca="false">IF(AND(D442="Feature Use",COUNTIFS($B$5:B442,B442,$D$5:D442,"Feature Use")=1),1,0)</f>
        <v>0</v>
      </c>
    </row>
    <row r="443" customFormat="false" ht="15" hidden="false" customHeight="false" outlineLevel="0" collapsed="false">
      <c r="A443" s="22" t="s">
        <v>750</v>
      </c>
      <c r="B443" s="22" t="s">
        <v>184</v>
      </c>
      <c r="C443" s="31" t="n">
        <v>46282</v>
      </c>
      <c r="D443" s="22" t="s">
        <v>300</v>
      </c>
      <c r="E443" s="22" t="s">
        <v>319</v>
      </c>
      <c r="F443" s="29" t="str">
        <f aca="false">IF(COUNTIF(Referral_Data!$C$5:$C$1000,B443)&gt;0,"Referred",IF(COUNTIF(Referral_Data!$B$5:$B$1000,B443)&gt;0,"Referrer","Organic"))</f>
        <v>Referred</v>
      </c>
      <c r="G443" s="29" t="n">
        <f aca="false">IF(COUNTIFS($B$5:B443,B443,$C$5:C443,C443)=1,1,0)</f>
        <v>0</v>
      </c>
      <c r="H443" s="29" t="n">
        <f aca="false">IF(AND(G443=1,COUNTIFS($B$5:$B$1635,B443,$C$5:$C$1635,"&lt;"&amp;C443)&gt;0),1,0)</f>
        <v>0</v>
      </c>
      <c r="I443" s="29" t="n">
        <f aca="false">IF(AND(D443="Feature Use",COUNTIFS($B$5:B443,B443,$D$5:D443,"Feature Use",$E$5:E443,E443)=1),1,0)</f>
        <v>0</v>
      </c>
      <c r="J443" s="29" t="n">
        <f aca="false">IF(AND(D443="Feature Use",COUNTIFS($B$5:B443,B443,$D$5:D443,"Feature Use",$E$5:E443,E443)=2),1,0)</f>
        <v>1</v>
      </c>
      <c r="K443" s="29" t="n">
        <f aca="false">IF(COUNTIF($B$5:B443,B443)=1,1,0)</f>
        <v>0</v>
      </c>
      <c r="L443" s="29" t="n">
        <f aca="false">IF(AND(C443&gt;=Settings!$B$5-Settings!$B$8+1,C443&lt;=Settings!$B$5,COUNTIFS($B$5:B443,B443,$C$5:C443,"&gt;="&amp;(Settings!$B$5-Settings!$B$8+1),$C$5:C443,"&lt;="&amp;Settings!$B$5)=1),1,0)</f>
        <v>0</v>
      </c>
      <c r="M443" s="29" t="n">
        <f aca="false">IF(AND(C443&gt;=Settings!$B$5-Settings!$B$9+1,C443&lt;=Settings!$B$5,COUNTIFS($B$5:B443,B443,$C$5:C443,"&gt;="&amp;(Settings!$B$5-Settings!$B$9+1),$C$5:C443,"&lt;="&amp;Settings!$B$5)=1),1,0)</f>
        <v>0</v>
      </c>
      <c r="N443" s="29" t="n">
        <f aca="false">IF(AND(D443="Feature Use",COUNTIFS($B$5:B443,B443,$D$5:D443,"Feature Use")=1),1,0)</f>
        <v>0</v>
      </c>
    </row>
    <row r="444" customFormat="false" ht="15" hidden="false" customHeight="false" outlineLevel="0" collapsed="false">
      <c r="A444" s="22" t="s">
        <v>751</v>
      </c>
      <c r="B444" s="22" t="s">
        <v>184</v>
      </c>
      <c r="C444" s="31" t="n">
        <v>46282</v>
      </c>
      <c r="D444" s="22" t="s">
        <v>300</v>
      </c>
      <c r="E444" s="22" t="s">
        <v>305</v>
      </c>
      <c r="F444" s="29" t="str">
        <f aca="false">IF(COUNTIF(Referral_Data!$C$5:$C$1000,B444)&gt;0,"Referred",IF(COUNTIF(Referral_Data!$B$5:$B$1000,B444)&gt;0,"Referrer","Organic"))</f>
        <v>Referred</v>
      </c>
      <c r="G444" s="29" t="n">
        <f aca="false">IF(COUNTIFS($B$5:B444,B444,$C$5:C444,C444)=1,1,0)</f>
        <v>0</v>
      </c>
      <c r="H444" s="29" t="n">
        <f aca="false">IF(AND(G444=1,COUNTIFS($B$5:$B$1635,B444,$C$5:$C$1635,"&lt;"&amp;C444)&gt;0),1,0)</f>
        <v>0</v>
      </c>
      <c r="I444" s="29" t="n">
        <f aca="false">IF(AND(D444="Feature Use",COUNTIFS($B$5:B444,B444,$D$5:D444,"Feature Use",$E$5:E444,E444)=1),1,0)</f>
        <v>1</v>
      </c>
      <c r="J444" s="29" t="n">
        <f aca="false">IF(AND(D444="Feature Use",COUNTIFS($B$5:B444,B444,$D$5:D444,"Feature Use",$E$5:E444,E444)=2),1,0)</f>
        <v>0</v>
      </c>
      <c r="K444" s="29" t="n">
        <f aca="false">IF(COUNTIF($B$5:B444,B444)=1,1,0)</f>
        <v>0</v>
      </c>
      <c r="L444" s="29" t="n">
        <f aca="false">IF(AND(C444&gt;=Settings!$B$5-Settings!$B$8+1,C444&lt;=Settings!$B$5,COUNTIFS($B$5:B444,B444,$C$5:C444,"&gt;="&amp;(Settings!$B$5-Settings!$B$8+1),$C$5:C444,"&lt;="&amp;Settings!$B$5)=1),1,0)</f>
        <v>0</v>
      </c>
      <c r="M444" s="29" t="n">
        <f aca="false">IF(AND(C444&gt;=Settings!$B$5-Settings!$B$9+1,C444&lt;=Settings!$B$5,COUNTIFS($B$5:B444,B444,$C$5:C444,"&gt;="&amp;(Settings!$B$5-Settings!$B$9+1),$C$5:C444,"&lt;="&amp;Settings!$B$5)=1),1,0)</f>
        <v>0</v>
      </c>
      <c r="N444" s="29" t="n">
        <f aca="false">IF(AND(D444="Feature Use",COUNTIFS($B$5:B444,B444,$D$5:D444,"Feature Use")=1),1,0)</f>
        <v>0</v>
      </c>
    </row>
    <row r="445" customFormat="false" ht="15" hidden="false" customHeight="false" outlineLevel="0" collapsed="false">
      <c r="A445" s="22" t="s">
        <v>752</v>
      </c>
      <c r="B445" s="22" t="s">
        <v>194</v>
      </c>
      <c r="C445" s="31" t="n">
        <v>46282</v>
      </c>
      <c r="D445" s="22" t="s">
        <v>297</v>
      </c>
      <c r="E445" s="22" t="s">
        <v>298</v>
      </c>
      <c r="F445" s="29" t="str">
        <f aca="false">IF(COUNTIF(Referral_Data!$C$5:$C$1000,B445)&gt;0,"Referred",IF(COUNTIF(Referral_Data!$B$5:$B$1000,B445)&gt;0,"Referrer","Organic"))</f>
        <v>Referred</v>
      </c>
      <c r="G445" s="29" t="n">
        <f aca="false">IF(COUNTIFS($B$5:B445,B445,$C$5:C445,C445)=1,1,0)</f>
        <v>1</v>
      </c>
      <c r="H445" s="29" t="n">
        <f aca="false">IF(AND(G445=1,COUNTIFS($B$5:$B$1635,B445,$C$5:$C$1635,"&lt;"&amp;C445)&gt;0),1,0)</f>
        <v>1</v>
      </c>
      <c r="I445" s="29" t="n">
        <f aca="false">IF(AND(D445="Feature Use",COUNTIFS($B$5:B445,B445,$D$5:D445,"Feature Use",$E$5:E445,E445)=1),1,0)</f>
        <v>0</v>
      </c>
      <c r="J445" s="29" t="n">
        <f aca="false">IF(AND(D445="Feature Use",COUNTIFS($B$5:B445,B445,$D$5:D445,"Feature Use",$E$5:E445,E445)=2),1,0)</f>
        <v>0</v>
      </c>
      <c r="K445" s="29" t="n">
        <f aca="false">IF(COUNTIF($B$5:B445,B445)=1,1,0)</f>
        <v>0</v>
      </c>
      <c r="L445" s="29" t="n">
        <f aca="false">IF(AND(C445&gt;=Settings!$B$5-Settings!$B$8+1,C445&lt;=Settings!$B$5,COUNTIFS($B$5:B445,B445,$C$5:C445,"&gt;="&amp;(Settings!$B$5-Settings!$B$8+1),$C$5:C445,"&lt;="&amp;Settings!$B$5)=1),1,0)</f>
        <v>0</v>
      </c>
      <c r="M445" s="29" t="n">
        <f aca="false">IF(AND(C445&gt;=Settings!$B$5-Settings!$B$9+1,C445&lt;=Settings!$B$5,COUNTIFS($B$5:B445,B445,$C$5:C445,"&gt;="&amp;(Settings!$B$5-Settings!$B$9+1),$C$5:C445,"&lt;="&amp;Settings!$B$5)=1),1,0)</f>
        <v>1</v>
      </c>
      <c r="N445" s="29" t="n">
        <f aca="false">IF(AND(D445="Feature Use",COUNTIFS($B$5:B445,B445,$D$5:D445,"Feature Use")=1),1,0)</f>
        <v>0</v>
      </c>
    </row>
    <row r="446" customFormat="false" ht="15" hidden="false" customHeight="false" outlineLevel="0" collapsed="false">
      <c r="A446" s="22" t="s">
        <v>753</v>
      </c>
      <c r="B446" s="22" t="s">
        <v>194</v>
      </c>
      <c r="C446" s="31" t="n">
        <v>46282</v>
      </c>
      <c r="D446" s="22" t="s">
        <v>300</v>
      </c>
      <c r="E446" s="22" t="s">
        <v>305</v>
      </c>
      <c r="F446" s="29" t="str">
        <f aca="false">IF(COUNTIF(Referral_Data!$C$5:$C$1000,B446)&gt;0,"Referred",IF(COUNTIF(Referral_Data!$B$5:$B$1000,B446)&gt;0,"Referrer","Organic"))</f>
        <v>Referred</v>
      </c>
      <c r="G446" s="29" t="n">
        <f aca="false">IF(COUNTIFS($B$5:B446,B446,$C$5:C446,C446)=1,1,0)</f>
        <v>0</v>
      </c>
      <c r="H446" s="29" t="n">
        <f aca="false">IF(AND(G446=1,COUNTIFS($B$5:$B$1635,B446,$C$5:$C$1635,"&lt;"&amp;C446)&gt;0),1,0)</f>
        <v>0</v>
      </c>
      <c r="I446" s="29" t="n">
        <f aca="false">IF(AND(D446="Feature Use",COUNTIFS($B$5:B446,B446,$D$5:D446,"Feature Use",$E$5:E446,E446)=1),1,0)</f>
        <v>0</v>
      </c>
      <c r="J446" s="29" t="n">
        <f aca="false">IF(AND(D446="Feature Use",COUNTIFS($B$5:B446,B446,$D$5:D446,"Feature Use",$E$5:E446,E446)=2),1,0)</f>
        <v>0</v>
      </c>
      <c r="K446" s="29" t="n">
        <f aca="false">IF(COUNTIF($B$5:B446,B446)=1,1,0)</f>
        <v>0</v>
      </c>
      <c r="L446" s="29" t="n">
        <f aca="false">IF(AND(C446&gt;=Settings!$B$5-Settings!$B$8+1,C446&lt;=Settings!$B$5,COUNTIFS($B$5:B446,B446,$C$5:C446,"&gt;="&amp;(Settings!$B$5-Settings!$B$8+1),$C$5:C446,"&lt;="&amp;Settings!$B$5)=1),1,0)</f>
        <v>0</v>
      </c>
      <c r="M446" s="29" t="n">
        <f aca="false">IF(AND(C446&gt;=Settings!$B$5-Settings!$B$9+1,C446&lt;=Settings!$B$5,COUNTIFS($B$5:B446,B446,$C$5:C446,"&gt;="&amp;(Settings!$B$5-Settings!$B$9+1),$C$5:C446,"&lt;="&amp;Settings!$B$5)=1),1,0)</f>
        <v>0</v>
      </c>
      <c r="N446" s="29" t="n">
        <f aca="false">IF(AND(D446="Feature Use",COUNTIFS($B$5:B446,B446,$D$5:D446,"Feature Use")=1),1,0)</f>
        <v>0</v>
      </c>
    </row>
    <row r="447" customFormat="false" ht="15" hidden="false" customHeight="false" outlineLevel="0" collapsed="false">
      <c r="A447" s="22" t="s">
        <v>754</v>
      </c>
      <c r="B447" s="22" t="s">
        <v>213</v>
      </c>
      <c r="C447" s="31" t="n">
        <v>46282</v>
      </c>
      <c r="D447" s="22" t="s">
        <v>297</v>
      </c>
      <c r="E447" s="22" t="s">
        <v>298</v>
      </c>
      <c r="F447" s="29" t="str">
        <f aca="false">IF(COUNTIF(Referral_Data!$C$5:$C$1000,B447)&gt;0,"Referred",IF(COUNTIF(Referral_Data!$B$5:$B$1000,B447)&gt;0,"Referrer","Organic"))</f>
        <v>Referred</v>
      </c>
      <c r="G447" s="29" t="n">
        <f aca="false">IF(COUNTIFS($B$5:B447,B447,$C$5:C447,C447)=1,1,0)</f>
        <v>1</v>
      </c>
      <c r="H447" s="29" t="n">
        <f aca="false">IF(AND(G447=1,COUNTIFS($B$5:$B$1635,B447,$C$5:$C$1635,"&lt;"&amp;C447)&gt;0),1,0)</f>
        <v>1</v>
      </c>
      <c r="I447" s="29" t="n">
        <f aca="false">IF(AND(D447="Feature Use",COUNTIFS($B$5:B447,B447,$D$5:D447,"Feature Use",$E$5:E447,E447)=1),1,0)</f>
        <v>0</v>
      </c>
      <c r="J447" s="29" t="n">
        <f aca="false">IF(AND(D447="Feature Use",COUNTIFS($B$5:B447,B447,$D$5:D447,"Feature Use",$E$5:E447,E447)=2),1,0)</f>
        <v>0</v>
      </c>
      <c r="K447" s="29" t="n">
        <f aca="false">IF(COUNTIF($B$5:B447,B447)=1,1,0)</f>
        <v>0</v>
      </c>
      <c r="L447" s="29" t="n">
        <f aca="false">IF(AND(C447&gt;=Settings!$B$5-Settings!$B$8+1,C447&lt;=Settings!$B$5,COUNTIFS($B$5:B447,B447,$C$5:C447,"&gt;="&amp;(Settings!$B$5-Settings!$B$8+1),$C$5:C447,"&lt;="&amp;Settings!$B$5)=1),1,0)</f>
        <v>0</v>
      </c>
      <c r="M447" s="29" t="n">
        <f aca="false">IF(AND(C447&gt;=Settings!$B$5-Settings!$B$9+1,C447&lt;=Settings!$B$5,COUNTIFS($B$5:B447,B447,$C$5:C447,"&gt;="&amp;(Settings!$B$5-Settings!$B$9+1),$C$5:C447,"&lt;="&amp;Settings!$B$5)=1),1,0)</f>
        <v>1</v>
      </c>
      <c r="N447" s="29" t="n">
        <f aca="false">IF(AND(D447="Feature Use",COUNTIFS($B$5:B447,B447,$D$5:D447,"Feature Use")=1),1,0)</f>
        <v>0</v>
      </c>
    </row>
    <row r="448" customFormat="false" ht="15" hidden="false" customHeight="false" outlineLevel="0" collapsed="false">
      <c r="A448" s="22" t="s">
        <v>755</v>
      </c>
      <c r="B448" s="22" t="s">
        <v>213</v>
      </c>
      <c r="C448" s="31" t="n">
        <v>46282</v>
      </c>
      <c r="D448" s="22" t="s">
        <v>300</v>
      </c>
      <c r="E448" s="22" t="s">
        <v>311</v>
      </c>
      <c r="F448" s="29" t="str">
        <f aca="false">IF(COUNTIF(Referral_Data!$C$5:$C$1000,B448)&gt;0,"Referred",IF(COUNTIF(Referral_Data!$B$5:$B$1000,B448)&gt;0,"Referrer","Organic"))</f>
        <v>Referred</v>
      </c>
      <c r="G448" s="29" t="n">
        <f aca="false">IF(COUNTIFS($B$5:B448,B448,$C$5:C448,C448)=1,1,0)</f>
        <v>0</v>
      </c>
      <c r="H448" s="29" t="n">
        <f aca="false">IF(AND(G448=1,COUNTIFS($B$5:$B$1635,B448,$C$5:$C$1635,"&lt;"&amp;C448)&gt;0),1,0)</f>
        <v>0</v>
      </c>
      <c r="I448" s="29" t="n">
        <f aca="false">IF(AND(D448="Feature Use",COUNTIFS($B$5:B448,B448,$D$5:D448,"Feature Use",$E$5:E448,E448)=1),1,0)</f>
        <v>0</v>
      </c>
      <c r="J448" s="29" t="n">
        <f aca="false">IF(AND(D448="Feature Use",COUNTIFS($B$5:B448,B448,$D$5:D448,"Feature Use",$E$5:E448,E448)=2),1,0)</f>
        <v>1</v>
      </c>
      <c r="K448" s="29" t="n">
        <f aca="false">IF(COUNTIF($B$5:B448,B448)=1,1,0)</f>
        <v>0</v>
      </c>
      <c r="L448" s="29" t="n">
        <f aca="false">IF(AND(C448&gt;=Settings!$B$5-Settings!$B$8+1,C448&lt;=Settings!$B$5,COUNTIFS($B$5:B448,B448,$C$5:C448,"&gt;="&amp;(Settings!$B$5-Settings!$B$8+1),$C$5:C448,"&lt;="&amp;Settings!$B$5)=1),1,0)</f>
        <v>0</v>
      </c>
      <c r="M448" s="29" t="n">
        <f aca="false">IF(AND(C448&gt;=Settings!$B$5-Settings!$B$9+1,C448&lt;=Settings!$B$5,COUNTIFS($B$5:B448,B448,$C$5:C448,"&gt;="&amp;(Settings!$B$5-Settings!$B$9+1),$C$5:C448,"&lt;="&amp;Settings!$B$5)=1),1,0)</f>
        <v>0</v>
      </c>
      <c r="N448" s="29" t="n">
        <f aca="false">IF(AND(D448="Feature Use",COUNTIFS($B$5:B448,B448,$D$5:D448,"Feature Use")=1),1,0)</f>
        <v>0</v>
      </c>
    </row>
    <row r="449" customFormat="false" ht="15" hidden="false" customHeight="false" outlineLevel="0" collapsed="false">
      <c r="A449" s="22" t="s">
        <v>756</v>
      </c>
      <c r="B449" s="22" t="s">
        <v>213</v>
      </c>
      <c r="C449" s="31" t="n">
        <v>46282</v>
      </c>
      <c r="D449" s="22" t="s">
        <v>308</v>
      </c>
      <c r="E449" s="22" t="s">
        <v>301</v>
      </c>
      <c r="F449" s="29" t="str">
        <f aca="false">IF(COUNTIF(Referral_Data!$C$5:$C$1000,B449)&gt;0,"Referred",IF(COUNTIF(Referral_Data!$B$5:$B$1000,B449)&gt;0,"Referrer","Organic"))</f>
        <v>Referred</v>
      </c>
      <c r="G449" s="29" t="n">
        <f aca="false">IF(COUNTIFS($B$5:B449,B449,$C$5:C449,C449)=1,1,0)</f>
        <v>0</v>
      </c>
      <c r="H449" s="29" t="n">
        <f aca="false">IF(AND(G449=1,COUNTIFS($B$5:$B$1635,B449,$C$5:$C$1635,"&lt;"&amp;C449)&gt;0),1,0)</f>
        <v>0</v>
      </c>
      <c r="I449" s="29" t="n">
        <f aca="false">IF(AND(D449="Feature Use",COUNTIFS($B$5:B449,B449,$D$5:D449,"Feature Use",$E$5:E449,E449)=1),1,0)</f>
        <v>0</v>
      </c>
      <c r="J449" s="29" t="n">
        <f aca="false">IF(AND(D449="Feature Use",COUNTIFS($B$5:B449,B449,$D$5:D449,"Feature Use",$E$5:E449,E449)=2),1,0)</f>
        <v>0</v>
      </c>
      <c r="K449" s="29" t="n">
        <f aca="false">IF(COUNTIF($B$5:B449,B449)=1,1,0)</f>
        <v>0</v>
      </c>
      <c r="L449" s="29" t="n">
        <f aca="false">IF(AND(C449&gt;=Settings!$B$5-Settings!$B$8+1,C449&lt;=Settings!$B$5,COUNTIFS($B$5:B449,B449,$C$5:C449,"&gt;="&amp;(Settings!$B$5-Settings!$B$8+1),$C$5:C449,"&lt;="&amp;Settings!$B$5)=1),1,0)</f>
        <v>0</v>
      </c>
      <c r="M449" s="29" t="n">
        <f aca="false">IF(AND(C449&gt;=Settings!$B$5-Settings!$B$9+1,C449&lt;=Settings!$B$5,COUNTIFS($B$5:B449,B449,$C$5:C449,"&gt;="&amp;(Settings!$B$5-Settings!$B$9+1),$C$5:C449,"&lt;="&amp;Settings!$B$5)=1),1,0)</f>
        <v>0</v>
      </c>
      <c r="N449" s="29" t="n">
        <f aca="false">IF(AND(D449="Feature Use",COUNTIFS($B$5:B449,B449,$D$5:D449,"Feature Use")=1),1,0)</f>
        <v>0</v>
      </c>
    </row>
    <row r="450" customFormat="false" ht="15" hidden="false" customHeight="false" outlineLevel="0" collapsed="false">
      <c r="A450" s="22" t="s">
        <v>757</v>
      </c>
      <c r="B450" s="22" t="s">
        <v>228</v>
      </c>
      <c r="C450" s="31" t="n">
        <v>46282</v>
      </c>
      <c r="D450" s="22" t="s">
        <v>297</v>
      </c>
      <c r="E450" s="22" t="s">
        <v>298</v>
      </c>
      <c r="F450" s="29" t="str">
        <f aca="false">IF(COUNTIF(Referral_Data!$C$5:$C$1000,B450)&gt;0,"Referred",IF(COUNTIF(Referral_Data!$B$5:$B$1000,B450)&gt;0,"Referrer","Organic"))</f>
        <v>Referred</v>
      </c>
      <c r="G450" s="29" t="n">
        <f aca="false">IF(COUNTIFS($B$5:B450,B450,$C$5:C450,C450)=1,1,0)</f>
        <v>1</v>
      </c>
      <c r="H450" s="29" t="n">
        <f aca="false">IF(AND(G450=1,COUNTIFS($B$5:$B$1635,B450,$C$5:$C$1635,"&lt;"&amp;C450)&gt;0),1,0)</f>
        <v>1</v>
      </c>
      <c r="I450" s="29" t="n">
        <f aca="false">IF(AND(D450="Feature Use",COUNTIFS($B$5:B450,B450,$D$5:D450,"Feature Use",$E$5:E450,E450)=1),1,0)</f>
        <v>0</v>
      </c>
      <c r="J450" s="29" t="n">
        <f aca="false">IF(AND(D450="Feature Use",COUNTIFS($B$5:B450,B450,$D$5:D450,"Feature Use",$E$5:E450,E450)=2),1,0)</f>
        <v>0</v>
      </c>
      <c r="K450" s="29" t="n">
        <f aca="false">IF(COUNTIF($B$5:B450,B450)=1,1,0)</f>
        <v>0</v>
      </c>
      <c r="L450" s="29" t="n">
        <f aca="false">IF(AND(C450&gt;=Settings!$B$5-Settings!$B$8+1,C450&lt;=Settings!$B$5,COUNTIFS($B$5:B450,B450,$C$5:C450,"&gt;="&amp;(Settings!$B$5-Settings!$B$8+1),$C$5:C450,"&lt;="&amp;Settings!$B$5)=1),1,0)</f>
        <v>0</v>
      </c>
      <c r="M450" s="29" t="n">
        <f aca="false">IF(AND(C450&gt;=Settings!$B$5-Settings!$B$9+1,C450&lt;=Settings!$B$5,COUNTIFS($B$5:B450,B450,$C$5:C450,"&gt;="&amp;(Settings!$B$5-Settings!$B$9+1),$C$5:C450,"&lt;="&amp;Settings!$B$5)=1),1,0)</f>
        <v>1</v>
      </c>
      <c r="N450" s="29" t="n">
        <f aca="false">IF(AND(D450="Feature Use",COUNTIFS($B$5:B450,B450,$D$5:D450,"Feature Use")=1),1,0)</f>
        <v>0</v>
      </c>
    </row>
    <row r="451" customFormat="false" ht="15" hidden="false" customHeight="false" outlineLevel="0" collapsed="false">
      <c r="A451" s="22" t="s">
        <v>758</v>
      </c>
      <c r="B451" s="22" t="s">
        <v>228</v>
      </c>
      <c r="C451" s="31" t="n">
        <v>46282</v>
      </c>
      <c r="D451" s="22" t="s">
        <v>300</v>
      </c>
      <c r="E451" s="22" t="s">
        <v>309</v>
      </c>
      <c r="F451" s="29" t="str">
        <f aca="false">IF(COUNTIF(Referral_Data!$C$5:$C$1000,B451)&gt;0,"Referred",IF(COUNTIF(Referral_Data!$B$5:$B$1000,B451)&gt;0,"Referrer","Organic"))</f>
        <v>Referred</v>
      </c>
      <c r="G451" s="29" t="n">
        <f aca="false">IF(COUNTIFS($B$5:B451,B451,$C$5:C451,C451)=1,1,0)</f>
        <v>0</v>
      </c>
      <c r="H451" s="29" t="n">
        <f aca="false">IF(AND(G451=1,COUNTIFS($B$5:$B$1635,B451,$C$5:$C$1635,"&lt;"&amp;C451)&gt;0),1,0)</f>
        <v>0</v>
      </c>
      <c r="I451" s="29" t="n">
        <f aca="false">IF(AND(D451="Feature Use",COUNTIFS($B$5:B451,B451,$D$5:D451,"Feature Use",$E$5:E451,E451)=1),1,0)</f>
        <v>1</v>
      </c>
      <c r="J451" s="29" t="n">
        <f aca="false">IF(AND(D451="Feature Use",COUNTIFS($B$5:B451,B451,$D$5:D451,"Feature Use",$E$5:E451,E451)=2),1,0)</f>
        <v>0</v>
      </c>
      <c r="K451" s="29" t="n">
        <f aca="false">IF(COUNTIF($B$5:B451,B451)=1,1,0)</f>
        <v>0</v>
      </c>
      <c r="L451" s="29" t="n">
        <f aca="false">IF(AND(C451&gt;=Settings!$B$5-Settings!$B$8+1,C451&lt;=Settings!$B$5,COUNTIFS($B$5:B451,B451,$C$5:C451,"&gt;="&amp;(Settings!$B$5-Settings!$B$8+1),$C$5:C451,"&lt;="&amp;Settings!$B$5)=1),1,0)</f>
        <v>0</v>
      </c>
      <c r="M451" s="29" t="n">
        <f aca="false">IF(AND(C451&gt;=Settings!$B$5-Settings!$B$9+1,C451&lt;=Settings!$B$5,COUNTIFS($B$5:B451,B451,$C$5:C451,"&gt;="&amp;(Settings!$B$5-Settings!$B$9+1),$C$5:C451,"&lt;="&amp;Settings!$B$5)=1),1,0)</f>
        <v>0</v>
      </c>
      <c r="N451" s="29" t="n">
        <f aca="false">IF(AND(D451="Feature Use",COUNTIFS($B$5:B451,B451,$D$5:D451,"Feature Use")=1),1,0)</f>
        <v>0</v>
      </c>
    </row>
    <row r="452" customFormat="false" ht="15" hidden="false" customHeight="false" outlineLevel="0" collapsed="false">
      <c r="A452" s="22" t="s">
        <v>759</v>
      </c>
      <c r="B452" s="22" t="s">
        <v>228</v>
      </c>
      <c r="C452" s="31" t="n">
        <v>46282</v>
      </c>
      <c r="D452" s="22" t="s">
        <v>300</v>
      </c>
      <c r="E452" s="22" t="s">
        <v>301</v>
      </c>
      <c r="F452" s="29" t="str">
        <f aca="false">IF(COUNTIF(Referral_Data!$C$5:$C$1000,B452)&gt;0,"Referred",IF(COUNTIF(Referral_Data!$B$5:$B$1000,B452)&gt;0,"Referrer","Organic"))</f>
        <v>Referred</v>
      </c>
      <c r="G452" s="29" t="n">
        <f aca="false">IF(COUNTIFS($B$5:B452,B452,$C$5:C452,C452)=1,1,0)</f>
        <v>0</v>
      </c>
      <c r="H452" s="29" t="n">
        <f aca="false">IF(AND(G452=1,COUNTIFS($B$5:$B$1635,B452,$C$5:$C$1635,"&lt;"&amp;C452)&gt;0),1,0)</f>
        <v>0</v>
      </c>
      <c r="I452" s="29" t="n">
        <f aca="false">IF(AND(D452="Feature Use",COUNTIFS($B$5:B452,B452,$D$5:D452,"Feature Use",$E$5:E452,E452)=1),1,0)</f>
        <v>1</v>
      </c>
      <c r="J452" s="29" t="n">
        <f aca="false">IF(AND(D452="Feature Use",COUNTIFS($B$5:B452,B452,$D$5:D452,"Feature Use",$E$5:E452,E452)=2),1,0)</f>
        <v>0</v>
      </c>
      <c r="K452" s="29" t="n">
        <f aca="false">IF(COUNTIF($B$5:B452,B452)=1,1,0)</f>
        <v>0</v>
      </c>
      <c r="L452" s="29" t="n">
        <f aca="false">IF(AND(C452&gt;=Settings!$B$5-Settings!$B$8+1,C452&lt;=Settings!$B$5,COUNTIFS($B$5:B452,B452,$C$5:C452,"&gt;="&amp;(Settings!$B$5-Settings!$B$8+1),$C$5:C452,"&lt;="&amp;Settings!$B$5)=1),1,0)</f>
        <v>0</v>
      </c>
      <c r="M452" s="29" t="n">
        <f aca="false">IF(AND(C452&gt;=Settings!$B$5-Settings!$B$9+1,C452&lt;=Settings!$B$5,COUNTIFS($B$5:B452,B452,$C$5:C452,"&gt;="&amp;(Settings!$B$5-Settings!$B$9+1),$C$5:C452,"&lt;="&amp;Settings!$B$5)=1),1,0)</f>
        <v>0</v>
      </c>
      <c r="N452" s="29" t="n">
        <f aca="false">IF(AND(D452="Feature Use",COUNTIFS($B$5:B452,B452,$D$5:D452,"Feature Use")=1),1,0)</f>
        <v>0</v>
      </c>
    </row>
    <row r="453" customFormat="false" ht="15" hidden="false" customHeight="false" outlineLevel="0" collapsed="false">
      <c r="A453" s="22" t="s">
        <v>760</v>
      </c>
      <c r="B453" s="22" t="s">
        <v>234</v>
      </c>
      <c r="C453" s="31" t="n">
        <v>46282</v>
      </c>
      <c r="D453" s="22" t="s">
        <v>297</v>
      </c>
      <c r="E453" s="22" t="s">
        <v>298</v>
      </c>
      <c r="F453" s="29" t="str">
        <f aca="false">IF(COUNTIF(Referral_Data!$C$5:$C$1000,B453)&gt;0,"Referred",IF(COUNTIF(Referral_Data!$B$5:$B$1000,B453)&gt;0,"Referrer","Organic"))</f>
        <v>Referred</v>
      </c>
      <c r="G453" s="29" t="n">
        <f aca="false">IF(COUNTIFS($B$5:B453,B453,$C$5:C453,C453)=1,1,0)</f>
        <v>1</v>
      </c>
      <c r="H453" s="29" t="n">
        <f aca="false">IF(AND(G453=1,COUNTIFS($B$5:$B$1635,B453,$C$5:$C$1635,"&lt;"&amp;C453)&gt;0),1,0)</f>
        <v>1</v>
      </c>
      <c r="I453" s="29" t="n">
        <f aca="false">IF(AND(D453="Feature Use",COUNTIFS($B$5:B453,B453,$D$5:D453,"Feature Use",$E$5:E453,E453)=1),1,0)</f>
        <v>0</v>
      </c>
      <c r="J453" s="29" t="n">
        <f aca="false">IF(AND(D453="Feature Use",COUNTIFS($B$5:B453,B453,$D$5:D453,"Feature Use",$E$5:E453,E453)=2),1,0)</f>
        <v>0</v>
      </c>
      <c r="K453" s="29" t="n">
        <f aca="false">IF(COUNTIF($B$5:B453,B453)=1,1,0)</f>
        <v>0</v>
      </c>
      <c r="L453" s="29" t="n">
        <f aca="false">IF(AND(C453&gt;=Settings!$B$5-Settings!$B$8+1,C453&lt;=Settings!$B$5,COUNTIFS($B$5:B453,B453,$C$5:C453,"&gt;="&amp;(Settings!$B$5-Settings!$B$8+1),$C$5:C453,"&lt;="&amp;Settings!$B$5)=1),1,0)</f>
        <v>0</v>
      </c>
      <c r="M453" s="29" t="n">
        <f aca="false">IF(AND(C453&gt;=Settings!$B$5-Settings!$B$9+1,C453&lt;=Settings!$B$5,COUNTIFS($B$5:B453,B453,$C$5:C453,"&gt;="&amp;(Settings!$B$5-Settings!$B$9+1),$C$5:C453,"&lt;="&amp;Settings!$B$5)=1),1,0)</f>
        <v>0</v>
      </c>
      <c r="N453" s="29" t="n">
        <f aca="false">IF(AND(D453="Feature Use",COUNTIFS($B$5:B453,B453,$D$5:D453,"Feature Use")=1),1,0)</f>
        <v>0</v>
      </c>
    </row>
    <row r="454" customFormat="false" ht="15" hidden="false" customHeight="false" outlineLevel="0" collapsed="false">
      <c r="A454" s="22" t="s">
        <v>761</v>
      </c>
      <c r="B454" s="22" t="s">
        <v>234</v>
      </c>
      <c r="C454" s="31" t="n">
        <v>46282</v>
      </c>
      <c r="D454" s="22" t="s">
        <v>300</v>
      </c>
      <c r="E454" s="22" t="s">
        <v>301</v>
      </c>
      <c r="F454" s="29" t="str">
        <f aca="false">IF(COUNTIF(Referral_Data!$C$5:$C$1000,B454)&gt;0,"Referred",IF(COUNTIF(Referral_Data!$B$5:$B$1000,B454)&gt;0,"Referrer","Organic"))</f>
        <v>Referred</v>
      </c>
      <c r="G454" s="29" t="n">
        <f aca="false">IF(COUNTIFS($B$5:B454,B454,$C$5:C454,C454)=1,1,0)</f>
        <v>0</v>
      </c>
      <c r="H454" s="29" t="n">
        <f aca="false">IF(AND(G454=1,COUNTIFS($B$5:$B$1635,B454,$C$5:$C$1635,"&lt;"&amp;C454)&gt;0),1,0)</f>
        <v>0</v>
      </c>
      <c r="I454" s="29" t="n">
        <f aca="false">IF(AND(D454="Feature Use",COUNTIFS($B$5:B454,B454,$D$5:D454,"Feature Use",$E$5:E454,E454)=1),1,0)</f>
        <v>1</v>
      </c>
      <c r="J454" s="29" t="n">
        <f aca="false">IF(AND(D454="Feature Use",COUNTIFS($B$5:B454,B454,$D$5:D454,"Feature Use",$E$5:E454,E454)=2),1,0)</f>
        <v>0</v>
      </c>
      <c r="K454" s="29" t="n">
        <f aca="false">IF(COUNTIF($B$5:B454,B454)=1,1,0)</f>
        <v>0</v>
      </c>
      <c r="L454" s="29" t="n">
        <f aca="false">IF(AND(C454&gt;=Settings!$B$5-Settings!$B$8+1,C454&lt;=Settings!$B$5,COUNTIFS($B$5:B454,B454,$C$5:C454,"&gt;="&amp;(Settings!$B$5-Settings!$B$8+1),$C$5:C454,"&lt;="&amp;Settings!$B$5)=1),1,0)</f>
        <v>0</v>
      </c>
      <c r="M454" s="29" t="n">
        <f aca="false">IF(AND(C454&gt;=Settings!$B$5-Settings!$B$9+1,C454&lt;=Settings!$B$5,COUNTIFS($B$5:B454,B454,$C$5:C454,"&gt;="&amp;(Settings!$B$5-Settings!$B$9+1),$C$5:C454,"&lt;="&amp;Settings!$B$5)=1),1,0)</f>
        <v>0</v>
      </c>
      <c r="N454" s="29" t="n">
        <f aca="false">IF(AND(D454="Feature Use",COUNTIFS($B$5:B454,B454,$D$5:D454,"Feature Use")=1),1,0)</f>
        <v>0</v>
      </c>
    </row>
    <row r="455" customFormat="false" ht="15" hidden="false" customHeight="false" outlineLevel="0" collapsed="false">
      <c r="A455" s="22" t="s">
        <v>762</v>
      </c>
      <c r="B455" s="22" t="s">
        <v>241</v>
      </c>
      <c r="C455" s="31" t="n">
        <v>46282</v>
      </c>
      <c r="D455" s="22" t="s">
        <v>297</v>
      </c>
      <c r="E455" s="22" t="s">
        <v>298</v>
      </c>
      <c r="F455" s="29" t="str">
        <f aca="false">IF(COUNTIF(Referral_Data!$C$5:$C$1000,B455)&gt;0,"Referred",IF(COUNTIF(Referral_Data!$B$5:$B$1000,B455)&gt;0,"Referrer","Organic"))</f>
        <v>Referred</v>
      </c>
      <c r="G455" s="29" t="n">
        <f aca="false">IF(COUNTIFS($B$5:B455,B455,$C$5:C455,C455)=1,1,0)</f>
        <v>1</v>
      </c>
      <c r="H455" s="29" t="n">
        <f aca="false">IF(AND(G455=1,COUNTIFS($B$5:$B$1635,B455,$C$5:$C$1635,"&lt;"&amp;C455)&gt;0),1,0)</f>
        <v>0</v>
      </c>
      <c r="I455" s="29" t="n">
        <f aca="false">IF(AND(D455="Feature Use",COUNTIFS($B$5:B455,B455,$D$5:D455,"Feature Use",$E$5:E455,E455)=1),1,0)</f>
        <v>0</v>
      </c>
      <c r="J455" s="29" t="n">
        <f aca="false">IF(AND(D455="Feature Use",COUNTIFS($B$5:B455,B455,$D$5:D455,"Feature Use",$E$5:E455,E455)=2),1,0)</f>
        <v>0</v>
      </c>
      <c r="K455" s="29" t="n">
        <f aca="false">IF(COUNTIF($B$5:B455,B455)=1,1,0)</f>
        <v>1</v>
      </c>
      <c r="L455" s="29" t="n">
        <f aca="false">IF(AND(C455&gt;=Settings!$B$5-Settings!$B$8+1,C455&lt;=Settings!$B$5,COUNTIFS($B$5:B455,B455,$C$5:C455,"&gt;="&amp;(Settings!$B$5-Settings!$B$8+1),$C$5:C455,"&lt;="&amp;Settings!$B$5)=1),1,0)</f>
        <v>0</v>
      </c>
      <c r="M455" s="29" t="n">
        <f aca="false">IF(AND(C455&gt;=Settings!$B$5-Settings!$B$9+1,C455&lt;=Settings!$B$5,COUNTIFS($B$5:B455,B455,$C$5:C455,"&gt;="&amp;(Settings!$B$5-Settings!$B$9+1),$C$5:C455,"&lt;="&amp;Settings!$B$5)=1),1,0)</f>
        <v>1</v>
      </c>
      <c r="N455" s="29" t="n">
        <f aca="false">IF(AND(D455="Feature Use",COUNTIFS($B$5:B455,B455,$D$5:D455,"Feature Use")=1),1,0)</f>
        <v>0</v>
      </c>
    </row>
    <row r="456" customFormat="false" ht="15" hidden="false" customHeight="false" outlineLevel="0" collapsed="false">
      <c r="A456" s="22" t="s">
        <v>763</v>
      </c>
      <c r="B456" s="22" t="s">
        <v>241</v>
      </c>
      <c r="C456" s="31" t="n">
        <v>46282</v>
      </c>
      <c r="D456" s="22" t="s">
        <v>300</v>
      </c>
      <c r="E456" s="22" t="s">
        <v>311</v>
      </c>
      <c r="F456" s="29" t="str">
        <f aca="false">IF(COUNTIF(Referral_Data!$C$5:$C$1000,B456)&gt;0,"Referred",IF(COUNTIF(Referral_Data!$B$5:$B$1000,B456)&gt;0,"Referrer","Organic"))</f>
        <v>Referred</v>
      </c>
      <c r="G456" s="29" t="n">
        <f aca="false">IF(COUNTIFS($B$5:B456,B456,$C$5:C456,C456)=1,1,0)</f>
        <v>0</v>
      </c>
      <c r="H456" s="29" t="n">
        <f aca="false">IF(AND(G456=1,COUNTIFS($B$5:$B$1635,B456,$C$5:$C$1635,"&lt;"&amp;C456)&gt;0),1,0)</f>
        <v>0</v>
      </c>
      <c r="I456" s="29" t="n">
        <f aca="false">IF(AND(D456="Feature Use",COUNTIFS($B$5:B456,B456,$D$5:D456,"Feature Use",$E$5:E456,E456)=1),1,0)</f>
        <v>1</v>
      </c>
      <c r="J456" s="29" t="n">
        <f aca="false">IF(AND(D456="Feature Use",COUNTIFS($B$5:B456,B456,$D$5:D456,"Feature Use",$E$5:E456,E456)=2),1,0)</f>
        <v>0</v>
      </c>
      <c r="K456" s="29" t="n">
        <f aca="false">IF(COUNTIF($B$5:B456,B456)=1,1,0)</f>
        <v>0</v>
      </c>
      <c r="L456" s="29" t="n">
        <f aca="false">IF(AND(C456&gt;=Settings!$B$5-Settings!$B$8+1,C456&lt;=Settings!$B$5,COUNTIFS($B$5:B456,B456,$C$5:C456,"&gt;="&amp;(Settings!$B$5-Settings!$B$8+1),$C$5:C456,"&lt;="&amp;Settings!$B$5)=1),1,0)</f>
        <v>0</v>
      </c>
      <c r="M456" s="29" t="n">
        <f aca="false">IF(AND(C456&gt;=Settings!$B$5-Settings!$B$9+1,C456&lt;=Settings!$B$5,COUNTIFS($B$5:B456,B456,$C$5:C456,"&gt;="&amp;(Settings!$B$5-Settings!$B$9+1),$C$5:C456,"&lt;="&amp;Settings!$B$5)=1),1,0)</f>
        <v>0</v>
      </c>
      <c r="N456" s="29" t="n">
        <f aca="false">IF(AND(D456="Feature Use",COUNTIFS($B$5:B456,B456,$D$5:D456,"Feature Use")=1),1,0)</f>
        <v>1</v>
      </c>
    </row>
    <row r="457" customFormat="false" ht="15" hidden="false" customHeight="false" outlineLevel="0" collapsed="false">
      <c r="A457" s="22" t="s">
        <v>764</v>
      </c>
      <c r="B457" s="22" t="s">
        <v>241</v>
      </c>
      <c r="C457" s="31" t="n">
        <v>46282</v>
      </c>
      <c r="D457" s="22" t="s">
        <v>300</v>
      </c>
      <c r="E457" s="22" t="s">
        <v>301</v>
      </c>
      <c r="F457" s="29" t="str">
        <f aca="false">IF(COUNTIF(Referral_Data!$C$5:$C$1000,B457)&gt;0,"Referred",IF(COUNTIF(Referral_Data!$B$5:$B$1000,B457)&gt;0,"Referrer","Organic"))</f>
        <v>Referred</v>
      </c>
      <c r="G457" s="29" t="n">
        <f aca="false">IF(COUNTIFS($B$5:B457,B457,$C$5:C457,C457)=1,1,0)</f>
        <v>0</v>
      </c>
      <c r="H457" s="29" t="n">
        <f aca="false">IF(AND(G457=1,COUNTIFS($B$5:$B$1635,B457,$C$5:$C$1635,"&lt;"&amp;C457)&gt;0),1,0)</f>
        <v>0</v>
      </c>
      <c r="I457" s="29" t="n">
        <f aca="false">IF(AND(D457="Feature Use",COUNTIFS($B$5:B457,B457,$D$5:D457,"Feature Use",$E$5:E457,E457)=1),1,0)</f>
        <v>1</v>
      </c>
      <c r="J457" s="29" t="n">
        <f aca="false">IF(AND(D457="Feature Use",COUNTIFS($B$5:B457,B457,$D$5:D457,"Feature Use",$E$5:E457,E457)=2),1,0)</f>
        <v>0</v>
      </c>
      <c r="K457" s="29" t="n">
        <f aca="false">IF(COUNTIF($B$5:B457,B457)=1,1,0)</f>
        <v>0</v>
      </c>
      <c r="L457" s="29" t="n">
        <f aca="false">IF(AND(C457&gt;=Settings!$B$5-Settings!$B$8+1,C457&lt;=Settings!$B$5,COUNTIFS($B$5:B457,B457,$C$5:C457,"&gt;="&amp;(Settings!$B$5-Settings!$B$8+1),$C$5:C457,"&lt;="&amp;Settings!$B$5)=1),1,0)</f>
        <v>0</v>
      </c>
      <c r="M457" s="29" t="n">
        <f aca="false">IF(AND(C457&gt;=Settings!$B$5-Settings!$B$9+1,C457&lt;=Settings!$B$5,COUNTIFS($B$5:B457,B457,$C$5:C457,"&gt;="&amp;(Settings!$B$5-Settings!$B$9+1),$C$5:C457,"&lt;="&amp;Settings!$B$5)=1),1,0)</f>
        <v>0</v>
      </c>
      <c r="N457" s="29" t="n">
        <f aca="false">IF(AND(D457="Feature Use",COUNTIFS($B$5:B457,B457,$D$5:D457,"Feature Use")=1),1,0)</f>
        <v>0</v>
      </c>
    </row>
    <row r="458" customFormat="false" ht="15" hidden="false" customHeight="false" outlineLevel="0" collapsed="false">
      <c r="A458" s="22" t="s">
        <v>765</v>
      </c>
      <c r="B458" s="22" t="s">
        <v>269</v>
      </c>
      <c r="C458" s="31" t="n">
        <v>46282</v>
      </c>
      <c r="D458" s="22" t="s">
        <v>297</v>
      </c>
      <c r="E458" s="22" t="s">
        <v>298</v>
      </c>
      <c r="F458" s="29" t="str">
        <f aca="false">IF(COUNTIF(Referral_Data!$C$5:$C$1000,B458)&gt;0,"Referred",IF(COUNTIF(Referral_Data!$B$5:$B$1000,B458)&gt;0,"Referrer","Organic"))</f>
        <v>Referred</v>
      </c>
      <c r="G458" s="29" t="n">
        <f aca="false">IF(COUNTIFS($B$5:B458,B458,$C$5:C458,C458)=1,1,0)</f>
        <v>1</v>
      </c>
      <c r="H458" s="29" t="n">
        <f aca="false">IF(AND(G458=1,COUNTIFS($B$5:$B$1635,B458,$C$5:$C$1635,"&lt;"&amp;C458)&gt;0),1,0)</f>
        <v>0</v>
      </c>
      <c r="I458" s="29" t="n">
        <f aca="false">IF(AND(D458="Feature Use",COUNTIFS($B$5:B458,B458,$D$5:D458,"Feature Use",$E$5:E458,E458)=1),1,0)</f>
        <v>0</v>
      </c>
      <c r="J458" s="29" t="n">
        <f aca="false">IF(AND(D458="Feature Use",COUNTIFS($B$5:B458,B458,$D$5:D458,"Feature Use",$E$5:E458,E458)=2),1,0)</f>
        <v>0</v>
      </c>
      <c r="K458" s="29" t="n">
        <f aca="false">IF(COUNTIF($B$5:B458,B458)=1,1,0)</f>
        <v>1</v>
      </c>
      <c r="L458" s="29" t="n">
        <f aca="false">IF(AND(C458&gt;=Settings!$B$5-Settings!$B$8+1,C458&lt;=Settings!$B$5,COUNTIFS($B$5:B458,B458,$C$5:C458,"&gt;="&amp;(Settings!$B$5-Settings!$B$8+1),$C$5:C458,"&lt;="&amp;Settings!$B$5)=1),1,0)</f>
        <v>0</v>
      </c>
      <c r="M458" s="29" t="n">
        <f aca="false">IF(AND(C458&gt;=Settings!$B$5-Settings!$B$9+1,C458&lt;=Settings!$B$5,COUNTIFS($B$5:B458,B458,$C$5:C458,"&gt;="&amp;(Settings!$B$5-Settings!$B$9+1),$C$5:C458,"&lt;="&amp;Settings!$B$5)=1),1,0)</f>
        <v>1</v>
      </c>
      <c r="N458" s="29" t="n">
        <f aca="false">IF(AND(D458="Feature Use",COUNTIFS($B$5:B458,B458,$D$5:D458,"Feature Use")=1),1,0)</f>
        <v>0</v>
      </c>
    </row>
    <row r="459" customFormat="false" ht="15" hidden="false" customHeight="false" outlineLevel="0" collapsed="false">
      <c r="A459" s="22" t="s">
        <v>766</v>
      </c>
      <c r="B459" s="22" t="s">
        <v>269</v>
      </c>
      <c r="C459" s="31" t="n">
        <v>46282</v>
      </c>
      <c r="D459" s="22" t="s">
        <v>300</v>
      </c>
      <c r="E459" s="22" t="s">
        <v>311</v>
      </c>
      <c r="F459" s="29" t="str">
        <f aca="false">IF(COUNTIF(Referral_Data!$C$5:$C$1000,B459)&gt;0,"Referred",IF(COUNTIF(Referral_Data!$B$5:$B$1000,B459)&gt;0,"Referrer","Organic"))</f>
        <v>Referred</v>
      </c>
      <c r="G459" s="29" t="n">
        <f aca="false">IF(COUNTIFS($B$5:B459,B459,$C$5:C459,C459)=1,1,0)</f>
        <v>0</v>
      </c>
      <c r="H459" s="29" t="n">
        <f aca="false">IF(AND(G459=1,COUNTIFS($B$5:$B$1635,B459,$C$5:$C$1635,"&lt;"&amp;C459)&gt;0),1,0)</f>
        <v>0</v>
      </c>
      <c r="I459" s="29" t="n">
        <f aca="false">IF(AND(D459="Feature Use",COUNTIFS($B$5:B459,B459,$D$5:D459,"Feature Use",$E$5:E459,E459)=1),1,0)</f>
        <v>1</v>
      </c>
      <c r="J459" s="29" t="n">
        <f aca="false">IF(AND(D459="Feature Use",COUNTIFS($B$5:B459,B459,$D$5:D459,"Feature Use",$E$5:E459,E459)=2),1,0)</f>
        <v>0</v>
      </c>
      <c r="K459" s="29" t="n">
        <f aca="false">IF(COUNTIF($B$5:B459,B459)=1,1,0)</f>
        <v>0</v>
      </c>
      <c r="L459" s="29" t="n">
        <f aca="false">IF(AND(C459&gt;=Settings!$B$5-Settings!$B$8+1,C459&lt;=Settings!$B$5,COUNTIFS($B$5:B459,B459,$C$5:C459,"&gt;="&amp;(Settings!$B$5-Settings!$B$8+1),$C$5:C459,"&lt;="&amp;Settings!$B$5)=1),1,0)</f>
        <v>0</v>
      </c>
      <c r="M459" s="29" t="n">
        <f aca="false">IF(AND(C459&gt;=Settings!$B$5-Settings!$B$9+1,C459&lt;=Settings!$B$5,COUNTIFS($B$5:B459,B459,$C$5:C459,"&gt;="&amp;(Settings!$B$5-Settings!$B$9+1),$C$5:C459,"&lt;="&amp;Settings!$B$5)=1),1,0)</f>
        <v>0</v>
      </c>
      <c r="N459" s="29" t="n">
        <f aca="false">IF(AND(D459="Feature Use",COUNTIFS($B$5:B459,B459,$D$5:D459,"Feature Use")=1),1,0)</f>
        <v>1</v>
      </c>
    </row>
    <row r="460" customFormat="false" ht="15" hidden="false" customHeight="false" outlineLevel="0" collapsed="false">
      <c r="A460" s="22" t="s">
        <v>767</v>
      </c>
      <c r="B460" s="22" t="s">
        <v>203</v>
      </c>
      <c r="C460" s="31" t="n">
        <v>46282</v>
      </c>
      <c r="D460" s="22" t="s">
        <v>297</v>
      </c>
      <c r="E460" s="22" t="s">
        <v>298</v>
      </c>
      <c r="F460" s="29" t="str">
        <f aca="false">IF(COUNTIF(Referral_Data!$C$5:$C$1000,B460)&gt;0,"Referred",IF(COUNTIF(Referral_Data!$B$5:$B$1000,B460)&gt;0,"Referrer","Organic"))</f>
        <v>Referrer</v>
      </c>
      <c r="G460" s="29" t="n">
        <f aca="false">IF(COUNTIFS($B$5:B460,B460,$C$5:C460,C460)=1,1,0)</f>
        <v>1</v>
      </c>
      <c r="H460" s="29" t="n">
        <f aca="false">IF(AND(G460=1,COUNTIFS($B$5:$B$1635,B460,$C$5:$C$1635,"&lt;"&amp;C460)&gt;0),1,0)</f>
        <v>1</v>
      </c>
      <c r="I460" s="29" t="n">
        <f aca="false">IF(AND(D460="Feature Use",COUNTIFS($B$5:B460,B460,$D$5:D460,"Feature Use",$E$5:E460,E460)=1),1,0)</f>
        <v>0</v>
      </c>
      <c r="J460" s="29" t="n">
        <f aca="false">IF(AND(D460="Feature Use",COUNTIFS($B$5:B460,B460,$D$5:D460,"Feature Use",$E$5:E460,E460)=2),1,0)</f>
        <v>0</v>
      </c>
      <c r="K460" s="29" t="n">
        <f aca="false">IF(COUNTIF($B$5:B460,B460)=1,1,0)</f>
        <v>0</v>
      </c>
      <c r="L460" s="29" t="n">
        <f aca="false">IF(AND(C460&gt;=Settings!$B$5-Settings!$B$8+1,C460&lt;=Settings!$B$5,COUNTIFS($B$5:B460,B460,$C$5:C460,"&gt;="&amp;(Settings!$B$5-Settings!$B$8+1),$C$5:C460,"&lt;="&amp;Settings!$B$5)=1),1,0)</f>
        <v>0</v>
      </c>
      <c r="M460" s="29" t="n">
        <f aca="false">IF(AND(C460&gt;=Settings!$B$5-Settings!$B$9+1,C460&lt;=Settings!$B$5,COUNTIFS($B$5:B460,B460,$C$5:C460,"&gt;="&amp;(Settings!$B$5-Settings!$B$9+1),$C$5:C460,"&lt;="&amp;Settings!$B$5)=1),1,0)</f>
        <v>0</v>
      </c>
      <c r="N460" s="29" t="n">
        <f aca="false">IF(AND(D460="Feature Use",COUNTIFS($B$5:B460,B460,$D$5:D460,"Feature Use")=1),1,0)</f>
        <v>0</v>
      </c>
    </row>
    <row r="461" customFormat="false" ht="15" hidden="false" customHeight="false" outlineLevel="0" collapsed="false">
      <c r="A461" s="22" t="s">
        <v>768</v>
      </c>
      <c r="B461" s="22" t="s">
        <v>203</v>
      </c>
      <c r="C461" s="31" t="n">
        <v>46282</v>
      </c>
      <c r="D461" s="22" t="s">
        <v>300</v>
      </c>
      <c r="E461" s="22" t="s">
        <v>301</v>
      </c>
      <c r="F461" s="29" t="str">
        <f aca="false">IF(COUNTIF(Referral_Data!$C$5:$C$1000,B461)&gt;0,"Referred",IF(COUNTIF(Referral_Data!$B$5:$B$1000,B461)&gt;0,"Referrer","Organic"))</f>
        <v>Referrer</v>
      </c>
      <c r="G461" s="29" t="n">
        <f aca="false">IF(COUNTIFS($B$5:B461,B461,$C$5:C461,C461)=1,1,0)</f>
        <v>0</v>
      </c>
      <c r="H461" s="29" t="n">
        <f aca="false">IF(AND(G461=1,COUNTIFS($B$5:$B$1635,B461,$C$5:$C$1635,"&lt;"&amp;C461)&gt;0),1,0)</f>
        <v>0</v>
      </c>
      <c r="I461" s="29" t="n">
        <f aca="false">IF(AND(D461="Feature Use",COUNTIFS($B$5:B461,B461,$D$5:D461,"Feature Use",$E$5:E461,E461)=1),1,0)</f>
        <v>0</v>
      </c>
      <c r="J461" s="29" t="n">
        <f aca="false">IF(AND(D461="Feature Use",COUNTIFS($B$5:B461,B461,$D$5:D461,"Feature Use",$E$5:E461,E461)=2),1,0)</f>
        <v>0</v>
      </c>
      <c r="K461" s="29" t="n">
        <f aca="false">IF(COUNTIF($B$5:B461,B461)=1,1,0)</f>
        <v>0</v>
      </c>
      <c r="L461" s="29" t="n">
        <f aca="false">IF(AND(C461&gt;=Settings!$B$5-Settings!$B$8+1,C461&lt;=Settings!$B$5,COUNTIFS($B$5:B461,B461,$C$5:C461,"&gt;="&amp;(Settings!$B$5-Settings!$B$8+1),$C$5:C461,"&lt;="&amp;Settings!$B$5)=1),1,0)</f>
        <v>0</v>
      </c>
      <c r="M461" s="29" t="n">
        <f aca="false">IF(AND(C461&gt;=Settings!$B$5-Settings!$B$9+1,C461&lt;=Settings!$B$5,COUNTIFS($B$5:B461,B461,$C$5:C461,"&gt;="&amp;(Settings!$B$5-Settings!$B$9+1),$C$5:C461,"&lt;="&amp;Settings!$B$5)=1),1,0)</f>
        <v>0</v>
      </c>
      <c r="N461" s="29" t="n">
        <f aca="false">IF(AND(D461="Feature Use",COUNTIFS($B$5:B461,B461,$D$5:D461,"Feature Use")=1),1,0)</f>
        <v>0</v>
      </c>
    </row>
    <row r="462" customFormat="false" ht="15" hidden="false" customHeight="false" outlineLevel="0" collapsed="false">
      <c r="A462" s="22" t="s">
        <v>769</v>
      </c>
      <c r="B462" s="22" t="s">
        <v>203</v>
      </c>
      <c r="C462" s="31" t="n">
        <v>46282</v>
      </c>
      <c r="D462" s="22" t="s">
        <v>300</v>
      </c>
      <c r="E462" s="22" t="s">
        <v>311</v>
      </c>
      <c r="F462" s="29" t="str">
        <f aca="false">IF(COUNTIF(Referral_Data!$C$5:$C$1000,B462)&gt;0,"Referred",IF(COUNTIF(Referral_Data!$B$5:$B$1000,B462)&gt;0,"Referrer","Organic"))</f>
        <v>Referrer</v>
      </c>
      <c r="G462" s="29" t="n">
        <f aca="false">IF(COUNTIFS($B$5:B462,B462,$C$5:C462,C462)=1,1,0)</f>
        <v>0</v>
      </c>
      <c r="H462" s="29" t="n">
        <f aca="false">IF(AND(G462=1,COUNTIFS($B$5:$B$1635,B462,$C$5:$C$1635,"&lt;"&amp;C462)&gt;0),1,0)</f>
        <v>0</v>
      </c>
      <c r="I462" s="29" t="n">
        <f aca="false">IF(AND(D462="Feature Use",COUNTIFS($B$5:B462,B462,$D$5:D462,"Feature Use",$E$5:E462,E462)=1),1,0)</f>
        <v>0</v>
      </c>
      <c r="J462" s="29" t="n">
        <f aca="false">IF(AND(D462="Feature Use",COUNTIFS($B$5:B462,B462,$D$5:D462,"Feature Use",$E$5:E462,E462)=2),1,0)</f>
        <v>1</v>
      </c>
      <c r="K462" s="29" t="n">
        <f aca="false">IF(COUNTIF($B$5:B462,B462)=1,1,0)</f>
        <v>0</v>
      </c>
      <c r="L462" s="29" t="n">
        <f aca="false">IF(AND(C462&gt;=Settings!$B$5-Settings!$B$8+1,C462&lt;=Settings!$B$5,COUNTIFS($B$5:B462,B462,$C$5:C462,"&gt;="&amp;(Settings!$B$5-Settings!$B$8+1),$C$5:C462,"&lt;="&amp;Settings!$B$5)=1),1,0)</f>
        <v>0</v>
      </c>
      <c r="M462" s="29" t="n">
        <f aca="false">IF(AND(C462&gt;=Settings!$B$5-Settings!$B$9+1,C462&lt;=Settings!$B$5,COUNTIFS($B$5:B462,B462,$C$5:C462,"&gt;="&amp;(Settings!$B$5-Settings!$B$9+1),$C$5:C462,"&lt;="&amp;Settings!$B$5)=1),1,0)</f>
        <v>0</v>
      </c>
      <c r="N462" s="29" t="n">
        <f aca="false">IF(AND(D462="Feature Use",COUNTIFS($B$5:B462,B462,$D$5:D462,"Feature Use")=1),1,0)</f>
        <v>0</v>
      </c>
    </row>
    <row r="463" customFormat="false" ht="15" hidden="false" customHeight="false" outlineLevel="0" collapsed="false">
      <c r="A463" s="22" t="s">
        <v>770</v>
      </c>
      <c r="B463" s="22" t="s">
        <v>170</v>
      </c>
      <c r="C463" s="31" t="n">
        <v>46282</v>
      </c>
      <c r="D463" s="22" t="s">
        <v>297</v>
      </c>
      <c r="E463" s="22" t="s">
        <v>298</v>
      </c>
      <c r="F463" s="29" t="str">
        <f aca="false">IF(COUNTIF(Referral_Data!$C$5:$C$1000,B463)&gt;0,"Referred",IF(COUNTIF(Referral_Data!$B$5:$B$1000,B463)&gt;0,"Referrer","Organic"))</f>
        <v>Referrer</v>
      </c>
      <c r="G463" s="29" t="n">
        <f aca="false">IF(COUNTIFS($B$5:B463,B463,$C$5:C463,C463)=1,1,0)</f>
        <v>1</v>
      </c>
      <c r="H463" s="29" t="n">
        <f aca="false">IF(AND(G463=1,COUNTIFS($B$5:$B$1635,B463,$C$5:$C$1635,"&lt;"&amp;C463)&gt;0),1,0)</f>
        <v>1</v>
      </c>
      <c r="I463" s="29" t="n">
        <f aca="false">IF(AND(D463="Feature Use",COUNTIFS($B$5:B463,B463,$D$5:D463,"Feature Use",$E$5:E463,E463)=1),1,0)</f>
        <v>0</v>
      </c>
      <c r="J463" s="29" t="n">
        <f aca="false">IF(AND(D463="Feature Use",COUNTIFS($B$5:B463,B463,$D$5:D463,"Feature Use",$E$5:E463,E463)=2),1,0)</f>
        <v>0</v>
      </c>
      <c r="K463" s="29" t="n">
        <f aca="false">IF(COUNTIF($B$5:B463,B463)=1,1,0)</f>
        <v>0</v>
      </c>
      <c r="L463" s="29" t="n">
        <f aca="false">IF(AND(C463&gt;=Settings!$B$5-Settings!$B$8+1,C463&lt;=Settings!$B$5,COUNTIFS($B$5:B463,B463,$C$5:C463,"&gt;="&amp;(Settings!$B$5-Settings!$B$8+1),$C$5:C463,"&lt;="&amp;Settings!$B$5)=1),1,0)</f>
        <v>0</v>
      </c>
      <c r="M463" s="29" t="n">
        <f aca="false">IF(AND(C463&gt;=Settings!$B$5-Settings!$B$9+1,C463&lt;=Settings!$B$5,COUNTIFS($B$5:B463,B463,$C$5:C463,"&gt;="&amp;(Settings!$B$5-Settings!$B$9+1),$C$5:C463,"&lt;="&amp;Settings!$B$5)=1),1,0)</f>
        <v>1</v>
      </c>
      <c r="N463" s="29" t="n">
        <f aca="false">IF(AND(D463="Feature Use",COUNTIFS($B$5:B463,B463,$D$5:D463,"Feature Use")=1),1,0)</f>
        <v>0</v>
      </c>
    </row>
    <row r="464" customFormat="false" ht="15" hidden="false" customHeight="false" outlineLevel="0" collapsed="false">
      <c r="A464" s="22" t="s">
        <v>771</v>
      </c>
      <c r="B464" s="22" t="s">
        <v>170</v>
      </c>
      <c r="C464" s="31" t="n">
        <v>46282</v>
      </c>
      <c r="D464" s="22" t="s">
        <v>300</v>
      </c>
      <c r="E464" s="22" t="s">
        <v>311</v>
      </c>
      <c r="F464" s="29" t="str">
        <f aca="false">IF(COUNTIF(Referral_Data!$C$5:$C$1000,B464)&gt;0,"Referred",IF(COUNTIF(Referral_Data!$B$5:$B$1000,B464)&gt;0,"Referrer","Organic"))</f>
        <v>Referrer</v>
      </c>
      <c r="G464" s="29" t="n">
        <f aca="false">IF(COUNTIFS($B$5:B464,B464,$C$5:C464,C464)=1,1,0)</f>
        <v>0</v>
      </c>
      <c r="H464" s="29" t="n">
        <f aca="false">IF(AND(G464=1,COUNTIFS($B$5:$B$1635,B464,$C$5:$C$1635,"&lt;"&amp;C464)&gt;0),1,0)</f>
        <v>0</v>
      </c>
      <c r="I464" s="29" t="n">
        <f aca="false">IF(AND(D464="Feature Use",COUNTIFS($B$5:B464,B464,$D$5:D464,"Feature Use",$E$5:E464,E464)=1),1,0)</f>
        <v>0</v>
      </c>
      <c r="J464" s="29" t="n">
        <f aca="false">IF(AND(D464="Feature Use",COUNTIFS($B$5:B464,B464,$D$5:D464,"Feature Use",$E$5:E464,E464)=2),1,0)</f>
        <v>0</v>
      </c>
      <c r="K464" s="29" t="n">
        <f aca="false">IF(COUNTIF($B$5:B464,B464)=1,1,0)</f>
        <v>0</v>
      </c>
      <c r="L464" s="29" t="n">
        <f aca="false">IF(AND(C464&gt;=Settings!$B$5-Settings!$B$8+1,C464&lt;=Settings!$B$5,COUNTIFS($B$5:B464,B464,$C$5:C464,"&gt;="&amp;(Settings!$B$5-Settings!$B$8+1),$C$5:C464,"&lt;="&amp;Settings!$B$5)=1),1,0)</f>
        <v>0</v>
      </c>
      <c r="M464" s="29" t="n">
        <f aca="false">IF(AND(C464&gt;=Settings!$B$5-Settings!$B$9+1,C464&lt;=Settings!$B$5,COUNTIFS($B$5:B464,B464,$C$5:C464,"&gt;="&amp;(Settings!$B$5-Settings!$B$9+1),$C$5:C464,"&lt;="&amp;Settings!$B$5)=1),1,0)</f>
        <v>0</v>
      </c>
      <c r="N464" s="29" t="n">
        <f aca="false">IF(AND(D464="Feature Use",COUNTIFS($B$5:B464,B464,$D$5:D464,"Feature Use")=1),1,0)</f>
        <v>0</v>
      </c>
    </row>
    <row r="465" customFormat="false" ht="15" hidden="false" customHeight="false" outlineLevel="0" collapsed="false">
      <c r="A465" s="22" t="s">
        <v>772</v>
      </c>
      <c r="B465" s="22" t="s">
        <v>170</v>
      </c>
      <c r="C465" s="31" t="n">
        <v>46282</v>
      </c>
      <c r="D465" s="22" t="s">
        <v>300</v>
      </c>
      <c r="E465" s="22" t="s">
        <v>301</v>
      </c>
      <c r="F465" s="29" t="str">
        <f aca="false">IF(COUNTIF(Referral_Data!$C$5:$C$1000,B465)&gt;0,"Referred",IF(COUNTIF(Referral_Data!$B$5:$B$1000,B465)&gt;0,"Referrer","Organic"))</f>
        <v>Referrer</v>
      </c>
      <c r="G465" s="29" t="n">
        <f aca="false">IF(COUNTIFS($B$5:B465,B465,$C$5:C465,C465)=1,1,0)</f>
        <v>0</v>
      </c>
      <c r="H465" s="29" t="n">
        <f aca="false">IF(AND(G465=1,COUNTIFS($B$5:$B$1635,B465,$C$5:$C$1635,"&lt;"&amp;C465)&gt;0),1,0)</f>
        <v>0</v>
      </c>
      <c r="I465" s="29" t="n">
        <f aca="false">IF(AND(D465="Feature Use",COUNTIFS($B$5:B465,B465,$D$5:D465,"Feature Use",$E$5:E465,E465)=1),1,0)</f>
        <v>0</v>
      </c>
      <c r="J465" s="29" t="n">
        <f aca="false">IF(AND(D465="Feature Use",COUNTIFS($B$5:B465,B465,$D$5:D465,"Feature Use",$E$5:E465,E465)=2),1,0)</f>
        <v>0</v>
      </c>
      <c r="K465" s="29" t="n">
        <f aca="false">IF(COUNTIF($B$5:B465,B465)=1,1,0)</f>
        <v>0</v>
      </c>
      <c r="L465" s="29" t="n">
        <f aca="false">IF(AND(C465&gt;=Settings!$B$5-Settings!$B$8+1,C465&lt;=Settings!$B$5,COUNTIFS($B$5:B465,B465,$C$5:C465,"&gt;="&amp;(Settings!$B$5-Settings!$B$8+1),$C$5:C465,"&lt;="&amp;Settings!$B$5)=1),1,0)</f>
        <v>0</v>
      </c>
      <c r="M465" s="29" t="n">
        <f aca="false">IF(AND(C465&gt;=Settings!$B$5-Settings!$B$9+1,C465&lt;=Settings!$B$5,COUNTIFS($B$5:B465,B465,$C$5:C465,"&gt;="&amp;(Settings!$B$5-Settings!$B$9+1),$C$5:C465,"&lt;="&amp;Settings!$B$5)=1),1,0)</f>
        <v>0</v>
      </c>
      <c r="N465" s="29" t="n">
        <f aca="false">IF(AND(D465="Feature Use",COUNTIFS($B$5:B465,B465,$D$5:D465,"Feature Use")=1),1,0)</f>
        <v>0</v>
      </c>
    </row>
    <row r="466" customFormat="false" ht="15" hidden="false" customHeight="false" outlineLevel="0" collapsed="false">
      <c r="A466" s="22" t="s">
        <v>773</v>
      </c>
      <c r="B466" s="22" t="s">
        <v>184</v>
      </c>
      <c r="C466" s="31" t="n">
        <v>46283</v>
      </c>
      <c r="D466" s="22" t="s">
        <v>297</v>
      </c>
      <c r="E466" s="22" t="s">
        <v>298</v>
      </c>
      <c r="F466" s="29" t="str">
        <f aca="false">IF(COUNTIF(Referral_Data!$C$5:$C$1000,B466)&gt;0,"Referred",IF(COUNTIF(Referral_Data!$B$5:$B$1000,B466)&gt;0,"Referrer","Organic"))</f>
        <v>Referred</v>
      </c>
      <c r="G466" s="29" t="n">
        <f aca="false">IF(COUNTIFS($B$5:B466,B466,$C$5:C466,C466)=1,1,0)</f>
        <v>1</v>
      </c>
      <c r="H466" s="29" t="n">
        <f aca="false">IF(AND(G466=1,COUNTIFS($B$5:$B$1635,B466,$C$5:$C$1635,"&lt;"&amp;C466)&gt;0),1,0)</f>
        <v>1</v>
      </c>
      <c r="I466" s="29" t="n">
        <f aca="false">IF(AND(D466="Feature Use",COUNTIFS($B$5:B466,B466,$D$5:D466,"Feature Use",$E$5:E466,E466)=1),1,0)</f>
        <v>0</v>
      </c>
      <c r="J466" s="29" t="n">
        <f aca="false">IF(AND(D466="Feature Use",COUNTIFS($B$5:B466,B466,$D$5:D466,"Feature Use",$E$5:E466,E466)=2),1,0)</f>
        <v>0</v>
      </c>
      <c r="K466" s="29" t="n">
        <f aca="false">IF(COUNTIF($B$5:B466,B466)=1,1,0)</f>
        <v>0</v>
      </c>
      <c r="L466" s="29" t="n">
        <f aca="false">IF(AND(C466&gt;=Settings!$B$5-Settings!$B$8+1,C466&lt;=Settings!$B$5,COUNTIFS($B$5:B466,B466,$C$5:C466,"&gt;="&amp;(Settings!$B$5-Settings!$B$8+1),$C$5:C466,"&lt;="&amp;Settings!$B$5)=1),1,0)</f>
        <v>0</v>
      </c>
      <c r="M466" s="29" t="n">
        <f aca="false">IF(AND(C466&gt;=Settings!$B$5-Settings!$B$9+1,C466&lt;=Settings!$B$5,COUNTIFS($B$5:B466,B466,$C$5:C466,"&gt;="&amp;(Settings!$B$5-Settings!$B$9+1),$C$5:C466,"&lt;="&amp;Settings!$B$5)=1),1,0)</f>
        <v>0</v>
      </c>
      <c r="N466" s="29" t="n">
        <f aca="false">IF(AND(D466="Feature Use",COUNTIFS($B$5:B466,B466,$D$5:D466,"Feature Use")=1),1,0)</f>
        <v>0</v>
      </c>
    </row>
    <row r="467" customFormat="false" ht="15" hidden="false" customHeight="false" outlineLevel="0" collapsed="false">
      <c r="A467" s="22" t="s">
        <v>774</v>
      </c>
      <c r="B467" s="22" t="s">
        <v>184</v>
      </c>
      <c r="C467" s="31" t="n">
        <v>46283</v>
      </c>
      <c r="D467" s="22" t="s">
        <v>300</v>
      </c>
      <c r="E467" s="22" t="s">
        <v>309</v>
      </c>
      <c r="F467" s="29" t="str">
        <f aca="false">IF(COUNTIF(Referral_Data!$C$5:$C$1000,B467)&gt;0,"Referred",IF(COUNTIF(Referral_Data!$B$5:$B$1000,B467)&gt;0,"Referrer","Organic"))</f>
        <v>Referred</v>
      </c>
      <c r="G467" s="29" t="n">
        <f aca="false">IF(COUNTIFS($B$5:B467,B467,$C$5:C467,C467)=1,1,0)</f>
        <v>0</v>
      </c>
      <c r="H467" s="29" t="n">
        <f aca="false">IF(AND(G467=1,COUNTIFS($B$5:$B$1635,B467,$C$5:$C$1635,"&lt;"&amp;C467)&gt;0),1,0)</f>
        <v>0</v>
      </c>
      <c r="I467" s="29" t="n">
        <f aca="false">IF(AND(D467="Feature Use",COUNTIFS($B$5:B467,B467,$D$5:D467,"Feature Use",$E$5:E467,E467)=1),1,0)</f>
        <v>1</v>
      </c>
      <c r="J467" s="29" t="n">
        <f aca="false">IF(AND(D467="Feature Use",COUNTIFS($B$5:B467,B467,$D$5:D467,"Feature Use",$E$5:E467,E467)=2),1,0)</f>
        <v>0</v>
      </c>
      <c r="K467" s="29" t="n">
        <f aca="false">IF(COUNTIF($B$5:B467,B467)=1,1,0)</f>
        <v>0</v>
      </c>
      <c r="L467" s="29" t="n">
        <f aca="false">IF(AND(C467&gt;=Settings!$B$5-Settings!$B$8+1,C467&lt;=Settings!$B$5,COUNTIFS($B$5:B467,B467,$C$5:C467,"&gt;="&amp;(Settings!$B$5-Settings!$B$8+1),$C$5:C467,"&lt;="&amp;Settings!$B$5)=1),1,0)</f>
        <v>0</v>
      </c>
      <c r="M467" s="29" t="n">
        <f aca="false">IF(AND(C467&gt;=Settings!$B$5-Settings!$B$9+1,C467&lt;=Settings!$B$5,COUNTIFS($B$5:B467,B467,$C$5:C467,"&gt;="&amp;(Settings!$B$5-Settings!$B$9+1),$C$5:C467,"&lt;="&amp;Settings!$B$5)=1),1,0)</f>
        <v>0</v>
      </c>
      <c r="N467" s="29" t="n">
        <f aca="false">IF(AND(D467="Feature Use",COUNTIFS($B$5:B467,B467,$D$5:D467,"Feature Use")=1),1,0)</f>
        <v>0</v>
      </c>
    </row>
    <row r="468" customFormat="false" ht="15" hidden="false" customHeight="false" outlineLevel="0" collapsed="false">
      <c r="A468" s="22" t="s">
        <v>775</v>
      </c>
      <c r="B468" s="22" t="s">
        <v>184</v>
      </c>
      <c r="C468" s="31" t="n">
        <v>46283</v>
      </c>
      <c r="D468" s="22" t="s">
        <v>300</v>
      </c>
      <c r="E468" s="22" t="s">
        <v>305</v>
      </c>
      <c r="F468" s="29" t="str">
        <f aca="false">IF(COUNTIF(Referral_Data!$C$5:$C$1000,B468)&gt;0,"Referred",IF(COUNTIF(Referral_Data!$B$5:$B$1000,B468)&gt;0,"Referrer","Organic"))</f>
        <v>Referred</v>
      </c>
      <c r="G468" s="29" t="n">
        <f aca="false">IF(COUNTIFS($B$5:B468,B468,$C$5:C468,C468)=1,1,0)</f>
        <v>0</v>
      </c>
      <c r="H468" s="29" t="n">
        <f aca="false">IF(AND(G468=1,COUNTIFS($B$5:$B$1635,B468,$C$5:$C$1635,"&lt;"&amp;C468)&gt;0),1,0)</f>
        <v>0</v>
      </c>
      <c r="I468" s="29" t="n">
        <f aca="false">IF(AND(D468="Feature Use",COUNTIFS($B$5:B468,B468,$D$5:D468,"Feature Use",$E$5:E468,E468)=1),1,0)</f>
        <v>0</v>
      </c>
      <c r="J468" s="29" t="n">
        <f aca="false">IF(AND(D468="Feature Use",COUNTIFS($B$5:B468,B468,$D$5:D468,"Feature Use",$E$5:E468,E468)=2),1,0)</f>
        <v>1</v>
      </c>
      <c r="K468" s="29" t="n">
        <f aca="false">IF(COUNTIF($B$5:B468,B468)=1,1,0)</f>
        <v>0</v>
      </c>
      <c r="L468" s="29" t="n">
        <f aca="false">IF(AND(C468&gt;=Settings!$B$5-Settings!$B$8+1,C468&lt;=Settings!$B$5,COUNTIFS($B$5:B468,B468,$C$5:C468,"&gt;="&amp;(Settings!$B$5-Settings!$B$8+1),$C$5:C468,"&lt;="&amp;Settings!$B$5)=1),1,0)</f>
        <v>0</v>
      </c>
      <c r="M468" s="29" t="n">
        <f aca="false">IF(AND(C468&gt;=Settings!$B$5-Settings!$B$9+1,C468&lt;=Settings!$B$5,COUNTIFS($B$5:B468,B468,$C$5:C468,"&gt;="&amp;(Settings!$B$5-Settings!$B$9+1),$C$5:C468,"&lt;="&amp;Settings!$B$5)=1),1,0)</f>
        <v>0</v>
      </c>
      <c r="N468" s="29" t="n">
        <f aca="false">IF(AND(D468="Feature Use",COUNTIFS($B$5:B468,B468,$D$5:D468,"Feature Use")=1),1,0)</f>
        <v>0</v>
      </c>
    </row>
    <row r="469" customFormat="false" ht="15" hidden="false" customHeight="false" outlineLevel="0" collapsed="false">
      <c r="A469" s="22" t="s">
        <v>776</v>
      </c>
      <c r="B469" s="22" t="s">
        <v>192</v>
      </c>
      <c r="C469" s="31" t="n">
        <v>46283</v>
      </c>
      <c r="D469" s="22" t="s">
        <v>297</v>
      </c>
      <c r="E469" s="22" t="s">
        <v>298</v>
      </c>
      <c r="F469" s="29" t="str">
        <f aca="false">IF(COUNTIF(Referral_Data!$C$5:$C$1000,B469)&gt;0,"Referred",IF(COUNTIF(Referral_Data!$B$5:$B$1000,B469)&gt;0,"Referrer","Organic"))</f>
        <v>Referred</v>
      </c>
      <c r="G469" s="29" t="n">
        <f aca="false">IF(COUNTIFS($B$5:B469,B469,$C$5:C469,C469)=1,1,0)</f>
        <v>1</v>
      </c>
      <c r="H469" s="29" t="n">
        <f aca="false">IF(AND(G469=1,COUNTIFS($B$5:$B$1635,B469,$C$5:$C$1635,"&lt;"&amp;C469)&gt;0),1,0)</f>
        <v>1</v>
      </c>
      <c r="I469" s="29" t="n">
        <f aca="false">IF(AND(D469="Feature Use",COUNTIFS($B$5:B469,B469,$D$5:D469,"Feature Use",$E$5:E469,E469)=1),1,0)</f>
        <v>0</v>
      </c>
      <c r="J469" s="29" t="n">
        <f aca="false">IF(AND(D469="Feature Use",COUNTIFS($B$5:B469,B469,$D$5:D469,"Feature Use",$E$5:E469,E469)=2),1,0)</f>
        <v>0</v>
      </c>
      <c r="K469" s="29" t="n">
        <f aca="false">IF(COUNTIF($B$5:B469,B469)=1,1,0)</f>
        <v>0</v>
      </c>
      <c r="L469" s="29" t="n">
        <f aca="false">IF(AND(C469&gt;=Settings!$B$5-Settings!$B$8+1,C469&lt;=Settings!$B$5,COUNTIFS($B$5:B469,B469,$C$5:C469,"&gt;="&amp;(Settings!$B$5-Settings!$B$8+1),$C$5:C469,"&lt;="&amp;Settings!$B$5)=1),1,0)</f>
        <v>0</v>
      </c>
      <c r="M469" s="29" t="n">
        <f aca="false">IF(AND(C469&gt;=Settings!$B$5-Settings!$B$9+1,C469&lt;=Settings!$B$5,COUNTIFS($B$5:B469,B469,$C$5:C469,"&gt;="&amp;(Settings!$B$5-Settings!$B$9+1),$C$5:C469,"&lt;="&amp;Settings!$B$5)=1),1,0)</f>
        <v>0</v>
      </c>
      <c r="N469" s="29" t="n">
        <f aca="false">IF(AND(D469="Feature Use",COUNTIFS($B$5:B469,B469,$D$5:D469,"Feature Use")=1),1,0)</f>
        <v>0</v>
      </c>
    </row>
    <row r="470" customFormat="false" ht="15" hidden="false" customHeight="false" outlineLevel="0" collapsed="false">
      <c r="A470" s="22" t="s">
        <v>777</v>
      </c>
      <c r="B470" s="22" t="s">
        <v>192</v>
      </c>
      <c r="C470" s="31" t="n">
        <v>46283</v>
      </c>
      <c r="D470" s="22" t="s">
        <v>300</v>
      </c>
      <c r="E470" s="22" t="s">
        <v>305</v>
      </c>
      <c r="F470" s="29" t="str">
        <f aca="false">IF(COUNTIF(Referral_Data!$C$5:$C$1000,B470)&gt;0,"Referred",IF(COUNTIF(Referral_Data!$B$5:$B$1000,B470)&gt;0,"Referrer","Organic"))</f>
        <v>Referred</v>
      </c>
      <c r="G470" s="29" t="n">
        <f aca="false">IF(COUNTIFS($B$5:B470,B470,$C$5:C470,C470)=1,1,0)</f>
        <v>0</v>
      </c>
      <c r="H470" s="29" t="n">
        <f aca="false">IF(AND(G470=1,COUNTIFS($B$5:$B$1635,B470,$C$5:$C$1635,"&lt;"&amp;C470)&gt;0),1,0)</f>
        <v>0</v>
      </c>
      <c r="I470" s="29" t="n">
        <f aca="false">IF(AND(D470="Feature Use",COUNTIFS($B$5:B470,B470,$D$5:D470,"Feature Use",$E$5:E470,E470)=1),1,0)</f>
        <v>0</v>
      </c>
      <c r="J470" s="29" t="n">
        <f aca="false">IF(AND(D470="Feature Use",COUNTIFS($B$5:B470,B470,$D$5:D470,"Feature Use",$E$5:E470,E470)=2),1,0)</f>
        <v>1</v>
      </c>
      <c r="K470" s="29" t="n">
        <f aca="false">IF(COUNTIF($B$5:B470,B470)=1,1,0)</f>
        <v>0</v>
      </c>
      <c r="L470" s="29" t="n">
        <f aca="false">IF(AND(C470&gt;=Settings!$B$5-Settings!$B$8+1,C470&lt;=Settings!$B$5,COUNTIFS($B$5:B470,B470,$C$5:C470,"&gt;="&amp;(Settings!$B$5-Settings!$B$8+1),$C$5:C470,"&lt;="&amp;Settings!$B$5)=1),1,0)</f>
        <v>0</v>
      </c>
      <c r="M470" s="29" t="n">
        <f aca="false">IF(AND(C470&gt;=Settings!$B$5-Settings!$B$9+1,C470&lt;=Settings!$B$5,COUNTIFS($B$5:B470,B470,$C$5:C470,"&gt;="&amp;(Settings!$B$5-Settings!$B$9+1),$C$5:C470,"&lt;="&amp;Settings!$B$5)=1),1,0)</f>
        <v>0</v>
      </c>
      <c r="N470" s="29" t="n">
        <f aca="false">IF(AND(D470="Feature Use",COUNTIFS($B$5:B470,B470,$D$5:D470,"Feature Use")=1),1,0)</f>
        <v>0</v>
      </c>
    </row>
    <row r="471" customFormat="false" ht="15" hidden="false" customHeight="false" outlineLevel="0" collapsed="false">
      <c r="A471" s="22" t="s">
        <v>778</v>
      </c>
      <c r="B471" s="22" t="s">
        <v>192</v>
      </c>
      <c r="C471" s="31" t="n">
        <v>46283</v>
      </c>
      <c r="D471" s="22" t="s">
        <v>308</v>
      </c>
      <c r="E471" s="22" t="s">
        <v>311</v>
      </c>
      <c r="F471" s="29" t="str">
        <f aca="false">IF(COUNTIF(Referral_Data!$C$5:$C$1000,B471)&gt;0,"Referred",IF(COUNTIF(Referral_Data!$B$5:$B$1000,B471)&gt;0,"Referrer","Organic"))</f>
        <v>Referred</v>
      </c>
      <c r="G471" s="29" t="n">
        <f aca="false">IF(COUNTIFS($B$5:B471,B471,$C$5:C471,C471)=1,1,0)</f>
        <v>0</v>
      </c>
      <c r="H471" s="29" t="n">
        <f aca="false">IF(AND(G471=1,COUNTIFS($B$5:$B$1635,B471,$C$5:$C$1635,"&lt;"&amp;C471)&gt;0),1,0)</f>
        <v>0</v>
      </c>
      <c r="I471" s="29" t="n">
        <f aca="false">IF(AND(D471="Feature Use",COUNTIFS($B$5:B471,B471,$D$5:D471,"Feature Use",$E$5:E471,E471)=1),1,0)</f>
        <v>0</v>
      </c>
      <c r="J471" s="29" t="n">
        <f aca="false">IF(AND(D471="Feature Use",COUNTIFS($B$5:B471,B471,$D$5:D471,"Feature Use",$E$5:E471,E471)=2),1,0)</f>
        <v>0</v>
      </c>
      <c r="K471" s="29" t="n">
        <f aca="false">IF(COUNTIF($B$5:B471,B471)=1,1,0)</f>
        <v>0</v>
      </c>
      <c r="L471" s="29" t="n">
        <f aca="false">IF(AND(C471&gt;=Settings!$B$5-Settings!$B$8+1,C471&lt;=Settings!$B$5,COUNTIFS($B$5:B471,B471,$C$5:C471,"&gt;="&amp;(Settings!$B$5-Settings!$B$8+1),$C$5:C471,"&lt;="&amp;Settings!$B$5)=1),1,0)</f>
        <v>0</v>
      </c>
      <c r="M471" s="29" t="n">
        <f aca="false">IF(AND(C471&gt;=Settings!$B$5-Settings!$B$9+1,C471&lt;=Settings!$B$5,COUNTIFS($B$5:B471,B471,$C$5:C471,"&gt;="&amp;(Settings!$B$5-Settings!$B$9+1),$C$5:C471,"&lt;="&amp;Settings!$B$5)=1),1,0)</f>
        <v>0</v>
      </c>
      <c r="N471" s="29" t="n">
        <f aca="false">IF(AND(D471="Feature Use",COUNTIFS($B$5:B471,B471,$D$5:D471,"Feature Use")=1),1,0)</f>
        <v>0</v>
      </c>
    </row>
    <row r="472" customFormat="false" ht="15" hidden="false" customHeight="false" outlineLevel="0" collapsed="false">
      <c r="A472" s="22" t="s">
        <v>779</v>
      </c>
      <c r="B472" s="22" t="s">
        <v>192</v>
      </c>
      <c r="C472" s="31" t="n">
        <v>46283</v>
      </c>
      <c r="D472" s="22" t="s">
        <v>308</v>
      </c>
      <c r="E472" s="22" t="s">
        <v>305</v>
      </c>
      <c r="F472" s="29" t="str">
        <f aca="false">IF(COUNTIF(Referral_Data!$C$5:$C$1000,B472)&gt;0,"Referred",IF(COUNTIF(Referral_Data!$B$5:$B$1000,B472)&gt;0,"Referrer","Organic"))</f>
        <v>Referred</v>
      </c>
      <c r="G472" s="29" t="n">
        <f aca="false">IF(COUNTIFS($B$5:B472,B472,$C$5:C472,C472)=1,1,0)</f>
        <v>0</v>
      </c>
      <c r="H472" s="29" t="n">
        <f aca="false">IF(AND(G472=1,COUNTIFS($B$5:$B$1635,B472,$C$5:$C$1635,"&lt;"&amp;C472)&gt;0),1,0)</f>
        <v>0</v>
      </c>
      <c r="I472" s="29" t="n">
        <f aca="false">IF(AND(D472="Feature Use",COUNTIFS($B$5:B472,B472,$D$5:D472,"Feature Use",$E$5:E472,E472)=1),1,0)</f>
        <v>0</v>
      </c>
      <c r="J472" s="29" t="n">
        <f aca="false">IF(AND(D472="Feature Use",COUNTIFS($B$5:B472,B472,$D$5:D472,"Feature Use",$E$5:E472,E472)=2),1,0)</f>
        <v>0</v>
      </c>
      <c r="K472" s="29" t="n">
        <f aca="false">IF(COUNTIF($B$5:B472,B472)=1,1,0)</f>
        <v>0</v>
      </c>
      <c r="L472" s="29" t="n">
        <f aca="false">IF(AND(C472&gt;=Settings!$B$5-Settings!$B$8+1,C472&lt;=Settings!$B$5,COUNTIFS($B$5:B472,B472,$C$5:C472,"&gt;="&amp;(Settings!$B$5-Settings!$B$8+1),$C$5:C472,"&lt;="&amp;Settings!$B$5)=1),1,0)</f>
        <v>0</v>
      </c>
      <c r="M472" s="29" t="n">
        <f aca="false">IF(AND(C472&gt;=Settings!$B$5-Settings!$B$9+1,C472&lt;=Settings!$B$5,COUNTIFS($B$5:B472,B472,$C$5:C472,"&gt;="&amp;(Settings!$B$5-Settings!$B$9+1),$C$5:C472,"&lt;="&amp;Settings!$B$5)=1),1,0)</f>
        <v>0</v>
      </c>
      <c r="N472" s="29" t="n">
        <f aca="false">IF(AND(D472="Feature Use",COUNTIFS($B$5:B472,B472,$D$5:D472,"Feature Use")=1),1,0)</f>
        <v>0</v>
      </c>
    </row>
    <row r="473" customFormat="false" ht="15" hidden="false" customHeight="false" outlineLevel="0" collapsed="false">
      <c r="A473" s="22" t="s">
        <v>780</v>
      </c>
      <c r="B473" s="22" t="s">
        <v>194</v>
      </c>
      <c r="C473" s="31" t="n">
        <v>46283</v>
      </c>
      <c r="D473" s="22" t="s">
        <v>297</v>
      </c>
      <c r="E473" s="22" t="s">
        <v>298</v>
      </c>
      <c r="F473" s="29" t="str">
        <f aca="false">IF(COUNTIF(Referral_Data!$C$5:$C$1000,B473)&gt;0,"Referred",IF(COUNTIF(Referral_Data!$B$5:$B$1000,B473)&gt;0,"Referrer","Organic"))</f>
        <v>Referred</v>
      </c>
      <c r="G473" s="29" t="n">
        <f aca="false">IF(COUNTIFS($B$5:B473,B473,$C$5:C473,C473)=1,1,0)</f>
        <v>1</v>
      </c>
      <c r="H473" s="29" t="n">
        <f aca="false">IF(AND(G473=1,COUNTIFS($B$5:$B$1635,B473,$C$5:$C$1635,"&lt;"&amp;C473)&gt;0),1,0)</f>
        <v>1</v>
      </c>
      <c r="I473" s="29" t="n">
        <f aca="false">IF(AND(D473="Feature Use",COUNTIFS($B$5:B473,B473,$D$5:D473,"Feature Use",$E$5:E473,E473)=1),1,0)</f>
        <v>0</v>
      </c>
      <c r="J473" s="29" t="n">
        <f aca="false">IF(AND(D473="Feature Use",COUNTIFS($B$5:B473,B473,$D$5:D473,"Feature Use",$E$5:E473,E473)=2),1,0)</f>
        <v>0</v>
      </c>
      <c r="K473" s="29" t="n">
        <f aca="false">IF(COUNTIF($B$5:B473,B473)=1,1,0)</f>
        <v>0</v>
      </c>
      <c r="L473" s="29" t="n">
        <f aca="false">IF(AND(C473&gt;=Settings!$B$5-Settings!$B$8+1,C473&lt;=Settings!$B$5,COUNTIFS($B$5:B473,B473,$C$5:C473,"&gt;="&amp;(Settings!$B$5-Settings!$B$8+1),$C$5:C473,"&lt;="&amp;Settings!$B$5)=1),1,0)</f>
        <v>0</v>
      </c>
      <c r="M473" s="29" t="n">
        <f aca="false">IF(AND(C473&gt;=Settings!$B$5-Settings!$B$9+1,C473&lt;=Settings!$B$5,COUNTIFS($B$5:B473,B473,$C$5:C473,"&gt;="&amp;(Settings!$B$5-Settings!$B$9+1),$C$5:C473,"&lt;="&amp;Settings!$B$5)=1),1,0)</f>
        <v>0</v>
      </c>
      <c r="N473" s="29" t="n">
        <f aca="false">IF(AND(D473="Feature Use",COUNTIFS($B$5:B473,B473,$D$5:D473,"Feature Use")=1),1,0)</f>
        <v>0</v>
      </c>
    </row>
    <row r="474" customFormat="false" ht="15" hidden="false" customHeight="false" outlineLevel="0" collapsed="false">
      <c r="A474" s="22" t="s">
        <v>781</v>
      </c>
      <c r="B474" s="22" t="s">
        <v>194</v>
      </c>
      <c r="C474" s="31" t="n">
        <v>46283</v>
      </c>
      <c r="D474" s="22" t="s">
        <v>300</v>
      </c>
      <c r="E474" s="22" t="s">
        <v>311</v>
      </c>
      <c r="F474" s="29" t="str">
        <f aca="false">IF(COUNTIF(Referral_Data!$C$5:$C$1000,B474)&gt;0,"Referred",IF(COUNTIF(Referral_Data!$B$5:$B$1000,B474)&gt;0,"Referrer","Organic"))</f>
        <v>Referred</v>
      </c>
      <c r="G474" s="29" t="n">
        <f aca="false">IF(COUNTIFS($B$5:B474,B474,$C$5:C474,C474)=1,1,0)</f>
        <v>0</v>
      </c>
      <c r="H474" s="29" t="n">
        <f aca="false">IF(AND(G474=1,COUNTIFS($B$5:$B$1635,B474,$C$5:$C$1635,"&lt;"&amp;C474)&gt;0),1,0)</f>
        <v>0</v>
      </c>
      <c r="I474" s="29" t="n">
        <f aca="false">IF(AND(D474="Feature Use",COUNTIFS($B$5:B474,B474,$D$5:D474,"Feature Use",$E$5:E474,E474)=1),1,0)</f>
        <v>0</v>
      </c>
      <c r="J474" s="29" t="n">
        <f aca="false">IF(AND(D474="Feature Use",COUNTIFS($B$5:B474,B474,$D$5:D474,"Feature Use",$E$5:E474,E474)=2),1,0)</f>
        <v>1</v>
      </c>
      <c r="K474" s="29" t="n">
        <f aca="false">IF(COUNTIF($B$5:B474,B474)=1,1,0)</f>
        <v>0</v>
      </c>
      <c r="L474" s="29" t="n">
        <f aca="false">IF(AND(C474&gt;=Settings!$B$5-Settings!$B$8+1,C474&lt;=Settings!$B$5,COUNTIFS($B$5:B474,B474,$C$5:C474,"&gt;="&amp;(Settings!$B$5-Settings!$B$8+1),$C$5:C474,"&lt;="&amp;Settings!$B$5)=1),1,0)</f>
        <v>0</v>
      </c>
      <c r="M474" s="29" t="n">
        <f aca="false">IF(AND(C474&gt;=Settings!$B$5-Settings!$B$9+1,C474&lt;=Settings!$B$5,COUNTIFS($B$5:B474,B474,$C$5:C474,"&gt;="&amp;(Settings!$B$5-Settings!$B$9+1),$C$5:C474,"&lt;="&amp;Settings!$B$5)=1),1,0)</f>
        <v>0</v>
      </c>
      <c r="N474" s="29" t="n">
        <f aca="false">IF(AND(D474="Feature Use",COUNTIFS($B$5:B474,B474,$D$5:D474,"Feature Use")=1),1,0)</f>
        <v>0</v>
      </c>
    </row>
    <row r="475" customFormat="false" ht="15" hidden="false" customHeight="false" outlineLevel="0" collapsed="false">
      <c r="A475" s="22" t="s">
        <v>782</v>
      </c>
      <c r="B475" s="22" t="s">
        <v>194</v>
      </c>
      <c r="C475" s="31" t="n">
        <v>46283</v>
      </c>
      <c r="D475" s="22" t="s">
        <v>300</v>
      </c>
      <c r="E475" s="22" t="s">
        <v>305</v>
      </c>
      <c r="F475" s="29" t="str">
        <f aca="false">IF(COUNTIF(Referral_Data!$C$5:$C$1000,B475)&gt;0,"Referred",IF(COUNTIF(Referral_Data!$B$5:$B$1000,B475)&gt;0,"Referrer","Organic"))</f>
        <v>Referred</v>
      </c>
      <c r="G475" s="29" t="n">
        <f aca="false">IF(COUNTIFS($B$5:B475,B475,$C$5:C475,C475)=1,1,0)</f>
        <v>0</v>
      </c>
      <c r="H475" s="29" t="n">
        <f aca="false">IF(AND(G475=1,COUNTIFS($B$5:$B$1635,B475,$C$5:$C$1635,"&lt;"&amp;C475)&gt;0),1,0)</f>
        <v>0</v>
      </c>
      <c r="I475" s="29" t="n">
        <f aca="false">IF(AND(D475="Feature Use",COUNTIFS($B$5:B475,B475,$D$5:D475,"Feature Use",$E$5:E475,E475)=1),1,0)</f>
        <v>0</v>
      </c>
      <c r="J475" s="29" t="n">
        <f aca="false">IF(AND(D475="Feature Use",COUNTIFS($B$5:B475,B475,$D$5:D475,"Feature Use",$E$5:E475,E475)=2),1,0)</f>
        <v>0</v>
      </c>
      <c r="K475" s="29" t="n">
        <f aca="false">IF(COUNTIF($B$5:B475,B475)=1,1,0)</f>
        <v>0</v>
      </c>
      <c r="L475" s="29" t="n">
        <f aca="false">IF(AND(C475&gt;=Settings!$B$5-Settings!$B$8+1,C475&lt;=Settings!$B$5,COUNTIFS($B$5:B475,B475,$C$5:C475,"&gt;="&amp;(Settings!$B$5-Settings!$B$8+1),$C$5:C475,"&lt;="&amp;Settings!$B$5)=1),1,0)</f>
        <v>0</v>
      </c>
      <c r="M475" s="29" t="n">
        <f aca="false">IF(AND(C475&gt;=Settings!$B$5-Settings!$B$9+1,C475&lt;=Settings!$B$5,COUNTIFS($B$5:B475,B475,$C$5:C475,"&gt;="&amp;(Settings!$B$5-Settings!$B$9+1),$C$5:C475,"&lt;="&amp;Settings!$B$5)=1),1,0)</f>
        <v>0</v>
      </c>
      <c r="N475" s="29" t="n">
        <f aca="false">IF(AND(D475="Feature Use",COUNTIFS($B$5:B475,B475,$D$5:D475,"Feature Use")=1),1,0)</f>
        <v>0</v>
      </c>
    </row>
    <row r="476" customFormat="false" ht="15" hidden="false" customHeight="false" outlineLevel="0" collapsed="false">
      <c r="A476" s="22" t="s">
        <v>783</v>
      </c>
      <c r="B476" s="22" t="s">
        <v>254</v>
      </c>
      <c r="C476" s="31" t="n">
        <v>46283</v>
      </c>
      <c r="D476" s="22" t="s">
        <v>297</v>
      </c>
      <c r="E476" s="22" t="s">
        <v>298</v>
      </c>
      <c r="F476" s="29" t="str">
        <f aca="false">IF(COUNTIF(Referral_Data!$C$5:$C$1000,B476)&gt;0,"Referred",IF(COUNTIF(Referral_Data!$B$5:$B$1000,B476)&gt;0,"Referrer","Organic"))</f>
        <v>Referred</v>
      </c>
      <c r="G476" s="29" t="n">
        <f aca="false">IF(COUNTIFS($B$5:B476,B476,$C$5:C476,C476)=1,1,0)</f>
        <v>1</v>
      </c>
      <c r="H476" s="29" t="n">
        <f aca="false">IF(AND(G476=1,COUNTIFS($B$5:$B$1635,B476,$C$5:$C$1635,"&lt;"&amp;C476)&gt;0),1,0)</f>
        <v>0</v>
      </c>
      <c r="I476" s="29" t="n">
        <f aca="false">IF(AND(D476="Feature Use",COUNTIFS($B$5:B476,B476,$D$5:D476,"Feature Use",$E$5:E476,E476)=1),1,0)</f>
        <v>0</v>
      </c>
      <c r="J476" s="29" t="n">
        <f aca="false">IF(AND(D476="Feature Use",COUNTIFS($B$5:B476,B476,$D$5:D476,"Feature Use",$E$5:E476,E476)=2),1,0)</f>
        <v>0</v>
      </c>
      <c r="K476" s="29" t="n">
        <f aca="false">IF(COUNTIF($B$5:B476,B476)=1,1,0)</f>
        <v>1</v>
      </c>
      <c r="L476" s="29" t="n">
        <f aca="false">IF(AND(C476&gt;=Settings!$B$5-Settings!$B$8+1,C476&lt;=Settings!$B$5,COUNTIFS($B$5:B476,B476,$C$5:C476,"&gt;="&amp;(Settings!$B$5-Settings!$B$8+1),$C$5:C476,"&lt;="&amp;Settings!$B$5)=1),1,0)</f>
        <v>0</v>
      </c>
      <c r="M476" s="29" t="n">
        <f aca="false">IF(AND(C476&gt;=Settings!$B$5-Settings!$B$9+1,C476&lt;=Settings!$B$5,COUNTIFS($B$5:B476,B476,$C$5:C476,"&gt;="&amp;(Settings!$B$5-Settings!$B$9+1),$C$5:C476,"&lt;="&amp;Settings!$B$5)=1),1,0)</f>
        <v>1</v>
      </c>
      <c r="N476" s="29" t="n">
        <f aca="false">IF(AND(D476="Feature Use",COUNTIFS($B$5:B476,B476,$D$5:D476,"Feature Use")=1),1,0)</f>
        <v>0</v>
      </c>
    </row>
    <row r="477" customFormat="false" ht="15" hidden="false" customHeight="false" outlineLevel="0" collapsed="false">
      <c r="A477" s="22" t="s">
        <v>784</v>
      </c>
      <c r="B477" s="22" t="s">
        <v>254</v>
      </c>
      <c r="C477" s="31" t="n">
        <v>46283</v>
      </c>
      <c r="D477" s="22" t="s">
        <v>300</v>
      </c>
      <c r="E477" s="22" t="s">
        <v>319</v>
      </c>
      <c r="F477" s="29" t="str">
        <f aca="false">IF(COUNTIF(Referral_Data!$C$5:$C$1000,B477)&gt;0,"Referred",IF(COUNTIF(Referral_Data!$B$5:$B$1000,B477)&gt;0,"Referrer","Organic"))</f>
        <v>Referred</v>
      </c>
      <c r="G477" s="29" t="n">
        <f aca="false">IF(COUNTIFS($B$5:B477,B477,$C$5:C477,C477)=1,1,0)</f>
        <v>0</v>
      </c>
      <c r="H477" s="29" t="n">
        <f aca="false">IF(AND(G477=1,COUNTIFS($B$5:$B$1635,B477,$C$5:$C$1635,"&lt;"&amp;C477)&gt;0),1,0)</f>
        <v>0</v>
      </c>
      <c r="I477" s="29" t="n">
        <f aca="false">IF(AND(D477="Feature Use",COUNTIFS($B$5:B477,B477,$D$5:D477,"Feature Use",$E$5:E477,E477)=1),1,0)</f>
        <v>1</v>
      </c>
      <c r="J477" s="29" t="n">
        <f aca="false">IF(AND(D477="Feature Use",COUNTIFS($B$5:B477,B477,$D$5:D477,"Feature Use",$E$5:E477,E477)=2),1,0)</f>
        <v>0</v>
      </c>
      <c r="K477" s="29" t="n">
        <f aca="false">IF(COUNTIF($B$5:B477,B477)=1,1,0)</f>
        <v>0</v>
      </c>
      <c r="L477" s="29" t="n">
        <f aca="false">IF(AND(C477&gt;=Settings!$B$5-Settings!$B$8+1,C477&lt;=Settings!$B$5,COUNTIFS($B$5:B477,B477,$C$5:C477,"&gt;="&amp;(Settings!$B$5-Settings!$B$8+1),$C$5:C477,"&lt;="&amp;Settings!$B$5)=1),1,0)</f>
        <v>0</v>
      </c>
      <c r="M477" s="29" t="n">
        <f aca="false">IF(AND(C477&gt;=Settings!$B$5-Settings!$B$9+1,C477&lt;=Settings!$B$5,COUNTIFS($B$5:B477,B477,$C$5:C477,"&gt;="&amp;(Settings!$B$5-Settings!$B$9+1),$C$5:C477,"&lt;="&amp;Settings!$B$5)=1),1,0)</f>
        <v>0</v>
      </c>
      <c r="N477" s="29" t="n">
        <f aca="false">IF(AND(D477="Feature Use",COUNTIFS($B$5:B477,B477,$D$5:D477,"Feature Use")=1),1,0)</f>
        <v>1</v>
      </c>
    </row>
    <row r="478" customFormat="false" ht="15" hidden="false" customHeight="false" outlineLevel="0" collapsed="false">
      <c r="A478" s="22" t="s">
        <v>785</v>
      </c>
      <c r="B478" s="22" t="s">
        <v>269</v>
      </c>
      <c r="C478" s="31" t="n">
        <v>46283</v>
      </c>
      <c r="D478" s="22" t="s">
        <v>297</v>
      </c>
      <c r="E478" s="22" t="s">
        <v>298</v>
      </c>
      <c r="F478" s="29" t="str">
        <f aca="false">IF(COUNTIF(Referral_Data!$C$5:$C$1000,B478)&gt;0,"Referred",IF(COUNTIF(Referral_Data!$B$5:$B$1000,B478)&gt;0,"Referrer","Organic"))</f>
        <v>Referred</v>
      </c>
      <c r="G478" s="29" t="n">
        <f aca="false">IF(COUNTIFS($B$5:B478,B478,$C$5:C478,C478)=1,1,0)</f>
        <v>1</v>
      </c>
      <c r="H478" s="29" t="n">
        <f aca="false">IF(AND(G478=1,COUNTIFS($B$5:$B$1635,B478,$C$5:$C$1635,"&lt;"&amp;C478)&gt;0),1,0)</f>
        <v>1</v>
      </c>
      <c r="I478" s="29" t="n">
        <f aca="false">IF(AND(D478="Feature Use",COUNTIFS($B$5:B478,B478,$D$5:D478,"Feature Use",$E$5:E478,E478)=1),1,0)</f>
        <v>0</v>
      </c>
      <c r="J478" s="29" t="n">
        <f aca="false">IF(AND(D478="Feature Use",COUNTIFS($B$5:B478,B478,$D$5:D478,"Feature Use",$E$5:E478,E478)=2),1,0)</f>
        <v>0</v>
      </c>
      <c r="K478" s="29" t="n">
        <f aca="false">IF(COUNTIF($B$5:B478,B478)=1,1,0)</f>
        <v>0</v>
      </c>
      <c r="L478" s="29" t="n">
        <f aca="false">IF(AND(C478&gt;=Settings!$B$5-Settings!$B$8+1,C478&lt;=Settings!$B$5,COUNTIFS($B$5:B478,B478,$C$5:C478,"&gt;="&amp;(Settings!$B$5-Settings!$B$8+1),$C$5:C478,"&lt;="&amp;Settings!$B$5)=1),1,0)</f>
        <v>0</v>
      </c>
      <c r="M478" s="29" t="n">
        <f aca="false">IF(AND(C478&gt;=Settings!$B$5-Settings!$B$9+1,C478&lt;=Settings!$B$5,COUNTIFS($B$5:B478,B478,$C$5:C478,"&gt;="&amp;(Settings!$B$5-Settings!$B$9+1),$C$5:C478,"&lt;="&amp;Settings!$B$5)=1),1,0)</f>
        <v>0</v>
      </c>
      <c r="N478" s="29" t="n">
        <f aca="false">IF(AND(D478="Feature Use",COUNTIFS($B$5:B478,B478,$D$5:D478,"Feature Use")=1),1,0)</f>
        <v>0</v>
      </c>
    </row>
    <row r="479" customFormat="false" ht="15" hidden="false" customHeight="false" outlineLevel="0" collapsed="false">
      <c r="A479" s="22" t="s">
        <v>786</v>
      </c>
      <c r="B479" s="22" t="s">
        <v>269</v>
      </c>
      <c r="C479" s="31" t="n">
        <v>46283</v>
      </c>
      <c r="D479" s="22" t="s">
        <v>300</v>
      </c>
      <c r="E479" s="22" t="s">
        <v>301</v>
      </c>
      <c r="F479" s="29" t="str">
        <f aca="false">IF(COUNTIF(Referral_Data!$C$5:$C$1000,B479)&gt;0,"Referred",IF(COUNTIF(Referral_Data!$B$5:$B$1000,B479)&gt;0,"Referrer","Organic"))</f>
        <v>Referred</v>
      </c>
      <c r="G479" s="29" t="n">
        <f aca="false">IF(COUNTIFS($B$5:B479,B479,$C$5:C479,C479)=1,1,0)</f>
        <v>0</v>
      </c>
      <c r="H479" s="29" t="n">
        <f aca="false">IF(AND(G479=1,COUNTIFS($B$5:$B$1635,B479,$C$5:$C$1635,"&lt;"&amp;C479)&gt;0),1,0)</f>
        <v>0</v>
      </c>
      <c r="I479" s="29" t="n">
        <f aca="false">IF(AND(D479="Feature Use",COUNTIFS($B$5:B479,B479,$D$5:D479,"Feature Use",$E$5:E479,E479)=1),1,0)</f>
        <v>1</v>
      </c>
      <c r="J479" s="29" t="n">
        <f aca="false">IF(AND(D479="Feature Use",COUNTIFS($B$5:B479,B479,$D$5:D479,"Feature Use",$E$5:E479,E479)=2),1,0)</f>
        <v>0</v>
      </c>
      <c r="K479" s="29" t="n">
        <f aca="false">IF(COUNTIF($B$5:B479,B479)=1,1,0)</f>
        <v>0</v>
      </c>
      <c r="L479" s="29" t="n">
        <f aca="false">IF(AND(C479&gt;=Settings!$B$5-Settings!$B$8+1,C479&lt;=Settings!$B$5,COUNTIFS($B$5:B479,B479,$C$5:C479,"&gt;="&amp;(Settings!$B$5-Settings!$B$8+1),$C$5:C479,"&lt;="&amp;Settings!$B$5)=1),1,0)</f>
        <v>0</v>
      </c>
      <c r="M479" s="29" t="n">
        <f aca="false">IF(AND(C479&gt;=Settings!$B$5-Settings!$B$9+1,C479&lt;=Settings!$B$5,COUNTIFS($B$5:B479,B479,$C$5:C479,"&gt;="&amp;(Settings!$B$5-Settings!$B$9+1),$C$5:C479,"&lt;="&amp;Settings!$B$5)=1),1,0)</f>
        <v>0</v>
      </c>
      <c r="N479" s="29" t="n">
        <f aca="false">IF(AND(D479="Feature Use",COUNTIFS($B$5:B479,B479,$D$5:D479,"Feature Use")=1),1,0)</f>
        <v>0</v>
      </c>
    </row>
    <row r="480" customFormat="false" ht="15" hidden="false" customHeight="false" outlineLevel="0" collapsed="false">
      <c r="A480" s="22" t="s">
        <v>787</v>
      </c>
      <c r="B480" s="22" t="s">
        <v>269</v>
      </c>
      <c r="C480" s="31" t="n">
        <v>46283</v>
      </c>
      <c r="D480" s="22" t="s">
        <v>300</v>
      </c>
      <c r="E480" s="22" t="s">
        <v>319</v>
      </c>
      <c r="F480" s="29" t="str">
        <f aca="false">IF(COUNTIF(Referral_Data!$C$5:$C$1000,B480)&gt;0,"Referred",IF(COUNTIF(Referral_Data!$B$5:$B$1000,B480)&gt;0,"Referrer","Organic"))</f>
        <v>Referred</v>
      </c>
      <c r="G480" s="29" t="n">
        <f aca="false">IF(COUNTIFS($B$5:B480,B480,$C$5:C480,C480)=1,1,0)</f>
        <v>0</v>
      </c>
      <c r="H480" s="29" t="n">
        <f aca="false">IF(AND(G480=1,COUNTIFS($B$5:$B$1635,B480,$C$5:$C$1635,"&lt;"&amp;C480)&gt;0),1,0)</f>
        <v>0</v>
      </c>
      <c r="I480" s="29" t="n">
        <f aca="false">IF(AND(D480="Feature Use",COUNTIFS($B$5:B480,B480,$D$5:D480,"Feature Use",$E$5:E480,E480)=1),1,0)</f>
        <v>1</v>
      </c>
      <c r="J480" s="29" t="n">
        <f aca="false">IF(AND(D480="Feature Use",COUNTIFS($B$5:B480,B480,$D$5:D480,"Feature Use",$E$5:E480,E480)=2),1,0)</f>
        <v>0</v>
      </c>
      <c r="K480" s="29" t="n">
        <f aca="false">IF(COUNTIF($B$5:B480,B480)=1,1,0)</f>
        <v>0</v>
      </c>
      <c r="L480" s="29" t="n">
        <f aca="false">IF(AND(C480&gt;=Settings!$B$5-Settings!$B$8+1,C480&lt;=Settings!$B$5,COUNTIFS($B$5:B480,B480,$C$5:C480,"&gt;="&amp;(Settings!$B$5-Settings!$B$8+1),$C$5:C480,"&lt;="&amp;Settings!$B$5)=1),1,0)</f>
        <v>0</v>
      </c>
      <c r="M480" s="29" t="n">
        <f aca="false">IF(AND(C480&gt;=Settings!$B$5-Settings!$B$9+1,C480&lt;=Settings!$B$5,COUNTIFS($B$5:B480,B480,$C$5:C480,"&gt;="&amp;(Settings!$B$5-Settings!$B$9+1),$C$5:C480,"&lt;="&amp;Settings!$B$5)=1),1,0)</f>
        <v>0</v>
      </c>
      <c r="N480" s="29" t="n">
        <f aca="false">IF(AND(D480="Feature Use",COUNTIFS($B$5:B480,B480,$D$5:D480,"Feature Use")=1),1,0)</f>
        <v>0</v>
      </c>
    </row>
    <row r="481" customFormat="false" ht="15" hidden="false" customHeight="false" outlineLevel="0" collapsed="false">
      <c r="A481" s="22" t="s">
        <v>788</v>
      </c>
      <c r="B481" s="22" t="s">
        <v>167</v>
      </c>
      <c r="C481" s="31" t="n">
        <v>46283</v>
      </c>
      <c r="D481" s="22" t="s">
        <v>297</v>
      </c>
      <c r="E481" s="22" t="s">
        <v>298</v>
      </c>
      <c r="F481" s="29" t="str">
        <f aca="false">IF(COUNTIF(Referral_Data!$C$5:$C$1000,B481)&gt;0,"Referred",IF(COUNTIF(Referral_Data!$B$5:$B$1000,B481)&gt;0,"Referrer","Organic"))</f>
        <v>Referrer</v>
      </c>
      <c r="G481" s="29" t="n">
        <f aca="false">IF(COUNTIFS($B$5:B481,B481,$C$5:C481,C481)=1,1,0)</f>
        <v>1</v>
      </c>
      <c r="H481" s="29" t="n">
        <f aca="false">IF(AND(G481=1,COUNTIFS($B$5:$B$1635,B481,$C$5:$C$1635,"&lt;"&amp;C481)&gt;0),1,0)</f>
        <v>1</v>
      </c>
      <c r="I481" s="29" t="n">
        <f aca="false">IF(AND(D481="Feature Use",COUNTIFS($B$5:B481,B481,$D$5:D481,"Feature Use",$E$5:E481,E481)=1),1,0)</f>
        <v>0</v>
      </c>
      <c r="J481" s="29" t="n">
        <f aca="false">IF(AND(D481="Feature Use",COUNTIFS($B$5:B481,B481,$D$5:D481,"Feature Use",$E$5:E481,E481)=2),1,0)</f>
        <v>0</v>
      </c>
      <c r="K481" s="29" t="n">
        <f aca="false">IF(COUNTIF($B$5:B481,B481)=1,1,0)</f>
        <v>0</v>
      </c>
      <c r="L481" s="29" t="n">
        <f aca="false">IF(AND(C481&gt;=Settings!$B$5-Settings!$B$8+1,C481&lt;=Settings!$B$5,COUNTIFS($B$5:B481,B481,$C$5:C481,"&gt;="&amp;(Settings!$B$5-Settings!$B$8+1),$C$5:C481,"&lt;="&amp;Settings!$B$5)=1),1,0)</f>
        <v>0</v>
      </c>
      <c r="M481" s="29" t="n">
        <f aca="false">IF(AND(C481&gt;=Settings!$B$5-Settings!$B$9+1,C481&lt;=Settings!$B$5,COUNTIFS($B$5:B481,B481,$C$5:C481,"&gt;="&amp;(Settings!$B$5-Settings!$B$9+1),$C$5:C481,"&lt;="&amp;Settings!$B$5)=1),1,0)</f>
        <v>0</v>
      </c>
      <c r="N481" s="29" t="n">
        <f aca="false">IF(AND(D481="Feature Use",COUNTIFS($B$5:B481,B481,$D$5:D481,"Feature Use")=1),1,0)</f>
        <v>0</v>
      </c>
    </row>
    <row r="482" customFormat="false" ht="15" hidden="false" customHeight="false" outlineLevel="0" collapsed="false">
      <c r="A482" s="22" t="s">
        <v>789</v>
      </c>
      <c r="B482" s="22" t="s">
        <v>167</v>
      </c>
      <c r="C482" s="31" t="n">
        <v>46283</v>
      </c>
      <c r="D482" s="22" t="s">
        <v>300</v>
      </c>
      <c r="E482" s="22" t="s">
        <v>319</v>
      </c>
      <c r="F482" s="29" t="str">
        <f aca="false">IF(COUNTIF(Referral_Data!$C$5:$C$1000,B482)&gt;0,"Referred",IF(COUNTIF(Referral_Data!$B$5:$B$1000,B482)&gt;0,"Referrer","Organic"))</f>
        <v>Referrer</v>
      </c>
      <c r="G482" s="29" t="n">
        <f aca="false">IF(COUNTIFS($B$5:B482,B482,$C$5:C482,C482)=1,1,0)</f>
        <v>0</v>
      </c>
      <c r="H482" s="29" t="n">
        <f aca="false">IF(AND(G482=1,COUNTIFS($B$5:$B$1635,B482,$C$5:$C$1635,"&lt;"&amp;C482)&gt;0),1,0)</f>
        <v>0</v>
      </c>
      <c r="I482" s="29" t="n">
        <f aca="false">IF(AND(D482="Feature Use",COUNTIFS($B$5:B482,B482,$D$5:D482,"Feature Use",$E$5:E482,E482)=1),1,0)</f>
        <v>0</v>
      </c>
      <c r="J482" s="29" t="n">
        <f aca="false">IF(AND(D482="Feature Use",COUNTIFS($B$5:B482,B482,$D$5:D482,"Feature Use",$E$5:E482,E482)=2),1,0)</f>
        <v>0</v>
      </c>
      <c r="K482" s="29" t="n">
        <f aca="false">IF(COUNTIF($B$5:B482,B482)=1,1,0)</f>
        <v>0</v>
      </c>
      <c r="L482" s="29" t="n">
        <f aca="false">IF(AND(C482&gt;=Settings!$B$5-Settings!$B$8+1,C482&lt;=Settings!$B$5,COUNTIFS($B$5:B482,B482,$C$5:C482,"&gt;="&amp;(Settings!$B$5-Settings!$B$8+1),$C$5:C482,"&lt;="&amp;Settings!$B$5)=1),1,0)</f>
        <v>0</v>
      </c>
      <c r="M482" s="29" t="n">
        <f aca="false">IF(AND(C482&gt;=Settings!$B$5-Settings!$B$9+1,C482&lt;=Settings!$B$5,COUNTIFS($B$5:B482,B482,$C$5:C482,"&gt;="&amp;(Settings!$B$5-Settings!$B$9+1),$C$5:C482,"&lt;="&amp;Settings!$B$5)=1),1,0)</f>
        <v>0</v>
      </c>
      <c r="N482" s="29" t="n">
        <f aca="false">IF(AND(D482="Feature Use",COUNTIFS($B$5:B482,B482,$D$5:D482,"Feature Use")=1),1,0)</f>
        <v>0</v>
      </c>
    </row>
    <row r="483" customFormat="false" ht="15" hidden="false" customHeight="false" outlineLevel="0" collapsed="false">
      <c r="A483" s="22" t="s">
        <v>790</v>
      </c>
      <c r="B483" s="22" t="s">
        <v>167</v>
      </c>
      <c r="C483" s="31" t="n">
        <v>46283</v>
      </c>
      <c r="D483" s="22" t="s">
        <v>300</v>
      </c>
      <c r="E483" s="22" t="s">
        <v>301</v>
      </c>
      <c r="F483" s="29" t="str">
        <f aca="false">IF(COUNTIF(Referral_Data!$C$5:$C$1000,B483)&gt;0,"Referred",IF(COUNTIF(Referral_Data!$B$5:$B$1000,B483)&gt;0,"Referrer","Organic"))</f>
        <v>Referrer</v>
      </c>
      <c r="G483" s="29" t="n">
        <f aca="false">IF(COUNTIFS($B$5:B483,B483,$C$5:C483,C483)=1,1,0)</f>
        <v>0</v>
      </c>
      <c r="H483" s="29" t="n">
        <f aca="false">IF(AND(G483=1,COUNTIFS($B$5:$B$1635,B483,$C$5:$C$1635,"&lt;"&amp;C483)&gt;0),1,0)</f>
        <v>0</v>
      </c>
      <c r="I483" s="29" t="n">
        <f aca="false">IF(AND(D483="Feature Use",COUNTIFS($B$5:B483,B483,$D$5:D483,"Feature Use",$E$5:E483,E483)=1),1,0)</f>
        <v>1</v>
      </c>
      <c r="J483" s="29" t="n">
        <f aca="false">IF(AND(D483="Feature Use",COUNTIFS($B$5:B483,B483,$D$5:D483,"Feature Use",$E$5:E483,E483)=2),1,0)</f>
        <v>0</v>
      </c>
      <c r="K483" s="29" t="n">
        <f aca="false">IF(COUNTIF($B$5:B483,B483)=1,1,0)</f>
        <v>0</v>
      </c>
      <c r="L483" s="29" t="n">
        <f aca="false">IF(AND(C483&gt;=Settings!$B$5-Settings!$B$8+1,C483&lt;=Settings!$B$5,COUNTIFS($B$5:B483,B483,$C$5:C483,"&gt;="&amp;(Settings!$B$5-Settings!$B$8+1),$C$5:C483,"&lt;="&amp;Settings!$B$5)=1),1,0)</f>
        <v>0</v>
      </c>
      <c r="M483" s="29" t="n">
        <f aca="false">IF(AND(C483&gt;=Settings!$B$5-Settings!$B$9+1,C483&lt;=Settings!$B$5,COUNTIFS($B$5:B483,B483,$C$5:C483,"&gt;="&amp;(Settings!$B$5-Settings!$B$9+1),$C$5:C483,"&lt;="&amp;Settings!$B$5)=1),1,0)</f>
        <v>0</v>
      </c>
      <c r="N483" s="29" t="n">
        <f aca="false">IF(AND(D483="Feature Use",COUNTIFS($B$5:B483,B483,$D$5:D483,"Feature Use")=1),1,0)</f>
        <v>0</v>
      </c>
    </row>
    <row r="484" customFormat="false" ht="15" hidden="false" customHeight="false" outlineLevel="0" collapsed="false">
      <c r="A484" s="22" t="s">
        <v>791</v>
      </c>
      <c r="B484" s="22" t="s">
        <v>196</v>
      </c>
      <c r="C484" s="31" t="n">
        <v>46283</v>
      </c>
      <c r="D484" s="22" t="s">
        <v>297</v>
      </c>
      <c r="E484" s="22" t="s">
        <v>298</v>
      </c>
      <c r="F484" s="29" t="str">
        <f aca="false">IF(COUNTIF(Referral_Data!$C$5:$C$1000,B484)&gt;0,"Referred",IF(COUNTIF(Referral_Data!$B$5:$B$1000,B484)&gt;0,"Referrer","Organic"))</f>
        <v>Referrer</v>
      </c>
      <c r="G484" s="29" t="n">
        <f aca="false">IF(COUNTIFS($B$5:B484,B484,$C$5:C484,C484)=1,1,0)</f>
        <v>1</v>
      </c>
      <c r="H484" s="29" t="n">
        <f aca="false">IF(AND(G484=1,COUNTIFS($B$5:$B$1635,B484,$C$5:$C$1635,"&lt;"&amp;C484)&gt;0),1,0)</f>
        <v>1</v>
      </c>
      <c r="I484" s="29" t="n">
        <f aca="false">IF(AND(D484="Feature Use",COUNTIFS($B$5:B484,B484,$D$5:D484,"Feature Use",$E$5:E484,E484)=1),1,0)</f>
        <v>0</v>
      </c>
      <c r="J484" s="29" t="n">
        <f aca="false">IF(AND(D484="Feature Use",COUNTIFS($B$5:B484,B484,$D$5:D484,"Feature Use",$E$5:E484,E484)=2),1,0)</f>
        <v>0</v>
      </c>
      <c r="K484" s="29" t="n">
        <f aca="false">IF(COUNTIF($B$5:B484,B484)=1,1,0)</f>
        <v>0</v>
      </c>
      <c r="L484" s="29" t="n">
        <f aca="false">IF(AND(C484&gt;=Settings!$B$5-Settings!$B$8+1,C484&lt;=Settings!$B$5,COUNTIFS($B$5:B484,B484,$C$5:C484,"&gt;="&amp;(Settings!$B$5-Settings!$B$8+1),$C$5:C484,"&lt;="&amp;Settings!$B$5)=1),1,0)</f>
        <v>0</v>
      </c>
      <c r="M484" s="29" t="n">
        <f aca="false">IF(AND(C484&gt;=Settings!$B$5-Settings!$B$9+1,C484&lt;=Settings!$B$5,COUNTIFS($B$5:B484,B484,$C$5:C484,"&gt;="&amp;(Settings!$B$5-Settings!$B$9+1),$C$5:C484,"&lt;="&amp;Settings!$B$5)=1),1,0)</f>
        <v>0</v>
      </c>
      <c r="N484" s="29" t="n">
        <f aca="false">IF(AND(D484="Feature Use",COUNTIFS($B$5:B484,B484,$D$5:D484,"Feature Use")=1),1,0)</f>
        <v>0</v>
      </c>
    </row>
    <row r="485" customFormat="false" ht="15" hidden="false" customHeight="false" outlineLevel="0" collapsed="false">
      <c r="A485" s="22" t="s">
        <v>792</v>
      </c>
      <c r="B485" s="22" t="s">
        <v>196</v>
      </c>
      <c r="C485" s="31" t="n">
        <v>46283</v>
      </c>
      <c r="D485" s="22" t="s">
        <v>300</v>
      </c>
      <c r="E485" s="22" t="s">
        <v>301</v>
      </c>
      <c r="F485" s="29" t="str">
        <f aca="false">IF(COUNTIF(Referral_Data!$C$5:$C$1000,B485)&gt;0,"Referred",IF(COUNTIF(Referral_Data!$B$5:$B$1000,B485)&gt;0,"Referrer","Organic"))</f>
        <v>Referrer</v>
      </c>
      <c r="G485" s="29" t="n">
        <f aca="false">IF(COUNTIFS($B$5:B485,B485,$C$5:C485,C485)=1,1,0)</f>
        <v>0</v>
      </c>
      <c r="H485" s="29" t="n">
        <f aca="false">IF(AND(G485=1,COUNTIFS($B$5:$B$1635,B485,$C$5:$C$1635,"&lt;"&amp;C485)&gt;0),1,0)</f>
        <v>0</v>
      </c>
      <c r="I485" s="29" t="n">
        <f aca="false">IF(AND(D485="Feature Use",COUNTIFS($B$5:B485,B485,$D$5:D485,"Feature Use",$E$5:E485,E485)=1),1,0)</f>
        <v>0</v>
      </c>
      <c r="J485" s="29" t="n">
        <f aca="false">IF(AND(D485="Feature Use",COUNTIFS($B$5:B485,B485,$D$5:D485,"Feature Use",$E$5:E485,E485)=2),1,0)</f>
        <v>1</v>
      </c>
      <c r="K485" s="29" t="n">
        <f aca="false">IF(COUNTIF($B$5:B485,B485)=1,1,0)</f>
        <v>0</v>
      </c>
      <c r="L485" s="29" t="n">
        <f aca="false">IF(AND(C485&gt;=Settings!$B$5-Settings!$B$8+1,C485&lt;=Settings!$B$5,COUNTIFS($B$5:B485,B485,$C$5:C485,"&gt;="&amp;(Settings!$B$5-Settings!$B$8+1),$C$5:C485,"&lt;="&amp;Settings!$B$5)=1),1,0)</f>
        <v>0</v>
      </c>
      <c r="M485" s="29" t="n">
        <f aca="false">IF(AND(C485&gt;=Settings!$B$5-Settings!$B$9+1,C485&lt;=Settings!$B$5,COUNTIFS($B$5:B485,B485,$C$5:C485,"&gt;="&amp;(Settings!$B$5-Settings!$B$9+1),$C$5:C485,"&lt;="&amp;Settings!$B$5)=1),1,0)</f>
        <v>0</v>
      </c>
      <c r="N485" s="29" t="n">
        <f aca="false">IF(AND(D485="Feature Use",COUNTIFS($B$5:B485,B485,$D$5:D485,"Feature Use")=1),1,0)</f>
        <v>0</v>
      </c>
    </row>
    <row r="486" customFormat="false" ht="15" hidden="false" customHeight="false" outlineLevel="0" collapsed="false">
      <c r="A486" s="22" t="s">
        <v>793</v>
      </c>
      <c r="B486" s="22" t="s">
        <v>178</v>
      </c>
      <c r="C486" s="31" t="n">
        <v>46283</v>
      </c>
      <c r="D486" s="22" t="s">
        <v>297</v>
      </c>
      <c r="E486" s="22" t="s">
        <v>298</v>
      </c>
      <c r="F486" s="29" t="str">
        <f aca="false">IF(COUNTIF(Referral_Data!$C$5:$C$1000,B486)&gt;0,"Referred",IF(COUNTIF(Referral_Data!$B$5:$B$1000,B486)&gt;0,"Referrer","Organic"))</f>
        <v>Referrer</v>
      </c>
      <c r="G486" s="29" t="n">
        <f aca="false">IF(COUNTIFS($B$5:B486,B486,$C$5:C486,C486)=1,1,0)</f>
        <v>1</v>
      </c>
      <c r="H486" s="29" t="n">
        <f aca="false">IF(AND(G486=1,COUNTIFS($B$5:$B$1635,B486,$C$5:$C$1635,"&lt;"&amp;C486)&gt;0),1,0)</f>
        <v>1</v>
      </c>
      <c r="I486" s="29" t="n">
        <f aca="false">IF(AND(D486="Feature Use",COUNTIFS($B$5:B486,B486,$D$5:D486,"Feature Use",$E$5:E486,E486)=1),1,0)</f>
        <v>0</v>
      </c>
      <c r="J486" s="29" t="n">
        <f aca="false">IF(AND(D486="Feature Use",COUNTIFS($B$5:B486,B486,$D$5:D486,"Feature Use",$E$5:E486,E486)=2),1,0)</f>
        <v>0</v>
      </c>
      <c r="K486" s="29" t="n">
        <f aca="false">IF(COUNTIF($B$5:B486,B486)=1,1,0)</f>
        <v>0</v>
      </c>
      <c r="L486" s="29" t="n">
        <f aca="false">IF(AND(C486&gt;=Settings!$B$5-Settings!$B$8+1,C486&lt;=Settings!$B$5,COUNTIFS($B$5:B486,B486,$C$5:C486,"&gt;="&amp;(Settings!$B$5-Settings!$B$8+1),$C$5:C486,"&lt;="&amp;Settings!$B$5)=1),1,0)</f>
        <v>0</v>
      </c>
      <c r="M486" s="29" t="n">
        <f aca="false">IF(AND(C486&gt;=Settings!$B$5-Settings!$B$9+1,C486&lt;=Settings!$B$5,COUNTIFS($B$5:B486,B486,$C$5:C486,"&gt;="&amp;(Settings!$B$5-Settings!$B$9+1),$C$5:C486,"&lt;="&amp;Settings!$B$5)=1),1,0)</f>
        <v>1</v>
      </c>
      <c r="N486" s="29" t="n">
        <f aca="false">IF(AND(D486="Feature Use",COUNTIFS($B$5:B486,B486,$D$5:D486,"Feature Use")=1),1,0)</f>
        <v>0</v>
      </c>
    </row>
    <row r="487" customFormat="false" ht="15" hidden="false" customHeight="false" outlineLevel="0" collapsed="false">
      <c r="A487" s="22" t="s">
        <v>794</v>
      </c>
      <c r="B487" s="22" t="s">
        <v>178</v>
      </c>
      <c r="C487" s="31" t="n">
        <v>46283</v>
      </c>
      <c r="D487" s="22" t="s">
        <v>300</v>
      </c>
      <c r="E487" s="22" t="s">
        <v>309</v>
      </c>
      <c r="F487" s="29" t="str">
        <f aca="false">IF(COUNTIF(Referral_Data!$C$5:$C$1000,B487)&gt;0,"Referred",IF(COUNTIF(Referral_Data!$B$5:$B$1000,B487)&gt;0,"Referrer","Organic"))</f>
        <v>Referrer</v>
      </c>
      <c r="G487" s="29" t="n">
        <f aca="false">IF(COUNTIFS($B$5:B487,B487,$C$5:C487,C487)=1,1,0)</f>
        <v>0</v>
      </c>
      <c r="H487" s="29" t="n">
        <f aca="false">IF(AND(G487=1,COUNTIFS($B$5:$B$1635,B487,$C$5:$C$1635,"&lt;"&amp;C487)&gt;0),1,0)</f>
        <v>0</v>
      </c>
      <c r="I487" s="29" t="n">
        <f aca="false">IF(AND(D487="Feature Use",COUNTIFS($B$5:B487,B487,$D$5:D487,"Feature Use",$E$5:E487,E487)=1),1,0)</f>
        <v>1</v>
      </c>
      <c r="J487" s="29" t="n">
        <f aca="false">IF(AND(D487="Feature Use",COUNTIFS($B$5:B487,B487,$D$5:D487,"Feature Use",$E$5:E487,E487)=2),1,0)</f>
        <v>0</v>
      </c>
      <c r="K487" s="29" t="n">
        <f aca="false">IF(COUNTIF($B$5:B487,B487)=1,1,0)</f>
        <v>0</v>
      </c>
      <c r="L487" s="29" t="n">
        <f aca="false">IF(AND(C487&gt;=Settings!$B$5-Settings!$B$8+1,C487&lt;=Settings!$B$5,COUNTIFS($B$5:B487,B487,$C$5:C487,"&gt;="&amp;(Settings!$B$5-Settings!$B$8+1),$C$5:C487,"&lt;="&amp;Settings!$B$5)=1),1,0)</f>
        <v>0</v>
      </c>
      <c r="M487" s="29" t="n">
        <f aca="false">IF(AND(C487&gt;=Settings!$B$5-Settings!$B$9+1,C487&lt;=Settings!$B$5,COUNTIFS($B$5:B487,B487,$C$5:C487,"&gt;="&amp;(Settings!$B$5-Settings!$B$9+1),$C$5:C487,"&lt;="&amp;Settings!$B$5)=1),1,0)</f>
        <v>0</v>
      </c>
      <c r="N487" s="29" t="n">
        <f aca="false">IF(AND(D487="Feature Use",COUNTIFS($B$5:B487,B487,$D$5:D487,"Feature Use")=1),1,0)</f>
        <v>0</v>
      </c>
    </row>
    <row r="488" customFormat="false" ht="15" hidden="false" customHeight="false" outlineLevel="0" collapsed="false">
      <c r="A488" s="22" t="s">
        <v>795</v>
      </c>
      <c r="B488" s="22" t="s">
        <v>178</v>
      </c>
      <c r="C488" s="31" t="n">
        <v>46283</v>
      </c>
      <c r="D488" s="22" t="s">
        <v>300</v>
      </c>
      <c r="E488" s="22" t="s">
        <v>311</v>
      </c>
      <c r="F488" s="29" t="str">
        <f aca="false">IF(COUNTIF(Referral_Data!$C$5:$C$1000,B488)&gt;0,"Referred",IF(COUNTIF(Referral_Data!$B$5:$B$1000,B488)&gt;0,"Referrer","Organic"))</f>
        <v>Referrer</v>
      </c>
      <c r="G488" s="29" t="n">
        <f aca="false">IF(COUNTIFS($B$5:B488,B488,$C$5:C488,C488)=1,1,0)</f>
        <v>0</v>
      </c>
      <c r="H488" s="29" t="n">
        <f aca="false">IF(AND(G488=1,COUNTIFS($B$5:$B$1635,B488,$C$5:$C$1635,"&lt;"&amp;C488)&gt;0),1,0)</f>
        <v>0</v>
      </c>
      <c r="I488" s="29" t="n">
        <f aca="false">IF(AND(D488="Feature Use",COUNTIFS($B$5:B488,B488,$D$5:D488,"Feature Use",$E$5:E488,E488)=1),1,0)</f>
        <v>0</v>
      </c>
      <c r="J488" s="29" t="n">
        <f aca="false">IF(AND(D488="Feature Use",COUNTIFS($B$5:B488,B488,$D$5:D488,"Feature Use",$E$5:E488,E488)=2),1,0)</f>
        <v>1</v>
      </c>
      <c r="K488" s="29" t="n">
        <f aca="false">IF(COUNTIF($B$5:B488,B488)=1,1,0)</f>
        <v>0</v>
      </c>
      <c r="L488" s="29" t="n">
        <f aca="false">IF(AND(C488&gt;=Settings!$B$5-Settings!$B$8+1,C488&lt;=Settings!$B$5,COUNTIFS($B$5:B488,B488,$C$5:C488,"&gt;="&amp;(Settings!$B$5-Settings!$B$8+1),$C$5:C488,"&lt;="&amp;Settings!$B$5)=1),1,0)</f>
        <v>0</v>
      </c>
      <c r="M488" s="29" t="n">
        <f aca="false">IF(AND(C488&gt;=Settings!$B$5-Settings!$B$9+1,C488&lt;=Settings!$B$5,COUNTIFS($B$5:B488,B488,$C$5:C488,"&gt;="&amp;(Settings!$B$5-Settings!$B$9+1),$C$5:C488,"&lt;="&amp;Settings!$B$5)=1),1,0)</f>
        <v>0</v>
      </c>
      <c r="N488" s="29" t="n">
        <f aca="false">IF(AND(D488="Feature Use",COUNTIFS($B$5:B488,B488,$D$5:D488,"Feature Use")=1),1,0)</f>
        <v>0</v>
      </c>
    </row>
    <row r="489" customFormat="false" ht="15" hidden="false" customHeight="false" outlineLevel="0" collapsed="false">
      <c r="A489" s="22" t="s">
        <v>796</v>
      </c>
      <c r="B489" s="22" t="s">
        <v>333</v>
      </c>
      <c r="C489" s="31" t="n">
        <v>46284</v>
      </c>
      <c r="D489" s="22" t="s">
        <v>297</v>
      </c>
      <c r="E489" s="22" t="s">
        <v>298</v>
      </c>
      <c r="F489" s="29" t="str">
        <f aca="false">IF(COUNTIF(Referral_Data!$C$5:$C$1000,B489)&gt;0,"Referred",IF(COUNTIF(Referral_Data!$B$5:$B$1000,B489)&gt;0,"Referrer","Organic"))</f>
        <v>Organic</v>
      </c>
      <c r="G489" s="29" t="n">
        <f aca="false">IF(COUNTIFS($B$5:B489,B489,$C$5:C489,C489)=1,1,0)</f>
        <v>1</v>
      </c>
      <c r="H489" s="29" t="n">
        <f aca="false">IF(AND(G489=1,COUNTIFS($B$5:$B$1635,B489,$C$5:$C$1635,"&lt;"&amp;C489)&gt;0),1,0)</f>
        <v>1</v>
      </c>
      <c r="I489" s="29" t="n">
        <f aca="false">IF(AND(D489="Feature Use",COUNTIFS($B$5:B489,B489,$D$5:D489,"Feature Use",$E$5:E489,E489)=1),1,0)</f>
        <v>0</v>
      </c>
      <c r="J489" s="29" t="n">
        <f aca="false">IF(AND(D489="Feature Use",COUNTIFS($B$5:B489,B489,$D$5:D489,"Feature Use",$E$5:E489,E489)=2),1,0)</f>
        <v>0</v>
      </c>
      <c r="K489" s="29" t="n">
        <f aca="false">IF(COUNTIF($B$5:B489,B489)=1,1,0)</f>
        <v>0</v>
      </c>
      <c r="L489" s="29" t="n">
        <f aca="false">IF(AND(C489&gt;=Settings!$B$5-Settings!$B$8+1,C489&lt;=Settings!$B$5,COUNTIFS($B$5:B489,B489,$C$5:C489,"&gt;="&amp;(Settings!$B$5-Settings!$B$8+1),$C$5:C489,"&lt;="&amp;Settings!$B$5)=1),1,0)</f>
        <v>0</v>
      </c>
      <c r="M489" s="29" t="n">
        <f aca="false">IF(AND(C489&gt;=Settings!$B$5-Settings!$B$9+1,C489&lt;=Settings!$B$5,COUNTIFS($B$5:B489,B489,$C$5:C489,"&gt;="&amp;(Settings!$B$5-Settings!$B$9+1),$C$5:C489,"&lt;="&amp;Settings!$B$5)=1),1,0)</f>
        <v>1</v>
      </c>
      <c r="N489" s="29" t="n">
        <f aca="false">IF(AND(D489="Feature Use",COUNTIFS($B$5:B489,B489,$D$5:D489,"Feature Use")=1),1,0)</f>
        <v>0</v>
      </c>
    </row>
    <row r="490" customFormat="false" ht="15" hidden="false" customHeight="false" outlineLevel="0" collapsed="false">
      <c r="A490" s="22" t="s">
        <v>797</v>
      </c>
      <c r="B490" s="22" t="s">
        <v>333</v>
      </c>
      <c r="C490" s="31" t="n">
        <v>46284</v>
      </c>
      <c r="D490" s="22" t="s">
        <v>300</v>
      </c>
      <c r="E490" s="22" t="s">
        <v>319</v>
      </c>
      <c r="F490" s="29" t="str">
        <f aca="false">IF(COUNTIF(Referral_Data!$C$5:$C$1000,B490)&gt;0,"Referred",IF(COUNTIF(Referral_Data!$B$5:$B$1000,B490)&gt;0,"Referrer","Organic"))</f>
        <v>Organic</v>
      </c>
      <c r="G490" s="29" t="n">
        <f aca="false">IF(COUNTIFS($B$5:B490,B490,$C$5:C490,C490)=1,1,0)</f>
        <v>0</v>
      </c>
      <c r="H490" s="29" t="n">
        <f aca="false">IF(AND(G490=1,COUNTIFS($B$5:$B$1635,B490,$C$5:$C$1635,"&lt;"&amp;C490)&gt;0),1,0)</f>
        <v>0</v>
      </c>
      <c r="I490" s="29" t="n">
        <f aca="false">IF(AND(D490="Feature Use",COUNTIFS($B$5:B490,B490,$D$5:D490,"Feature Use",$E$5:E490,E490)=1),1,0)</f>
        <v>0</v>
      </c>
      <c r="J490" s="29" t="n">
        <f aca="false">IF(AND(D490="Feature Use",COUNTIFS($B$5:B490,B490,$D$5:D490,"Feature Use",$E$5:E490,E490)=2),1,0)</f>
        <v>1</v>
      </c>
      <c r="K490" s="29" t="n">
        <f aca="false">IF(COUNTIF($B$5:B490,B490)=1,1,0)</f>
        <v>0</v>
      </c>
      <c r="L490" s="29" t="n">
        <f aca="false">IF(AND(C490&gt;=Settings!$B$5-Settings!$B$8+1,C490&lt;=Settings!$B$5,COUNTIFS($B$5:B490,B490,$C$5:C490,"&gt;="&amp;(Settings!$B$5-Settings!$B$8+1),$C$5:C490,"&lt;="&amp;Settings!$B$5)=1),1,0)</f>
        <v>0</v>
      </c>
      <c r="M490" s="29" t="n">
        <f aca="false">IF(AND(C490&gt;=Settings!$B$5-Settings!$B$9+1,C490&lt;=Settings!$B$5,COUNTIFS($B$5:B490,B490,$C$5:C490,"&gt;="&amp;(Settings!$B$5-Settings!$B$9+1),$C$5:C490,"&lt;="&amp;Settings!$B$5)=1),1,0)</f>
        <v>0</v>
      </c>
      <c r="N490" s="29" t="n">
        <f aca="false">IF(AND(D490="Feature Use",COUNTIFS($B$5:B490,B490,$D$5:D490,"Feature Use")=1),1,0)</f>
        <v>0</v>
      </c>
    </row>
    <row r="491" customFormat="false" ht="15" hidden="false" customHeight="false" outlineLevel="0" collapsed="false">
      <c r="A491" s="22" t="s">
        <v>798</v>
      </c>
      <c r="B491" s="22" t="s">
        <v>168</v>
      </c>
      <c r="C491" s="31" t="n">
        <v>46284</v>
      </c>
      <c r="D491" s="22" t="s">
        <v>297</v>
      </c>
      <c r="E491" s="22" t="s">
        <v>298</v>
      </c>
      <c r="F491" s="29" t="str">
        <f aca="false">IF(COUNTIF(Referral_Data!$C$5:$C$1000,B491)&gt;0,"Referred",IF(COUNTIF(Referral_Data!$B$5:$B$1000,B491)&gt;0,"Referrer","Organic"))</f>
        <v>Referred</v>
      </c>
      <c r="G491" s="29" t="n">
        <f aca="false">IF(COUNTIFS($B$5:B491,B491,$C$5:C491,C491)=1,1,0)</f>
        <v>1</v>
      </c>
      <c r="H491" s="29" t="n">
        <f aca="false">IF(AND(G491=1,COUNTIFS($B$5:$B$1635,B491,$C$5:$C$1635,"&lt;"&amp;C491)&gt;0),1,0)</f>
        <v>1</v>
      </c>
      <c r="I491" s="29" t="n">
        <f aca="false">IF(AND(D491="Feature Use",COUNTIFS($B$5:B491,B491,$D$5:D491,"Feature Use",$E$5:E491,E491)=1),1,0)</f>
        <v>0</v>
      </c>
      <c r="J491" s="29" t="n">
        <f aca="false">IF(AND(D491="Feature Use",COUNTIFS($B$5:B491,B491,$D$5:D491,"Feature Use",$E$5:E491,E491)=2),1,0)</f>
        <v>0</v>
      </c>
      <c r="K491" s="29" t="n">
        <f aca="false">IF(COUNTIF($B$5:B491,B491)=1,1,0)</f>
        <v>0</v>
      </c>
      <c r="L491" s="29" t="n">
        <f aca="false">IF(AND(C491&gt;=Settings!$B$5-Settings!$B$8+1,C491&lt;=Settings!$B$5,COUNTIFS($B$5:B491,B491,$C$5:C491,"&gt;="&amp;(Settings!$B$5-Settings!$B$8+1),$C$5:C491,"&lt;="&amp;Settings!$B$5)=1),1,0)</f>
        <v>0</v>
      </c>
      <c r="M491" s="29" t="n">
        <f aca="false">IF(AND(C491&gt;=Settings!$B$5-Settings!$B$9+1,C491&lt;=Settings!$B$5,COUNTIFS($B$5:B491,B491,$C$5:C491,"&gt;="&amp;(Settings!$B$5-Settings!$B$9+1),$C$5:C491,"&lt;="&amp;Settings!$B$5)=1),1,0)</f>
        <v>0</v>
      </c>
      <c r="N491" s="29" t="n">
        <f aca="false">IF(AND(D491="Feature Use",COUNTIFS($B$5:B491,B491,$D$5:D491,"Feature Use")=1),1,0)</f>
        <v>0</v>
      </c>
    </row>
    <row r="492" customFormat="false" ht="15" hidden="false" customHeight="false" outlineLevel="0" collapsed="false">
      <c r="A492" s="22" t="s">
        <v>799</v>
      </c>
      <c r="B492" s="22" t="s">
        <v>168</v>
      </c>
      <c r="C492" s="31" t="n">
        <v>46284</v>
      </c>
      <c r="D492" s="22" t="s">
        <v>300</v>
      </c>
      <c r="E492" s="22" t="s">
        <v>301</v>
      </c>
      <c r="F492" s="29" t="str">
        <f aca="false">IF(COUNTIF(Referral_Data!$C$5:$C$1000,B492)&gt;0,"Referred",IF(COUNTIF(Referral_Data!$B$5:$B$1000,B492)&gt;0,"Referrer","Organic"))</f>
        <v>Referred</v>
      </c>
      <c r="G492" s="29" t="n">
        <f aca="false">IF(COUNTIFS($B$5:B492,B492,$C$5:C492,C492)=1,1,0)</f>
        <v>0</v>
      </c>
      <c r="H492" s="29" t="n">
        <f aca="false">IF(AND(G492=1,COUNTIFS($B$5:$B$1635,B492,$C$5:$C$1635,"&lt;"&amp;C492)&gt;0),1,0)</f>
        <v>0</v>
      </c>
      <c r="I492" s="29" t="n">
        <f aca="false">IF(AND(D492="Feature Use",COUNTIFS($B$5:B492,B492,$D$5:D492,"Feature Use",$E$5:E492,E492)=1),1,0)</f>
        <v>0</v>
      </c>
      <c r="J492" s="29" t="n">
        <f aca="false">IF(AND(D492="Feature Use",COUNTIFS($B$5:B492,B492,$D$5:D492,"Feature Use",$E$5:E492,E492)=2),1,0)</f>
        <v>1</v>
      </c>
      <c r="K492" s="29" t="n">
        <f aca="false">IF(COUNTIF($B$5:B492,B492)=1,1,0)</f>
        <v>0</v>
      </c>
      <c r="L492" s="29" t="n">
        <f aca="false">IF(AND(C492&gt;=Settings!$B$5-Settings!$B$8+1,C492&lt;=Settings!$B$5,COUNTIFS($B$5:B492,B492,$C$5:C492,"&gt;="&amp;(Settings!$B$5-Settings!$B$8+1),$C$5:C492,"&lt;="&amp;Settings!$B$5)=1),1,0)</f>
        <v>0</v>
      </c>
      <c r="M492" s="29" t="n">
        <f aca="false">IF(AND(C492&gt;=Settings!$B$5-Settings!$B$9+1,C492&lt;=Settings!$B$5,COUNTIFS($B$5:B492,B492,$C$5:C492,"&gt;="&amp;(Settings!$B$5-Settings!$B$9+1),$C$5:C492,"&lt;="&amp;Settings!$B$5)=1),1,0)</f>
        <v>0</v>
      </c>
      <c r="N492" s="29" t="n">
        <f aca="false">IF(AND(D492="Feature Use",COUNTIFS($B$5:B492,B492,$D$5:D492,"Feature Use")=1),1,0)</f>
        <v>0</v>
      </c>
    </row>
    <row r="493" customFormat="false" ht="15" hidden="false" customHeight="false" outlineLevel="0" collapsed="false">
      <c r="A493" s="22" t="s">
        <v>800</v>
      </c>
      <c r="B493" s="22" t="s">
        <v>181</v>
      </c>
      <c r="C493" s="31" t="n">
        <v>46284</v>
      </c>
      <c r="D493" s="22" t="s">
        <v>297</v>
      </c>
      <c r="E493" s="22" t="s">
        <v>298</v>
      </c>
      <c r="F493" s="29" t="str">
        <f aca="false">IF(COUNTIF(Referral_Data!$C$5:$C$1000,B493)&gt;0,"Referred",IF(COUNTIF(Referral_Data!$B$5:$B$1000,B493)&gt;0,"Referrer","Organic"))</f>
        <v>Referred</v>
      </c>
      <c r="G493" s="29" t="n">
        <f aca="false">IF(COUNTIFS($B$5:B493,B493,$C$5:C493,C493)=1,1,0)</f>
        <v>1</v>
      </c>
      <c r="H493" s="29" t="n">
        <f aca="false">IF(AND(G493=1,COUNTIFS($B$5:$B$1635,B493,$C$5:$C$1635,"&lt;"&amp;C493)&gt;0),1,0)</f>
        <v>1</v>
      </c>
      <c r="I493" s="29" t="n">
        <f aca="false">IF(AND(D493="Feature Use",COUNTIFS($B$5:B493,B493,$D$5:D493,"Feature Use",$E$5:E493,E493)=1),1,0)</f>
        <v>0</v>
      </c>
      <c r="J493" s="29" t="n">
        <f aca="false">IF(AND(D493="Feature Use",COUNTIFS($B$5:B493,B493,$D$5:D493,"Feature Use",$E$5:E493,E493)=2),1,0)</f>
        <v>0</v>
      </c>
      <c r="K493" s="29" t="n">
        <f aca="false">IF(COUNTIF($B$5:B493,B493)=1,1,0)</f>
        <v>0</v>
      </c>
      <c r="L493" s="29" t="n">
        <f aca="false">IF(AND(C493&gt;=Settings!$B$5-Settings!$B$8+1,C493&lt;=Settings!$B$5,COUNTIFS($B$5:B493,B493,$C$5:C493,"&gt;="&amp;(Settings!$B$5-Settings!$B$8+1),$C$5:C493,"&lt;="&amp;Settings!$B$5)=1),1,0)</f>
        <v>0</v>
      </c>
      <c r="M493" s="29" t="n">
        <f aca="false">IF(AND(C493&gt;=Settings!$B$5-Settings!$B$9+1,C493&lt;=Settings!$B$5,COUNTIFS($B$5:B493,B493,$C$5:C493,"&gt;="&amp;(Settings!$B$5-Settings!$B$9+1),$C$5:C493,"&lt;="&amp;Settings!$B$5)=1),1,0)</f>
        <v>0</v>
      </c>
      <c r="N493" s="29" t="n">
        <f aca="false">IF(AND(D493="Feature Use",COUNTIFS($B$5:B493,B493,$D$5:D493,"Feature Use")=1),1,0)</f>
        <v>0</v>
      </c>
    </row>
    <row r="494" customFormat="false" ht="15" hidden="false" customHeight="false" outlineLevel="0" collapsed="false">
      <c r="A494" s="22" t="s">
        <v>801</v>
      </c>
      <c r="B494" s="22" t="s">
        <v>181</v>
      </c>
      <c r="C494" s="31" t="n">
        <v>46284</v>
      </c>
      <c r="D494" s="22" t="s">
        <v>300</v>
      </c>
      <c r="E494" s="22" t="s">
        <v>305</v>
      </c>
      <c r="F494" s="29" t="str">
        <f aca="false">IF(COUNTIF(Referral_Data!$C$5:$C$1000,B494)&gt;0,"Referred",IF(COUNTIF(Referral_Data!$B$5:$B$1000,B494)&gt;0,"Referrer","Organic"))</f>
        <v>Referred</v>
      </c>
      <c r="G494" s="29" t="n">
        <f aca="false">IF(COUNTIFS($B$5:B494,B494,$C$5:C494,C494)=1,1,0)</f>
        <v>0</v>
      </c>
      <c r="H494" s="29" t="n">
        <f aca="false">IF(AND(G494=1,COUNTIFS($B$5:$B$1635,B494,$C$5:$C$1635,"&lt;"&amp;C494)&gt;0),1,0)</f>
        <v>0</v>
      </c>
      <c r="I494" s="29" t="n">
        <f aca="false">IF(AND(D494="Feature Use",COUNTIFS($B$5:B494,B494,$D$5:D494,"Feature Use",$E$5:E494,E494)=1),1,0)</f>
        <v>0</v>
      </c>
      <c r="J494" s="29" t="n">
        <f aca="false">IF(AND(D494="Feature Use",COUNTIFS($B$5:B494,B494,$D$5:D494,"Feature Use",$E$5:E494,E494)=2),1,0)</f>
        <v>0</v>
      </c>
      <c r="K494" s="29" t="n">
        <f aca="false">IF(COUNTIF($B$5:B494,B494)=1,1,0)</f>
        <v>0</v>
      </c>
      <c r="L494" s="29" t="n">
        <f aca="false">IF(AND(C494&gt;=Settings!$B$5-Settings!$B$8+1,C494&lt;=Settings!$B$5,COUNTIFS($B$5:B494,B494,$C$5:C494,"&gt;="&amp;(Settings!$B$5-Settings!$B$8+1),$C$5:C494,"&lt;="&amp;Settings!$B$5)=1),1,0)</f>
        <v>0</v>
      </c>
      <c r="M494" s="29" t="n">
        <f aca="false">IF(AND(C494&gt;=Settings!$B$5-Settings!$B$9+1,C494&lt;=Settings!$B$5,COUNTIFS($B$5:B494,B494,$C$5:C494,"&gt;="&amp;(Settings!$B$5-Settings!$B$9+1),$C$5:C494,"&lt;="&amp;Settings!$B$5)=1),1,0)</f>
        <v>0</v>
      </c>
      <c r="N494" s="29" t="n">
        <f aca="false">IF(AND(D494="Feature Use",COUNTIFS($B$5:B494,B494,$D$5:D494,"Feature Use")=1),1,0)</f>
        <v>0</v>
      </c>
    </row>
    <row r="495" customFormat="false" ht="15" hidden="false" customHeight="false" outlineLevel="0" collapsed="false">
      <c r="A495" s="22" t="s">
        <v>802</v>
      </c>
      <c r="B495" s="22" t="s">
        <v>181</v>
      </c>
      <c r="C495" s="31" t="n">
        <v>46284</v>
      </c>
      <c r="D495" s="22" t="s">
        <v>308</v>
      </c>
      <c r="E495" s="22" t="s">
        <v>305</v>
      </c>
      <c r="F495" s="29" t="str">
        <f aca="false">IF(COUNTIF(Referral_Data!$C$5:$C$1000,B495)&gt;0,"Referred",IF(COUNTIF(Referral_Data!$B$5:$B$1000,B495)&gt;0,"Referrer","Organic"))</f>
        <v>Referred</v>
      </c>
      <c r="G495" s="29" t="n">
        <f aca="false">IF(COUNTIFS($B$5:B495,B495,$C$5:C495,C495)=1,1,0)</f>
        <v>0</v>
      </c>
      <c r="H495" s="29" t="n">
        <f aca="false">IF(AND(G495=1,COUNTIFS($B$5:$B$1635,B495,$C$5:$C$1635,"&lt;"&amp;C495)&gt;0),1,0)</f>
        <v>0</v>
      </c>
      <c r="I495" s="29" t="n">
        <f aca="false">IF(AND(D495="Feature Use",COUNTIFS($B$5:B495,B495,$D$5:D495,"Feature Use",$E$5:E495,E495)=1),1,0)</f>
        <v>0</v>
      </c>
      <c r="J495" s="29" t="n">
        <f aca="false">IF(AND(D495="Feature Use",COUNTIFS($B$5:B495,B495,$D$5:D495,"Feature Use",$E$5:E495,E495)=2),1,0)</f>
        <v>0</v>
      </c>
      <c r="K495" s="29" t="n">
        <f aca="false">IF(COUNTIF($B$5:B495,B495)=1,1,0)</f>
        <v>0</v>
      </c>
      <c r="L495" s="29" t="n">
        <f aca="false">IF(AND(C495&gt;=Settings!$B$5-Settings!$B$8+1,C495&lt;=Settings!$B$5,COUNTIFS($B$5:B495,B495,$C$5:C495,"&gt;="&amp;(Settings!$B$5-Settings!$B$8+1),$C$5:C495,"&lt;="&amp;Settings!$B$5)=1),1,0)</f>
        <v>0</v>
      </c>
      <c r="M495" s="29" t="n">
        <f aca="false">IF(AND(C495&gt;=Settings!$B$5-Settings!$B$9+1,C495&lt;=Settings!$B$5,COUNTIFS($B$5:B495,B495,$C$5:C495,"&gt;="&amp;(Settings!$B$5-Settings!$B$9+1),$C$5:C495,"&lt;="&amp;Settings!$B$5)=1),1,0)</f>
        <v>0</v>
      </c>
      <c r="N495" s="29" t="n">
        <f aca="false">IF(AND(D495="Feature Use",COUNTIFS($B$5:B495,B495,$D$5:D495,"Feature Use")=1),1,0)</f>
        <v>0</v>
      </c>
    </row>
    <row r="496" customFormat="false" ht="15" hidden="false" customHeight="false" outlineLevel="0" collapsed="false">
      <c r="A496" s="22" t="s">
        <v>803</v>
      </c>
      <c r="B496" s="22" t="s">
        <v>181</v>
      </c>
      <c r="C496" s="31" t="n">
        <v>46284</v>
      </c>
      <c r="D496" s="22" t="s">
        <v>308</v>
      </c>
      <c r="E496" s="22" t="s">
        <v>309</v>
      </c>
      <c r="F496" s="29" t="str">
        <f aca="false">IF(COUNTIF(Referral_Data!$C$5:$C$1000,B496)&gt;0,"Referred",IF(COUNTIF(Referral_Data!$B$5:$B$1000,B496)&gt;0,"Referrer","Organic"))</f>
        <v>Referred</v>
      </c>
      <c r="G496" s="29" t="n">
        <f aca="false">IF(COUNTIFS($B$5:B496,B496,$C$5:C496,C496)=1,1,0)</f>
        <v>0</v>
      </c>
      <c r="H496" s="29" t="n">
        <f aca="false">IF(AND(G496=1,COUNTIFS($B$5:$B$1635,B496,$C$5:$C$1635,"&lt;"&amp;C496)&gt;0),1,0)</f>
        <v>0</v>
      </c>
      <c r="I496" s="29" t="n">
        <f aca="false">IF(AND(D496="Feature Use",COUNTIFS($B$5:B496,B496,$D$5:D496,"Feature Use",$E$5:E496,E496)=1),1,0)</f>
        <v>0</v>
      </c>
      <c r="J496" s="29" t="n">
        <f aca="false">IF(AND(D496="Feature Use",COUNTIFS($B$5:B496,B496,$D$5:D496,"Feature Use",$E$5:E496,E496)=2),1,0)</f>
        <v>0</v>
      </c>
      <c r="K496" s="29" t="n">
        <f aca="false">IF(COUNTIF($B$5:B496,B496)=1,1,0)</f>
        <v>0</v>
      </c>
      <c r="L496" s="29" t="n">
        <f aca="false">IF(AND(C496&gt;=Settings!$B$5-Settings!$B$8+1,C496&lt;=Settings!$B$5,COUNTIFS($B$5:B496,B496,$C$5:C496,"&gt;="&amp;(Settings!$B$5-Settings!$B$8+1),$C$5:C496,"&lt;="&amp;Settings!$B$5)=1),1,0)</f>
        <v>0</v>
      </c>
      <c r="M496" s="29" t="n">
        <f aca="false">IF(AND(C496&gt;=Settings!$B$5-Settings!$B$9+1,C496&lt;=Settings!$B$5,COUNTIFS($B$5:B496,B496,$C$5:C496,"&gt;="&amp;(Settings!$B$5-Settings!$B$9+1),$C$5:C496,"&lt;="&amp;Settings!$B$5)=1),1,0)</f>
        <v>0</v>
      </c>
      <c r="N496" s="29" t="n">
        <f aca="false">IF(AND(D496="Feature Use",COUNTIFS($B$5:B496,B496,$D$5:D496,"Feature Use")=1),1,0)</f>
        <v>0</v>
      </c>
    </row>
    <row r="497" customFormat="false" ht="15" hidden="false" customHeight="false" outlineLevel="0" collapsed="false">
      <c r="A497" s="22" t="s">
        <v>804</v>
      </c>
      <c r="B497" s="22" t="s">
        <v>184</v>
      </c>
      <c r="C497" s="31" t="n">
        <v>46284</v>
      </c>
      <c r="D497" s="22" t="s">
        <v>297</v>
      </c>
      <c r="E497" s="22" t="s">
        <v>298</v>
      </c>
      <c r="F497" s="29" t="str">
        <f aca="false">IF(COUNTIF(Referral_Data!$C$5:$C$1000,B497)&gt;0,"Referred",IF(COUNTIF(Referral_Data!$B$5:$B$1000,B497)&gt;0,"Referrer","Organic"))</f>
        <v>Referred</v>
      </c>
      <c r="G497" s="29" t="n">
        <f aca="false">IF(COUNTIFS($B$5:B497,B497,$C$5:C497,C497)=1,1,0)</f>
        <v>1</v>
      </c>
      <c r="H497" s="29" t="n">
        <f aca="false">IF(AND(G497=1,COUNTIFS($B$5:$B$1635,B497,$C$5:$C$1635,"&lt;"&amp;C497)&gt;0),1,0)</f>
        <v>1</v>
      </c>
      <c r="I497" s="29" t="n">
        <f aca="false">IF(AND(D497="Feature Use",COUNTIFS($B$5:B497,B497,$D$5:D497,"Feature Use",$E$5:E497,E497)=1),1,0)</f>
        <v>0</v>
      </c>
      <c r="J497" s="29" t="n">
        <f aca="false">IF(AND(D497="Feature Use",COUNTIFS($B$5:B497,B497,$D$5:D497,"Feature Use",$E$5:E497,E497)=2),1,0)</f>
        <v>0</v>
      </c>
      <c r="K497" s="29" t="n">
        <f aca="false">IF(COUNTIF($B$5:B497,B497)=1,1,0)</f>
        <v>0</v>
      </c>
      <c r="L497" s="29" t="n">
        <f aca="false">IF(AND(C497&gt;=Settings!$B$5-Settings!$B$8+1,C497&lt;=Settings!$B$5,COUNTIFS($B$5:B497,B497,$C$5:C497,"&gt;="&amp;(Settings!$B$5-Settings!$B$8+1),$C$5:C497,"&lt;="&amp;Settings!$B$5)=1),1,0)</f>
        <v>0</v>
      </c>
      <c r="M497" s="29" t="n">
        <f aca="false">IF(AND(C497&gt;=Settings!$B$5-Settings!$B$9+1,C497&lt;=Settings!$B$5,COUNTIFS($B$5:B497,B497,$C$5:C497,"&gt;="&amp;(Settings!$B$5-Settings!$B$9+1),$C$5:C497,"&lt;="&amp;Settings!$B$5)=1),1,0)</f>
        <v>0</v>
      </c>
      <c r="N497" s="29" t="n">
        <f aca="false">IF(AND(D497="Feature Use",COUNTIFS($B$5:B497,B497,$D$5:D497,"Feature Use")=1),1,0)</f>
        <v>0</v>
      </c>
    </row>
    <row r="498" customFormat="false" ht="15" hidden="false" customHeight="false" outlineLevel="0" collapsed="false">
      <c r="A498" s="22" t="s">
        <v>805</v>
      </c>
      <c r="B498" s="22" t="s">
        <v>184</v>
      </c>
      <c r="C498" s="31" t="n">
        <v>46284</v>
      </c>
      <c r="D498" s="22" t="s">
        <v>300</v>
      </c>
      <c r="E498" s="22" t="s">
        <v>319</v>
      </c>
      <c r="F498" s="29" t="str">
        <f aca="false">IF(COUNTIF(Referral_Data!$C$5:$C$1000,B498)&gt;0,"Referred",IF(COUNTIF(Referral_Data!$B$5:$B$1000,B498)&gt;0,"Referrer","Organic"))</f>
        <v>Referred</v>
      </c>
      <c r="G498" s="29" t="n">
        <f aca="false">IF(COUNTIFS($B$5:B498,B498,$C$5:C498,C498)=1,1,0)</f>
        <v>0</v>
      </c>
      <c r="H498" s="29" t="n">
        <f aca="false">IF(AND(G498=1,COUNTIFS($B$5:$B$1635,B498,$C$5:$C$1635,"&lt;"&amp;C498)&gt;0),1,0)</f>
        <v>0</v>
      </c>
      <c r="I498" s="29" t="n">
        <f aca="false">IF(AND(D498="Feature Use",COUNTIFS($B$5:B498,B498,$D$5:D498,"Feature Use",$E$5:E498,E498)=1),1,0)</f>
        <v>0</v>
      </c>
      <c r="J498" s="29" t="n">
        <f aca="false">IF(AND(D498="Feature Use",COUNTIFS($B$5:B498,B498,$D$5:D498,"Feature Use",$E$5:E498,E498)=2),1,0)</f>
        <v>0</v>
      </c>
      <c r="K498" s="29" t="n">
        <f aca="false">IF(COUNTIF($B$5:B498,B498)=1,1,0)</f>
        <v>0</v>
      </c>
      <c r="L498" s="29" t="n">
        <f aca="false">IF(AND(C498&gt;=Settings!$B$5-Settings!$B$8+1,C498&lt;=Settings!$B$5,COUNTIFS($B$5:B498,B498,$C$5:C498,"&gt;="&amp;(Settings!$B$5-Settings!$B$8+1),$C$5:C498,"&lt;="&amp;Settings!$B$5)=1),1,0)</f>
        <v>0</v>
      </c>
      <c r="M498" s="29" t="n">
        <f aca="false">IF(AND(C498&gt;=Settings!$B$5-Settings!$B$9+1,C498&lt;=Settings!$B$5,COUNTIFS($B$5:B498,B498,$C$5:C498,"&gt;="&amp;(Settings!$B$5-Settings!$B$9+1),$C$5:C498,"&lt;="&amp;Settings!$B$5)=1),1,0)</f>
        <v>0</v>
      </c>
      <c r="N498" s="29" t="n">
        <f aca="false">IF(AND(D498="Feature Use",COUNTIFS($B$5:B498,B498,$D$5:D498,"Feature Use")=1),1,0)</f>
        <v>0</v>
      </c>
    </row>
    <row r="499" customFormat="false" ht="15" hidden="false" customHeight="false" outlineLevel="0" collapsed="false">
      <c r="A499" s="22" t="s">
        <v>806</v>
      </c>
      <c r="B499" s="22" t="s">
        <v>184</v>
      </c>
      <c r="C499" s="31" t="n">
        <v>46284</v>
      </c>
      <c r="D499" s="22" t="s">
        <v>300</v>
      </c>
      <c r="E499" s="22" t="s">
        <v>311</v>
      </c>
      <c r="F499" s="29" t="str">
        <f aca="false">IF(COUNTIF(Referral_Data!$C$5:$C$1000,B499)&gt;0,"Referred",IF(COUNTIF(Referral_Data!$B$5:$B$1000,B499)&gt;0,"Referrer","Organic"))</f>
        <v>Referred</v>
      </c>
      <c r="G499" s="29" t="n">
        <f aca="false">IF(COUNTIFS($B$5:B499,B499,$C$5:C499,C499)=1,1,0)</f>
        <v>0</v>
      </c>
      <c r="H499" s="29" t="n">
        <f aca="false">IF(AND(G499=1,COUNTIFS($B$5:$B$1635,B499,$C$5:$C$1635,"&lt;"&amp;C499)&gt;0),1,0)</f>
        <v>0</v>
      </c>
      <c r="I499" s="29" t="n">
        <f aca="false">IF(AND(D499="Feature Use",COUNTIFS($B$5:B499,B499,$D$5:D499,"Feature Use",$E$5:E499,E499)=1),1,0)</f>
        <v>0</v>
      </c>
      <c r="J499" s="29" t="n">
        <f aca="false">IF(AND(D499="Feature Use",COUNTIFS($B$5:B499,B499,$D$5:D499,"Feature Use",$E$5:E499,E499)=2),1,0)</f>
        <v>1</v>
      </c>
      <c r="K499" s="29" t="n">
        <f aca="false">IF(COUNTIF($B$5:B499,B499)=1,1,0)</f>
        <v>0</v>
      </c>
      <c r="L499" s="29" t="n">
        <f aca="false">IF(AND(C499&gt;=Settings!$B$5-Settings!$B$8+1,C499&lt;=Settings!$B$5,COUNTIFS($B$5:B499,B499,$C$5:C499,"&gt;="&amp;(Settings!$B$5-Settings!$B$8+1),$C$5:C499,"&lt;="&amp;Settings!$B$5)=1),1,0)</f>
        <v>0</v>
      </c>
      <c r="M499" s="29" t="n">
        <f aca="false">IF(AND(C499&gt;=Settings!$B$5-Settings!$B$9+1,C499&lt;=Settings!$B$5,COUNTIFS($B$5:B499,B499,$C$5:C499,"&gt;="&amp;(Settings!$B$5-Settings!$B$9+1),$C$5:C499,"&lt;="&amp;Settings!$B$5)=1),1,0)</f>
        <v>0</v>
      </c>
      <c r="N499" s="29" t="n">
        <f aca="false">IF(AND(D499="Feature Use",COUNTIFS($B$5:B499,B499,$D$5:D499,"Feature Use")=1),1,0)</f>
        <v>0</v>
      </c>
    </row>
    <row r="500" customFormat="false" ht="15" hidden="false" customHeight="false" outlineLevel="0" collapsed="false">
      <c r="A500" s="22" t="s">
        <v>807</v>
      </c>
      <c r="B500" s="22" t="s">
        <v>184</v>
      </c>
      <c r="C500" s="31" t="n">
        <v>46284</v>
      </c>
      <c r="D500" s="22" t="s">
        <v>308</v>
      </c>
      <c r="E500" s="22" t="s">
        <v>305</v>
      </c>
      <c r="F500" s="29" t="str">
        <f aca="false">IF(COUNTIF(Referral_Data!$C$5:$C$1000,B500)&gt;0,"Referred",IF(COUNTIF(Referral_Data!$B$5:$B$1000,B500)&gt;0,"Referrer","Organic"))</f>
        <v>Referred</v>
      </c>
      <c r="G500" s="29" t="n">
        <f aca="false">IF(COUNTIFS($B$5:B500,B500,$C$5:C500,C500)=1,1,0)</f>
        <v>0</v>
      </c>
      <c r="H500" s="29" t="n">
        <f aca="false">IF(AND(G500=1,COUNTIFS($B$5:$B$1635,B500,$C$5:$C$1635,"&lt;"&amp;C500)&gt;0),1,0)</f>
        <v>0</v>
      </c>
      <c r="I500" s="29" t="n">
        <f aca="false">IF(AND(D500="Feature Use",COUNTIFS($B$5:B500,B500,$D$5:D500,"Feature Use",$E$5:E500,E500)=1),1,0)</f>
        <v>0</v>
      </c>
      <c r="J500" s="29" t="n">
        <f aca="false">IF(AND(D500="Feature Use",COUNTIFS($B$5:B500,B500,$D$5:D500,"Feature Use",$E$5:E500,E500)=2),1,0)</f>
        <v>0</v>
      </c>
      <c r="K500" s="29" t="n">
        <f aca="false">IF(COUNTIF($B$5:B500,B500)=1,1,0)</f>
        <v>0</v>
      </c>
      <c r="L500" s="29" t="n">
        <f aca="false">IF(AND(C500&gt;=Settings!$B$5-Settings!$B$8+1,C500&lt;=Settings!$B$5,COUNTIFS($B$5:B500,B500,$C$5:C500,"&gt;="&amp;(Settings!$B$5-Settings!$B$8+1),$C$5:C500,"&lt;="&amp;Settings!$B$5)=1),1,0)</f>
        <v>0</v>
      </c>
      <c r="M500" s="29" t="n">
        <f aca="false">IF(AND(C500&gt;=Settings!$B$5-Settings!$B$9+1,C500&lt;=Settings!$B$5,COUNTIFS($B$5:B500,B500,$C$5:C500,"&gt;="&amp;(Settings!$B$5-Settings!$B$9+1),$C$5:C500,"&lt;="&amp;Settings!$B$5)=1),1,0)</f>
        <v>0</v>
      </c>
      <c r="N500" s="29" t="n">
        <f aca="false">IF(AND(D500="Feature Use",COUNTIFS($B$5:B500,B500,$D$5:D500,"Feature Use")=1),1,0)</f>
        <v>0</v>
      </c>
    </row>
    <row r="501" customFormat="false" ht="15" hidden="false" customHeight="false" outlineLevel="0" collapsed="false">
      <c r="A501" s="22" t="s">
        <v>808</v>
      </c>
      <c r="B501" s="22" t="s">
        <v>184</v>
      </c>
      <c r="C501" s="31" t="n">
        <v>46284</v>
      </c>
      <c r="D501" s="22" t="s">
        <v>308</v>
      </c>
      <c r="E501" s="22" t="s">
        <v>311</v>
      </c>
      <c r="F501" s="29" t="str">
        <f aca="false">IF(COUNTIF(Referral_Data!$C$5:$C$1000,B501)&gt;0,"Referred",IF(COUNTIF(Referral_Data!$B$5:$B$1000,B501)&gt;0,"Referrer","Organic"))</f>
        <v>Referred</v>
      </c>
      <c r="G501" s="29" t="n">
        <f aca="false">IF(COUNTIFS($B$5:B501,B501,$C$5:C501,C501)=1,1,0)</f>
        <v>0</v>
      </c>
      <c r="H501" s="29" t="n">
        <f aca="false">IF(AND(G501=1,COUNTIFS($B$5:$B$1635,B501,$C$5:$C$1635,"&lt;"&amp;C501)&gt;0),1,0)</f>
        <v>0</v>
      </c>
      <c r="I501" s="29" t="n">
        <f aca="false">IF(AND(D501="Feature Use",COUNTIFS($B$5:B501,B501,$D$5:D501,"Feature Use",$E$5:E501,E501)=1),1,0)</f>
        <v>0</v>
      </c>
      <c r="J501" s="29" t="n">
        <f aca="false">IF(AND(D501="Feature Use",COUNTIFS($B$5:B501,B501,$D$5:D501,"Feature Use",$E$5:E501,E501)=2),1,0)</f>
        <v>0</v>
      </c>
      <c r="K501" s="29" t="n">
        <f aca="false">IF(COUNTIF($B$5:B501,B501)=1,1,0)</f>
        <v>0</v>
      </c>
      <c r="L501" s="29" t="n">
        <f aca="false">IF(AND(C501&gt;=Settings!$B$5-Settings!$B$8+1,C501&lt;=Settings!$B$5,COUNTIFS($B$5:B501,B501,$C$5:C501,"&gt;="&amp;(Settings!$B$5-Settings!$B$8+1),$C$5:C501,"&lt;="&amp;Settings!$B$5)=1),1,0)</f>
        <v>0</v>
      </c>
      <c r="M501" s="29" t="n">
        <f aca="false">IF(AND(C501&gt;=Settings!$B$5-Settings!$B$9+1,C501&lt;=Settings!$B$5,COUNTIFS($B$5:B501,B501,$C$5:C501,"&gt;="&amp;(Settings!$B$5-Settings!$B$9+1),$C$5:C501,"&lt;="&amp;Settings!$B$5)=1),1,0)</f>
        <v>0</v>
      </c>
      <c r="N501" s="29" t="n">
        <f aca="false">IF(AND(D501="Feature Use",COUNTIFS($B$5:B501,B501,$D$5:D501,"Feature Use")=1),1,0)</f>
        <v>0</v>
      </c>
    </row>
    <row r="502" customFormat="false" ht="15" hidden="false" customHeight="false" outlineLevel="0" collapsed="false">
      <c r="A502" s="22" t="s">
        <v>809</v>
      </c>
      <c r="B502" s="22" t="s">
        <v>241</v>
      </c>
      <c r="C502" s="31" t="n">
        <v>46284</v>
      </c>
      <c r="D502" s="22" t="s">
        <v>297</v>
      </c>
      <c r="E502" s="22" t="s">
        <v>298</v>
      </c>
      <c r="F502" s="29" t="str">
        <f aca="false">IF(COUNTIF(Referral_Data!$C$5:$C$1000,B502)&gt;0,"Referred",IF(COUNTIF(Referral_Data!$B$5:$B$1000,B502)&gt;0,"Referrer","Organic"))</f>
        <v>Referred</v>
      </c>
      <c r="G502" s="29" t="n">
        <f aca="false">IF(COUNTIFS($B$5:B502,B502,$C$5:C502,C502)=1,1,0)</f>
        <v>1</v>
      </c>
      <c r="H502" s="29" t="n">
        <f aca="false">IF(AND(G502=1,COUNTIFS($B$5:$B$1635,B502,$C$5:$C$1635,"&lt;"&amp;C502)&gt;0),1,0)</f>
        <v>1</v>
      </c>
      <c r="I502" s="29" t="n">
        <f aca="false">IF(AND(D502="Feature Use",COUNTIFS($B$5:B502,B502,$D$5:D502,"Feature Use",$E$5:E502,E502)=1),1,0)</f>
        <v>0</v>
      </c>
      <c r="J502" s="29" t="n">
        <f aca="false">IF(AND(D502="Feature Use",COUNTIFS($B$5:B502,B502,$D$5:D502,"Feature Use",$E$5:E502,E502)=2),1,0)</f>
        <v>0</v>
      </c>
      <c r="K502" s="29" t="n">
        <f aca="false">IF(COUNTIF($B$5:B502,B502)=1,1,0)</f>
        <v>0</v>
      </c>
      <c r="L502" s="29" t="n">
        <f aca="false">IF(AND(C502&gt;=Settings!$B$5-Settings!$B$8+1,C502&lt;=Settings!$B$5,COUNTIFS($B$5:B502,B502,$C$5:C502,"&gt;="&amp;(Settings!$B$5-Settings!$B$8+1),$C$5:C502,"&lt;="&amp;Settings!$B$5)=1),1,0)</f>
        <v>0</v>
      </c>
      <c r="M502" s="29" t="n">
        <f aca="false">IF(AND(C502&gt;=Settings!$B$5-Settings!$B$9+1,C502&lt;=Settings!$B$5,COUNTIFS($B$5:B502,B502,$C$5:C502,"&gt;="&amp;(Settings!$B$5-Settings!$B$9+1),$C$5:C502,"&lt;="&amp;Settings!$B$5)=1),1,0)</f>
        <v>0</v>
      </c>
      <c r="N502" s="29" t="n">
        <f aca="false">IF(AND(D502="Feature Use",COUNTIFS($B$5:B502,B502,$D$5:D502,"Feature Use")=1),1,0)</f>
        <v>0</v>
      </c>
    </row>
    <row r="503" customFormat="false" ht="15" hidden="false" customHeight="false" outlineLevel="0" collapsed="false">
      <c r="A503" s="22" t="s">
        <v>810</v>
      </c>
      <c r="B503" s="22" t="s">
        <v>241</v>
      </c>
      <c r="C503" s="31" t="n">
        <v>46284</v>
      </c>
      <c r="D503" s="22" t="s">
        <v>300</v>
      </c>
      <c r="E503" s="22" t="s">
        <v>311</v>
      </c>
      <c r="F503" s="29" t="str">
        <f aca="false">IF(COUNTIF(Referral_Data!$C$5:$C$1000,B503)&gt;0,"Referred",IF(COUNTIF(Referral_Data!$B$5:$B$1000,B503)&gt;0,"Referrer","Organic"))</f>
        <v>Referred</v>
      </c>
      <c r="G503" s="29" t="n">
        <f aca="false">IF(COUNTIFS($B$5:B503,B503,$C$5:C503,C503)=1,1,0)</f>
        <v>0</v>
      </c>
      <c r="H503" s="29" t="n">
        <f aca="false">IF(AND(G503=1,COUNTIFS($B$5:$B$1635,B503,$C$5:$C$1635,"&lt;"&amp;C503)&gt;0),1,0)</f>
        <v>0</v>
      </c>
      <c r="I503" s="29" t="n">
        <f aca="false">IF(AND(D503="Feature Use",COUNTIFS($B$5:B503,B503,$D$5:D503,"Feature Use",$E$5:E503,E503)=1),1,0)</f>
        <v>0</v>
      </c>
      <c r="J503" s="29" t="n">
        <f aca="false">IF(AND(D503="Feature Use",COUNTIFS($B$5:B503,B503,$D$5:D503,"Feature Use",$E$5:E503,E503)=2),1,0)</f>
        <v>1</v>
      </c>
      <c r="K503" s="29" t="n">
        <f aca="false">IF(COUNTIF($B$5:B503,B503)=1,1,0)</f>
        <v>0</v>
      </c>
      <c r="L503" s="29" t="n">
        <f aca="false">IF(AND(C503&gt;=Settings!$B$5-Settings!$B$8+1,C503&lt;=Settings!$B$5,COUNTIFS($B$5:B503,B503,$C$5:C503,"&gt;="&amp;(Settings!$B$5-Settings!$B$8+1),$C$5:C503,"&lt;="&amp;Settings!$B$5)=1),1,0)</f>
        <v>0</v>
      </c>
      <c r="M503" s="29" t="n">
        <f aca="false">IF(AND(C503&gt;=Settings!$B$5-Settings!$B$9+1,C503&lt;=Settings!$B$5,COUNTIFS($B$5:B503,B503,$C$5:C503,"&gt;="&amp;(Settings!$B$5-Settings!$B$9+1),$C$5:C503,"&lt;="&amp;Settings!$B$5)=1),1,0)</f>
        <v>0</v>
      </c>
      <c r="N503" s="29" t="n">
        <f aca="false">IF(AND(D503="Feature Use",COUNTIFS($B$5:B503,B503,$D$5:D503,"Feature Use")=1),1,0)</f>
        <v>0</v>
      </c>
    </row>
    <row r="504" customFormat="false" ht="15" hidden="false" customHeight="false" outlineLevel="0" collapsed="false">
      <c r="A504" s="22" t="s">
        <v>811</v>
      </c>
      <c r="B504" s="22" t="s">
        <v>241</v>
      </c>
      <c r="C504" s="31" t="n">
        <v>46284</v>
      </c>
      <c r="D504" s="22" t="s">
        <v>300</v>
      </c>
      <c r="E504" s="22" t="s">
        <v>301</v>
      </c>
      <c r="F504" s="29" t="str">
        <f aca="false">IF(COUNTIF(Referral_Data!$C$5:$C$1000,B504)&gt;0,"Referred",IF(COUNTIF(Referral_Data!$B$5:$B$1000,B504)&gt;0,"Referrer","Organic"))</f>
        <v>Referred</v>
      </c>
      <c r="G504" s="29" t="n">
        <f aca="false">IF(COUNTIFS($B$5:B504,B504,$C$5:C504,C504)=1,1,0)</f>
        <v>0</v>
      </c>
      <c r="H504" s="29" t="n">
        <f aca="false">IF(AND(G504=1,COUNTIFS($B$5:$B$1635,B504,$C$5:$C$1635,"&lt;"&amp;C504)&gt;0),1,0)</f>
        <v>0</v>
      </c>
      <c r="I504" s="29" t="n">
        <f aca="false">IF(AND(D504="Feature Use",COUNTIFS($B$5:B504,B504,$D$5:D504,"Feature Use",$E$5:E504,E504)=1),1,0)</f>
        <v>0</v>
      </c>
      <c r="J504" s="29" t="n">
        <f aca="false">IF(AND(D504="Feature Use",COUNTIFS($B$5:B504,B504,$D$5:D504,"Feature Use",$E$5:E504,E504)=2),1,0)</f>
        <v>1</v>
      </c>
      <c r="K504" s="29" t="n">
        <f aca="false">IF(COUNTIF($B$5:B504,B504)=1,1,0)</f>
        <v>0</v>
      </c>
      <c r="L504" s="29" t="n">
        <f aca="false">IF(AND(C504&gt;=Settings!$B$5-Settings!$B$8+1,C504&lt;=Settings!$B$5,COUNTIFS($B$5:B504,B504,$C$5:C504,"&gt;="&amp;(Settings!$B$5-Settings!$B$8+1),$C$5:C504,"&lt;="&amp;Settings!$B$5)=1),1,0)</f>
        <v>0</v>
      </c>
      <c r="M504" s="29" t="n">
        <f aca="false">IF(AND(C504&gt;=Settings!$B$5-Settings!$B$9+1,C504&lt;=Settings!$B$5,COUNTIFS($B$5:B504,B504,$C$5:C504,"&gt;="&amp;(Settings!$B$5-Settings!$B$9+1),$C$5:C504,"&lt;="&amp;Settings!$B$5)=1),1,0)</f>
        <v>0</v>
      </c>
      <c r="N504" s="29" t="n">
        <f aca="false">IF(AND(D504="Feature Use",COUNTIFS($B$5:B504,B504,$D$5:D504,"Feature Use")=1),1,0)</f>
        <v>0</v>
      </c>
    </row>
    <row r="505" customFormat="false" ht="15" hidden="false" customHeight="false" outlineLevel="0" collapsed="false">
      <c r="A505" s="22" t="s">
        <v>812</v>
      </c>
      <c r="B505" s="22" t="s">
        <v>241</v>
      </c>
      <c r="C505" s="31" t="n">
        <v>46284</v>
      </c>
      <c r="D505" s="22" t="s">
        <v>308</v>
      </c>
      <c r="E505" s="22" t="s">
        <v>301</v>
      </c>
      <c r="F505" s="29" t="str">
        <f aca="false">IF(COUNTIF(Referral_Data!$C$5:$C$1000,B505)&gt;0,"Referred",IF(COUNTIF(Referral_Data!$B$5:$B$1000,B505)&gt;0,"Referrer","Organic"))</f>
        <v>Referred</v>
      </c>
      <c r="G505" s="29" t="n">
        <f aca="false">IF(COUNTIFS($B$5:B505,B505,$C$5:C505,C505)=1,1,0)</f>
        <v>0</v>
      </c>
      <c r="H505" s="29" t="n">
        <f aca="false">IF(AND(G505=1,COUNTIFS($B$5:$B$1635,B505,$C$5:$C$1635,"&lt;"&amp;C505)&gt;0),1,0)</f>
        <v>0</v>
      </c>
      <c r="I505" s="29" t="n">
        <f aca="false">IF(AND(D505="Feature Use",COUNTIFS($B$5:B505,B505,$D$5:D505,"Feature Use",$E$5:E505,E505)=1),1,0)</f>
        <v>0</v>
      </c>
      <c r="J505" s="29" t="n">
        <f aca="false">IF(AND(D505="Feature Use",COUNTIFS($B$5:B505,B505,$D$5:D505,"Feature Use",$E$5:E505,E505)=2),1,0)</f>
        <v>0</v>
      </c>
      <c r="K505" s="29" t="n">
        <f aca="false">IF(COUNTIF($B$5:B505,B505)=1,1,0)</f>
        <v>0</v>
      </c>
      <c r="L505" s="29" t="n">
        <f aca="false">IF(AND(C505&gt;=Settings!$B$5-Settings!$B$8+1,C505&lt;=Settings!$B$5,COUNTIFS($B$5:B505,B505,$C$5:C505,"&gt;="&amp;(Settings!$B$5-Settings!$B$8+1),$C$5:C505,"&lt;="&amp;Settings!$B$5)=1),1,0)</f>
        <v>0</v>
      </c>
      <c r="M505" s="29" t="n">
        <f aca="false">IF(AND(C505&gt;=Settings!$B$5-Settings!$B$9+1,C505&lt;=Settings!$B$5,COUNTIFS($B$5:B505,B505,$C$5:C505,"&gt;="&amp;(Settings!$B$5-Settings!$B$9+1),$C$5:C505,"&lt;="&amp;Settings!$B$5)=1),1,0)</f>
        <v>0</v>
      </c>
      <c r="N505" s="29" t="n">
        <f aca="false">IF(AND(D505="Feature Use",COUNTIFS($B$5:B505,B505,$D$5:D505,"Feature Use")=1),1,0)</f>
        <v>0</v>
      </c>
    </row>
    <row r="506" customFormat="false" ht="15" hidden="false" customHeight="false" outlineLevel="0" collapsed="false">
      <c r="A506" s="22" t="s">
        <v>813</v>
      </c>
      <c r="B506" s="22" t="s">
        <v>241</v>
      </c>
      <c r="C506" s="31" t="n">
        <v>46284</v>
      </c>
      <c r="D506" s="22" t="s">
        <v>308</v>
      </c>
      <c r="E506" s="22" t="s">
        <v>309</v>
      </c>
      <c r="F506" s="29" t="str">
        <f aca="false">IF(COUNTIF(Referral_Data!$C$5:$C$1000,B506)&gt;0,"Referred",IF(COUNTIF(Referral_Data!$B$5:$B$1000,B506)&gt;0,"Referrer","Organic"))</f>
        <v>Referred</v>
      </c>
      <c r="G506" s="29" t="n">
        <f aca="false">IF(COUNTIFS($B$5:B506,B506,$C$5:C506,C506)=1,1,0)</f>
        <v>0</v>
      </c>
      <c r="H506" s="29" t="n">
        <f aca="false">IF(AND(G506=1,COUNTIFS($B$5:$B$1635,B506,$C$5:$C$1635,"&lt;"&amp;C506)&gt;0),1,0)</f>
        <v>0</v>
      </c>
      <c r="I506" s="29" t="n">
        <f aca="false">IF(AND(D506="Feature Use",COUNTIFS($B$5:B506,B506,$D$5:D506,"Feature Use",$E$5:E506,E506)=1),1,0)</f>
        <v>0</v>
      </c>
      <c r="J506" s="29" t="n">
        <f aca="false">IF(AND(D506="Feature Use",COUNTIFS($B$5:B506,B506,$D$5:D506,"Feature Use",$E$5:E506,E506)=2),1,0)</f>
        <v>0</v>
      </c>
      <c r="K506" s="29" t="n">
        <f aca="false">IF(COUNTIF($B$5:B506,B506)=1,1,0)</f>
        <v>0</v>
      </c>
      <c r="L506" s="29" t="n">
        <f aca="false">IF(AND(C506&gt;=Settings!$B$5-Settings!$B$8+1,C506&lt;=Settings!$B$5,COUNTIFS($B$5:B506,B506,$C$5:C506,"&gt;="&amp;(Settings!$B$5-Settings!$B$8+1),$C$5:C506,"&lt;="&amp;Settings!$B$5)=1),1,0)</f>
        <v>0</v>
      </c>
      <c r="M506" s="29" t="n">
        <f aca="false">IF(AND(C506&gt;=Settings!$B$5-Settings!$B$9+1,C506&lt;=Settings!$B$5,COUNTIFS($B$5:B506,B506,$C$5:C506,"&gt;="&amp;(Settings!$B$5-Settings!$B$9+1),$C$5:C506,"&lt;="&amp;Settings!$B$5)=1),1,0)</f>
        <v>0</v>
      </c>
      <c r="N506" s="29" t="n">
        <f aca="false">IF(AND(D506="Feature Use",COUNTIFS($B$5:B506,B506,$D$5:D506,"Feature Use")=1),1,0)</f>
        <v>0</v>
      </c>
    </row>
    <row r="507" customFormat="false" ht="15" hidden="false" customHeight="false" outlineLevel="0" collapsed="false">
      <c r="A507" s="22" t="s">
        <v>814</v>
      </c>
      <c r="B507" s="22" t="s">
        <v>252</v>
      </c>
      <c r="C507" s="31" t="n">
        <v>46284</v>
      </c>
      <c r="D507" s="22" t="s">
        <v>297</v>
      </c>
      <c r="E507" s="22" t="s">
        <v>298</v>
      </c>
      <c r="F507" s="29" t="str">
        <f aca="false">IF(COUNTIF(Referral_Data!$C$5:$C$1000,B507)&gt;0,"Referred",IF(COUNTIF(Referral_Data!$B$5:$B$1000,B507)&gt;0,"Referrer","Organic"))</f>
        <v>Referred</v>
      </c>
      <c r="G507" s="29" t="n">
        <f aca="false">IF(COUNTIFS($B$5:B507,B507,$C$5:C507,C507)=1,1,0)</f>
        <v>1</v>
      </c>
      <c r="H507" s="29" t="n">
        <f aca="false">IF(AND(G507=1,COUNTIFS($B$5:$B$1635,B507,$C$5:$C$1635,"&lt;"&amp;C507)&gt;0),1,0)</f>
        <v>1</v>
      </c>
      <c r="I507" s="29" t="n">
        <f aca="false">IF(AND(D507="Feature Use",COUNTIFS($B$5:B507,B507,$D$5:D507,"Feature Use",$E$5:E507,E507)=1),1,0)</f>
        <v>0</v>
      </c>
      <c r="J507" s="29" t="n">
        <f aca="false">IF(AND(D507="Feature Use",COUNTIFS($B$5:B507,B507,$D$5:D507,"Feature Use",$E$5:E507,E507)=2),1,0)</f>
        <v>0</v>
      </c>
      <c r="K507" s="29" t="n">
        <f aca="false">IF(COUNTIF($B$5:B507,B507)=1,1,0)</f>
        <v>0</v>
      </c>
      <c r="L507" s="29" t="n">
        <f aca="false">IF(AND(C507&gt;=Settings!$B$5-Settings!$B$8+1,C507&lt;=Settings!$B$5,COUNTIFS($B$5:B507,B507,$C$5:C507,"&gt;="&amp;(Settings!$B$5-Settings!$B$8+1),$C$5:C507,"&lt;="&amp;Settings!$B$5)=1),1,0)</f>
        <v>0</v>
      </c>
      <c r="M507" s="29" t="n">
        <f aca="false">IF(AND(C507&gt;=Settings!$B$5-Settings!$B$9+1,C507&lt;=Settings!$B$5,COUNTIFS($B$5:B507,B507,$C$5:C507,"&gt;="&amp;(Settings!$B$5-Settings!$B$9+1),$C$5:C507,"&lt;="&amp;Settings!$B$5)=1),1,0)</f>
        <v>0</v>
      </c>
      <c r="N507" s="29" t="n">
        <f aca="false">IF(AND(D507="Feature Use",COUNTIFS($B$5:B507,B507,$D$5:D507,"Feature Use")=1),1,0)</f>
        <v>0</v>
      </c>
    </row>
    <row r="508" customFormat="false" ht="15" hidden="false" customHeight="false" outlineLevel="0" collapsed="false">
      <c r="A508" s="22" t="s">
        <v>815</v>
      </c>
      <c r="B508" s="22" t="s">
        <v>252</v>
      </c>
      <c r="C508" s="31" t="n">
        <v>46284</v>
      </c>
      <c r="D508" s="22" t="s">
        <v>300</v>
      </c>
      <c r="E508" s="22" t="s">
        <v>301</v>
      </c>
      <c r="F508" s="29" t="str">
        <f aca="false">IF(COUNTIF(Referral_Data!$C$5:$C$1000,B508)&gt;0,"Referred",IF(COUNTIF(Referral_Data!$B$5:$B$1000,B508)&gt;0,"Referrer","Organic"))</f>
        <v>Referred</v>
      </c>
      <c r="G508" s="29" t="n">
        <f aca="false">IF(COUNTIFS($B$5:B508,B508,$C$5:C508,C508)=1,1,0)</f>
        <v>0</v>
      </c>
      <c r="H508" s="29" t="n">
        <f aca="false">IF(AND(G508=1,COUNTIFS($B$5:$B$1635,B508,$C$5:$C$1635,"&lt;"&amp;C508)&gt;0),1,0)</f>
        <v>0</v>
      </c>
      <c r="I508" s="29" t="n">
        <f aca="false">IF(AND(D508="Feature Use",COUNTIFS($B$5:B508,B508,$D$5:D508,"Feature Use",$E$5:E508,E508)=1),1,0)</f>
        <v>1</v>
      </c>
      <c r="J508" s="29" t="n">
        <f aca="false">IF(AND(D508="Feature Use",COUNTIFS($B$5:B508,B508,$D$5:D508,"Feature Use",$E$5:E508,E508)=2),1,0)</f>
        <v>0</v>
      </c>
      <c r="K508" s="29" t="n">
        <f aca="false">IF(COUNTIF($B$5:B508,B508)=1,1,0)</f>
        <v>0</v>
      </c>
      <c r="L508" s="29" t="n">
        <f aca="false">IF(AND(C508&gt;=Settings!$B$5-Settings!$B$8+1,C508&lt;=Settings!$B$5,COUNTIFS($B$5:B508,B508,$C$5:C508,"&gt;="&amp;(Settings!$B$5-Settings!$B$8+1),$C$5:C508,"&lt;="&amp;Settings!$B$5)=1),1,0)</f>
        <v>0</v>
      </c>
      <c r="M508" s="29" t="n">
        <f aca="false">IF(AND(C508&gt;=Settings!$B$5-Settings!$B$9+1,C508&lt;=Settings!$B$5,COUNTIFS($B$5:B508,B508,$C$5:C508,"&gt;="&amp;(Settings!$B$5-Settings!$B$9+1),$C$5:C508,"&lt;="&amp;Settings!$B$5)=1),1,0)</f>
        <v>0</v>
      </c>
      <c r="N508" s="29" t="n">
        <f aca="false">IF(AND(D508="Feature Use",COUNTIFS($B$5:B508,B508,$D$5:D508,"Feature Use")=1),1,0)</f>
        <v>0</v>
      </c>
    </row>
    <row r="509" customFormat="false" ht="15" hidden="false" customHeight="false" outlineLevel="0" collapsed="false">
      <c r="A509" s="22" t="s">
        <v>816</v>
      </c>
      <c r="B509" s="22" t="s">
        <v>252</v>
      </c>
      <c r="C509" s="31" t="n">
        <v>46284</v>
      </c>
      <c r="D509" s="22" t="s">
        <v>300</v>
      </c>
      <c r="E509" s="22" t="s">
        <v>309</v>
      </c>
      <c r="F509" s="29" t="str">
        <f aca="false">IF(COUNTIF(Referral_Data!$C$5:$C$1000,B509)&gt;0,"Referred",IF(COUNTIF(Referral_Data!$B$5:$B$1000,B509)&gt;0,"Referrer","Organic"))</f>
        <v>Referred</v>
      </c>
      <c r="G509" s="29" t="n">
        <f aca="false">IF(COUNTIFS($B$5:B509,B509,$C$5:C509,C509)=1,1,0)</f>
        <v>0</v>
      </c>
      <c r="H509" s="29" t="n">
        <f aca="false">IF(AND(G509=1,COUNTIFS($B$5:$B$1635,B509,$C$5:$C$1635,"&lt;"&amp;C509)&gt;0),1,0)</f>
        <v>0</v>
      </c>
      <c r="I509" s="29" t="n">
        <f aca="false">IF(AND(D509="Feature Use",COUNTIFS($B$5:B509,B509,$D$5:D509,"Feature Use",$E$5:E509,E509)=1),1,0)</f>
        <v>1</v>
      </c>
      <c r="J509" s="29" t="n">
        <f aca="false">IF(AND(D509="Feature Use",COUNTIFS($B$5:B509,B509,$D$5:D509,"Feature Use",$E$5:E509,E509)=2),1,0)</f>
        <v>0</v>
      </c>
      <c r="K509" s="29" t="n">
        <f aca="false">IF(COUNTIF($B$5:B509,B509)=1,1,0)</f>
        <v>0</v>
      </c>
      <c r="L509" s="29" t="n">
        <f aca="false">IF(AND(C509&gt;=Settings!$B$5-Settings!$B$8+1,C509&lt;=Settings!$B$5,COUNTIFS($B$5:B509,B509,$C$5:C509,"&gt;="&amp;(Settings!$B$5-Settings!$B$8+1),$C$5:C509,"&lt;="&amp;Settings!$B$5)=1),1,0)</f>
        <v>0</v>
      </c>
      <c r="M509" s="29" t="n">
        <f aca="false">IF(AND(C509&gt;=Settings!$B$5-Settings!$B$9+1,C509&lt;=Settings!$B$5,COUNTIFS($B$5:B509,B509,$C$5:C509,"&gt;="&amp;(Settings!$B$5-Settings!$B$9+1),$C$5:C509,"&lt;="&amp;Settings!$B$5)=1),1,0)</f>
        <v>0</v>
      </c>
      <c r="N509" s="29" t="n">
        <f aca="false">IF(AND(D509="Feature Use",COUNTIFS($B$5:B509,B509,$D$5:D509,"Feature Use")=1),1,0)</f>
        <v>0</v>
      </c>
    </row>
    <row r="510" customFormat="false" ht="15" hidden="false" customHeight="false" outlineLevel="0" collapsed="false">
      <c r="A510" s="22" t="s">
        <v>817</v>
      </c>
      <c r="B510" s="22" t="s">
        <v>173</v>
      </c>
      <c r="C510" s="31" t="n">
        <v>46284</v>
      </c>
      <c r="D510" s="22" t="s">
        <v>297</v>
      </c>
      <c r="E510" s="22" t="s">
        <v>298</v>
      </c>
      <c r="F510" s="29" t="str">
        <f aca="false">IF(COUNTIF(Referral_Data!$C$5:$C$1000,B510)&gt;0,"Referred",IF(COUNTIF(Referral_Data!$B$5:$B$1000,B510)&gt;0,"Referrer","Organic"))</f>
        <v>Referrer</v>
      </c>
      <c r="G510" s="29" t="n">
        <f aca="false">IF(COUNTIFS($B$5:B510,B510,$C$5:C510,C510)=1,1,0)</f>
        <v>1</v>
      </c>
      <c r="H510" s="29" t="n">
        <f aca="false">IF(AND(G510=1,COUNTIFS($B$5:$B$1635,B510,$C$5:$C$1635,"&lt;"&amp;C510)&gt;0),1,0)</f>
        <v>1</v>
      </c>
      <c r="I510" s="29" t="n">
        <f aca="false">IF(AND(D510="Feature Use",COUNTIFS($B$5:B510,B510,$D$5:D510,"Feature Use",$E$5:E510,E510)=1),1,0)</f>
        <v>0</v>
      </c>
      <c r="J510" s="29" t="n">
        <f aca="false">IF(AND(D510="Feature Use",COUNTIFS($B$5:B510,B510,$D$5:D510,"Feature Use",$E$5:E510,E510)=2),1,0)</f>
        <v>0</v>
      </c>
      <c r="K510" s="29" t="n">
        <f aca="false">IF(COUNTIF($B$5:B510,B510)=1,1,0)</f>
        <v>0</v>
      </c>
      <c r="L510" s="29" t="n">
        <f aca="false">IF(AND(C510&gt;=Settings!$B$5-Settings!$B$8+1,C510&lt;=Settings!$B$5,COUNTIFS($B$5:B510,B510,$C$5:C510,"&gt;="&amp;(Settings!$B$5-Settings!$B$8+1),$C$5:C510,"&lt;="&amp;Settings!$B$5)=1),1,0)</f>
        <v>0</v>
      </c>
      <c r="M510" s="29" t="n">
        <f aca="false">IF(AND(C510&gt;=Settings!$B$5-Settings!$B$9+1,C510&lt;=Settings!$B$5,COUNTIFS($B$5:B510,B510,$C$5:C510,"&gt;="&amp;(Settings!$B$5-Settings!$B$9+1),$C$5:C510,"&lt;="&amp;Settings!$B$5)=1),1,0)</f>
        <v>1</v>
      </c>
      <c r="N510" s="29" t="n">
        <f aca="false">IF(AND(D510="Feature Use",COUNTIFS($B$5:B510,B510,$D$5:D510,"Feature Use")=1),1,0)</f>
        <v>0</v>
      </c>
    </row>
    <row r="511" customFormat="false" ht="15" hidden="false" customHeight="false" outlineLevel="0" collapsed="false">
      <c r="A511" s="22" t="s">
        <v>818</v>
      </c>
      <c r="B511" s="22" t="s">
        <v>173</v>
      </c>
      <c r="C511" s="31" t="n">
        <v>46284</v>
      </c>
      <c r="D511" s="22" t="s">
        <v>300</v>
      </c>
      <c r="E511" s="22" t="s">
        <v>311</v>
      </c>
      <c r="F511" s="29" t="str">
        <f aca="false">IF(COUNTIF(Referral_Data!$C$5:$C$1000,B511)&gt;0,"Referred",IF(COUNTIF(Referral_Data!$B$5:$B$1000,B511)&gt;0,"Referrer","Organic"))</f>
        <v>Referrer</v>
      </c>
      <c r="G511" s="29" t="n">
        <f aca="false">IF(COUNTIFS($B$5:B511,B511,$C$5:C511,C511)=1,1,0)</f>
        <v>0</v>
      </c>
      <c r="H511" s="29" t="n">
        <f aca="false">IF(AND(G511=1,COUNTIFS($B$5:$B$1635,B511,$C$5:$C$1635,"&lt;"&amp;C511)&gt;0),1,0)</f>
        <v>0</v>
      </c>
      <c r="I511" s="29" t="n">
        <f aca="false">IF(AND(D511="Feature Use",COUNTIFS($B$5:B511,B511,$D$5:D511,"Feature Use",$E$5:E511,E511)=1),1,0)</f>
        <v>0</v>
      </c>
      <c r="J511" s="29" t="n">
        <f aca="false">IF(AND(D511="Feature Use",COUNTIFS($B$5:B511,B511,$D$5:D511,"Feature Use",$E$5:E511,E511)=2),1,0)</f>
        <v>1</v>
      </c>
      <c r="K511" s="29" t="n">
        <f aca="false">IF(COUNTIF($B$5:B511,B511)=1,1,0)</f>
        <v>0</v>
      </c>
      <c r="L511" s="29" t="n">
        <f aca="false">IF(AND(C511&gt;=Settings!$B$5-Settings!$B$8+1,C511&lt;=Settings!$B$5,COUNTIFS($B$5:B511,B511,$C$5:C511,"&gt;="&amp;(Settings!$B$5-Settings!$B$8+1),$C$5:C511,"&lt;="&amp;Settings!$B$5)=1),1,0)</f>
        <v>0</v>
      </c>
      <c r="M511" s="29" t="n">
        <f aca="false">IF(AND(C511&gt;=Settings!$B$5-Settings!$B$9+1,C511&lt;=Settings!$B$5,COUNTIFS($B$5:B511,B511,$C$5:C511,"&gt;="&amp;(Settings!$B$5-Settings!$B$9+1),$C$5:C511,"&lt;="&amp;Settings!$B$5)=1),1,0)</f>
        <v>0</v>
      </c>
      <c r="N511" s="29" t="n">
        <f aca="false">IF(AND(D511="Feature Use",COUNTIFS($B$5:B511,B511,$D$5:D511,"Feature Use")=1),1,0)</f>
        <v>0</v>
      </c>
    </row>
    <row r="512" customFormat="false" ht="15" hidden="false" customHeight="false" outlineLevel="0" collapsed="false">
      <c r="A512" s="22" t="s">
        <v>819</v>
      </c>
      <c r="B512" s="22" t="s">
        <v>173</v>
      </c>
      <c r="C512" s="31" t="n">
        <v>46284</v>
      </c>
      <c r="D512" s="22" t="s">
        <v>300</v>
      </c>
      <c r="E512" s="22" t="s">
        <v>301</v>
      </c>
      <c r="F512" s="29" t="str">
        <f aca="false">IF(COUNTIF(Referral_Data!$C$5:$C$1000,B512)&gt;0,"Referred",IF(COUNTIF(Referral_Data!$B$5:$B$1000,B512)&gt;0,"Referrer","Organic"))</f>
        <v>Referrer</v>
      </c>
      <c r="G512" s="29" t="n">
        <f aca="false">IF(COUNTIFS($B$5:B512,B512,$C$5:C512,C512)=1,1,0)</f>
        <v>0</v>
      </c>
      <c r="H512" s="29" t="n">
        <f aca="false">IF(AND(G512=1,COUNTIFS($B$5:$B$1635,B512,$C$5:$C$1635,"&lt;"&amp;C512)&gt;0),1,0)</f>
        <v>0</v>
      </c>
      <c r="I512" s="29" t="n">
        <f aca="false">IF(AND(D512="Feature Use",COUNTIFS($B$5:B512,B512,$D$5:D512,"Feature Use",$E$5:E512,E512)=1),1,0)</f>
        <v>1</v>
      </c>
      <c r="J512" s="29" t="n">
        <f aca="false">IF(AND(D512="Feature Use",COUNTIFS($B$5:B512,B512,$D$5:D512,"Feature Use",$E$5:E512,E512)=2),1,0)</f>
        <v>0</v>
      </c>
      <c r="K512" s="29" t="n">
        <f aca="false">IF(COUNTIF($B$5:B512,B512)=1,1,0)</f>
        <v>0</v>
      </c>
      <c r="L512" s="29" t="n">
        <f aca="false">IF(AND(C512&gt;=Settings!$B$5-Settings!$B$8+1,C512&lt;=Settings!$B$5,COUNTIFS($B$5:B512,B512,$C$5:C512,"&gt;="&amp;(Settings!$B$5-Settings!$B$8+1),$C$5:C512,"&lt;="&amp;Settings!$B$5)=1),1,0)</f>
        <v>0</v>
      </c>
      <c r="M512" s="29" t="n">
        <f aca="false">IF(AND(C512&gt;=Settings!$B$5-Settings!$B$9+1,C512&lt;=Settings!$B$5,COUNTIFS($B$5:B512,B512,$C$5:C512,"&gt;="&amp;(Settings!$B$5-Settings!$B$9+1),$C$5:C512,"&lt;="&amp;Settings!$B$5)=1),1,0)</f>
        <v>0</v>
      </c>
      <c r="N512" s="29" t="n">
        <f aca="false">IF(AND(D512="Feature Use",COUNTIFS($B$5:B512,B512,$D$5:D512,"Feature Use")=1),1,0)</f>
        <v>0</v>
      </c>
    </row>
    <row r="513" customFormat="false" ht="15" hidden="false" customHeight="false" outlineLevel="0" collapsed="false">
      <c r="A513" s="22" t="s">
        <v>820</v>
      </c>
      <c r="B513" s="22" t="s">
        <v>173</v>
      </c>
      <c r="C513" s="31" t="n">
        <v>46284</v>
      </c>
      <c r="D513" s="22" t="s">
        <v>308</v>
      </c>
      <c r="E513" s="22" t="s">
        <v>301</v>
      </c>
      <c r="F513" s="29" t="str">
        <f aca="false">IF(COUNTIF(Referral_Data!$C$5:$C$1000,B513)&gt;0,"Referred",IF(COUNTIF(Referral_Data!$B$5:$B$1000,B513)&gt;0,"Referrer","Organic"))</f>
        <v>Referrer</v>
      </c>
      <c r="G513" s="29" t="n">
        <f aca="false">IF(COUNTIFS($B$5:B513,B513,$C$5:C513,C513)=1,1,0)</f>
        <v>0</v>
      </c>
      <c r="H513" s="29" t="n">
        <f aca="false">IF(AND(G513=1,COUNTIFS($B$5:$B$1635,B513,$C$5:$C$1635,"&lt;"&amp;C513)&gt;0),1,0)</f>
        <v>0</v>
      </c>
      <c r="I513" s="29" t="n">
        <f aca="false">IF(AND(D513="Feature Use",COUNTIFS($B$5:B513,B513,$D$5:D513,"Feature Use",$E$5:E513,E513)=1),1,0)</f>
        <v>0</v>
      </c>
      <c r="J513" s="29" t="n">
        <f aca="false">IF(AND(D513="Feature Use",COUNTIFS($B$5:B513,B513,$D$5:D513,"Feature Use",$E$5:E513,E513)=2),1,0)</f>
        <v>0</v>
      </c>
      <c r="K513" s="29" t="n">
        <f aca="false">IF(COUNTIF($B$5:B513,B513)=1,1,0)</f>
        <v>0</v>
      </c>
      <c r="L513" s="29" t="n">
        <f aca="false">IF(AND(C513&gt;=Settings!$B$5-Settings!$B$8+1,C513&lt;=Settings!$B$5,COUNTIFS($B$5:B513,B513,$C$5:C513,"&gt;="&amp;(Settings!$B$5-Settings!$B$8+1),$C$5:C513,"&lt;="&amp;Settings!$B$5)=1),1,0)</f>
        <v>0</v>
      </c>
      <c r="M513" s="29" t="n">
        <f aca="false">IF(AND(C513&gt;=Settings!$B$5-Settings!$B$9+1,C513&lt;=Settings!$B$5,COUNTIFS($B$5:B513,B513,$C$5:C513,"&gt;="&amp;(Settings!$B$5-Settings!$B$9+1),$C$5:C513,"&lt;="&amp;Settings!$B$5)=1),1,0)</f>
        <v>0</v>
      </c>
      <c r="N513" s="29" t="n">
        <f aca="false">IF(AND(D513="Feature Use",COUNTIFS($B$5:B513,B513,$D$5:D513,"Feature Use")=1),1,0)</f>
        <v>0</v>
      </c>
    </row>
    <row r="514" customFormat="false" ht="15" hidden="false" customHeight="false" outlineLevel="0" collapsed="false">
      <c r="A514" s="22" t="s">
        <v>821</v>
      </c>
      <c r="B514" s="22" t="s">
        <v>173</v>
      </c>
      <c r="C514" s="31" t="n">
        <v>46284</v>
      </c>
      <c r="D514" s="22" t="s">
        <v>308</v>
      </c>
      <c r="E514" s="22" t="s">
        <v>319</v>
      </c>
      <c r="F514" s="29" t="str">
        <f aca="false">IF(COUNTIF(Referral_Data!$C$5:$C$1000,B514)&gt;0,"Referred",IF(COUNTIF(Referral_Data!$B$5:$B$1000,B514)&gt;0,"Referrer","Organic"))</f>
        <v>Referrer</v>
      </c>
      <c r="G514" s="29" t="n">
        <f aca="false">IF(COUNTIFS($B$5:B514,B514,$C$5:C514,C514)=1,1,0)</f>
        <v>0</v>
      </c>
      <c r="H514" s="29" t="n">
        <f aca="false">IF(AND(G514=1,COUNTIFS($B$5:$B$1635,B514,$C$5:$C$1635,"&lt;"&amp;C514)&gt;0),1,0)</f>
        <v>0</v>
      </c>
      <c r="I514" s="29" t="n">
        <f aca="false">IF(AND(D514="Feature Use",COUNTIFS($B$5:B514,B514,$D$5:D514,"Feature Use",$E$5:E514,E514)=1),1,0)</f>
        <v>0</v>
      </c>
      <c r="J514" s="29" t="n">
        <f aca="false">IF(AND(D514="Feature Use",COUNTIFS($B$5:B514,B514,$D$5:D514,"Feature Use",$E$5:E514,E514)=2),1,0)</f>
        <v>0</v>
      </c>
      <c r="K514" s="29" t="n">
        <f aca="false">IF(COUNTIF($B$5:B514,B514)=1,1,0)</f>
        <v>0</v>
      </c>
      <c r="L514" s="29" t="n">
        <f aca="false">IF(AND(C514&gt;=Settings!$B$5-Settings!$B$8+1,C514&lt;=Settings!$B$5,COUNTIFS($B$5:B514,B514,$C$5:C514,"&gt;="&amp;(Settings!$B$5-Settings!$B$8+1),$C$5:C514,"&lt;="&amp;Settings!$B$5)=1),1,0)</f>
        <v>0</v>
      </c>
      <c r="M514" s="29" t="n">
        <f aca="false">IF(AND(C514&gt;=Settings!$B$5-Settings!$B$9+1,C514&lt;=Settings!$B$5,COUNTIFS($B$5:B514,B514,$C$5:C514,"&gt;="&amp;(Settings!$B$5-Settings!$B$9+1),$C$5:C514,"&lt;="&amp;Settings!$B$5)=1),1,0)</f>
        <v>0</v>
      </c>
      <c r="N514" s="29" t="n">
        <f aca="false">IF(AND(D514="Feature Use",COUNTIFS($B$5:B514,B514,$D$5:D514,"Feature Use")=1),1,0)</f>
        <v>0</v>
      </c>
    </row>
    <row r="515" customFormat="false" ht="15" hidden="false" customHeight="false" outlineLevel="0" collapsed="false">
      <c r="A515" s="22" t="s">
        <v>822</v>
      </c>
      <c r="B515" s="22" t="s">
        <v>208</v>
      </c>
      <c r="C515" s="31" t="n">
        <v>46284</v>
      </c>
      <c r="D515" s="22" t="s">
        <v>297</v>
      </c>
      <c r="E515" s="22" t="s">
        <v>298</v>
      </c>
      <c r="F515" s="29" t="str">
        <f aca="false">IF(COUNTIF(Referral_Data!$C$5:$C$1000,B515)&gt;0,"Referred",IF(COUNTIF(Referral_Data!$B$5:$B$1000,B515)&gt;0,"Referrer","Organic"))</f>
        <v>Referrer</v>
      </c>
      <c r="G515" s="29" t="n">
        <f aca="false">IF(COUNTIFS($B$5:B515,B515,$C$5:C515,C515)=1,1,0)</f>
        <v>1</v>
      </c>
      <c r="H515" s="29" t="n">
        <f aca="false">IF(AND(G515=1,COUNTIFS($B$5:$B$1635,B515,$C$5:$C$1635,"&lt;"&amp;C515)&gt;0),1,0)</f>
        <v>1</v>
      </c>
      <c r="I515" s="29" t="n">
        <f aca="false">IF(AND(D515="Feature Use",COUNTIFS($B$5:B515,B515,$D$5:D515,"Feature Use",$E$5:E515,E515)=1),1,0)</f>
        <v>0</v>
      </c>
      <c r="J515" s="29" t="n">
        <f aca="false">IF(AND(D515="Feature Use",COUNTIFS($B$5:B515,B515,$D$5:D515,"Feature Use",$E$5:E515,E515)=2),1,0)</f>
        <v>0</v>
      </c>
      <c r="K515" s="29" t="n">
        <f aca="false">IF(COUNTIF($B$5:B515,B515)=1,1,0)</f>
        <v>0</v>
      </c>
      <c r="L515" s="29" t="n">
        <f aca="false">IF(AND(C515&gt;=Settings!$B$5-Settings!$B$8+1,C515&lt;=Settings!$B$5,COUNTIFS($B$5:B515,B515,$C$5:C515,"&gt;="&amp;(Settings!$B$5-Settings!$B$8+1),$C$5:C515,"&lt;="&amp;Settings!$B$5)=1),1,0)</f>
        <v>0</v>
      </c>
      <c r="M515" s="29" t="n">
        <f aca="false">IF(AND(C515&gt;=Settings!$B$5-Settings!$B$9+1,C515&lt;=Settings!$B$5,COUNTIFS($B$5:B515,B515,$C$5:C515,"&gt;="&amp;(Settings!$B$5-Settings!$B$9+1),$C$5:C515,"&lt;="&amp;Settings!$B$5)=1),1,0)</f>
        <v>0</v>
      </c>
      <c r="N515" s="29" t="n">
        <f aca="false">IF(AND(D515="Feature Use",COUNTIFS($B$5:B515,B515,$D$5:D515,"Feature Use")=1),1,0)</f>
        <v>0</v>
      </c>
    </row>
    <row r="516" customFormat="false" ht="15" hidden="false" customHeight="false" outlineLevel="0" collapsed="false">
      <c r="A516" s="22" t="s">
        <v>823</v>
      </c>
      <c r="B516" s="22" t="s">
        <v>208</v>
      </c>
      <c r="C516" s="31" t="n">
        <v>46284</v>
      </c>
      <c r="D516" s="22" t="s">
        <v>300</v>
      </c>
      <c r="E516" s="22" t="s">
        <v>309</v>
      </c>
      <c r="F516" s="29" t="str">
        <f aca="false">IF(COUNTIF(Referral_Data!$C$5:$C$1000,B516)&gt;0,"Referred",IF(COUNTIF(Referral_Data!$B$5:$B$1000,B516)&gt;0,"Referrer","Organic"))</f>
        <v>Referrer</v>
      </c>
      <c r="G516" s="29" t="n">
        <f aca="false">IF(COUNTIFS($B$5:B516,B516,$C$5:C516,C516)=1,1,0)</f>
        <v>0</v>
      </c>
      <c r="H516" s="29" t="n">
        <f aca="false">IF(AND(G516=1,COUNTIFS($B$5:$B$1635,B516,$C$5:$C$1635,"&lt;"&amp;C516)&gt;0),1,0)</f>
        <v>0</v>
      </c>
      <c r="I516" s="29" t="n">
        <f aca="false">IF(AND(D516="Feature Use",COUNTIFS($B$5:B516,B516,$D$5:D516,"Feature Use",$E$5:E516,E516)=1),1,0)</f>
        <v>1</v>
      </c>
      <c r="J516" s="29" t="n">
        <f aca="false">IF(AND(D516="Feature Use",COUNTIFS($B$5:B516,B516,$D$5:D516,"Feature Use",$E$5:E516,E516)=2),1,0)</f>
        <v>0</v>
      </c>
      <c r="K516" s="29" t="n">
        <f aca="false">IF(COUNTIF($B$5:B516,B516)=1,1,0)</f>
        <v>0</v>
      </c>
      <c r="L516" s="29" t="n">
        <f aca="false">IF(AND(C516&gt;=Settings!$B$5-Settings!$B$8+1,C516&lt;=Settings!$B$5,COUNTIFS($B$5:B516,B516,$C$5:C516,"&gt;="&amp;(Settings!$B$5-Settings!$B$8+1),$C$5:C516,"&lt;="&amp;Settings!$B$5)=1),1,0)</f>
        <v>0</v>
      </c>
      <c r="M516" s="29" t="n">
        <f aca="false">IF(AND(C516&gt;=Settings!$B$5-Settings!$B$9+1,C516&lt;=Settings!$B$5,COUNTIFS($B$5:B516,B516,$C$5:C516,"&gt;="&amp;(Settings!$B$5-Settings!$B$9+1),$C$5:C516,"&lt;="&amp;Settings!$B$5)=1),1,0)</f>
        <v>0</v>
      </c>
      <c r="N516" s="29" t="n">
        <f aca="false">IF(AND(D516="Feature Use",COUNTIFS($B$5:B516,B516,$D$5:D516,"Feature Use")=1),1,0)</f>
        <v>0</v>
      </c>
    </row>
    <row r="517" customFormat="false" ht="15" hidden="false" customHeight="false" outlineLevel="0" collapsed="false">
      <c r="A517" s="22" t="s">
        <v>824</v>
      </c>
      <c r="B517" s="22" t="s">
        <v>208</v>
      </c>
      <c r="C517" s="31" t="n">
        <v>46284</v>
      </c>
      <c r="D517" s="22" t="s">
        <v>300</v>
      </c>
      <c r="E517" s="22" t="s">
        <v>319</v>
      </c>
      <c r="F517" s="29" t="str">
        <f aca="false">IF(COUNTIF(Referral_Data!$C$5:$C$1000,B517)&gt;0,"Referred",IF(COUNTIF(Referral_Data!$B$5:$B$1000,B517)&gt;0,"Referrer","Organic"))</f>
        <v>Referrer</v>
      </c>
      <c r="G517" s="29" t="n">
        <f aca="false">IF(COUNTIFS($B$5:B517,B517,$C$5:C517,C517)=1,1,0)</f>
        <v>0</v>
      </c>
      <c r="H517" s="29" t="n">
        <f aca="false">IF(AND(G517=1,COUNTIFS($B$5:$B$1635,B517,$C$5:$C$1635,"&lt;"&amp;C517)&gt;0),1,0)</f>
        <v>0</v>
      </c>
      <c r="I517" s="29" t="n">
        <f aca="false">IF(AND(D517="Feature Use",COUNTIFS($B$5:B517,B517,$D$5:D517,"Feature Use",$E$5:E517,E517)=1),1,0)</f>
        <v>0</v>
      </c>
      <c r="J517" s="29" t="n">
        <f aca="false">IF(AND(D517="Feature Use",COUNTIFS($B$5:B517,B517,$D$5:D517,"Feature Use",$E$5:E517,E517)=2),1,0)</f>
        <v>0</v>
      </c>
      <c r="K517" s="29" t="n">
        <f aca="false">IF(COUNTIF($B$5:B517,B517)=1,1,0)</f>
        <v>0</v>
      </c>
      <c r="L517" s="29" t="n">
        <f aca="false">IF(AND(C517&gt;=Settings!$B$5-Settings!$B$8+1,C517&lt;=Settings!$B$5,COUNTIFS($B$5:B517,B517,$C$5:C517,"&gt;="&amp;(Settings!$B$5-Settings!$B$8+1),$C$5:C517,"&lt;="&amp;Settings!$B$5)=1),1,0)</f>
        <v>0</v>
      </c>
      <c r="M517" s="29" t="n">
        <f aca="false">IF(AND(C517&gt;=Settings!$B$5-Settings!$B$9+1,C517&lt;=Settings!$B$5,COUNTIFS($B$5:B517,B517,$C$5:C517,"&gt;="&amp;(Settings!$B$5-Settings!$B$9+1),$C$5:C517,"&lt;="&amp;Settings!$B$5)=1),1,0)</f>
        <v>0</v>
      </c>
      <c r="N517" s="29" t="n">
        <f aca="false">IF(AND(D517="Feature Use",COUNTIFS($B$5:B517,B517,$D$5:D517,"Feature Use")=1),1,0)</f>
        <v>0</v>
      </c>
    </row>
    <row r="518" customFormat="false" ht="15" hidden="false" customHeight="false" outlineLevel="0" collapsed="false">
      <c r="A518" s="22" t="s">
        <v>825</v>
      </c>
      <c r="B518" s="22" t="s">
        <v>178</v>
      </c>
      <c r="C518" s="31" t="n">
        <v>46284</v>
      </c>
      <c r="D518" s="22" t="s">
        <v>297</v>
      </c>
      <c r="E518" s="22" t="s">
        <v>298</v>
      </c>
      <c r="F518" s="29" t="str">
        <f aca="false">IF(COUNTIF(Referral_Data!$C$5:$C$1000,B518)&gt;0,"Referred",IF(COUNTIF(Referral_Data!$B$5:$B$1000,B518)&gt;0,"Referrer","Organic"))</f>
        <v>Referrer</v>
      </c>
      <c r="G518" s="29" t="n">
        <f aca="false">IF(COUNTIFS($B$5:B518,B518,$C$5:C518,C518)=1,1,0)</f>
        <v>1</v>
      </c>
      <c r="H518" s="29" t="n">
        <f aca="false">IF(AND(G518=1,COUNTIFS($B$5:$B$1635,B518,$C$5:$C$1635,"&lt;"&amp;C518)&gt;0),1,0)</f>
        <v>1</v>
      </c>
      <c r="I518" s="29" t="n">
        <f aca="false">IF(AND(D518="Feature Use",COUNTIFS($B$5:B518,B518,$D$5:D518,"Feature Use",$E$5:E518,E518)=1),1,0)</f>
        <v>0</v>
      </c>
      <c r="J518" s="29" t="n">
        <f aca="false">IF(AND(D518="Feature Use",COUNTIFS($B$5:B518,B518,$D$5:D518,"Feature Use",$E$5:E518,E518)=2),1,0)</f>
        <v>0</v>
      </c>
      <c r="K518" s="29" t="n">
        <f aca="false">IF(COUNTIF($B$5:B518,B518)=1,1,0)</f>
        <v>0</v>
      </c>
      <c r="L518" s="29" t="n">
        <f aca="false">IF(AND(C518&gt;=Settings!$B$5-Settings!$B$8+1,C518&lt;=Settings!$B$5,COUNTIFS($B$5:B518,B518,$C$5:C518,"&gt;="&amp;(Settings!$B$5-Settings!$B$8+1),$C$5:C518,"&lt;="&amp;Settings!$B$5)=1),1,0)</f>
        <v>0</v>
      </c>
      <c r="M518" s="29" t="n">
        <f aca="false">IF(AND(C518&gt;=Settings!$B$5-Settings!$B$9+1,C518&lt;=Settings!$B$5,COUNTIFS($B$5:B518,B518,$C$5:C518,"&gt;="&amp;(Settings!$B$5-Settings!$B$9+1),$C$5:C518,"&lt;="&amp;Settings!$B$5)=1),1,0)</f>
        <v>0</v>
      </c>
      <c r="N518" s="29" t="n">
        <f aca="false">IF(AND(D518="Feature Use",COUNTIFS($B$5:B518,B518,$D$5:D518,"Feature Use")=1),1,0)</f>
        <v>0</v>
      </c>
    </row>
    <row r="519" customFormat="false" ht="15" hidden="false" customHeight="false" outlineLevel="0" collapsed="false">
      <c r="A519" s="22" t="s">
        <v>826</v>
      </c>
      <c r="B519" s="22" t="s">
        <v>178</v>
      </c>
      <c r="C519" s="31" t="n">
        <v>46284</v>
      </c>
      <c r="D519" s="22" t="s">
        <v>300</v>
      </c>
      <c r="E519" s="22" t="s">
        <v>319</v>
      </c>
      <c r="F519" s="29" t="str">
        <f aca="false">IF(COUNTIF(Referral_Data!$C$5:$C$1000,B519)&gt;0,"Referred",IF(COUNTIF(Referral_Data!$B$5:$B$1000,B519)&gt;0,"Referrer","Organic"))</f>
        <v>Referrer</v>
      </c>
      <c r="G519" s="29" t="n">
        <f aca="false">IF(COUNTIFS($B$5:B519,B519,$C$5:C519,C519)=1,1,0)</f>
        <v>0</v>
      </c>
      <c r="H519" s="29" t="n">
        <f aca="false">IF(AND(G519=1,COUNTIFS($B$5:$B$1635,B519,$C$5:$C$1635,"&lt;"&amp;C519)&gt;0),1,0)</f>
        <v>0</v>
      </c>
      <c r="I519" s="29" t="n">
        <f aca="false">IF(AND(D519="Feature Use",COUNTIFS($B$5:B519,B519,$D$5:D519,"Feature Use",$E$5:E519,E519)=1),1,0)</f>
        <v>0</v>
      </c>
      <c r="J519" s="29" t="n">
        <f aca="false">IF(AND(D519="Feature Use",COUNTIFS($B$5:B519,B519,$D$5:D519,"Feature Use",$E$5:E519,E519)=2),1,0)</f>
        <v>0</v>
      </c>
      <c r="K519" s="29" t="n">
        <f aca="false">IF(COUNTIF($B$5:B519,B519)=1,1,0)</f>
        <v>0</v>
      </c>
      <c r="L519" s="29" t="n">
        <f aca="false">IF(AND(C519&gt;=Settings!$B$5-Settings!$B$8+1,C519&lt;=Settings!$B$5,COUNTIFS($B$5:B519,B519,$C$5:C519,"&gt;="&amp;(Settings!$B$5-Settings!$B$8+1),$C$5:C519,"&lt;="&amp;Settings!$B$5)=1),1,0)</f>
        <v>0</v>
      </c>
      <c r="M519" s="29" t="n">
        <f aca="false">IF(AND(C519&gt;=Settings!$B$5-Settings!$B$9+1,C519&lt;=Settings!$B$5,COUNTIFS($B$5:B519,B519,$C$5:C519,"&gt;="&amp;(Settings!$B$5-Settings!$B$9+1),$C$5:C519,"&lt;="&amp;Settings!$B$5)=1),1,0)</f>
        <v>0</v>
      </c>
      <c r="N519" s="29" t="n">
        <f aca="false">IF(AND(D519="Feature Use",COUNTIFS($B$5:B519,B519,$D$5:D519,"Feature Use")=1),1,0)</f>
        <v>0</v>
      </c>
    </row>
    <row r="520" customFormat="false" ht="15" hidden="false" customHeight="false" outlineLevel="0" collapsed="false">
      <c r="A520" s="22" t="s">
        <v>827</v>
      </c>
      <c r="B520" s="22" t="s">
        <v>178</v>
      </c>
      <c r="C520" s="31" t="n">
        <v>46284</v>
      </c>
      <c r="D520" s="22" t="s">
        <v>300</v>
      </c>
      <c r="E520" s="22" t="s">
        <v>305</v>
      </c>
      <c r="F520" s="29" t="str">
        <f aca="false">IF(COUNTIF(Referral_Data!$C$5:$C$1000,B520)&gt;0,"Referred",IF(COUNTIF(Referral_Data!$B$5:$B$1000,B520)&gt;0,"Referrer","Organic"))</f>
        <v>Referrer</v>
      </c>
      <c r="G520" s="29" t="n">
        <f aca="false">IF(COUNTIFS($B$5:B520,B520,$C$5:C520,C520)=1,1,0)</f>
        <v>0</v>
      </c>
      <c r="H520" s="29" t="n">
        <f aca="false">IF(AND(G520=1,COUNTIFS($B$5:$B$1635,B520,$C$5:$C$1635,"&lt;"&amp;C520)&gt;0),1,0)</f>
        <v>0</v>
      </c>
      <c r="I520" s="29" t="n">
        <f aca="false">IF(AND(D520="Feature Use",COUNTIFS($B$5:B520,B520,$D$5:D520,"Feature Use",$E$5:E520,E520)=1),1,0)</f>
        <v>0</v>
      </c>
      <c r="J520" s="29" t="n">
        <f aca="false">IF(AND(D520="Feature Use",COUNTIFS($B$5:B520,B520,$D$5:D520,"Feature Use",$E$5:E520,E520)=2),1,0)</f>
        <v>0</v>
      </c>
      <c r="K520" s="29" t="n">
        <f aca="false">IF(COUNTIF($B$5:B520,B520)=1,1,0)</f>
        <v>0</v>
      </c>
      <c r="L520" s="29" t="n">
        <f aca="false">IF(AND(C520&gt;=Settings!$B$5-Settings!$B$8+1,C520&lt;=Settings!$B$5,COUNTIFS($B$5:B520,B520,$C$5:C520,"&gt;="&amp;(Settings!$B$5-Settings!$B$8+1),$C$5:C520,"&lt;="&amp;Settings!$B$5)=1),1,0)</f>
        <v>0</v>
      </c>
      <c r="M520" s="29" t="n">
        <f aca="false">IF(AND(C520&gt;=Settings!$B$5-Settings!$B$9+1,C520&lt;=Settings!$B$5,COUNTIFS($B$5:B520,B520,$C$5:C520,"&gt;="&amp;(Settings!$B$5-Settings!$B$9+1),$C$5:C520,"&lt;="&amp;Settings!$B$5)=1),1,0)</f>
        <v>0</v>
      </c>
      <c r="N520" s="29" t="n">
        <f aca="false">IF(AND(D520="Feature Use",COUNTIFS($B$5:B520,B520,$D$5:D520,"Feature Use")=1),1,0)</f>
        <v>0</v>
      </c>
    </row>
    <row r="521" customFormat="false" ht="15" hidden="false" customHeight="false" outlineLevel="0" collapsed="false">
      <c r="A521" s="22" t="s">
        <v>828</v>
      </c>
      <c r="B521" s="22" t="s">
        <v>190</v>
      </c>
      <c r="C521" s="31" t="n">
        <v>46284</v>
      </c>
      <c r="D521" s="22" t="s">
        <v>297</v>
      </c>
      <c r="E521" s="22" t="s">
        <v>298</v>
      </c>
      <c r="F521" s="29" t="str">
        <f aca="false">IF(COUNTIF(Referral_Data!$C$5:$C$1000,B521)&gt;0,"Referred",IF(COUNTIF(Referral_Data!$B$5:$B$1000,B521)&gt;0,"Referrer","Organic"))</f>
        <v>Referrer</v>
      </c>
      <c r="G521" s="29" t="n">
        <f aca="false">IF(COUNTIFS($B$5:B521,B521,$C$5:C521,C521)=1,1,0)</f>
        <v>1</v>
      </c>
      <c r="H521" s="29" t="n">
        <f aca="false">IF(AND(G521=1,COUNTIFS($B$5:$B$1635,B521,$C$5:$C$1635,"&lt;"&amp;C521)&gt;0),1,0)</f>
        <v>1</v>
      </c>
      <c r="I521" s="29" t="n">
        <f aca="false">IF(AND(D521="Feature Use",COUNTIFS($B$5:B521,B521,$D$5:D521,"Feature Use",$E$5:E521,E521)=1),1,0)</f>
        <v>0</v>
      </c>
      <c r="J521" s="29" t="n">
        <f aca="false">IF(AND(D521="Feature Use",COUNTIFS($B$5:B521,B521,$D$5:D521,"Feature Use",$E$5:E521,E521)=2),1,0)</f>
        <v>0</v>
      </c>
      <c r="K521" s="29" t="n">
        <f aca="false">IF(COUNTIF($B$5:B521,B521)=1,1,0)</f>
        <v>0</v>
      </c>
      <c r="L521" s="29" t="n">
        <f aca="false">IF(AND(C521&gt;=Settings!$B$5-Settings!$B$8+1,C521&lt;=Settings!$B$5,COUNTIFS($B$5:B521,B521,$C$5:C521,"&gt;="&amp;(Settings!$B$5-Settings!$B$8+1),$C$5:C521,"&lt;="&amp;Settings!$B$5)=1),1,0)</f>
        <v>0</v>
      </c>
      <c r="M521" s="29" t="n">
        <f aca="false">IF(AND(C521&gt;=Settings!$B$5-Settings!$B$9+1,C521&lt;=Settings!$B$5,COUNTIFS($B$5:B521,B521,$C$5:C521,"&gt;="&amp;(Settings!$B$5-Settings!$B$9+1),$C$5:C521,"&lt;="&amp;Settings!$B$5)=1),1,0)</f>
        <v>0</v>
      </c>
      <c r="N521" s="29" t="n">
        <f aca="false">IF(AND(D521="Feature Use",COUNTIFS($B$5:B521,B521,$D$5:D521,"Feature Use")=1),1,0)</f>
        <v>0</v>
      </c>
    </row>
    <row r="522" customFormat="false" ht="15" hidden="false" customHeight="false" outlineLevel="0" collapsed="false">
      <c r="A522" s="22" t="s">
        <v>829</v>
      </c>
      <c r="B522" s="22" t="s">
        <v>190</v>
      </c>
      <c r="C522" s="31" t="n">
        <v>46284</v>
      </c>
      <c r="D522" s="22" t="s">
        <v>300</v>
      </c>
      <c r="E522" s="22" t="s">
        <v>305</v>
      </c>
      <c r="F522" s="29" t="str">
        <f aca="false">IF(COUNTIF(Referral_Data!$C$5:$C$1000,B522)&gt;0,"Referred",IF(COUNTIF(Referral_Data!$B$5:$B$1000,B522)&gt;0,"Referrer","Organic"))</f>
        <v>Referrer</v>
      </c>
      <c r="G522" s="29" t="n">
        <f aca="false">IF(COUNTIFS($B$5:B522,B522,$C$5:C522,C522)=1,1,0)</f>
        <v>0</v>
      </c>
      <c r="H522" s="29" t="n">
        <f aca="false">IF(AND(G522=1,COUNTIFS($B$5:$B$1635,B522,$C$5:$C$1635,"&lt;"&amp;C522)&gt;0),1,0)</f>
        <v>0</v>
      </c>
      <c r="I522" s="29" t="n">
        <f aca="false">IF(AND(D522="Feature Use",COUNTIFS($B$5:B522,B522,$D$5:D522,"Feature Use",$E$5:E522,E522)=1),1,0)</f>
        <v>0</v>
      </c>
      <c r="J522" s="29" t="n">
        <f aca="false">IF(AND(D522="Feature Use",COUNTIFS($B$5:B522,B522,$D$5:D522,"Feature Use",$E$5:E522,E522)=2),1,0)</f>
        <v>0</v>
      </c>
      <c r="K522" s="29" t="n">
        <f aca="false">IF(COUNTIF($B$5:B522,B522)=1,1,0)</f>
        <v>0</v>
      </c>
      <c r="L522" s="29" t="n">
        <f aca="false">IF(AND(C522&gt;=Settings!$B$5-Settings!$B$8+1,C522&lt;=Settings!$B$5,COUNTIFS($B$5:B522,B522,$C$5:C522,"&gt;="&amp;(Settings!$B$5-Settings!$B$8+1),$C$5:C522,"&lt;="&amp;Settings!$B$5)=1),1,0)</f>
        <v>0</v>
      </c>
      <c r="M522" s="29" t="n">
        <f aca="false">IF(AND(C522&gt;=Settings!$B$5-Settings!$B$9+1,C522&lt;=Settings!$B$5,COUNTIFS($B$5:B522,B522,$C$5:C522,"&gt;="&amp;(Settings!$B$5-Settings!$B$9+1),$C$5:C522,"&lt;="&amp;Settings!$B$5)=1),1,0)</f>
        <v>0</v>
      </c>
      <c r="N522" s="29" t="n">
        <f aca="false">IF(AND(D522="Feature Use",COUNTIFS($B$5:B522,B522,$D$5:D522,"Feature Use")=1),1,0)</f>
        <v>0</v>
      </c>
    </row>
    <row r="523" customFormat="false" ht="15" hidden="false" customHeight="false" outlineLevel="0" collapsed="false">
      <c r="A523" s="22" t="s">
        <v>830</v>
      </c>
      <c r="B523" s="22" t="s">
        <v>190</v>
      </c>
      <c r="C523" s="31" t="n">
        <v>46284</v>
      </c>
      <c r="D523" s="22" t="s">
        <v>308</v>
      </c>
      <c r="E523" s="22" t="s">
        <v>305</v>
      </c>
      <c r="F523" s="29" t="str">
        <f aca="false">IF(COUNTIF(Referral_Data!$C$5:$C$1000,B523)&gt;0,"Referred",IF(COUNTIF(Referral_Data!$B$5:$B$1000,B523)&gt;0,"Referrer","Organic"))</f>
        <v>Referrer</v>
      </c>
      <c r="G523" s="29" t="n">
        <f aca="false">IF(COUNTIFS($B$5:B523,B523,$C$5:C523,C523)=1,1,0)</f>
        <v>0</v>
      </c>
      <c r="H523" s="29" t="n">
        <f aca="false">IF(AND(G523=1,COUNTIFS($B$5:$B$1635,B523,$C$5:$C$1635,"&lt;"&amp;C523)&gt;0),1,0)</f>
        <v>0</v>
      </c>
      <c r="I523" s="29" t="n">
        <f aca="false">IF(AND(D523="Feature Use",COUNTIFS($B$5:B523,B523,$D$5:D523,"Feature Use",$E$5:E523,E523)=1),1,0)</f>
        <v>0</v>
      </c>
      <c r="J523" s="29" t="n">
        <f aca="false">IF(AND(D523="Feature Use",COUNTIFS($B$5:B523,B523,$D$5:D523,"Feature Use",$E$5:E523,E523)=2),1,0)</f>
        <v>0</v>
      </c>
      <c r="K523" s="29" t="n">
        <f aca="false">IF(COUNTIF($B$5:B523,B523)=1,1,0)</f>
        <v>0</v>
      </c>
      <c r="L523" s="29" t="n">
        <f aca="false">IF(AND(C523&gt;=Settings!$B$5-Settings!$B$8+1,C523&lt;=Settings!$B$5,COUNTIFS($B$5:B523,B523,$C$5:C523,"&gt;="&amp;(Settings!$B$5-Settings!$B$8+1),$C$5:C523,"&lt;="&amp;Settings!$B$5)=1),1,0)</f>
        <v>0</v>
      </c>
      <c r="M523" s="29" t="n">
        <f aca="false">IF(AND(C523&gt;=Settings!$B$5-Settings!$B$9+1,C523&lt;=Settings!$B$5,COUNTIFS($B$5:B523,B523,$C$5:C523,"&gt;="&amp;(Settings!$B$5-Settings!$B$9+1),$C$5:C523,"&lt;="&amp;Settings!$B$5)=1),1,0)</f>
        <v>0</v>
      </c>
      <c r="N523" s="29" t="n">
        <f aca="false">IF(AND(D523="Feature Use",COUNTIFS($B$5:B523,B523,$D$5:D523,"Feature Use")=1),1,0)</f>
        <v>0</v>
      </c>
    </row>
    <row r="524" customFormat="false" ht="15" hidden="false" customHeight="false" outlineLevel="0" collapsed="false">
      <c r="A524" s="22" t="s">
        <v>831</v>
      </c>
      <c r="B524" s="22" t="s">
        <v>296</v>
      </c>
      <c r="C524" s="31" t="n">
        <v>46285</v>
      </c>
      <c r="D524" s="22" t="s">
        <v>297</v>
      </c>
      <c r="E524" s="22" t="s">
        <v>298</v>
      </c>
      <c r="F524" s="29" t="str">
        <f aca="false">IF(COUNTIF(Referral_Data!$C$5:$C$1000,B524)&gt;0,"Referred",IF(COUNTIF(Referral_Data!$B$5:$B$1000,B524)&gt;0,"Referrer","Organic"))</f>
        <v>Organic</v>
      </c>
      <c r="G524" s="29" t="n">
        <f aca="false">IF(COUNTIFS($B$5:B524,B524,$C$5:C524,C524)=1,1,0)</f>
        <v>1</v>
      </c>
      <c r="H524" s="29" t="n">
        <f aca="false">IF(AND(G524=1,COUNTIFS($B$5:$B$1635,B524,$C$5:$C$1635,"&lt;"&amp;C524)&gt;0),1,0)</f>
        <v>1</v>
      </c>
      <c r="I524" s="29" t="n">
        <f aca="false">IF(AND(D524="Feature Use",COUNTIFS($B$5:B524,B524,$D$5:D524,"Feature Use",$E$5:E524,E524)=1),1,0)</f>
        <v>0</v>
      </c>
      <c r="J524" s="29" t="n">
        <f aca="false">IF(AND(D524="Feature Use",COUNTIFS($B$5:B524,B524,$D$5:D524,"Feature Use",$E$5:E524,E524)=2),1,0)</f>
        <v>0</v>
      </c>
      <c r="K524" s="29" t="n">
        <f aca="false">IF(COUNTIF($B$5:B524,B524)=1,1,0)</f>
        <v>0</v>
      </c>
      <c r="L524" s="29" t="n">
        <f aca="false">IF(AND(C524&gt;=Settings!$B$5-Settings!$B$8+1,C524&lt;=Settings!$B$5,COUNTIFS($B$5:B524,B524,$C$5:C524,"&gt;="&amp;(Settings!$B$5-Settings!$B$8+1),$C$5:C524,"&lt;="&amp;Settings!$B$5)=1),1,0)</f>
        <v>0</v>
      </c>
      <c r="M524" s="29" t="n">
        <f aca="false">IF(AND(C524&gt;=Settings!$B$5-Settings!$B$9+1,C524&lt;=Settings!$B$5,COUNTIFS($B$5:B524,B524,$C$5:C524,"&gt;="&amp;(Settings!$B$5-Settings!$B$9+1),$C$5:C524,"&lt;="&amp;Settings!$B$5)=1),1,0)</f>
        <v>0</v>
      </c>
      <c r="N524" s="29" t="n">
        <f aca="false">IF(AND(D524="Feature Use",COUNTIFS($B$5:B524,B524,$D$5:D524,"Feature Use")=1),1,0)</f>
        <v>0</v>
      </c>
    </row>
    <row r="525" customFormat="false" ht="15" hidden="false" customHeight="false" outlineLevel="0" collapsed="false">
      <c r="A525" s="22" t="s">
        <v>832</v>
      </c>
      <c r="B525" s="22" t="s">
        <v>296</v>
      </c>
      <c r="C525" s="31" t="n">
        <v>46285</v>
      </c>
      <c r="D525" s="22" t="s">
        <v>300</v>
      </c>
      <c r="E525" s="22" t="s">
        <v>305</v>
      </c>
      <c r="F525" s="29" t="str">
        <f aca="false">IF(COUNTIF(Referral_Data!$C$5:$C$1000,B525)&gt;0,"Referred",IF(COUNTIF(Referral_Data!$B$5:$B$1000,B525)&gt;0,"Referrer","Organic"))</f>
        <v>Organic</v>
      </c>
      <c r="G525" s="29" t="n">
        <f aca="false">IF(COUNTIFS($B$5:B525,B525,$C$5:C525,C525)=1,1,0)</f>
        <v>0</v>
      </c>
      <c r="H525" s="29" t="n">
        <f aca="false">IF(AND(G525=1,COUNTIFS($B$5:$B$1635,B525,$C$5:$C$1635,"&lt;"&amp;C525)&gt;0),1,0)</f>
        <v>0</v>
      </c>
      <c r="I525" s="29" t="n">
        <f aca="false">IF(AND(D525="Feature Use",COUNTIFS($B$5:B525,B525,$D$5:D525,"Feature Use",$E$5:E525,E525)=1),1,0)</f>
        <v>0</v>
      </c>
      <c r="J525" s="29" t="n">
        <f aca="false">IF(AND(D525="Feature Use",COUNTIFS($B$5:B525,B525,$D$5:D525,"Feature Use",$E$5:E525,E525)=2),1,0)</f>
        <v>0</v>
      </c>
      <c r="K525" s="29" t="n">
        <f aca="false">IF(COUNTIF($B$5:B525,B525)=1,1,0)</f>
        <v>0</v>
      </c>
      <c r="L525" s="29" t="n">
        <f aca="false">IF(AND(C525&gt;=Settings!$B$5-Settings!$B$8+1,C525&lt;=Settings!$B$5,COUNTIFS($B$5:B525,B525,$C$5:C525,"&gt;="&amp;(Settings!$B$5-Settings!$B$8+1),$C$5:C525,"&lt;="&amp;Settings!$B$5)=1),1,0)</f>
        <v>0</v>
      </c>
      <c r="M525" s="29" t="n">
        <f aca="false">IF(AND(C525&gt;=Settings!$B$5-Settings!$B$9+1,C525&lt;=Settings!$B$5,COUNTIFS($B$5:B525,B525,$C$5:C525,"&gt;="&amp;(Settings!$B$5-Settings!$B$9+1),$C$5:C525,"&lt;="&amp;Settings!$B$5)=1),1,0)</f>
        <v>0</v>
      </c>
      <c r="N525" s="29" t="n">
        <f aca="false">IF(AND(D525="Feature Use",COUNTIFS($B$5:B525,B525,$D$5:D525,"Feature Use")=1),1,0)</f>
        <v>0</v>
      </c>
    </row>
    <row r="526" customFormat="false" ht="15" hidden="false" customHeight="false" outlineLevel="0" collapsed="false">
      <c r="A526" s="22" t="s">
        <v>833</v>
      </c>
      <c r="B526" s="22" t="s">
        <v>296</v>
      </c>
      <c r="C526" s="31" t="n">
        <v>46285</v>
      </c>
      <c r="D526" s="22" t="s">
        <v>300</v>
      </c>
      <c r="E526" s="22" t="s">
        <v>305</v>
      </c>
      <c r="F526" s="29" t="str">
        <f aca="false">IF(COUNTIF(Referral_Data!$C$5:$C$1000,B526)&gt;0,"Referred",IF(COUNTIF(Referral_Data!$B$5:$B$1000,B526)&gt;0,"Referrer","Organic"))</f>
        <v>Organic</v>
      </c>
      <c r="G526" s="29" t="n">
        <f aca="false">IF(COUNTIFS($B$5:B526,B526,$C$5:C526,C526)=1,1,0)</f>
        <v>0</v>
      </c>
      <c r="H526" s="29" t="n">
        <f aca="false">IF(AND(G526=1,COUNTIFS($B$5:$B$1635,B526,$C$5:$C$1635,"&lt;"&amp;C526)&gt;0),1,0)</f>
        <v>0</v>
      </c>
      <c r="I526" s="29" t="n">
        <f aca="false">IF(AND(D526="Feature Use",COUNTIFS($B$5:B526,B526,$D$5:D526,"Feature Use",$E$5:E526,E526)=1),1,0)</f>
        <v>0</v>
      </c>
      <c r="J526" s="29" t="n">
        <f aca="false">IF(AND(D526="Feature Use",COUNTIFS($B$5:B526,B526,$D$5:D526,"Feature Use",$E$5:E526,E526)=2),1,0)</f>
        <v>0</v>
      </c>
      <c r="K526" s="29" t="n">
        <f aca="false">IF(COUNTIF($B$5:B526,B526)=1,1,0)</f>
        <v>0</v>
      </c>
      <c r="L526" s="29" t="n">
        <f aca="false">IF(AND(C526&gt;=Settings!$B$5-Settings!$B$8+1,C526&lt;=Settings!$B$5,COUNTIFS($B$5:B526,B526,$C$5:C526,"&gt;="&amp;(Settings!$B$5-Settings!$B$8+1),$C$5:C526,"&lt;="&amp;Settings!$B$5)=1),1,0)</f>
        <v>0</v>
      </c>
      <c r="M526" s="29" t="n">
        <f aca="false">IF(AND(C526&gt;=Settings!$B$5-Settings!$B$9+1,C526&lt;=Settings!$B$5,COUNTIFS($B$5:B526,B526,$C$5:C526,"&gt;="&amp;(Settings!$B$5-Settings!$B$9+1),$C$5:C526,"&lt;="&amp;Settings!$B$5)=1),1,0)</f>
        <v>0</v>
      </c>
      <c r="N526" s="29" t="n">
        <f aca="false">IF(AND(D526="Feature Use",COUNTIFS($B$5:B526,B526,$D$5:D526,"Feature Use")=1),1,0)</f>
        <v>0</v>
      </c>
    </row>
    <row r="527" customFormat="false" ht="15" hidden="false" customHeight="false" outlineLevel="0" collapsed="false">
      <c r="A527" s="22" t="s">
        <v>834</v>
      </c>
      <c r="B527" s="22" t="s">
        <v>296</v>
      </c>
      <c r="C527" s="31" t="n">
        <v>46285</v>
      </c>
      <c r="D527" s="22" t="s">
        <v>308</v>
      </c>
      <c r="E527" s="22" t="s">
        <v>311</v>
      </c>
      <c r="F527" s="29" t="str">
        <f aca="false">IF(COUNTIF(Referral_Data!$C$5:$C$1000,B527)&gt;0,"Referred",IF(COUNTIF(Referral_Data!$B$5:$B$1000,B527)&gt;0,"Referrer","Organic"))</f>
        <v>Organic</v>
      </c>
      <c r="G527" s="29" t="n">
        <f aca="false">IF(COUNTIFS($B$5:B527,B527,$C$5:C527,C527)=1,1,0)</f>
        <v>0</v>
      </c>
      <c r="H527" s="29" t="n">
        <f aca="false">IF(AND(G527=1,COUNTIFS($B$5:$B$1635,B527,$C$5:$C$1635,"&lt;"&amp;C527)&gt;0),1,0)</f>
        <v>0</v>
      </c>
      <c r="I527" s="29" t="n">
        <f aca="false">IF(AND(D527="Feature Use",COUNTIFS($B$5:B527,B527,$D$5:D527,"Feature Use",$E$5:E527,E527)=1),1,0)</f>
        <v>0</v>
      </c>
      <c r="J527" s="29" t="n">
        <f aca="false">IF(AND(D527="Feature Use",COUNTIFS($B$5:B527,B527,$D$5:D527,"Feature Use",$E$5:E527,E527)=2),1,0)</f>
        <v>0</v>
      </c>
      <c r="K527" s="29" t="n">
        <f aca="false">IF(COUNTIF($B$5:B527,B527)=1,1,0)</f>
        <v>0</v>
      </c>
      <c r="L527" s="29" t="n">
        <f aca="false">IF(AND(C527&gt;=Settings!$B$5-Settings!$B$8+1,C527&lt;=Settings!$B$5,COUNTIFS($B$5:B527,B527,$C$5:C527,"&gt;="&amp;(Settings!$B$5-Settings!$B$8+1),$C$5:C527,"&lt;="&amp;Settings!$B$5)=1),1,0)</f>
        <v>0</v>
      </c>
      <c r="M527" s="29" t="n">
        <f aca="false">IF(AND(C527&gt;=Settings!$B$5-Settings!$B$9+1,C527&lt;=Settings!$B$5,COUNTIFS($B$5:B527,B527,$C$5:C527,"&gt;="&amp;(Settings!$B$5-Settings!$B$9+1),$C$5:C527,"&lt;="&amp;Settings!$B$5)=1),1,0)</f>
        <v>0</v>
      </c>
      <c r="N527" s="29" t="n">
        <f aca="false">IF(AND(D527="Feature Use",COUNTIFS($B$5:B527,B527,$D$5:D527,"Feature Use")=1),1,0)</f>
        <v>0</v>
      </c>
    </row>
    <row r="528" customFormat="false" ht="15" hidden="false" customHeight="false" outlineLevel="0" collapsed="false">
      <c r="A528" s="22" t="s">
        <v>835</v>
      </c>
      <c r="B528" s="22" t="s">
        <v>530</v>
      </c>
      <c r="C528" s="31" t="n">
        <v>46285</v>
      </c>
      <c r="D528" s="22" t="s">
        <v>297</v>
      </c>
      <c r="E528" s="22" t="s">
        <v>298</v>
      </c>
      <c r="F528" s="29" t="str">
        <f aca="false">IF(COUNTIF(Referral_Data!$C$5:$C$1000,B528)&gt;0,"Referred",IF(COUNTIF(Referral_Data!$B$5:$B$1000,B528)&gt;0,"Referrer","Organic"))</f>
        <v>Organic</v>
      </c>
      <c r="G528" s="29" t="n">
        <f aca="false">IF(COUNTIFS($B$5:B528,B528,$C$5:C528,C528)=1,1,0)</f>
        <v>1</v>
      </c>
      <c r="H528" s="29" t="n">
        <f aca="false">IF(AND(G528=1,COUNTIFS($B$5:$B$1635,B528,$C$5:$C$1635,"&lt;"&amp;C528)&gt;0),1,0)</f>
        <v>1</v>
      </c>
      <c r="I528" s="29" t="n">
        <f aca="false">IF(AND(D528="Feature Use",COUNTIFS($B$5:B528,B528,$D$5:D528,"Feature Use",$E$5:E528,E528)=1),1,0)</f>
        <v>0</v>
      </c>
      <c r="J528" s="29" t="n">
        <f aca="false">IF(AND(D528="Feature Use",COUNTIFS($B$5:B528,B528,$D$5:D528,"Feature Use",$E$5:E528,E528)=2),1,0)</f>
        <v>0</v>
      </c>
      <c r="K528" s="29" t="n">
        <f aca="false">IF(COUNTIF($B$5:B528,B528)=1,1,0)</f>
        <v>0</v>
      </c>
      <c r="L528" s="29" t="n">
        <f aca="false">IF(AND(C528&gt;=Settings!$B$5-Settings!$B$8+1,C528&lt;=Settings!$B$5,COUNTIFS($B$5:B528,B528,$C$5:C528,"&gt;="&amp;(Settings!$B$5-Settings!$B$8+1),$C$5:C528,"&lt;="&amp;Settings!$B$5)=1),1,0)</f>
        <v>0</v>
      </c>
      <c r="M528" s="29" t="n">
        <f aca="false">IF(AND(C528&gt;=Settings!$B$5-Settings!$B$9+1,C528&lt;=Settings!$B$5,COUNTIFS($B$5:B528,B528,$C$5:C528,"&gt;="&amp;(Settings!$B$5-Settings!$B$9+1),$C$5:C528,"&lt;="&amp;Settings!$B$5)=1),1,0)</f>
        <v>1</v>
      </c>
      <c r="N528" s="29" t="n">
        <f aca="false">IF(AND(D528="Feature Use",COUNTIFS($B$5:B528,B528,$D$5:D528,"Feature Use")=1),1,0)</f>
        <v>0</v>
      </c>
    </row>
    <row r="529" customFormat="false" ht="15" hidden="false" customHeight="false" outlineLevel="0" collapsed="false">
      <c r="A529" s="22" t="s">
        <v>836</v>
      </c>
      <c r="B529" s="22" t="s">
        <v>530</v>
      </c>
      <c r="C529" s="31" t="n">
        <v>46285</v>
      </c>
      <c r="D529" s="22" t="s">
        <v>300</v>
      </c>
      <c r="E529" s="22" t="s">
        <v>305</v>
      </c>
      <c r="F529" s="29" t="str">
        <f aca="false">IF(COUNTIF(Referral_Data!$C$5:$C$1000,B529)&gt;0,"Referred",IF(COUNTIF(Referral_Data!$B$5:$B$1000,B529)&gt;0,"Referrer","Organic"))</f>
        <v>Organic</v>
      </c>
      <c r="G529" s="29" t="n">
        <f aca="false">IF(COUNTIFS($B$5:B529,B529,$C$5:C529,C529)=1,1,0)</f>
        <v>0</v>
      </c>
      <c r="H529" s="29" t="n">
        <f aca="false">IF(AND(G529=1,COUNTIFS($B$5:$B$1635,B529,$C$5:$C$1635,"&lt;"&amp;C529)&gt;0),1,0)</f>
        <v>0</v>
      </c>
      <c r="I529" s="29" t="n">
        <f aca="false">IF(AND(D529="Feature Use",COUNTIFS($B$5:B529,B529,$D$5:D529,"Feature Use",$E$5:E529,E529)=1),1,0)</f>
        <v>0</v>
      </c>
      <c r="J529" s="29" t="n">
        <f aca="false">IF(AND(D529="Feature Use",COUNTIFS($B$5:B529,B529,$D$5:D529,"Feature Use",$E$5:E529,E529)=2),1,0)</f>
        <v>0</v>
      </c>
      <c r="K529" s="29" t="n">
        <f aca="false">IF(COUNTIF($B$5:B529,B529)=1,1,0)</f>
        <v>0</v>
      </c>
      <c r="L529" s="29" t="n">
        <f aca="false">IF(AND(C529&gt;=Settings!$B$5-Settings!$B$8+1,C529&lt;=Settings!$B$5,COUNTIFS($B$5:B529,B529,$C$5:C529,"&gt;="&amp;(Settings!$B$5-Settings!$B$8+1),$C$5:C529,"&lt;="&amp;Settings!$B$5)=1),1,0)</f>
        <v>0</v>
      </c>
      <c r="M529" s="29" t="n">
        <f aca="false">IF(AND(C529&gt;=Settings!$B$5-Settings!$B$9+1,C529&lt;=Settings!$B$5,COUNTIFS($B$5:B529,B529,$C$5:C529,"&gt;="&amp;(Settings!$B$5-Settings!$B$9+1),$C$5:C529,"&lt;="&amp;Settings!$B$5)=1),1,0)</f>
        <v>0</v>
      </c>
      <c r="N529" s="29" t="n">
        <f aca="false">IF(AND(D529="Feature Use",COUNTIFS($B$5:B529,B529,$D$5:D529,"Feature Use")=1),1,0)</f>
        <v>0</v>
      </c>
    </row>
    <row r="530" customFormat="false" ht="15" hidden="false" customHeight="false" outlineLevel="0" collapsed="false">
      <c r="A530" s="22" t="s">
        <v>837</v>
      </c>
      <c r="B530" s="22" t="s">
        <v>530</v>
      </c>
      <c r="C530" s="31" t="n">
        <v>46285</v>
      </c>
      <c r="D530" s="22" t="s">
        <v>300</v>
      </c>
      <c r="E530" s="22" t="s">
        <v>301</v>
      </c>
      <c r="F530" s="29" t="str">
        <f aca="false">IF(COUNTIF(Referral_Data!$C$5:$C$1000,B530)&gt;0,"Referred",IF(COUNTIF(Referral_Data!$B$5:$B$1000,B530)&gt;0,"Referrer","Organic"))</f>
        <v>Organic</v>
      </c>
      <c r="G530" s="29" t="n">
        <f aca="false">IF(COUNTIFS($B$5:B530,B530,$C$5:C530,C530)=1,1,0)</f>
        <v>0</v>
      </c>
      <c r="H530" s="29" t="n">
        <f aca="false">IF(AND(G530=1,COUNTIFS($B$5:$B$1635,B530,$C$5:$C$1635,"&lt;"&amp;C530)&gt;0),1,0)</f>
        <v>0</v>
      </c>
      <c r="I530" s="29" t="n">
        <f aca="false">IF(AND(D530="Feature Use",COUNTIFS($B$5:B530,B530,$D$5:D530,"Feature Use",$E$5:E530,E530)=1),1,0)</f>
        <v>1</v>
      </c>
      <c r="J530" s="29" t="n">
        <f aca="false">IF(AND(D530="Feature Use",COUNTIFS($B$5:B530,B530,$D$5:D530,"Feature Use",$E$5:E530,E530)=2),1,0)</f>
        <v>0</v>
      </c>
      <c r="K530" s="29" t="n">
        <f aca="false">IF(COUNTIF($B$5:B530,B530)=1,1,0)</f>
        <v>0</v>
      </c>
      <c r="L530" s="29" t="n">
        <f aca="false">IF(AND(C530&gt;=Settings!$B$5-Settings!$B$8+1,C530&lt;=Settings!$B$5,COUNTIFS($B$5:B530,B530,$C$5:C530,"&gt;="&amp;(Settings!$B$5-Settings!$B$8+1),$C$5:C530,"&lt;="&amp;Settings!$B$5)=1),1,0)</f>
        <v>0</v>
      </c>
      <c r="M530" s="29" t="n">
        <f aca="false">IF(AND(C530&gt;=Settings!$B$5-Settings!$B$9+1,C530&lt;=Settings!$B$5,COUNTIFS($B$5:B530,B530,$C$5:C530,"&gt;="&amp;(Settings!$B$5-Settings!$B$9+1),$C$5:C530,"&lt;="&amp;Settings!$B$5)=1),1,0)</f>
        <v>0</v>
      </c>
      <c r="N530" s="29" t="n">
        <f aca="false">IF(AND(D530="Feature Use",COUNTIFS($B$5:B530,B530,$D$5:D530,"Feature Use")=1),1,0)</f>
        <v>0</v>
      </c>
    </row>
    <row r="531" customFormat="false" ht="15" hidden="false" customHeight="false" outlineLevel="0" collapsed="false">
      <c r="A531" s="22" t="s">
        <v>838</v>
      </c>
      <c r="B531" s="22" t="s">
        <v>184</v>
      </c>
      <c r="C531" s="31" t="n">
        <v>46285</v>
      </c>
      <c r="D531" s="22" t="s">
        <v>297</v>
      </c>
      <c r="E531" s="22" t="s">
        <v>298</v>
      </c>
      <c r="F531" s="29" t="str">
        <f aca="false">IF(COUNTIF(Referral_Data!$C$5:$C$1000,B531)&gt;0,"Referred",IF(COUNTIF(Referral_Data!$B$5:$B$1000,B531)&gt;0,"Referrer","Organic"))</f>
        <v>Referred</v>
      </c>
      <c r="G531" s="29" t="n">
        <f aca="false">IF(COUNTIFS($B$5:B531,B531,$C$5:C531,C531)=1,1,0)</f>
        <v>1</v>
      </c>
      <c r="H531" s="29" t="n">
        <f aca="false">IF(AND(G531=1,COUNTIFS($B$5:$B$1635,B531,$C$5:$C$1635,"&lt;"&amp;C531)&gt;0),1,0)</f>
        <v>1</v>
      </c>
      <c r="I531" s="29" t="n">
        <f aca="false">IF(AND(D531="Feature Use",COUNTIFS($B$5:B531,B531,$D$5:D531,"Feature Use",$E$5:E531,E531)=1),1,0)</f>
        <v>0</v>
      </c>
      <c r="J531" s="29" t="n">
        <f aca="false">IF(AND(D531="Feature Use",COUNTIFS($B$5:B531,B531,$D$5:D531,"Feature Use",$E$5:E531,E531)=2),1,0)</f>
        <v>0</v>
      </c>
      <c r="K531" s="29" t="n">
        <f aca="false">IF(COUNTIF($B$5:B531,B531)=1,1,0)</f>
        <v>0</v>
      </c>
      <c r="L531" s="29" t="n">
        <f aca="false">IF(AND(C531&gt;=Settings!$B$5-Settings!$B$8+1,C531&lt;=Settings!$B$5,COUNTIFS($B$5:B531,B531,$C$5:C531,"&gt;="&amp;(Settings!$B$5-Settings!$B$8+1),$C$5:C531,"&lt;="&amp;Settings!$B$5)=1),1,0)</f>
        <v>0</v>
      </c>
      <c r="M531" s="29" t="n">
        <f aca="false">IF(AND(C531&gt;=Settings!$B$5-Settings!$B$9+1,C531&lt;=Settings!$B$5,COUNTIFS($B$5:B531,B531,$C$5:C531,"&gt;="&amp;(Settings!$B$5-Settings!$B$9+1),$C$5:C531,"&lt;="&amp;Settings!$B$5)=1),1,0)</f>
        <v>0</v>
      </c>
      <c r="N531" s="29" t="n">
        <f aca="false">IF(AND(D531="Feature Use",COUNTIFS($B$5:B531,B531,$D$5:D531,"Feature Use")=1),1,0)</f>
        <v>0</v>
      </c>
    </row>
    <row r="532" customFormat="false" ht="15" hidden="false" customHeight="false" outlineLevel="0" collapsed="false">
      <c r="A532" s="22" t="s">
        <v>839</v>
      </c>
      <c r="B532" s="22" t="s">
        <v>184</v>
      </c>
      <c r="C532" s="31" t="n">
        <v>46285</v>
      </c>
      <c r="D532" s="22" t="s">
        <v>300</v>
      </c>
      <c r="E532" s="22" t="s">
        <v>311</v>
      </c>
      <c r="F532" s="29" t="str">
        <f aca="false">IF(COUNTIF(Referral_Data!$C$5:$C$1000,B532)&gt;0,"Referred",IF(COUNTIF(Referral_Data!$B$5:$B$1000,B532)&gt;0,"Referrer","Organic"))</f>
        <v>Referred</v>
      </c>
      <c r="G532" s="29" t="n">
        <f aca="false">IF(COUNTIFS($B$5:B532,B532,$C$5:C532,C532)=1,1,0)</f>
        <v>0</v>
      </c>
      <c r="H532" s="29" t="n">
        <f aca="false">IF(AND(G532=1,COUNTIFS($B$5:$B$1635,B532,$C$5:$C$1635,"&lt;"&amp;C532)&gt;0),1,0)</f>
        <v>0</v>
      </c>
      <c r="I532" s="29" t="n">
        <f aca="false">IF(AND(D532="Feature Use",COUNTIFS($B$5:B532,B532,$D$5:D532,"Feature Use",$E$5:E532,E532)=1),1,0)</f>
        <v>0</v>
      </c>
      <c r="J532" s="29" t="n">
        <f aca="false">IF(AND(D532="Feature Use",COUNTIFS($B$5:B532,B532,$D$5:D532,"Feature Use",$E$5:E532,E532)=2),1,0)</f>
        <v>0</v>
      </c>
      <c r="K532" s="29" t="n">
        <f aca="false">IF(COUNTIF($B$5:B532,B532)=1,1,0)</f>
        <v>0</v>
      </c>
      <c r="L532" s="29" t="n">
        <f aca="false">IF(AND(C532&gt;=Settings!$B$5-Settings!$B$8+1,C532&lt;=Settings!$B$5,COUNTIFS($B$5:B532,B532,$C$5:C532,"&gt;="&amp;(Settings!$B$5-Settings!$B$8+1),$C$5:C532,"&lt;="&amp;Settings!$B$5)=1),1,0)</f>
        <v>0</v>
      </c>
      <c r="M532" s="29" t="n">
        <f aca="false">IF(AND(C532&gt;=Settings!$B$5-Settings!$B$9+1,C532&lt;=Settings!$B$5,COUNTIFS($B$5:B532,B532,$C$5:C532,"&gt;="&amp;(Settings!$B$5-Settings!$B$9+1),$C$5:C532,"&lt;="&amp;Settings!$B$5)=1),1,0)</f>
        <v>0</v>
      </c>
      <c r="N532" s="29" t="n">
        <f aca="false">IF(AND(D532="Feature Use",COUNTIFS($B$5:B532,B532,$D$5:D532,"Feature Use")=1),1,0)</f>
        <v>0</v>
      </c>
    </row>
    <row r="533" customFormat="false" ht="15" hidden="false" customHeight="false" outlineLevel="0" collapsed="false">
      <c r="A533" s="22" t="s">
        <v>840</v>
      </c>
      <c r="B533" s="22" t="s">
        <v>184</v>
      </c>
      <c r="C533" s="31" t="n">
        <v>46285</v>
      </c>
      <c r="D533" s="22" t="s">
        <v>308</v>
      </c>
      <c r="E533" s="22" t="s">
        <v>309</v>
      </c>
      <c r="F533" s="29" t="str">
        <f aca="false">IF(COUNTIF(Referral_Data!$C$5:$C$1000,B533)&gt;0,"Referred",IF(COUNTIF(Referral_Data!$B$5:$B$1000,B533)&gt;0,"Referrer","Organic"))</f>
        <v>Referred</v>
      </c>
      <c r="G533" s="29" t="n">
        <f aca="false">IF(COUNTIFS($B$5:B533,B533,$C$5:C533,C533)=1,1,0)</f>
        <v>0</v>
      </c>
      <c r="H533" s="29" t="n">
        <f aca="false">IF(AND(G533=1,COUNTIFS($B$5:$B$1635,B533,$C$5:$C$1635,"&lt;"&amp;C533)&gt;0),1,0)</f>
        <v>0</v>
      </c>
      <c r="I533" s="29" t="n">
        <f aca="false">IF(AND(D533="Feature Use",COUNTIFS($B$5:B533,B533,$D$5:D533,"Feature Use",$E$5:E533,E533)=1),1,0)</f>
        <v>0</v>
      </c>
      <c r="J533" s="29" t="n">
        <f aca="false">IF(AND(D533="Feature Use",COUNTIFS($B$5:B533,B533,$D$5:D533,"Feature Use",$E$5:E533,E533)=2),1,0)</f>
        <v>0</v>
      </c>
      <c r="K533" s="29" t="n">
        <f aca="false">IF(COUNTIF($B$5:B533,B533)=1,1,0)</f>
        <v>0</v>
      </c>
      <c r="L533" s="29" t="n">
        <f aca="false">IF(AND(C533&gt;=Settings!$B$5-Settings!$B$8+1,C533&lt;=Settings!$B$5,COUNTIFS($B$5:B533,B533,$C$5:C533,"&gt;="&amp;(Settings!$B$5-Settings!$B$8+1),$C$5:C533,"&lt;="&amp;Settings!$B$5)=1),1,0)</f>
        <v>0</v>
      </c>
      <c r="M533" s="29" t="n">
        <f aca="false">IF(AND(C533&gt;=Settings!$B$5-Settings!$B$9+1,C533&lt;=Settings!$B$5,COUNTIFS($B$5:B533,B533,$C$5:C533,"&gt;="&amp;(Settings!$B$5-Settings!$B$9+1),$C$5:C533,"&lt;="&amp;Settings!$B$5)=1),1,0)</f>
        <v>0</v>
      </c>
      <c r="N533" s="29" t="n">
        <f aca="false">IF(AND(D533="Feature Use",COUNTIFS($B$5:B533,B533,$D$5:D533,"Feature Use")=1),1,0)</f>
        <v>0</v>
      </c>
    </row>
    <row r="534" customFormat="false" ht="15" hidden="false" customHeight="false" outlineLevel="0" collapsed="false">
      <c r="A534" s="22" t="s">
        <v>841</v>
      </c>
      <c r="B534" s="22" t="s">
        <v>184</v>
      </c>
      <c r="C534" s="31" t="n">
        <v>46285</v>
      </c>
      <c r="D534" s="22" t="s">
        <v>308</v>
      </c>
      <c r="E534" s="22" t="s">
        <v>305</v>
      </c>
      <c r="F534" s="29" t="str">
        <f aca="false">IF(COUNTIF(Referral_Data!$C$5:$C$1000,B534)&gt;0,"Referred",IF(COUNTIF(Referral_Data!$B$5:$B$1000,B534)&gt;0,"Referrer","Organic"))</f>
        <v>Referred</v>
      </c>
      <c r="G534" s="29" t="n">
        <f aca="false">IF(COUNTIFS($B$5:B534,B534,$C$5:C534,C534)=1,1,0)</f>
        <v>0</v>
      </c>
      <c r="H534" s="29" t="n">
        <f aca="false">IF(AND(G534=1,COUNTIFS($B$5:$B$1635,B534,$C$5:$C$1635,"&lt;"&amp;C534)&gt;0),1,0)</f>
        <v>0</v>
      </c>
      <c r="I534" s="29" t="n">
        <f aca="false">IF(AND(D534="Feature Use",COUNTIFS($B$5:B534,B534,$D$5:D534,"Feature Use",$E$5:E534,E534)=1),1,0)</f>
        <v>0</v>
      </c>
      <c r="J534" s="29" t="n">
        <f aca="false">IF(AND(D534="Feature Use",COUNTIFS($B$5:B534,B534,$D$5:D534,"Feature Use",$E$5:E534,E534)=2),1,0)</f>
        <v>0</v>
      </c>
      <c r="K534" s="29" t="n">
        <f aca="false">IF(COUNTIF($B$5:B534,B534)=1,1,0)</f>
        <v>0</v>
      </c>
      <c r="L534" s="29" t="n">
        <f aca="false">IF(AND(C534&gt;=Settings!$B$5-Settings!$B$8+1,C534&lt;=Settings!$B$5,COUNTIFS($B$5:B534,B534,$C$5:C534,"&gt;="&amp;(Settings!$B$5-Settings!$B$8+1),$C$5:C534,"&lt;="&amp;Settings!$B$5)=1),1,0)</f>
        <v>0</v>
      </c>
      <c r="M534" s="29" t="n">
        <f aca="false">IF(AND(C534&gt;=Settings!$B$5-Settings!$B$9+1,C534&lt;=Settings!$B$5,COUNTIFS($B$5:B534,B534,$C$5:C534,"&gt;="&amp;(Settings!$B$5-Settings!$B$9+1),$C$5:C534,"&lt;="&amp;Settings!$B$5)=1),1,0)</f>
        <v>0</v>
      </c>
      <c r="N534" s="29" t="n">
        <f aca="false">IF(AND(D534="Feature Use",COUNTIFS($B$5:B534,B534,$D$5:D534,"Feature Use")=1),1,0)</f>
        <v>0</v>
      </c>
    </row>
    <row r="535" customFormat="false" ht="15" hidden="false" customHeight="false" outlineLevel="0" collapsed="false">
      <c r="A535" s="22" t="s">
        <v>842</v>
      </c>
      <c r="B535" s="22" t="s">
        <v>192</v>
      </c>
      <c r="C535" s="31" t="n">
        <v>46285</v>
      </c>
      <c r="D535" s="22" t="s">
        <v>297</v>
      </c>
      <c r="E535" s="22" t="s">
        <v>298</v>
      </c>
      <c r="F535" s="29" t="str">
        <f aca="false">IF(COUNTIF(Referral_Data!$C$5:$C$1000,B535)&gt;0,"Referred",IF(COUNTIF(Referral_Data!$B$5:$B$1000,B535)&gt;0,"Referrer","Organic"))</f>
        <v>Referred</v>
      </c>
      <c r="G535" s="29" t="n">
        <f aca="false">IF(COUNTIFS($B$5:B535,B535,$C$5:C535,C535)=1,1,0)</f>
        <v>1</v>
      </c>
      <c r="H535" s="29" t="n">
        <f aca="false">IF(AND(G535=1,COUNTIFS($B$5:$B$1635,B535,$C$5:$C$1635,"&lt;"&amp;C535)&gt;0),1,0)</f>
        <v>1</v>
      </c>
      <c r="I535" s="29" t="n">
        <f aca="false">IF(AND(D535="Feature Use",COUNTIFS($B$5:B535,B535,$D$5:D535,"Feature Use",$E$5:E535,E535)=1),1,0)</f>
        <v>0</v>
      </c>
      <c r="J535" s="29" t="n">
        <f aca="false">IF(AND(D535="Feature Use",COUNTIFS($B$5:B535,B535,$D$5:D535,"Feature Use",$E$5:E535,E535)=2),1,0)</f>
        <v>0</v>
      </c>
      <c r="K535" s="29" t="n">
        <f aca="false">IF(COUNTIF($B$5:B535,B535)=1,1,0)</f>
        <v>0</v>
      </c>
      <c r="L535" s="29" t="n">
        <f aca="false">IF(AND(C535&gt;=Settings!$B$5-Settings!$B$8+1,C535&lt;=Settings!$B$5,COUNTIFS($B$5:B535,B535,$C$5:C535,"&gt;="&amp;(Settings!$B$5-Settings!$B$8+1),$C$5:C535,"&lt;="&amp;Settings!$B$5)=1),1,0)</f>
        <v>0</v>
      </c>
      <c r="M535" s="29" t="n">
        <f aca="false">IF(AND(C535&gt;=Settings!$B$5-Settings!$B$9+1,C535&lt;=Settings!$B$5,COUNTIFS($B$5:B535,B535,$C$5:C535,"&gt;="&amp;(Settings!$B$5-Settings!$B$9+1),$C$5:C535,"&lt;="&amp;Settings!$B$5)=1),1,0)</f>
        <v>0</v>
      </c>
      <c r="N535" s="29" t="n">
        <f aca="false">IF(AND(D535="Feature Use",COUNTIFS($B$5:B535,B535,$D$5:D535,"Feature Use")=1),1,0)</f>
        <v>0</v>
      </c>
    </row>
    <row r="536" customFormat="false" ht="15" hidden="false" customHeight="false" outlineLevel="0" collapsed="false">
      <c r="A536" s="22" t="s">
        <v>843</v>
      </c>
      <c r="B536" s="22" t="s">
        <v>192</v>
      </c>
      <c r="C536" s="31" t="n">
        <v>46285</v>
      </c>
      <c r="D536" s="22" t="s">
        <v>300</v>
      </c>
      <c r="E536" s="22" t="s">
        <v>305</v>
      </c>
      <c r="F536" s="29" t="str">
        <f aca="false">IF(COUNTIF(Referral_Data!$C$5:$C$1000,B536)&gt;0,"Referred",IF(COUNTIF(Referral_Data!$B$5:$B$1000,B536)&gt;0,"Referrer","Organic"))</f>
        <v>Referred</v>
      </c>
      <c r="G536" s="29" t="n">
        <f aca="false">IF(COUNTIFS($B$5:B536,B536,$C$5:C536,C536)=1,1,0)</f>
        <v>0</v>
      </c>
      <c r="H536" s="29" t="n">
        <f aca="false">IF(AND(G536=1,COUNTIFS($B$5:$B$1635,B536,$C$5:$C$1635,"&lt;"&amp;C536)&gt;0),1,0)</f>
        <v>0</v>
      </c>
      <c r="I536" s="29" t="n">
        <f aca="false">IF(AND(D536="Feature Use",COUNTIFS($B$5:B536,B536,$D$5:D536,"Feature Use",$E$5:E536,E536)=1),1,0)</f>
        <v>0</v>
      </c>
      <c r="J536" s="29" t="n">
        <f aca="false">IF(AND(D536="Feature Use",COUNTIFS($B$5:B536,B536,$D$5:D536,"Feature Use",$E$5:E536,E536)=2),1,0)</f>
        <v>0</v>
      </c>
      <c r="K536" s="29" t="n">
        <f aca="false">IF(COUNTIF($B$5:B536,B536)=1,1,0)</f>
        <v>0</v>
      </c>
      <c r="L536" s="29" t="n">
        <f aca="false">IF(AND(C536&gt;=Settings!$B$5-Settings!$B$8+1,C536&lt;=Settings!$B$5,COUNTIFS($B$5:B536,B536,$C$5:C536,"&gt;="&amp;(Settings!$B$5-Settings!$B$8+1),$C$5:C536,"&lt;="&amp;Settings!$B$5)=1),1,0)</f>
        <v>0</v>
      </c>
      <c r="M536" s="29" t="n">
        <f aca="false">IF(AND(C536&gt;=Settings!$B$5-Settings!$B$9+1,C536&lt;=Settings!$B$5,COUNTIFS($B$5:B536,B536,$C$5:C536,"&gt;="&amp;(Settings!$B$5-Settings!$B$9+1),$C$5:C536,"&lt;="&amp;Settings!$B$5)=1),1,0)</f>
        <v>0</v>
      </c>
      <c r="N536" s="29" t="n">
        <f aca="false">IF(AND(D536="Feature Use",COUNTIFS($B$5:B536,B536,$D$5:D536,"Feature Use")=1),1,0)</f>
        <v>0</v>
      </c>
    </row>
    <row r="537" customFormat="false" ht="15" hidden="false" customHeight="false" outlineLevel="0" collapsed="false">
      <c r="A537" s="22" t="s">
        <v>844</v>
      </c>
      <c r="B537" s="22" t="s">
        <v>192</v>
      </c>
      <c r="C537" s="31" t="n">
        <v>46285</v>
      </c>
      <c r="D537" s="22" t="s">
        <v>308</v>
      </c>
      <c r="E537" s="22" t="s">
        <v>305</v>
      </c>
      <c r="F537" s="29" t="str">
        <f aca="false">IF(COUNTIF(Referral_Data!$C$5:$C$1000,B537)&gt;0,"Referred",IF(COUNTIF(Referral_Data!$B$5:$B$1000,B537)&gt;0,"Referrer","Organic"))</f>
        <v>Referred</v>
      </c>
      <c r="G537" s="29" t="n">
        <f aca="false">IF(COUNTIFS($B$5:B537,B537,$C$5:C537,C537)=1,1,0)</f>
        <v>0</v>
      </c>
      <c r="H537" s="29" t="n">
        <f aca="false">IF(AND(G537=1,COUNTIFS($B$5:$B$1635,B537,$C$5:$C$1635,"&lt;"&amp;C537)&gt;0),1,0)</f>
        <v>0</v>
      </c>
      <c r="I537" s="29" t="n">
        <f aca="false">IF(AND(D537="Feature Use",COUNTIFS($B$5:B537,B537,$D$5:D537,"Feature Use",$E$5:E537,E537)=1),1,0)</f>
        <v>0</v>
      </c>
      <c r="J537" s="29" t="n">
        <f aca="false">IF(AND(D537="Feature Use",COUNTIFS($B$5:B537,B537,$D$5:D537,"Feature Use",$E$5:E537,E537)=2),1,0)</f>
        <v>0</v>
      </c>
      <c r="K537" s="29" t="n">
        <f aca="false">IF(COUNTIF($B$5:B537,B537)=1,1,0)</f>
        <v>0</v>
      </c>
      <c r="L537" s="29" t="n">
        <f aca="false">IF(AND(C537&gt;=Settings!$B$5-Settings!$B$8+1,C537&lt;=Settings!$B$5,COUNTIFS($B$5:B537,B537,$C$5:C537,"&gt;="&amp;(Settings!$B$5-Settings!$B$8+1),$C$5:C537,"&lt;="&amp;Settings!$B$5)=1),1,0)</f>
        <v>0</v>
      </c>
      <c r="M537" s="29" t="n">
        <f aca="false">IF(AND(C537&gt;=Settings!$B$5-Settings!$B$9+1,C537&lt;=Settings!$B$5,COUNTIFS($B$5:B537,B537,$C$5:C537,"&gt;="&amp;(Settings!$B$5-Settings!$B$9+1),$C$5:C537,"&lt;="&amp;Settings!$B$5)=1),1,0)</f>
        <v>0</v>
      </c>
      <c r="N537" s="29" t="n">
        <f aca="false">IF(AND(D537="Feature Use",COUNTIFS($B$5:B537,B537,$D$5:D537,"Feature Use")=1),1,0)</f>
        <v>0</v>
      </c>
    </row>
    <row r="538" customFormat="false" ht="15" hidden="false" customHeight="false" outlineLevel="0" collapsed="false">
      <c r="A538" s="22" t="s">
        <v>845</v>
      </c>
      <c r="B538" s="22" t="s">
        <v>234</v>
      </c>
      <c r="C538" s="31" t="n">
        <v>46285</v>
      </c>
      <c r="D538" s="22" t="s">
        <v>297</v>
      </c>
      <c r="E538" s="22" t="s">
        <v>298</v>
      </c>
      <c r="F538" s="29" t="str">
        <f aca="false">IF(COUNTIF(Referral_Data!$C$5:$C$1000,B538)&gt;0,"Referred",IF(COUNTIF(Referral_Data!$B$5:$B$1000,B538)&gt;0,"Referrer","Organic"))</f>
        <v>Referred</v>
      </c>
      <c r="G538" s="29" t="n">
        <f aca="false">IF(COUNTIFS($B$5:B538,B538,$C$5:C538,C538)=1,1,0)</f>
        <v>1</v>
      </c>
      <c r="H538" s="29" t="n">
        <f aca="false">IF(AND(G538=1,COUNTIFS($B$5:$B$1635,B538,$C$5:$C$1635,"&lt;"&amp;C538)&gt;0),1,0)</f>
        <v>1</v>
      </c>
      <c r="I538" s="29" t="n">
        <f aca="false">IF(AND(D538="Feature Use",COUNTIFS($B$5:B538,B538,$D$5:D538,"Feature Use",$E$5:E538,E538)=1),1,0)</f>
        <v>0</v>
      </c>
      <c r="J538" s="29" t="n">
        <f aca="false">IF(AND(D538="Feature Use",COUNTIFS($B$5:B538,B538,$D$5:D538,"Feature Use",$E$5:E538,E538)=2),1,0)</f>
        <v>0</v>
      </c>
      <c r="K538" s="29" t="n">
        <f aca="false">IF(COUNTIF($B$5:B538,B538)=1,1,0)</f>
        <v>0</v>
      </c>
      <c r="L538" s="29" t="n">
        <f aca="false">IF(AND(C538&gt;=Settings!$B$5-Settings!$B$8+1,C538&lt;=Settings!$B$5,COUNTIFS($B$5:B538,B538,$C$5:C538,"&gt;="&amp;(Settings!$B$5-Settings!$B$8+1),$C$5:C538,"&lt;="&amp;Settings!$B$5)=1),1,0)</f>
        <v>0</v>
      </c>
      <c r="M538" s="29" t="n">
        <f aca="false">IF(AND(C538&gt;=Settings!$B$5-Settings!$B$9+1,C538&lt;=Settings!$B$5,COUNTIFS($B$5:B538,B538,$C$5:C538,"&gt;="&amp;(Settings!$B$5-Settings!$B$9+1),$C$5:C538,"&lt;="&amp;Settings!$B$5)=1),1,0)</f>
        <v>0</v>
      </c>
      <c r="N538" s="29" t="n">
        <f aca="false">IF(AND(D538="Feature Use",COUNTIFS($B$5:B538,B538,$D$5:D538,"Feature Use")=1),1,0)</f>
        <v>0</v>
      </c>
    </row>
    <row r="539" customFormat="false" ht="15" hidden="false" customHeight="false" outlineLevel="0" collapsed="false">
      <c r="A539" s="22" t="s">
        <v>846</v>
      </c>
      <c r="B539" s="22" t="s">
        <v>234</v>
      </c>
      <c r="C539" s="31" t="n">
        <v>46285</v>
      </c>
      <c r="D539" s="22" t="s">
        <v>300</v>
      </c>
      <c r="E539" s="22" t="s">
        <v>305</v>
      </c>
      <c r="F539" s="29" t="str">
        <f aca="false">IF(COUNTIF(Referral_Data!$C$5:$C$1000,B539)&gt;0,"Referred",IF(COUNTIF(Referral_Data!$B$5:$B$1000,B539)&gt;0,"Referrer","Organic"))</f>
        <v>Referred</v>
      </c>
      <c r="G539" s="29" t="n">
        <f aca="false">IF(COUNTIFS($B$5:B539,B539,$C$5:C539,C539)=1,1,0)</f>
        <v>0</v>
      </c>
      <c r="H539" s="29" t="n">
        <f aca="false">IF(AND(G539=1,COUNTIFS($B$5:$B$1635,B539,$C$5:$C$1635,"&lt;"&amp;C539)&gt;0),1,0)</f>
        <v>0</v>
      </c>
      <c r="I539" s="29" t="n">
        <f aca="false">IF(AND(D539="Feature Use",COUNTIFS($B$5:B539,B539,$D$5:D539,"Feature Use",$E$5:E539,E539)=1),1,0)</f>
        <v>0</v>
      </c>
      <c r="J539" s="29" t="n">
        <f aca="false">IF(AND(D539="Feature Use",COUNTIFS($B$5:B539,B539,$D$5:D539,"Feature Use",$E$5:E539,E539)=2),1,0)</f>
        <v>0</v>
      </c>
      <c r="K539" s="29" t="n">
        <f aca="false">IF(COUNTIF($B$5:B539,B539)=1,1,0)</f>
        <v>0</v>
      </c>
      <c r="L539" s="29" t="n">
        <f aca="false">IF(AND(C539&gt;=Settings!$B$5-Settings!$B$8+1,C539&lt;=Settings!$B$5,COUNTIFS($B$5:B539,B539,$C$5:C539,"&gt;="&amp;(Settings!$B$5-Settings!$B$8+1),$C$5:C539,"&lt;="&amp;Settings!$B$5)=1),1,0)</f>
        <v>0</v>
      </c>
      <c r="M539" s="29" t="n">
        <f aca="false">IF(AND(C539&gt;=Settings!$B$5-Settings!$B$9+1,C539&lt;=Settings!$B$5,COUNTIFS($B$5:B539,B539,$C$5:C539,"&gt;="&amp;(Settings!$B$5-Settings!$B$9+1),$C$5:C539,"&lt;="&amp;Settings!$B$5)=1),1,0)</f>
        <v>0</v>
      </c>
      <c r="N539" s="29" t="n">
        <f aca="false">IF(AND(D539="Feature Use",COUNTIFS($B$5:B539,B539,$D$5:D539,"Feature Use")=1),1,0)</f>
        <v>0</v>
      </c>
    </row>
    <row r="540" customFormat="false" ht="15" hidden="false" customHeight="false" outlineLevel="0" collapsed="false">
      <c r="A540" s="22" t="s">
        <v>847</v>
      </c>
      <c r="B540" s="22" t="s">
        <v>234</v>
      </c>
      <c r="C540" s="31" t="n">
        <v>46285</v>
      </c>
      <c r="D540" s="22" t="s">
        <v>300</v>
      </c>
      <c r="E540" s="22" t="s">
        <v>305</v>
      </c>
      <c r="F540" s="29" t="str">
        <f aca="false">IF(COUNTIF(Referral_Data!$C$5:$C$1000,B540)&gt;0,"Referred",IF(COUNTIF(Referral_Data!$B$5:$B$1000,B540)&gt;0,"Referrer","Organic"))</f>
        <v>Referred</v>
      </c>
      <c r="G540" s="29" t="n">
        <f aca="false">IF(COUNTIFS($B$5:B540,B540,$C$5:C540,C540)=1,1,0)</f>
        <v>0</v>
      </c>
      <c r="H540" s="29" t="n">
        <f aca="false">IF(AND(G540=1,COUNTIFS($B$5:$B$1635,B540,$C$5:$C$1635,"&lt;"&amp;C540)&gt;0),1,0)</f>
        <v>0</v>
      </c>
      <c r="I540" s="29" t="n">
        <f aca="false">IF(AND(D540="Feature Use",COUNTIFS($B$5:B540,B540,$D$5:D540,"Feature Use",$E$5:E540,E540)=1),1,0)</f>
        <v>0</v>
      </c>
      <c r="J540" s="29" t="n">
        <f aca="false">IF(AND(D540="Feature Use",COUNTIFS($B$5:B540,B540,$D$5:D540,"Feature Use",$E$5:E540,E540)=2),1,0)</f>
        <v>0</v>
      </c>
      <c r="K540" s="29" t="n">
        <f aca="false">IF(COUNTIF($B$5:B540,B540)=1,1,0)</f>
        <v>0</v>
      </c>
      <c r="L540" s="29" t="n">
        <f aca="false">IF(AND(C540&gt;=Settings!$B$5-Settings!$B$8+1,C540&lt;=Settings!$B$5,COUNTIFS($B$5:B540,B540,$C$5:C540,"&gt;="&amp;(Settings!$B$5-Settings!$B$8+1),$C$5:C540,"&lt;="&amp;Settings!$B$5)=1),1,0)</f>
        <v>0</v>
      </c>
      <c r="M540" s="29" t="n">
        <f aca="false">IF(AND(C540&gt;=Settings!$B$5-Settings!$B$9+1,C540&lt;=Settings!$B$5,COUNTIFS($B$5:B540,B540,$C$5:C540,"&gt;="&amp;(Settings!$B$5-Settings!$B$9+1),$C$5:C540,"&lt;="&amp;Settings!$B$5)=1),1,0)</f>
        <v>0</v>
      </c>
      <c r="N540" s="29" t="n">
        <f aca="false">IF(AND(D540="Feature Use",COUNTIFS($B$5:B540,B540,$D$5:D540,"Feature Use")=1),1,0)</f>
        <v>0</v>
      </c>
    </row>
    <row r="541" customFormat="false" ht="15" hidden="false" customHeight="false" outlineLevel="0" collapsed="false">
      <c r="A541" s="22" t="s">
        <v>848</v>
      </c>
      <c r="B541" s="22" t="s">
        <v>241</v>
      </c>
      <c r="C541" s="31" t="n">
        <v>46285</v>
      </c>
      <c r="D541" s="22" t="s">
        <v>297</v>
      </c>
      <c r="E541" s="22" t="s">
        <v>298</v>
      </c>
      <c r="F541" s="29" t="str">
        <f aca="false">IF(COUNTIF(Referral_Data!$C$5:$C$1000,B541)&gt;0,"Referred",IF(COUNTIF(Referral_Data!$B$5:$B$1000,B541)&gt;0,"Referrer","Organic"))</f>
        <v>Referred</v>
      </c>
      <c r="G541" s="29" t="n">
        <f aca="false">IF(COUNTIFS($B$5:B541,B541,$C$5:C541,C541)=1,1,0)</f>
        <v>1</v>
      </c>
      <c r="H541" s="29" t="n">
        <f aca="false">IF(AND(G541=1,COUNTIFS($B$5:$B$1635,B541,$C$5:$C$1635,"&lt;"&amp;C541)&gt;0),1,0)</f>
        <v>1</v>
      </c>
      <c r="I541" s="29" t="n">
        <f aca="false">IF(AND(D541="Feature Use",COUNTIFS($B$5:B541,B541,$D$5:D541,"Feature Use",$E$5:E541,E541)=1),1,0)</f>
        <v>0</v>
      </c>
      <c r="J541" s="29" t="n">
        <f aca="false">IF(AND(D541="Feature Use",COUNTIFS($B$5:B541,B541,$D$5:D541,"Feature Use",$E$5:E541,E541)=2),1,0)</f>
        <v>0</v>
      </c>
      <c r="K541" s="29" t="n">
        <f aca="false">IF(COUNTIF($B$5:B541,B541)=1,1,0)</f>
        <v>0</v>
      </c>
      <c r="L541" s="29" t="n">
        <f aca="false">IF(AND(C541&gt;=Settings!$B$5-Settings!$B$8+1,C541&lt;=Settings!$B$5,COUNTIFS($B$5:B541,B541,$C$5:C541,"&gt;="&amp;(Settings!$B$5-Settings!$B$8+1),$C$5:C541,"&lt;="&amp;Settings!$B$5)=1),1,0)</f>
        <v>0</v>
      </c>
      <c r="M541" s="29" t="n">
        <f aca="false">IF(AND(C541&gt;=Settings!$B$5-Settings!$B$9+1,C541&lt;=Settings!$B$5,COUNTIFS($B$5:B541,B541,$C$5:C541,"&gt;="&amp;(Settings!$B$5-Settings!$B$9+1),$C$5:C541,"&lt;="&amp;Settings!$B$5)=1),1,0)</f>
        <v>0</v>
      </c>
      <c r="N541" s="29" t="n">
        <f aca="false">IF(AND(D541="Feature Use",COUNTIFS($B$5:B541,B541,$D$5:D541,"Feature Use")=1),1,0)</f>
        <v>0</v>
      </c>
    </row>
    <row r="542" customFormat="false" ht="15" hidden="false" customHeight="false" outlineLevel="0" collapsed="false">
      <c r="A542" s="22" t="s">
        <v>849</v>
      </c>
      <c r="B542" s="22" t="s">
        <v>241</v>
      </c>
      <c r="C542" s="31" t="n">
        <v>46285</v>
      </c>
      <c r="D542" s="22" t="s">
        <v>300</v>
      </c>
      <c r="E542" s="22" t="s">
        <v>319</v>
      </c>
      <c r="F542" s="29" t="str">
        <f aca="false">IF(COUNTIF(Referral_Data!$C$5:$C$1000,B542)&gt;0,"Referred",IF(COUNTIF(Referral_Data!$B$5:$B$1000,B542)&gt;0,"Referrer","Organic"))</f>
        <v>Referred</v>
      </c>
      <c r="G542" s="29" t="n">
        <f aca="false">IF(COUNTIFS($B$5:B542,B542,$C$5:C542,C542)=1,1,0)</f>
        <v>0</v>
      </c>
      <c r="H542" s="29" t="n">
        <f aca="false">IF(AND(G542=1,COUNTIFS($B$5:$B$1635,B542,$C$5:$C$1635,"&lt;"&amp;C542)&gt;0),1,0)</f>
        <v>0</v>
      </c>
      <c r="I542" s="29" t="n">
        <f aca="false">IF(AND(D542="Feature Use",COUNTIFS($B$5:B542,B542,$D$5:D542,"Feature Use",$E$5:E542,E542)=1),1,0)</f>
        <v>1</v>
      </c>
      <c r="J542" s="29" t="n">
        <f aca="false">IF(AND(D542="Feature Use",COUNTIFS($B$5:B542,B542,$D$5:D542,"Feature Use",$E$5:E542,E542)=2),1,0)</f>
        <v>0</v>
      </c>
      <c r="K542" s="29" t="n">
        <f aca="false">IF(COUNTIF($B$5:B542,B542)=1,1,0)</f>
        <v>0</v>
      </c>
      <c r="L542" s="29" t="n">
        <f aca="false">IF(AND(C542&gt;=Settings!$B$5-Settings!$B$8+1,C542&lt;=Settings!$B$5,COUNTIFS($B$5:B542,B542,$C$5:C542,"&gt;="&amp;(Settings!$B$5-Settings!$B$8+1),$C$5:C542,"&lt;="&amp;Settings!$B$5)=1),1,0)</f>
        <v>0</v>
      </c>
      <c r="M542" s="29" t="n">
        <f aca="false">IF(AND(C542&gt;=Settings!$B$5-Settings!$B$9+1,C542&lt;=Settings!$B$5,COUNTIFS($B$5:B542,B542,$C$5:C542,"&gt;="&amp;(Settings!$B$5-Settings!$B$9+1),$C$5:C542,"&lt;="&amp;Settings!$B$5)=1),1,0)</f>
        <v>0</v>
      </c>
      <c r="N542" s="29" t="n">
        <f aca="false">IF(AND(D542="Feature Use",COUNTIFS($B$5:B542,B542,$D$5:D542,"Feature Use")=1),1,0)</f>
        <v>0</v>
      </c>
    </row>
    <row r="543" customFormat="false" ht="15" hidden="false" customHeight="false" outlineLevel="0" collapsed="false">
      <c r="A543" s="22" t="s">
        <v>850</v>
      </c>
      <c r="B543" s="22" t="s">
        <v>241</v>
      </c>
      <c r="C543" s="31" t="n">
        <v>46285</v>
      </c>
      <c r="D543" s="22" t="s">
        <v>308</v>
      </c>
      <c r="E543" s="22" t="s">
        <v>309</v>
      </c>
      <c r="F543" s="29" t="str">
        <f aca="false">IF(COUNTIF(Referral_Data!$C$5:$C$1000,B543)&gt;0,"Referred",IF(COUNTIF(Referral_Data!$B$5:$B$1000,B543)&gt;0,"Referrer","Organic"))</f>
        <v>Referred</v>
      </c>
      <c r="G543" s="29" t="n">
        <f aca="false">IF(COUNTIFS($B$5:B543,B543,$C$5:C543,C543)=1,1,0)</f>
        <v>0</v>
      </c>
      <c r="H543" s="29" t="n">
        <f aca="false">IF(AND(G543=1,COUNTIFS($B$5:$B$1635,B543,$C$5:$C$1635,"&lt;"&amp;C543)&gt;0),1,0)</f>
        <v>0</v>
      </c>
      <c r="I543" s="29" t="n">
        <f aca="false">IF(AND(D543="Feature Use",COUNTIFS($B$5:B543,B543,$D$5:D543,"Feature Use",$E$5:E543,E543)=1),1,0)</f>
        <v>0</v>
      </c>
      <c r="J543" s="29" t="n">
        <f aca="false">IF(AND(D543="Feature Use",COUNTIFS($B$5:B543,B543,$D$5:D543,"Feature Use",$E$5:E543,E543)=2),1,0)</f>
        <v>0</v>
      </c>
      <c r="K543" s="29" t="n">
        <f aca="false">IF(COUNTIF($B$5:B543,B543)=1,1,0)</f>
        <v>0</v>
      </c>
      <c r="L543" s="29" t="n">
        <f aca="false">IF(AND(C543&gt;=Settings!$B$5-Settings!$B$8+1,C543&lt;=Settings!$B$5,COUNTIFS($B$5:B543,B543,$C$5:C543,"&gt;="&amp;(Settings!$B$5-Settings!$B$8+1),$C$5:C543,"&lt;="&amp;Settings!$B$5)=1),1,0)</f>
        <v>0</v>
      </c>
      <c r="M543" s="29" t="n">
        <f aca="false">IF(AND(C543&gt;=Settings!$B$5-Settings!$B$9+1,C543&lt;=Settings!$B$5,COUNTIFS($B$5:B543,B543,$C$5:C543,"&gt;="&amp;(Settings!$B$5-Settings!$B$9+1),$C$5:C543,"&lt;="&amp;Settings!$B$5)=1),1,0)</f>
        <v>0</v>
      </c>
      <c r="N543" s="29" t="n">
        <f aca="false">IF(AND(D543="Feature Use",COUNTIFS($B$5:B543,B543,$D$5:D543,"Feature Use")=1),1,0)</f>
        <v>0</v>
      </c>
    </row>
    <row r="544" customFormat="false" ht="15" hidden="false" customHeight="false" outlineLevel="0" collapsed="false">
      <c r="A544" s="22" t="s">
        <v>851</v>
      </c>
      <c r="B544" s="22" t="s">
        <v>252</v>
      </c>
      <c r="C544" s="31" t="n">
        <v>46285</v>
      </c>
      <c r="D544" s="22" t="s">
        <v>297</v>
      </c>
      <c r="E544" s="22" t="s">
        <v>298</v>
      </c>
      <c r="F544" s="29" t="str">
        <f aca="false">IF(COUNTIF(Referral_Data!$C$5:$C$1000,B544)&gt;0,"Referred",IF(COUNTIF(Referral_Data!$B$5:$B$1000,B544)&gt;0,"Referrer","Organic"))</f>
        <v>Referred</v>
      </c>
      <c r="G544" s="29" t="n">
        <f aca="false">IF(COUNTIFS($B$5:B544,B544,$C$5:C544,C544)=1,1,0)</f>
        <v>1</v>
      </c>
      <c r="H544" s="29" t="n">
        <f aca="false">IF(AND(G544=1,COUNTIFS($B$5:$B$1635,B544,$C$5:$C$1635,"&lt;"&amp;C544)&gt;0),1,0)</f>
        <v>1</v>
      </c>
      <c r="I544" s="29" t="n">
        <f aca="false">IF(AND(D544="Feature Use",COUNTIFS($B$5:B544,B544,$D$5:D544,"Feature Use",$E$5:E544,E544)=1),1,0)</f>
        <v>0</v>
      </c>
      <c r="J544" s="29" t="n">
        <f aca="false">IF(AND(D544="Feature Use",COUNTIFS($B$5:B544,B544,$D$5:D544,"Feature Use",$E$5:E544,E544)=2),1,0)</f>
        <v>0</v>
      </c>
      <c r="K544" s="29" t="n">
        <f aca="false">IF(COUNTIF($B$5:B544,B544)=1,1,0)</f>
        <v>0</v>
      </c>
      <c r="L544" s="29" t="n">
        <f aca="false">IF(AND(C544&gt;=Settings!$B$5-Settings!$B$8+1,C544&lt;=Settings!$B$5,COUNTIFS($B$5:B544,B544,$C$5:C544,"&gt;="&amp;(Settings!$B$5-Settings!$B$8+1),$C$5:C544,"&lt;="&amp;Settings!$B$5)=1),1,0)</f>
        <v>0</v>
      </c>
      <c r="M544" s="29" t="n">
        <f aca="false">IF(AND(C544&gt;=Settings!$B$5-Settings!$B$9+1,C544&lt;=Settings!$B$5,COUNTIFS($B$5:B544,B544,$C$5:C544,"&gt;="&amp;(Settings!$B$5-Settings!$B$9+1),$C$5:C544,"&lt;="&amp;Settings!$B$5)=1),1,0)</f>
        <v>0</v>
      </c>
      <c r="N544" s="29" t="n">
        <f aca="false">IF(AND(D544="Feature Use",COUNTIFS($B$5:B544,B544,$D$5:D544,"Feature Use")=1),1,0)</f>
        <v>0</v>
      </c>
    </row>
    <row r="545" customFormat="false" ht="15" hidden="false" customHeight="false" outlineLevel="0" collapsed="false">
      <c r="A545" s="22" t="s">
        <v>852</v>
      </c>
      <c r="B545" s="22" t="s">
        <v>252</v>
      </c>
      <c r="C545" s="31" t="n">
        <v>46285</v>
      </c>
      <c r="D545" s="22" t="s">
        <v>300</v>
      </c>
      <c r="E545" s="22" t="s">
        <v>311</v>
      </c>
      <c r="F545" s="29" t="str">
        <f aca="false">IF(COUNTIF(Referral_Data!$C$5:$C$1000,B545)&gt;0,"Referred",IF(COUNTIF(Referral_Data!$B$5:$B$1000,B545)&gt;0,"Referrer","Organic"))</f>
        <v>Referred</v>
      </c>
      <c r="G545" s="29" t="n">
        <f aca="false">IF(COUNTIFS($B$5:B545,B545,$C$5:C545,C545)=1,1,0)</f>
        <v>0</v>
      </c>
      <c r="H545" s="29" t="n">
        <f aca="false">IF(AND(G545=1,COUNTIFS($B$5:$B$1635,B545,$C$5:$C$1635,"&lt;"&amp;C545)&gt;0),1,0)</f>
        <v>0</v>
      </c>
      <c r="I545" s="29" t="n">
        <f aca="false">IF(AND(D545="Feature Use",COUNTIFS($B$5:B545,B545,$D$5:D545,"Feature Use",$E$5:E545,E545)=1),1,0)</f>
        <v>0</v>
      </c>
      <c r="J545" s="29" t="n">
        <f aca="false">IF(AND(D545="Feature Use",COUNTIFS($B$5:B545,B545,$D$5:D545,"Feature Use",$E$5:E545,E545)=2),1,0)</f>
        <v>0</v>
      </c>
      <c r="K545" s="29" t="n">
        <f aca="false">IF(COUNTIF($B$5:B545,B545)=1,1,0)</f>
        <v>0</v>
      </c>
      <c r="L545" s="29" t="n">
        <f aca="false">IF(AND(C545&gt;=Settings!$B$5-Settings!$B$8+1,C545&lt;=Settings!$B$5,COUNTIFS($B$5:B545,B545,$C$5:C545,"&gt;="&amp;(Settings!$B$5-Settings!$B$8+1),$C$5:C545,"&lt;="&amp;Settings!$B$5)=1),1,0)</f>
        <v>0</v>
      </c>
      <c r="M545" s="29" t="n">
        <f aca="false">IF(AND(C545&gt;=Settings!$B$5-Settings!$B$9+1,C545&lt;=Settings!$B$5,COUNTIFS($B$5:B545,B545,$C$5:C545,"&gt;="&amp;(Settings!$B$5-Settings!$B$9+1),$C$5:C545,"&lt;="&amp;Settings!$B$5)=1),1,0)</f>
        <v>0</v>
      </c>
      <c r="N545" s="29" t="n">
        <f aca="false">IF(AND(D545="Feature Use",COUNTIFS($B$5:B545,B545,$D$5:D545,"Feature Use")=1),1,0)</f>
        <v>0</v>
      </c>
    </row>
    <row r="546" customFormat="false" ht="15" hidden="false" customHeight="false" outlineLevel="0" collapsed="false">
      <c r="A546" s="22" t="s">
        <v>853</v>
      </c>
      <c r="B546" s="22" t="s">
        <v>261</v>
      </c>
      <c r="C546" s="31" t="n">
        <v>46285</v>
      </c>
      <c r="D546" s="22" t="s">
        <v>297</v>
      </c>
      <c r="E546" s="22" t="s">
        <v>298</v>
      </c>
      <c r="F546" s="29" t="str">
        <f aca="false">IF(COUNTIF(Referral_Data!$C$5:$C$1000,B546)&gt;0,"Referred",IF(COUNTIF(Referral_Data!$B$5:$B$1000,B546)&gt;0,"Referrer","Organic"))</f>
        <v>Referred</v>
      </c>
      <c r="G546" s="29" t="n">
        <f aca="false">IF(COUNTIFS($B$5:B546,B546,$C$5:C546,C546)=1,1,0)</f>
        <v>1</v>
      </c>
      <c r="H546" s="29" t="n">
        <f aca="false">IF(AND(G546=1,COUNTIFS($B$5:$B$1635,B546,$C$5:$C$1635,"&lt;"&amp;C546)&gt;0),1,0)</f>
        <v>1</v>
      </c>
      <c r="I546" s="29" t="n">
        <f aca="false">IF(AND(D546="Feature Use",COUNTIFS($B$5:B546,B546,$D$5:D546,"Feature Use",$E$5:E546,E546)=1),1,0)</f>
        <v>0</v>
      </c>
      <c r="J546" s="29" t="n">
        <f aca="false">IF(AND(D546="Feature Use",COUNTIFS($B$5:B546,B546,$D$5:D546,"Feature Use",$E$5:E546,E546)=2),1,0)</f>
        <v>0</v>
      </c>
      <c r="K546" s="29" t="n">
        <f aca="false">IF(COUNTIF($B$5:B546,B546)=1,1,0)</f>
        <v>0</v>
      </c>
      <c r="L546" s="29" t="n">
        <f aca="false">IF(AND(C546&gt;=Settings!$B$5-Settings!$B$8+1,C546&lt;=Settings!$B$5,COUNTIFS($B$5:B546,B546,$C$5:C546,"&gt;="&amp;(Settings!$B$5-Settings!$B$8+1),$C$5:C546,"&lt;="&amp;Settings!$B$5)=1),1,0)</f>
        <v>0</v>
      </c>
      <c r="M546" s="29" t="n">
        <f aca="false">IF(AND(C546&gt;=Settings!$B$5-Settings!$B$9+1,C546&lt;=Settings!$B$5,COUNTIFS($B$5:B546,B546,$C$5:C546,"&gt;="&amp;(Settings!$B$5-Settings!$B$9+1),$C$5:C546,"&lt;="&amp;Settings!$B$5)=1),1,0)</f>
        <v>0</v>
      </c>
      <c r="N546" s="29" t="n">
        <f aca="false">IF(AND(D546="Feature Use",COUNTIFS($B$5:B546,B546,$D$5:D546,"Feature Use")=1),1,0)</f>
        <v>0</v>
      </c>
    </row>
    <row r="547" customFormat="false" ht="15" hidden="false" customHeight="false" outlineLevel="0" collapsed="false">
      <c r="A547" s="22" t="s">
        <v>854</v>
      </c>
      <c r="B547" s="22" t="s">
        <v>261</v>
      </c>
      <c r="C547" s="31" t="n">
        <v>46285</v>
      </c>
      <c r="D547" s="22" t="s">
        <v>300</v>
      </c>
      <c r="E547" s="22" t="s">
        <v>319</v>
      </c>
      <c r="F547" s="29" t="str">
        <f aca="false">IF(COUNTIF(Referral_Data!$C$5:$C$1000,B547)&gt;0,"Referred",IF(COUNTIF(Referral_Data!$B$5:$B$1000,B547)&gt;0,"Referrer","Organic"))</f>
        <v>Referred</v>
      </c>
      <c r="G547" s="29" t="n">
        <f aca="false">IF(COUNTIFS($B$5:B547,B547,$C$5:C547,C547)=1,1,0)</f>
        <v>0</v>
      </c>
      <c r="H547" s="29" t="n">
        <f aca="false">IF(AND(G547=1,COUNTIFS($B$5:$B$1635,B547,$C$5:$C$1635,"&lt;"&amp;C547)&gt;0),1,0)</f>
        <v>0</v>
      </c>
      <c r="I547" s="29" t="n">
        <f aca="false">IF(AND(D547="Feature Use",COUNTIFS($B$5:B547,B547,$D$5:D547,"Feature Use",$E$5:E547,E547)=1),1,0)</f>
        <v>1</v>
      </c>
      <c r="J547" s="29" t="n">
        <f aca="false">IF(AND(D547="Feature Use",COUNTIFS($B$5:B547,B547,$D$5:D547,"Feature Use",$E$5:E547,E547)=2),1,0)</f>
        <v>0</v>
      </c>
      <c r="K547" s="29" t="n">
        <f aca="false">IF(COUNTIF($B$5:B547,B547)=1,1,0)</f>
        <v>0</v>
      </c>
      <c r="L547" s="29" t="n">
        <f aca="false">IF(AND(C547&gt;=Settings!$B$5-Settings!$B$8+1,C547&lt;=Settings!$B$5,COUNTIFS($B$5:B547,B547,$C$5:C547,"&gt;="&amp;(Settings!$B$5-Settings!$B$8+1),$C$5:C547,"&lt;="&amp;Settings!$B$5)=1),1,0)</f>
        <v>0</v>
      </c>
      <c r="M547" s="29" t="n">
        <f aca="false">IF(AND(C547&gt;=Settings!$B$5-Settings!$B$9+1,C547&lt;=Settings!$B$5,COUNTIFS($B$5:B547,B547,$C$5:C547,"&gt;="&amp;(Settings!$B$5-Settings!$B$9+1),$C$5:C547,"&lt;="&amp;Settings!$B$5)=1),1,0)</f>
        <v>0</v>
      </c>
      <c r="N547" s="29" t="n">
        <f aca="false">IF(AND(D547="Feature Use",COUNTIFS($B$5:B547,B547,$D$5:D547,"Feature Use")=1),1,0)</f>
        <v>0</v>
      </c>
    </row>
    <row r="548" customFormat="false" ht="15" hidden="false" customHeight="false" outlineLevel="0" collapsed="false">
      <c r="A548" s="22" t="s">
        <v>855</v>
      </c>
      <c r="B548" s="22" t="s">
        <v>261</v>
      </c>
      <c r="C548" s="31" t="n">
        <v>46285</v>
      </c>
      <c r="D548" s="22" t="s">
        <v>300</v>
      </c>
      <c r="E548" s="22" t="s">
        <v>319</v>
      </c>
      <c r="F548" s="29" t="str">
        <f aca="false">IF(COUNTIF(Referral_Data!$C$5:$C$1000,B548)&gt;0,"Referred",IF(COUNTIF(Referral_Data!$B$5:$B$1000,B548)&gt;0,"Referrer","Organic"))</f>
        <v>Referred</v>
      </c>
      <c r="G548" s="29" t="n">
        <f aca="false">IF(COUNTIFS($B$5:B548,B548,$C$5:C548,C548)=1,1,0)</f>
        <v>0</v>
      </c>
      <c r="H548" s="29" t="n">
        <f aca="false">IF(AND(G548=1,COUNTIFS($B$5:$B$1635,B548,$C$5:$C$1635,"&lt;"&amp;C548)&gt;0),1,0)</f>
        <v>0</v>
      </c>
      <c r="I548" s="29" t="n">
        <f aca="false">IF(AND(D548="Feature Use",COUNTIFS($B$5:B548,B548,$D$5:D548,"Feature Use",$E$5:E548,E548)=1),1,0)</f>
        <v>0</v>
      </c>
      <c r="J548" s="29" t="n">
        <f aca="false">IF(AND(D548="Feature Use",COUNTIFS($B$5:B548,B548,$D$5:D548,"Feature Use",$E$5:E548,E548)=2),1,0)</f>
        <v>1</v>
      </c>
      <c r="K548" s="29" t="n">
        <f aca="false">IF(COUNTIF($B$5:B548,B548)=1,1,0)</f>
        <v>0</v>
      </c>
      <c r="L548" s="29" t="n">
        <f aca="false">IF(AND(C548&gt;=Settings!$B$5-Settings!$B$8+1,C548&lt;=Settings!$B$5,COUNTIFS($B$5:B548,B548,$C$5:C548,"&gt;="&amp;(Settings!$B$5-Settings!$B$8+1),$C$5:C548,"&lt;="&amp;Settings!$B$5)=1),1,0)</f>
        <v>0</v>
      </c>
      <c r="M548" s="29" t="n">
        <f aca="false">IF(AND(C548&gt;=Settings!$B$5-Settings!$B$9+1,C548&lt;=Settings!$B$5,COUNTIFS($B$5:B548,B548,$C$5:C548,"&gt;="&amp;(Settings!$B$5-Settings!$B$9+1),$C$5:C548,"&lt;="&amp;Settings!$B$5)=1),1,0)</f>
        <v>0</v>
      </c>
      <c r="N548" s="29" t="n">
        <f aca="false">IF(AND(D548="Feature Use",COUNTIFS($B$5:B548,B548,$D$5:D548,"Feature Use")=1),1,0)</f>
        <v>0</v>
      </c>
    </row>
    <row r="549" customFormat="false" ht="15" hidden="false" customHeight="false" outlineLevel="0" collapsed="false">
      <c r="A549" s="22" t="s">
        <v>856</v>
      </c>
      <c r="B549" s="22" t="s">
        <v>269</v>
      </c>
      <c r="C549" s="31" t="n">
        <v>46285</v>
      </c>
      <c r="D549" s="22" t="s">
        <v>297</v>
      </c>
      <c r="E549" s="22" t="s">
        <v>298</v>
      </c>
      <c r="F549" s="29" t="str">
        <f aca="false">IF(COUNTIF(Referral_Data!$C$5:$C$1000,B549)&gt;0,"Referred",IF(COUNTIF(Referral_Data!$B$5:$B$1000,B549)&gt;0,"Referrer","Organic"))</f>
        <v>Referred</v>
      </c>
      <c r="G549" s="29" t="n">
        <f aca="false">IF(COUNTIFS($B$5:B549,B549,$C$5:C549,C549)=1,1,0)</f>
        <v>1</v>
      </c>
      <c r="H549" s="29" t="n">
        <f aca="false">IF(AND(G549=1,COUNTIFS($B$5:$B$1635,B549,$C$5:$C$1635,"&lt;"&amp;C549)&gt;0),1,0)</f>
        <v>1</v>
      </c>
      <c r="I549" s="29" t="n">
        <f aca="false">IF(AND(D549="Feature Use",COUNTIFS($B$5:B549,B549,$D$5:D549,"Feature Use",$E$5:E549,E549)=1),1,0)</f>
        <v>0</v>
      </c>
      <c r="J549" s="29" t="n">
        <f aca="false">IF(AND(D549="Feature Use",COUNTIFS($B$5:B549,B549,$D$5:D549,"Feature Use",$E$5:E549,E549)=2),1,0)</f>
        <v>0</v>
      </c>
      <c r="K549" s="29" t="n">
        <f aca="false">IF(COUNTIF($B$5:B549,B549)=1,1,0)</f>
        <v>0</v>
      </c>
      <c r="L549" s="29" t="n">
        <f aca="false">IF(AND(C549&gt;=Settings!$B$5-Settings!$B$8+1,C549&lt;=Settings!$B$5,COUNTIFS($B$5:B549,B549,$C$5:C549,"&gt;="&amp;(Settings!$B$5-Settings!$B$8+1),$C$5:C549,"&lt;="&amp;Settings!$B$5)=1),1,0)</f>
        <v>0</v>
      </c>
      <c r="M549" s="29" t="n">
        <f aca="false">IF(AND(C549&gt;=Settings!$B$5-Settings!$B$9+1,C549&lt;=Settings!$B$5,COUNTIFS($B$5:B549,B549,$C$5:C549,"&gt;="&amp;(Settings!$B$5-Settings!$B$9+1),$C$5:C549,"&lt;="&amp;Settings!$B$5)=1),1,0)</f>
        <v>0</v>
      </c>
      <c r="N549" s="29" t="n">
        <f aca="false">IF(AND(D549="Feature Use",COUNTIFS($B$5:B549,B549,$D$5:D549,"Feature Use")=1),1,0)</f>
        <v>0</v>
      </c>
    </row>
    <row r="550" customFormat="false" ht="15" hidden="false" customHeight="false" outlineLevel="0" collapsed="false">
      <c r="A550" s="22" t="s">
        <v>857</v>
      </c>
      <c r="B550" s="22" t="s">
        <v>269</v>
      </c>
      <c r="C550" s="31" t="n">
        <v>46285</v>
      </c>
      <c r="D550" s="22" t="s">
        <v>300</v>
      </c>
      <c r="E550" s="22" t="s">
        <v>311</v>
      </c>
      <c r="F550" s="29" t="str">
        <f aca="false">IF(COUNTIF(Referral_Data!$C$5:$C$1000,B550)&gt;0,"Referred",IF(COUNTIF(Referral_Data!$B$5:$B$1000,B550)&gt;0,"Referrer","Organic"))</f>
        <v>Referred</v>
      </c>
      <c r="G550" s="29" t="n">
        <f aca="false">IF(COUNTIFS($B$5:B550,B550,$C$5:C550,C550)=1,1,0)</f>
        <v>0</v>
      </c>
      <c r="H550" s="29" t="n">
        <f aca="false">IF(AND(G550=1,COUNTIFS($B$5:$B$1635,B550,$C$5:$C$1635,"&lt;"&amp;C550)&gt;0),1,0)</f>
        <v>0</v>
      </c>
      <c r="I550" s="29" t="n">
        <f aca="false">IF(AND(D550="Feature Use",COUNTIFS($B$5:B550,B550,$D$5:D550,"Feature Use",$E$5:E550,E550)=1),1,0)</f>
        <v>0</v>
      </c>
      <c r="J550" s="29" t="n">
        <f aca="false">IF(AND(D550="Feature Use",COUNTIFS($B$5:B550,B550,$D$5:D550,"Feature Use",$E$5:E550,E550)=2),1,0)</f>
        <v>1</v>
      </c>
      <c r="K550" s="29" t="n">
        <f aca="false">IF(COUNTIF($B$5:B550,B550)=1,1,0)</f>
        <v>0</v>
      </c>
      <c r="L550" s="29" t="n">
        <f aca="false">IF(AND(C550&gt;=Settings!$B$5-Settings!$B$8+1,C550&lt;=Settings!$B$5,COUNTIFS($B$5:B550,B550,$C$5:C550,"&gt;="&amp;(Settings!$B$5-Settings!$B$8+1),$C$5:C550,"&lt;="&amp;Settings!$B$5)=1),1,0)</f>
        <v>0</v>
      </c>
      <c r="M550" s="29" t="n">
        <f aca="false">IF(AND(C550&gt;=Settings!$B$5-Settings!$B$9+1,C550&lt;=Settings!$B$5,COUNTIFS($B$5:B550,B550,$C$5:C550,"&gt;="&amp;(Settings!$B$5-Settings!$B$9+1),$C$5:C550,"&lt;="&amp;Settings!$B$5)=1),1,0)</f>
        <v>0</v>
      </c>
      <c r="N550" s="29" t="n">
        <f aca="false">IF(AND(D550="Feature Use",COUNTIFS($B$5:B550,B550,$D$5:D550,"Feature Use")=1),1,0)</f>
        <v>0</v>
      </c>
    </row>
    <row r="551" customFormat="false" ht="15" hidden="false" customHeight="false" outlineLevel="0" collapsed="false">
      <c r="A551" s="22" t="s">
        <v>858</v>
      </c>
      <c r="B551" s="22" t="s">
        <v>269</v>
      </c>
      <c r="C551" s="31" t="n">
        <v>46285</v>
      </c>
      <c r="D551" s="22" t="s">
        <v>308</v>
      </c>
      <c r="E551" s="22" t="s">
        <v>301</v>
      </c>
      <c r="F551" s="29" t="str">
        <f aca="false">IF(COUNTIF(Referral_Data!$C$5:$C$1000,B551)&gt;0,"Referred",IF(COUNTIF(Referral_Data!$B$5:$B$1000,B551)&gt;0,"Referrer","Organic"))</f>
        <v>Referred</v>
      </c>
      <c r="G551" s="29" t="n">
        <f aca="false">IF(COUNTIFS($B$5:B551,B551,$C$5:C551,C551)=1,1,0)</f>
        <v>0</v>
      </c>
      <c r="H551" s="29" t="n">
        <f aca="false">IF(AND(G551=1,COUNTIFS($B$5:$B$1635,B551,$C$5:$C$1635,"&lt;"&amp;C551)&gt;0),1,0)</f>
        <v>0</v>
      </c>
      <c r="I551" s="29" t="n">
        <f aca="false">IF(AND(D551="Feature Use",COUNTIFS($B$5:B551,B551,$D$5:D551,"Feature Use",$E$5:E551,E551)=1),1,0)</f>
        <v>0</v>
      </c>
      <c r="J551" s="29" t="n">
        <f aca="false">IF(AND(D551="Feature Use",COUNTIFS($B$5:B551,B551,$D$5:D551,"Feature Use",$E$5:E551,E551)=2),1,0)</f>
        <v>0</v>
      </c>
      <c r="K551" s="29" t="n">
        <f aca="false">IF(COUNTIF($B$5:B551,B551)=1,1,0)</f>
        <v>0</v>
      </c>
      <c r="L551" s="29" t="n">
        <f aca="false">IF(AND(C551&gt;=Settings!$B$5-Settings!$B$8+1,C551&lt;=Settings!$B$5,COUNTIFS($B$5:B551,B551,$C$5:C551,"&gt;="&amp;(Settings!$B$5-Settings!$B$8+1),$C$5:C551,"&lt;="&amp;Settings!$B$5)=1),1,0)</f>
        <v>0</v>
      </c>
      <c r="M551" s="29" t="n">
        <f aca="false">IF(AND(C551&gt;=Settings!$B$5-Settings!$B$9+1,C551&lt;=Settings!$B$5,COUNTIFS($B$5:B551,B551,$C$5:C551,"&gt;="&amp;(Settings!$B$5-Settings!$B$9+1),$C$5:C551,"&lt;="&amp;Settings!$B$5)=1),1,0)</f>
        <v>0</v>
      </c>
      <c r="N551" s="29" t="n">
        <f aca="false">IF(AND(D551="Feature Use",COUNTIFS($B$5:B551,B551,$D$5:D551,"Feature Use")=1),1,0)</f>
        <v>0</v>
      </c>
    </row>
    <row r="552" customFormat="false" ht="15" hidden="false" customHeight="false" outlineLevel="0" collapsed="false">
      <c r="A552" s="22" t="s">
        <v>859</v>
      </c>
      <c r="B552" s="22" t="s">
        <v>167</v>
      </c>
      <c r="C552" s="31" t="n">
        <v>46285</v>
      </c>
      <c r="D552" s="22" t="s">
        <v>297</v>
      </c>
      <c r="E552" s="22" t="s">
        <v>298</v>
      </c>
      <c r="F552" s="29" t="str">
        <f aca="false">IF(COUNTIF(Referral_Data!$C$5:$C$1000,B552)&gt;0,"Referred",IF(COUNTIF(Referral_Data!$B$5:$B$1000,B552)&gt;0,"Referrer","Organic"))</f>
        <v>Referrer</v>
      </c>
      <c r="G552" s="29" t="n">
        <f aca="false">IF(COUNTIFS($B$5:B552,B552,$C$5:C552,C552)=1,1,0)</f>
        <v>1</v>
      </c>
      <c r="H552" s="29" t="n">
        <f aca="false">IF(AND(G552=1,COUNTIFS($B$5:$B$1635,B552,$C$5:$C$1635,"&lt;"&amp;C552)&gt;0),1,0)</f>
        <v>1</v>
      </c>
      <c r="I552" s="29" t="n">
        <f aca="false">IF(AND(D552="Feature Use",COUNTIFS($B$5:B552,B552,$D$5:D552,"Feature Use",$E$5:E552,E552)=1),1,0)</f>
        <v>0</v>
      </c>
      <c r="J552" s="29" t="n">
        <f aca="false">IF(AND(D552="Feature Use",COUNTIFS($B$5:B552,B552,$D$5:D552,"Feature Use",$E$5:E552,E552)=2),1,0)</f>
        <v>0</v>
      </c>
      <c r="K552" s="29" t="n">
        <f aca="false">IF(COUNTIF($B$5:B552,B552)=1,1,0)</f>
        <v>0</v>
      </c>
      <c r="L552" s="29" t="n">
        <f aca="false">IF(AND(C552&gt;=Settings!$B$5-Settings!$B$8+1,C552&lt;=Settings!$B$5,COUNTIFS($B$5:B552,B552,$C$5:C552,"&gt;="&amp;(Settings!$B$5-Settings!$B$8+1),$C$5:C552,"&lt;="&amp;Settings!$B$5)=1),1,0)</f>
        <v>0</v>
      </c>
      <c r="M552" s="29" t="n">
        <f aca="false">IF(AND(C552&gt;=Settings!$B$5-Settings!$B$9+1,C552&lt;=Settings!$B$5,COUNTIFS($B$5:B552,B552,$C$5:C552,"&gt;="&amp;(Settings!$B$5-Settings!$B$9+1),$C$5:C552,"&lt;="&amp;Settings!$B$5)=1),1,0)</f>
        <v>0</v>
      </c>
      <c r="N552" s="29" t="n">
        <f aca="false">IF(AND(D552="Feature Use",COUNTIFS($B$5:B552,B552,$D$5:D552,"Feature Use")=1),1,0)</f>
        <v>0</v>
      </c>
    </row>
    <row r="553" customFormat="false" ht="15" hidden="false" customHeight="false" outlineLevel="0" collapsed="false">
      <c r="A553" s="22" t="s">
        <v>860</v>
      </c>
      <c r="B553" s="22" t="s">
        <v>167</v>
      </c>
      <c r="C553" s="31" t="n">
        <v>46285</v>
      </c>
      <c r="D553" s="22" t="s">
        <v>300</v>
      </c>
      <c r="E553" s="22" t="s">
        <v>305</v>
      </c>
      <c r="F553" s="29" t="str">
        <f aca="false">IF(COUNTIF(Referral_Data!$C$5:$C$1000,B553)&gt;0,"Referred",IF(COUNTIF(Referral_Data!$B$5:$B$1000,B553)&gt;0,"Referrer","Organic"))</f>
        <v>Referrer</v>
      </c>
      <c r="G553" s="29" t="n">
        <f aca="false">IF(COUNTIFS($B$5:B553,B553,$C$5:C553,C553)=1,1,0)</f>
        <v>0</v>
      </c>
      <c r="H553" s="29" t="n">
        <f aca="false">IF(AND(G553=1,COUNTIFS($B$5:$B$1635,B553,$C$5:$C$1635,"&lt;"&amp;C553)&gt;0),1,0)</f>
        <v>0</v>
      </c>
      <c r="I553" s="29" t="n">
        <f aca="false">IF(AND(D553="Feature Use",COUNTIFS($B$5:B553,B553,$D$5:D553,"Feature Use",$E$5:E553,E553)=1),1,0)</f>
        <v>0</v>
      </c>
      <c r="J553" s="29" t="n">
        <f aca="false">IF(AND(D553="Feature Use",COUNTIFS($B$5:B553,B553,$D$5:D553,"Feature Use",$E$5:E553,E553)=2),1,0)</f>
        <v>1</v>
      </c>
      <c r="K553" s="29" t="n">
        <f aca="false">IF(COUNTIF($B$5:B553,B553)=1,1,0)</f>
        <v>0</v>
      </c>
      <c r="L553" s="29" t="n">
        <f aca="false">IF(AND(C553&gt;=Settings!$B$5-Settings!$B$8+1,C553&lt;=Settings!$B$5,COUNTIFS($B$5:B553,B553,$C$5:C553,"&gt;="&amp;(Settings!$B$5-Settings!$B$8+1),$C$5:C553,"&lt;="&amp;Settings!$B$5)=1),1,0)</f>
        <v>0</v>
      </c>
      <c r="M553" s="29" t="n">
        <f aca="false">IF(AND(C553&gt;=Settings!$B$5-Settings!$B$9+1,C553&lt;=Settings!$B$5,COUNTIFS($B$5:B553,B553,$C$5:C553,"&gt;="&amp;(Settings!$B$5-Settings!$B$9+1),$C$5:C553,"&lt;="&amp;Settings!$B$5)=1),1,0)</f>
        <v>0</v>
      </c>
      <c r="N553" s="29" t="n">
        <f aca="false">IF(AND(D553="Feature Use",COUNTIFS($B$5:B553,B553,$D$5:D553,"Feature Use")=1),1,0)</f>
        <v>0</v>
      </c>
    </row>
    <row r="554" customFormat="false" ht="15" hidden="false" customHeight="false" outlineLevel="0" collapsed="false">
      <c r="A554" s="22" t="s">
        <v>861</v>
      </c>
      <c r="B554" s="22" t="s">
        <v>196</v>
      </c>
      <c r="C554" s="31" t="n">
        <v>46285</v>
      </c>
      <c r="D554" s="22" t="s">
        <v>297</v>
      </c>
      <c r="E554" s="22" t="s">
        <v>298</v>
      </c>
      <c r="F554" s="29" t="str">
        <f aca="false">IF(COUNTIF(Referral_Data!$C$5:$C$1000,B554)&gt;0,"Referred",IF(COUNTIF(Referral_Data!$B$5:$B$1000,B554)&gt;0,"Referrer","Organic"))</f>
        <v>Referrer</v>
      </c>
      <c r="G554" s="29" t="n">
        <f aca="false">IF(COUNTIFS($B$5:B554,B554,$C$5:C554,C554)=1,1,0)</f>
        <v>1</v>
      </c>
      <c r="H554" s="29" t="n">
        <f aca="false">IF(AND(G554=1,COUNTIFS($B$5:$B$1635,B554,$C$5:$C$1635,"&lt;"&amp;C554)&gt;0),1,0)</f>
        <v>1</v>
      </c>
      <c r="I554" s="29" t="n">
        <f aca="false">IF(AND(D554="Feature Use",COUNTIFS($B$5:B554,B554,$D$5:D554,"Feature Use",$E$5:E554,E554)=1),1,0)</f>
        <v>0</v>
      </c>
      <c r="J554" s="29" t="n">
        <f aca="false">IF(AND(D554="Feature Use",COUNTIFS($B$5:B554,B554,$D$5:D554,"Feature Use",$E$5:E554,E554)=2),1,0)</f>
        <v>0</v>
      </c>
      <c r="K554" s="29" t="n">
        <f aca="false">IF(COUNTIF($B$5:B554,B554)=1,1,0)</f>
        <v>0</v>
      </c>
      <c r="L554" s="29" t="n">
        <f aca="false">IF(AND(C554&gt;=Settings!$B$5-Settings!$B$8+1,C554&lt;=Settings!$B$5,COUNTIFS($B$5:B554,B554,$C$5:C554,"&gt;="&amp;(Settings!$B$5-Settings!$B$8+1),$C$5:C554,"&lt;="&amp;Settings!$B$5)=1),1,0)</f>
        <v>0</v>
      </c>
      <c r="M554" s="29" t="n">
        <f aca="false">IF(AND(C554&gt;=Settings!$B$5-Settings!$B$9+1,C554&lt;=Settings!$B$5,COUNTIFS($B$5:B554,B554,$C$5:C554,"&gt;="&amp;(Settings!$B$5-Settings!$B$9+1),$C$5:C554,"&lt;="&amp;Settings!$B$5)=1),1,0)</f>
        <v>0</v>
      </c>
      <c r="N554" s="29" t="n">
        <f aca="false">IF(AND(D554="Feature Use",COUNTIFS($B$5:B554,B554,$D$5:D554,"Feature Use")=1),1,0)</f>
        <v>0</v>
      </c>
    </row>
    <row r="555" customFormat="false" ht="15" hidden="false" customHeight="false" outlineLevel="0" collapsed="false">
      <c r="A555" s="22" t="s">
        <v>862</v>
      </c>
      <c r="B555" s="22" t="s">
        <v>196</v>
      </c>
      <c r="C555" s="31" t="n">
        <v>46285</v>
      </c>
      <c r="D555" s="22" t="s">
        <v>300</v>
      </c>
      <c r="E555" s="22" t="s">
        <v>305</v>
      </c>
      <c r="F555" s="29" t="str">
        <f aca="false">IF(COUNTIF(Referral_Data!$C$5:$C$1000,B555)&gt;0,"Referred",IF(COUNTIF(Referral_Data!$B$5:$B$1000,B555)&gt;0,"Referrer","Organic"))</f>
        <v>Referrer</v>
      </c>
      <c r="G555" s="29" t="n">
        <f aca="false">IF(COUNTIFS($B$5:B555,B555,$C$5:C555,C555)=1,1,0)</f>
        <v>0</v>
      </c>
      <c r="H555" s="29" t="n">
        <f aca="false">IF(AND(G555=1,COUNTIFS($B$5:$B$1635,B555,$C$5:$C$1635,"&lt;"&amp;C555)&gt;0),1,0)</f>
        <v>0</v>
      </c>
      <c r="I555" s="29" t="n">
        <f aca="false">IF(AND(D555="Feature Use",COUNTIFS($B$5:B555,B555,$D$5:D555,"Feature Use",$E$5:E555,E555)=1),1,0)</f>
        <v>0</v>
      </c>
      <c r="J555" s="29" t="n">
        <f aca="false">IF(AND(D555="Feature Use",COUNTIFS($B$5:B555,B555,$D$5:D555,"Feature Use",$E$5:E555,E555)=2),1,0)</f>
        <v>0</v>
      </c>
      <c r="K555" s="29" t="n">
        <f aca="false">IF(COUNTIF($B$5:B555,B555)=1,1,0)</f>
        <v>0</v>
      </c>
      <c r="L555" s="29" t="n">
        <f aca="false">IF(AND(C555&gt;=Settings!$B$5-Settings!$B$8+1,C555&lt;=Settings!$B$5,COUNTIFS($B$5:B555,B555,$C$5:C555,"&gt;="&amp;(Settings!$B$5-Settings!$B$8+1),$C$5:C555,"&lt;="&amp;Settings!$B$5)=1),1,0)</f>
        <v>0</v>
      </c>
      <c r="M555" s="29" t="n">
        <f aca="false">IF(AND(C555&gt;=Settings!$B$5-Settings!$B$9+1,C555&lt;=Settings!$B$5,COUNTIFS($B$5:B555,B555,$C$5:C555,"&gt;="&amp;(Settings!$B$5-Settings!$B$9+1),$C$5:C555,"&lt;="&amp;Settings!$B$5)=1),1,0)</f>
        <v>0</v>
      </c>
      <c r="N555" s="29" t="n">
        <f aca="false">IF(AND(D555="Feature Use",COUNTIFS($B$5:B555,B555,$D$5:D555,"Feature Use")=1),1,0)</f>
        <v>0</v>
      </c>
    </row>
    <row r="556" customFormat="false" ht="15" hidden="false" customHeight="false" outlineLevel="0" collapsed="false">
      <c r="A556" s="22" t="s">
        <v>863</v>
      </c>
      <c r="B556" s="22" t="s">
        <v>173</v>
      </c>
      <c r="C556" s="31" t="n">
        <v>46285</v>
      </c>
      <c r="D556" s="22" t="s">
        <v>297</v>
      </c>
      <c r="E556" s="22" t="s">
        <v>298</v>
      </c>
      <c r="F556" s="29" t="str">
        <f aca="false">IF(COUNTIF(Referral_Data!$C$5:$C$1000,B556)&gt;0,"Referred",IF(COUNTIF(Referral_Data!$B$5:$B$1000,B556)&gt;0,"Referrer","Organic"))</f>
        <v>Referrer</v>
      </c>
      <c r="G556" s="29" t="n">
        <f aca="false">IF(COUNTIFS($B$5:B556,B556,$C$5:C556,C556)=1,1,0)</f>
        <v>1</v>
      </c>
      <c r="H556" s="29" t="n">
        <f aca="false">IF(AND(G556=1,COUNTIFS($B$5:$B$1635,B556,$C$5:$C$1635,"&lt;"&amp;C556)&gt;0),1,0)</f>
        <v>1</v>
      </c>
      <c r="I556" s="29" t="n">
        <f aca="false">IF(AND(D556="Feature Use",COUNTIFS($B$5:B556,B556,$D$5:D556,"Feature Use",$E$5:E556,E556)=1),1,0)</f>
        <v>0</v>
      </c>
      <c r="J556" s="29" t="n">
        <f aca="false">IF(AND(D556="Feature Use",COUNTIFS($B$5:B556,B556,$D$5:D556,"Feature Use",$E$5:E556,E556)=2),1,0)</f>
        <v>0</v>
      </c>
      <c r="K556" s="29" t="n">
        <f aca="false">IF(COUNTIF($B$5:B556,B556)=1,1,0)</f>
        <v>0</v>
      </c>
      <c r="L556" s="29" t="n">
        <f aca="false">IF(AND(C556&gt;=Settings!$B$5-Settings!$B$8+1,C556&lt;=Settings!$B$5,COUNTIFS($B$5:B556,B556,$C$5:C556,"&gt;="&amp;(Settings!$B$5-Settings!$B$8+1),$C$5:C556,"&lt;="&amp;Settings!$B$5)=1),1,0)</f>
        <v>0</v>
      </c>
      <c r="M556" s="29" t="n">
        <f aca="false">IF(AND(C556&gt;=Settings!$B$5-Settings!$B$9+1,C556&lt;=Settings!$B$5,COUNTIFS($B$5:B556,B556,$C$5:C556,"&gt;="&amp;(Settings!$B$5-Settings!$B$9+1),$C$5:C556,"&lt;="&amp;Settings!$B$5)=1),1,0)</f>
        <v>0</v>
      </c>
      <c r="N556" s="29" t="n">
        <f aca="false">IF(AND(D556="Feature Use",COUNTIFS($B$5:B556,B556,$D$5:D556,"Feature Use")=1),1,0)</f>
        <v>0</v>
      </c>
    </row>
    <row r="557" customFormat="false" ht="15" hidden="false" customHeight="false" outlineLevel="0" collapsed="false">
      <c r="A557" s="22" t="s">
        <v>864</v>
      </c>
      <c r="B557" s="22" t="s">
        <v>173</v>
      </c>
      <c r="C557" s="31" t="n">
        <v>46285</v>
      </c>
      <c r="D557" s="22" t="s">
        <v>300</v>
      </c>
      <c r="E557" s="22" t="s">
        <v>305</v>
      </c>
      <c r="F557" s="29" t="str">
        <f aca="false">IF(COUNTIF(Referral_Data!$C$5:$C$1000,B557)&gt;0,"Referred",IF(COUNTIF(Referral_Data!$B$5:$B$1000,B557)&gt;0,"Referrer","Organic"))</f>
        <v>Referrer</v>
      </c>
      <c r="G557" s="29" t="n">
        <f aca="false">IF(COUNTIFS($B$5:B557,B557,$C$5:C557,C557)=1,1,0)</f>
        <v>0</v>
      </c>
      <c r="H557" s="29" t="n">
        <f aca="false">IF(AND(G557=1,COUNTIFS($B$5:$B$1635,B557,$C$5:$C$1635,"&lt;"&amp;C557)&gt;0),1,0)</f>
        <v>0</v>
      </c>
      <c r="I557" s="29" t="n">
        <f aca="false">IF(AND(D557="Feature Use",COUNTIFS($B$5:B557,B557,$D$5:D557,"Feature Use",$E$5:E557,E557)=1),1,0)</f>
        <v>0</v>
      </c>
      <c r="J557" s="29" t="n">
        <f aca="false">IF(AND(D557="Feature Use",COUNTIFS($B$5:B557,B557,$D$5:D557,"Feature Use",$E$5:E557,E557)=2),1,0)</f>
        <v>0</v>
      </c>
      <c r="K557" s="29" t="n">
        <f aca="false">IF(COUNTIF($B$5:B557,B557)=1,1,0)</f>
        <v>0</v>
      </c>
      <c r="L557" s="29" t="n">
        <f aca="false">IF(AND(C557&gt;=Settings!$B$5-Settings!$B$8+1,C557&lt;=Settings!$B$5,COUNTIFS($B$5:B557,B557,$C$5:C557,"&gt;="&amp;(Settings!$B$5-Settings!$B$8+1),$C$5:C557,"&lt;="&amp;Settings!$B$5)=1),1,0)</f>
        <v>0</v>
      </c>
      <c r="M557" s="29" t="n">
        <f aca="false">IF(AND(C557&gt;=Settings!$B$5-Settings!$B$9+1,C557&lt;=Settings!$B$5,COUNTIFS($B$5:B557,B557,$C$5:C557,"&gt;="&amp;(Settings!$B$5-Settings!$B$9+1),$C$5:C557,"&lt;="&amp;Settings!$B$5)=1),1,0)</f>
        <v>0</v>
      </c>
      <c r="N557" s="29" t="n">
        <f aca="false">IF(AND(D557="Feature Use",COUNTIFS($B$5:B557,B557,$D$5:D557,"Feature Use")=1),1,0)</f>
        <v>0</v>
      </c>
    </row>
    <row r="558" customFormat="false" ht="15" hidden="false" customHeight="false" outlineLevel="0" collapsed="false">
      <c r="A558" s="22" t="s">
        <v>865</v>
      </c>
      <c r="B558" s="22" t="s">
        <v>173</v>
      </c>
      <c r="C558" s="31" t="n">
        <v>46285</v>
      </c>
      <c r="D558" s="22" t="s">
        <v>300</v>
      </c>
      <c r="E558" s="22" t="s">
        <v>301</v>
      </c>
      <c r="F558" s="29" t="str">
        <f aca="false">IF(COUNTIF(Referral_Data!$C$5:$C$1000,B558)&gt;0,"Referred",IF(COUNTIF(Referral_Data!$B$5:$B$1000,B558)&gt;0,"Referrer","Organic"))</f>
        <v>Referrer</v>
      </c>
      <c r="G558" s="29" t="n">
        <f aca="false">IF(COUNTIFS($B$5:B558,B558,$C$5:C558,C558)=1,1,0)</f>
        <v>0</v>
      </c>
      <c r="H558" s="29" t="n">
        <f aca="false">IF(AND(G558=1,COUNTIFS($B$5:$B$1635,B558,$C$5:$C$1635,"&lt;"&amp;C558)&gt;0),1,0)</f>
        <v>0</v>
      </c>
      <c r="I558" s="29" t="n">
        <f aca="false">IF(AND(D558="Feature Use",COUNTIFS($B$5:B558,B558,$D$5:D558,"Feature Use",$E$5:E558,E558)=1),1,0)</f>
        <v>0</v>
      </c>
      <c r="J558" s="29" t="n">
        <f aca="false">IF(AND(D558="Feature Use",COUNTIFS($B$5:B558,B558,$D$5:D558,"Feature Use",$E$5:E558,E558)=2),1,0)</f>
        <v>1</v>
      </c>
      <c r="K558" s="29" t="n">
        <f aca="false">IF(COUNTIF($B$5:B558,B558)=1,1,0)</f>
        <v>0</v>
      </c>
      <c r="L558" s="29" t="n">
        <f aca="false">IF(AND(C558&gt;=Settings!$B$5-Settings!$B$8+1,C558&lt;=Settings!$B$5,COUNTIFS($B$5:B558,B558,$C$5:C558,"&gt;="&amp;(Settings!$B$5-Settings!$B$8+1),$C$5:C558,"&lt;="&amp;Settings!$B$5)=1),1,0)</f>
        <v>0</v>
      </c>
      <c r="M558" s="29" t="n">
        <f aca="false">IF(AND(C558&gt;=Settings!$B$5-Settings!$B$9+1,C558&lt;=Settings!$B$5,COUNTIFS($B$5:B558,B558,$C$5:C558,"&gt;="&amp;(Settings!$B$5-Settings!$B$9+1),$C$5:C558,"&lt;="&amp;Settings!$B$5)=1),1,0)</f>
        <v>0</v>
      </c>
      <c r="N558" s="29" t="n">
        <f aca="false">IF(AND(D558="Feature Use",COUNTIFS($B$5:B558,B558,$D$5:D558,"Feature Use")=1),1,0)</f>
        <v>0</v>
      </c>
    </row>
    <row r="559" customFormat="false" ht="15" hidden="false" customHeight="false" outlineLevel="0" collapsed="false">
      <c r="A559" s="22" t="s">
        <v>866</v>
      </c>
      <c r="B559" s="22" t="s">
        <v>208</v>
      </c>
      <c r="C559" s="31" t="n">
        <v>46285</v>
      </c>
      <c r="D559" s="22" t="s">
        <v>297</v>
      </c>
      <c r="E559" s="22" t="s">
        <v>298</v>
      </c>
      <c r="F559" s="29" t="str">
        <f aca="false">IF(COUNTIF(Referral_Data!$C$5:$C$1000,B559)&gt;0,"Referred",IF(COUNTIF(Referral_Data!$B$5:$B$1000,B559)&gt;0,"Referrer","Organic"))</f>
        <v>Referrer</v>
      </c>
      <c r="G559" s="29" t="n">
        <f aca="false">IF(COUNTIFS($B$5:B559,B559,$C$5:C559,C559)=1,1,0)</f>
        <v>1</v>
      </c>
      <c r="H559" s="29" t="n">
        <f aca="false">IF(AND(G559=1,COUNTIFS($B$5:$B$1635,B559,$C$5:$C$1635,"&lt;"&amp;C559)&gt;0),1,0)</f>
        <v>1</v>
      </c>
      <c r="I559" s="29" t="n">
        <f aca="false">IF(AND(D559="Feature Use",COUNTIFS($B$5:B559,B559,$D$5:D559,"Feature Use",$E$5:E559,E559)=1),1,0)</f>
        <v>0</v>
      </c>
      <c r="J559" s="29" t="n">
        <f aca="false">IF(AND(D559="Feature Use",COUNTIFS($B$5:B559,B559,$D$5:D559,"Feature Use",$E$5:E559,E559)=2),1,0)</f>
        <v>0</v>
      </c>
      <c r="K559" s="29" t="n">
        <f aca="false">IF(COUNTIF($B$5:B559,B559)=1,1,0)</f>
        <v>0</v>
      </c>
      <c r="L559" s="29" t="n">
        <f aca="false">IF(AND(C559&gt;=Settings!$B$5-Settings!$B$8+1,C559&lt;=Settings!$B$5,COUNTIFS($B$5:B559,B559,$C$5:C559,"&gt;="&amp;(Settings!$B$5-Settings!$B$8+1),$C$5:C559,"&lt;="&amp;Settings!$B$5)=1),1,0)</f>
        <v>0</v>
      </c>
      <c r="M559" s="29" t="n">
        <f aca="false">IF(AND(C559&gt;=Settings!$B$5-Settings!$B$9+1,C559&lt;=Settings!$B$5,COUNTIFS($B$5:B559,B559,$C$5:C559,"&gt;="&amp;(Settings!$B$5-Settings!$B$9+1),$C$5:C559,"&lt;="&amp;Settings!$B$5)=1),1,0)</f>
        <v>0</v>
      </c>
      <c r="N559" s="29" t="n">
        <f aca="false">IF(AND(D559="Feature Use",COUNTIFS($B$5:B559,B559,$D$5:D559,"Feature Use")=1),1,0)</f>
        <v>0</v>
      </c>
    </row>
    <row r="560" customFormat="false" ht="15" hidden="false" customHeight="false" outlineLevel="0" collapsed="false">
      <c r="A560" s="22" t="s">
        <v>867</v>
      </c>
      <c r="B560" s="22" t="s">
        <v>208</v>
      </c>
      <c r="C560" s="31" t="n">
        <v>46285</v>
      </c>
      <c r="D560" s="22" t="s">
        <v>300</v>
      </c>
      <c r="E560" s="22" t="s">
        <v>311</v>
      </c>
      <c r="F560" s="29" t="str">
        <f aca="false">IF(COUNTIF(Referral_Data!$C$5:$C$1000,B560)&gt;0,"Referred",IF(COUNTIF(Referral_Data!$B$5:$B$1000,B560)&gt;0,"Referrer","Organic"))</f>
        <v>Referrer</v>
      </c>
      <c r="G560" s="29" t="n">
        <f aca="false">IF(COUNTIFS($B$5:B560,B560,$C$5:C560,C560)=1,1,0)</f>
        <v>0</v>
      </c>
      <c r="H560" s="29" t="n">
        <f aca="false">IF(AND(G560=1,COUNTIFS($B$5:$B$1635,B560,$C$5:$C$1635,"&lt;"&amp;C560)&gt;0),1,0)</f>
        <v>0</v>
      </c>
      <c r="I560" s="29" t="n">
        <f aca="false">IF(AND(D560="Feature Use",COUNTIFS($B$5:B560,B560,$D$5:D560,"Feature Use",$E$5:E560,E560)=1),1,0)</f>
        <v>0</v>
      </c>
      <c r="J560" s="29" t="n">
        <f aca="false">IF(AND(D560="Feature Use",COUNTIFS($B$5:B560,B560,$D$5:D560,"Feature Use",$E$5:E560,E560)=2),1,0)</f>
        <v>1</v>
      </c>
      <c r="K560" s="29" t="n">
        <f aca="false">IF(COUNTIF($B$5:B560,B560)=1,1,0)</f>
        <v>0</v>
      </c>
      <c r="L560" s="29" t="n">
        <f aca="false">IF(AND(C560&gt;=Settings!$B$5-Settings!$B$8+1,C560&lt;=Settings!$B$5,COUNTIFS($B$5:B560,B560,$C$5:C560,"&gt;="&amp;(Settings!$B$5-Settings!$B$8+1),$C$5:C560,"&lt;="&amp;Settings!$B$5)=1),1,0)</f>
        <v>0</v>
      </c>
      <c r="M560" s="29" t="n">
        <f aca="false">IF(AND(C560&gt;=Settings!$B$5-Settings!$B$9+1,C560&lt;=Settings!$B$5,COUNTIFS($B$5:B560,B560,$C$5:C560,"&gt;="&amp;(Settings!$B$5-Settings!$B$9+1),$C$5:C560,"&lt;="&amp;Settings!$B$5)=1),1,0)</f>
        <v>0</v>
      </c>
      <c r="N560" s="29" t="n">
        <f aca="false">IF(AND(D560="Feature Use",COUNTIFS($B$5:B560,B560,$D$5:D560,"Feature Use")=1),1,0)</f>
        <v>0</v>
      </c>
    </row>
    <row r="561" customFormat="false" ht="15" hidden="false" customHeight="false" outlineLevel="0" collapsed="false">
      <c r="A561" s="22" t="s">
        <v>868</v>
      </c>
      <c r="B561" s="22" t="s">
        <v>208</v>
      </c>
      <c r="C561" s="31" t="n">
        <v>46285</v>
      </c>
      <c r="D561" s="22" t="s">
        <v>300</v>
      </c>
      <c r="E561" s="22" t="s">
        <v>305</v>
      </c>
      <c r="F561" s="29" t="str">
        <f aca="false">IF(COUNTIF(Referral_Data!$C$5:$C$1000,B561)&gt;0,"Referred",IF(COUNTIF(Referral_Data!$B$5:$B$1000,B561)&gt;0,"Referrer","Organic"))</f>
        <v>Referrer</v>
      </c>
      <c r="G561" s="29" t="n">
        <f aca="false">IF(COUNTIFS($B$5:B561,B561,$C$5:C561,C561)=1,1,0)</f>
        <v>0</v>
      </c>
      <c r="H561" s="29" t="n">
        <f aca="false">IF(AND(G561=1,COUNTIFS($B$5:$B$1635,B561,$C$5:$C$1635,"&lt;"&amp;C561)&gt;0),1,0)</f>
        <v>0</v>
      </c>
      <c r="I561" s="29" t="n">
        <f aca="false">IF(AND(D561="Feature Use",COUNTIFS($B$5:B561,B561,$D$5:D561,"Feature Use",$E$5:E561,E561)=1),1,0)</f>
        <v>0</v>
      </c>
      <c r="J561" s="29" t="n">
        <f aca="false">IF(AND(D561="Feature Use",COUNTIFS($B$5:B561,B561,$D$5:D561,"Feature Use",$E$5:E561,E561)=2),1,0)</f>
        <v>0</v>
      </c>
      <c r="K561" s="29" t="n">
        <f aca="false">IF(COUNTIF($B$5:B561,B561)=1,1,0)</f>
        <v>0</v>
      </c>
      <c r="L561" s="29" t="n">
        <f aca="false">IF(AND(C561&gt;=Settings!$B$5-Settings!$B$8+1,C561&lt;=Settings!$B$5,COUNTIFS($B$5:B561,B561,$C$5:C561,"&gt;="&amp;(Settings!$B$5-Settings!$B$8+1),$C$5:C561,"&lt;="&amp;Settings!$B$5)=1),1,0)</f>
        <v>0</v>
      </c>
      <c r="M561" s="29" t="n">
        <f aca="false">IF(AND(C561&gt;=Settings!$B$5-Settings!$B$9+1,C561&lt;=Settings!$B$5,COUNTIFS($B$5:B561,B561,$C$5:C561,"&gt;="&amp;(Settings!$B$5-Settings!$B$9+1),$C$5:C561,"&lt;="&amp;Settings!$B$5)=1),1,0)</f>
        <v>0</v>
      </c>
      <c r="N561" s="29" t="n">
        <f aca="false">IF(AND(D561="Feature Use",COUNTIFS($B$5:B561,B561,$D$5:D561,"Feature Use")=1),1,0)</f>
        <v>0</v>
      </c>
    </row>
    <row r="562" customFormat="false" ht="15" hidden="false" customHeight="false" outlineLevel="0" collapsed="false">
      <c r="A562" s="22" t="s">
        <v>869</v>
      </c>
      <c r="B562" s="22" t="s">
        <v>208</v>
      </c>
      <c r="C562" s="31" t="n">
        <v>46285</v>
      </c>
      <c r="D562" s="22" t="s">
        <v>308</v>
      </c>
      <c r="E562" s="22" t="s">
        <v>305</v>
      </c>
      <c r="F562" s="29" t="str">
        <f aca="false">IF(COUNTIF(Referral_Data!$C$5:$C$1000,B562)&gt;0,"Referred",IF(COUNTIF(Referral_Data!$B$5:$B$1000,B562)&gt;0,"Referrer","Organic"))</f>
        <v>Referrer</v>
      </c>
      <c r="G562" s="29" t="n">
        <f aca="false">IF(COUNTIFS($B$5:B562,B562,$C$5:C562,C562)=1,1,0)</f>
        <v>0</v>
      </c>
      <c r="H562" s="29" t="n">
        <f aca="false">IF(AND(G562=1,COUNTIFS($B$5:$B$1635,B562,$C$5:$C$1635,"&lt;"&amp;C562)&gt;0),1,0)</f>
        <v>0</v>
      </c>
      <c r="I562" s="29" t="n">
        <f aca="false">IF(AND(D562="Feature Use",COUNTIFS($B$5:B562,B562,$D$5:D562,"Feature Use",$E$5:E562,E562)=1),1,0)</f>
        <v>0</v>
      </c>
      <c r="J562" s="29" t="n">
        <f aca="false">IF(AND(D562="Feature Use",COUNTIFS($B$5:B562,B562,$D$5:D562,"Feature Use",$E$5:E562,E562)=2),1,0)</f>
        <v>0</v>
      </c>
      <c r="K562" s="29" t="n">
        <f aca="false">IF(COUNTIF($B$5:B562,B562)=1,1,0)</f>
        <v>0</v>
      </c>
      <c r="L562" s="29" t="n">
        <f aca="false">IF(AND(C562&gt;=Settings!$B$5-Settings!$B$8+1,C562&lt;=Settings!$B$5,COUNTIFS($B$5:B562,B562,$C$5:C562,"&gt;="&amp;(Settings!$B$5-Settings!$B$8+1),$C$5:C562,"&lt;="&amp;Settings!$B$5)=1),1,0)</f>
        <v>0</v>
      </c>
      <c r="M562" s="29" t="n">
        <f aca="false">IF(AND(C562&gt;=Settings!$B$5-Settings!$B$9+1,C562&lt;=Settings!$B$5,COUNTIFS($B$5:B562,B562,$C$5:C562,"&gt;="&amp;(Settings!$B$5-Settings!$B$9+1),$C$5:C562,"&lt;="&amp;Settings!$B$5)=1),1,0)</f>
        <v>0</v>
      </c>
      <c r="N562" s="29" t="n">
        <f aca="false">IF(AND(D562="Feature Use",COUNTIFS($B$5:B562,B562,$D$5:D562,"Feature Use")=1),1,0)</f>
        <v>0</v>
      </c>
    </row>
    <row r="563" customFormat="false" ht="15" hidden="false" customHeight="false" outlineLevel="0" collapsed="false">
      <c r="A563" s="22" t="s">
        <v>870</v>
      </c>
      <c r="B563" s="22" t="s">
        <v>203</v>
      </c>
      <c r="C563" s="31" t="n">
        <v>46285</v>
      </c>
      <c r="D563" s="22" t="s">
        <v>297</v>
      </c>
      <c r="E563" s="22" t="s">
        <v>298</v>
      </c>
      <c r="F563" s="29" t="str">
        <f aca="false">IF(COUNTIF(Referral_Data!$C$5:$C$1000,B563)&gt;0,"Referred",IF(COUNTIF(Referral_Data!$B$5:$B$1000,B563)&gt;0,"Referrer","Organic"))</f>
        <v>Referrer</v>
      </c>
      <c r="G563" s="29" t="n">
        <f aca="false">IF(COUNTIFS($B$5:B563,B563,$C$5:C563,C563)=1,1,0)</f>
        <v>1</v>
      </c>
      <c r="H563" s="29" t="n">
        <f aca="false">IF(AND(G563=1,COUNTIFS($B$5:$B$1635,B563,$C$5:$C$1635,"&lt;"&amp;C563)&gt;0),1,0)</f>
        <v>1</v>
      </c>
      <c r="I563" s="29" t="n">
        <f aca="false">IF(AND(D563="Feature Use",COUNTIFS($B$5:B563,B563,$D$5:D563,"Feature Use",$E$5:E563,E563)=1),1,0)</f>
        <v>0</v>
      </c>
      <c r="J563" s="29" t="n">
        <f aca="false">IF(AND(D563="Feature Use",COUNTIFS($B$5:B563,B563,$D$5:D563,"Feature Use",$E$5:E563,E563)=2),1,0)</f>
        <v>0</v>
      </c>
      <c r="K563" s="29" t="n">
        <f aca="false">IF(COUNTIF($B$5:B563,B563)=1,1,0)</f>
        <v>0</v>
      </c>
      <c r="L563" s="29" t="n">
        <f aca="false">IF(AND(C563&gt;=Settings!$B$5-Settings!$B$8+1,C563&lt;=Settings!$B$5,COUNTIFS($B$5:B563,B563,$C$5:C563,"&gt;="&amp;(Settings!$B$5-Settings!$B$8+1),$C$5:C563,"&lt;="&amp;Settings!$B$5)=1),1,0)</f>
        <v>0</v>
      </c>
      <c r="M563" s="29" t="n">
        <f aca="false">IF(AND(C563&gt;=Settings!$B$5-Settings!$B$9+1,C563&lt;=Settings!$B$5,COUNTIFS($B$5:B563,B563,$C$5:C563,"&gt;="&amp;(Settings!$B$5-Settings!$B$9+1),$C$5:C563,"&lt;="&amp;Settings!$B$5)=1),1,0)</f>
        <v>0</v>
      </c>
      <c r="N563" s="29" t="n">
        <f aca="false">IF(AND(D563="Feature Use",COUNTIFS($B$5:B563,B563,$D$5:D563,"Feature Use")=1),1,0)</f>
        <v>0</v>
      </c>
    </row>
    <row r="564" customFormat="false" ht="15" hidden="false" customHeight="false" outlineLevel="0" collapsed="false">
      <c r="A564" s="22" t="s">
        <v>871</v>
      </c>
      <c r="B564" s="22" t="s">
        <v>203</v>
      </c>
      <c r="C564" s="31" t="n">
        <v>46285</v>
      </c>
      <c r="D564" s="22" t="s">
        <v>300</v>
      </c>
      <c r="E564" s="22" t="s">
        <v>305</v>
      </c>
      <c r="F564" s="29" t="str">
        <f aca="false">IF(COUNTIF(Referral_Data!$C$5:$C$1000,B564)&gt;0,"Referred",IF(COUNTIF(Referral_Data!$B$5:$B$1000,B564)&gt;0,"Referrer","Organic"))</f>
        <v>Referrer</v>
      </c>
      <c r="G564" s="29" t="n">
        <f aca="false">IF(COUNTIFS($B$5:B564,B564,$C$5:C564,C564)=1,1,0)</f>
        <v>0</v>
      </c>
      <c r="H564" s="29" t="n">
        <f aca="false">IF(AND(G564=1,COUNTIFS($B$5:$B$1635,B564,$C$5:$C$1635,"&lt;"&amp;C564)&gt;0),1,0)</f>
        <v>0</v>
      </c>
      <c r="I564" s="29" t="n">
        <f aca="false">IF(AND(D564="Feature Use",COUNTIFS($B$5:B564,B564,$D$5:D564,"Feature Use",$E$5:E564,E564)=1),1,0)</f>
        <v>0</v>
      </c>
      <c r="J564" s="29" t="n">
        <f aca="false">IF(AND(D564="Feature Use",COUNTIFS($B$5:B564,B564,$D$5:D564,"Feature Use",$E$5:E564,E564)=2),1,0)</f>
        <v>0</v>
      </c>
      <c r="K564" s="29" t="n">
        <f aca="false">IF(COUNTIF($B$5:B564,B564)=1,1,0)</f>
        <v>0</v>
      </c>
      <c r="L564" s="29" t="n">
        <f aca="false">IF(AND(C564&gt;=Settings!$B$5-Settings!$B$8+1,C564&lt;=Settings!$B$5,COUNTIFS($B$5:B564,B564,$C$5:C564,"&gt;="&amp;(Settings!$B$5-Settings!$B$8+1),$C$5:C564,"&lt;="&amp;Settings!$B$5)=1),1,0)</f>
        <v>0</v>
      </c>
      <c r="M564" s="29" t="n">
        <f aca="false">IF(AND(C564&gt;=Settings!$B$5-Settings!$B$9+1,C564&lt;=Settings!$B$5,COUNTIFS($B$5:B564,B564,$C$5:C564,"&gt;="&amp;(Settings!$B$5-Settings!$B$9+1),$C$5:C564,"&lt;="&amp;Settings!$B$5)=1),1,0)</f>
        <v>0</v>
      </c>
      <c r="N564" s="29" t="n">
        <f aca="false">IF(AND(D564="Feature Use",COUNTIFS($B$5:B564,B564,$D$5:D564,"Feature Use")=1),1,0)</f>
        <v>0</v>
      </c>
    </row>
    <row r="565" customFormat="false" ht="15" hidden="false" customHeight="false" outlineLevel="0" collapsed="false">
      <c r="A565" s="22" t="s">
        <v>872</v>
      </c>
      <c r="B565" s="22" t="s">
        <v>203</v>
      </c>
      <c r="C565" s="31" t="n">
        <v>46285</v>
      </c>
      <c r="D565" s="22" t="s">
        <v>300</v>
      </c>
      <c r="E565" s="22" t="s">
        <v>305</v>
      </c>
      <c r="F565" s="29" t="str">
        <f aca="false">IF(COUNTIF(Referral_Data!$C$5:$C$1000,B565)&gt;0,"Referred",IF(COUNTIF(Referral_Data!$B$5:$B$1000,B565)&gt;0,"Referrer","Organic"))</f>
        <v>Referrer</v>
      </c>
      <c r="G565" s="29" t="n">
        <f aca="false">IF(COUNTIFS($B$5:B565,B565,$C$5:C565,C565)=1,1,0)</f>
        <v>0</v>
      </c>
      <c r="H565" s="29" t="n">
        <f aca="false">IF(AND(G565=1,COUNTIFS($B$5:$B$1635,B565,$C$5:$C$1635,"&lt;"&amp;C565)&gt;0),1,0)</f>
        <v>0</v>
      </c>
      <c r="I565" s="29" t="n">
        <f aca="false">IF(AND(D565="Feature Use",COUNTIFS($B$5:B565,B565,$D$5:D565,"Feature Use",$E$5:E565,E565)=1),1,0)</f>
        <v>0</v>
      </c>
      <c r="J565" s="29" t="n">
        <f aca="false">IF(AND(D565="Feature Use",COUNTIFS($B$5:B565,B565,$D$5:D565,"Feature Use",$E$5:E565,E565)=2),1,0)</f>
        <v>0</v>
      </c>
      <c r="K565" s="29" t="n">
        <f aca="false">IF(COUNTIF($B$5:B565,B565)=1,1,0)</f>
        <v>0</v>
      </c>
      <c r="L565" s="29" t="n">
        <f aca="false">IF(AND(C565&gt;=Settings!$B$5-Settings!$B$8+1,C565&lt;=Settings!$B$5,COUNTIFS($B$5:B565,B565,$C$5:C565,"&gt;="&amp;(Settings!$B$5-Settings!$B$8+1),$C$5:C565,"&lt;="&amp;Settings!$B$5)=1),1,0)</f>
        <v>0</v>
      </c>
      <c r="M565" s="29" t="n">
        <f aca="false">IF(AND(C565&gt;=Settings!$B$5-Settings!$B$9+1,C565&lt;=Settings!$B$5,COUNTIFS($B$5:B565,B565,$C$5:C565,"&gt;="&amp;(Settings!$B$5-Settings!$B$9+1),$C$5:C565,"&lt;="&amp;Settings!$B$5)=1),1,0)</f>
        <v>0</v>
      </c>
      <c r="N565" s="29" t="n">
        <f aca="false">IF(AND(D565="Feature Use",COUNTIFS($B$5:B565,B565,$D$5:D565,"Feature Use")=1),1,0)</f>
        <v>0</v>
      </c>
    </row>
    <row r="566" customFormat="false" ht="15" hidden="false" customHeight="false" outlineLevel="0" collapsed="false">
      <c r="A566" s="22" t="s">
        <v>873</v>
      </c>
      <c r="B566" s="22" t="s">
        <v>329</v>
      </c>
      <c r="C566" s="31" t="n">
        <v>46286</v>
      </c>
      <c r="D566" s="22" t="s">
        <v>297</v>
      </c>
      <c r="E566" s="22" t="s">
        <v>298</v>
      </c>
      <c r="F566" s="29" t="str">
        <f aca="false">IF(COUNTIF(Referral_Data!$C$5:$C$1000,B566)&gt;0,"Referred",IF(COUNTIF(Referral_Data!$B$5:$B$1000,B566)&gt;0,"Referrer","Organic"))</f>
        <v>Organic</v>
      </c>
      <c r="G566" s="29" t="n">
        <f aca="false">IF(COUNTIFS($B$5:B566,B566,$C$5:C566,C566)=1,1,0)</f>
        <v>1</v>
      </c>
      <c r="H566" s="29" t="n">
        <f aca="false">IF(AND(G566=1,COUNTIFS($B$5:$B$1635,B566,$C$5:$C$1635,"&lt;"&amp;C566)&gt;0),1,0)</f>
        <v>1</v>
      </c>
      <c r="I566" s="29" t="n">
        <f aca="false">IF(AND(D566="Feature Use",COUNTIFS($B$5:B566,B566,$D$5:D566,"Feature Use",$E$5:E566,E566)=1),1,0)</f>
        <v>0</v>
      </c>
      <c r="J566" s="29" t="n">
        <f aca="false">IF(AND(D566="Feature Use",COUNTIFS($B$5:B566,B566,$D$5:D566,"Feature Use",$E$5:E566,E566)=2),1,0)</f>
        <v>0</v>
      </c>
      <c r="K566" s="29" t="n">
        <f aca="false">IF(COUNTIF($B$5:B566,B566)=1,1,0)</f>
        <v>0</v>
      </c>
      <c r="L566" s="29" t="n">
        <f aca="false">IF(AND(C566&gt;=Settings!$B$5-Settings!$B$8+1,C566&lt;=Settings!$B$5,COUNTIFS($B$5:B566,B566,$C$5:C566,"&gt;="&amp;(Settings!$B$5-Settings!$B$8+1),$C$5:C566,"&lt;="&amp;Settings!$B$5)=1),1,0)</f>
        <v>0</v>
      </c>
      <c r="M566" s="29" t="n">
        <f aca="false">IF(AND(C566&gt;=Settings!$B$5-Settings!$B$9+1,C566&lt;=Settings!$B$5,COUNTIFS($B$5:B566,B566,$C$5:C566,"&gt;="&amp;(Settings!$B$5-Settings!$B$9+1),$C$5:C566,"&lt;="&amp;Settings!$B$5)=1),1,0)</f>
        <v>1</v>
      </c>
      <c r="N566" s="29" t="n">
        <f aca="false">IF(AND(D566="Feature Use",COUNTIFS($B$5:B566,B566,$D$5:D566,"Feature Use")=1),1,0)</f>
        <v>0</v>
      </c>
    </row>
    <row r="567" customFormat="false" ht="15" hidden="false" customHeight="false" outlineLevel="0" collapsed="false">
      <c r="A567" s="22" t="s">
        <v>874</v>
      </c>
      <c r="B567" s="22" t="s">
        <v>329</v>
      </c>
      <c r="C567" s="31" t="n">
        <v>46286</v>
      </c>
      <c r="D567" s="22" t="s">
        <v>300</v>
      </c>
      <c r="E567" s="22" t="s">
        <v>305</v>
      </c>
      <c r="F567" s="29" t="str">
        <f aca="false">IF(COUNTIF(Referral_Data!$C$5:$C$1000,B567)&gt;0,"Referred",IF(COUNTIF(Referral_Data!$B$5:$B$1000,B567)&gt;0,"Referrer","Organic"))</f>
        <v>Organic</v>
      </c>
      <c r="G567" s="29" t="n">
        <f aca="false">IF(COUNTIFS($B$5:B567,B567,$C$5:C567,C567)=1,1,0)</f>
        <v>0</v>
      </c>
      <c r="H567" s="29" t="n">
        <f aca="false">IF(AND(G567=1,COUNTIFS($B$5:$B$1635,B567,$C$5:$C$1635,"&lt;"&amp;C567)&gt;0),1,0)</f>
        <v>0</v>
      </c>
      <c r="I567" s="29" t="n">
        <f aca="false">IF(AND(D567="Feature Use",COUNTIFS($B$5:B567,B567,$D$5:D567,"Feature Use",$E$5:E567,E567)=1),1,0)</f>
        <v>0</v>
      </c>
      <c r="J567" s="29" t="n">
        <f aca="false">IF(AND(D567="Feature Use",COUNTIFS($B$5:B567,B567,$D$5:D567,"Feature Use",$E$5:E567,E567)=2),1,0)</f>
        <v>0</v>
      </c>
      <c r="K567" s="29" t="n">
        <f aca="false">IF(COUNTIF($B$5:B567,B567)=1,1,0)</f>
        <v>0</v>
      </c>
      <c r="L567" s="29" t="n">
        <f aca="false">IF(AND(C567&gt;=Settings!$B$5-Settings!$B$8+1,C567&lt;=Settings!$B$5,COUNTIFS($B$5:B567,B567,$C$5:C567,"&gt;="&amp;(Settings!$B$5-Settings!$B$8+1),$C$5:C567,"&lt;="&amp;Settings!$B$5)=1),1,0)</f>
        <v>0</v>
      </c>
      <c r="M567" s="29" t="n">
        <f aca="false">IF(AND(C567&gt;=Settings!$B$5-Settings!$B$9+1,C567&lt;=Settings!$B$5,COUNTIFS($B$5:B567,B567,$C$5:C567,"&gt;="&amp;(Settings!$B$5-Settings!$B$9+1),$C$5:C567,"&lt;="&amp;Settings!$B$5)=1),1,0)</f>
        <v>0</v>
      </c>
      <c r="N567" s="29" t="n">
        <f aca="false">IF(AND(D567="Feature Use",COUNTIFS($B$5:B567,B567,$D$5:D567,"Feature Use")=1),1,0)</f>
        <v>0</v>
      </c>
    </row>
    <row r="568" customFormat="false" ht="15" hidden="false" customHeight="false" outlineLevel="0" collapsed="false">
      <c r="A568" s="22" t="s">
        <v>875</v>
      </c>
      <c r="B568" s="22" t="s">
        <v>333</v>
      </c>
      <c r="C568" s="31" t="n">
        <v>46286</v>
      </c>
      <c r="D568" s="22" t="s">
        <v>297</v>
      </c>
      <c r="E568" s="22" t="s">
        <v>298</v>
      </c>
      <c r="F568" s="29" t="str">
        <f aca="false">IF(COUNTIF(Referral_Data!$C$5:$C$1000,B568)&gt;0,"Referred",IF(COUNTIF(Referral_Data!$B$5:$B$1000,B568)&gt;0,"Referrer","Organic"))</f>
        <v>Organic</v>
      </c>
      <c r="G568" s="29" t="n">
        <f aca="false">IF(COUNTIFS($B$5:B568,B568,$C$5:C568,C568)=1,1,0)</f>
        <v>1</v>
      </c>
      <c r="H568" s="29" t="n">
        <f aca="false">IF(AND(G568=1,COUNTIFS($B$5:$B$1635,B568,$C$5:$C$1635,"&lt;"&amp;C568)&gt;0),1,0)</f>
        <v>1</v>
      </c>
      <c r="I568" s="29" t="n">
        <f aca="false">IF(AND(D568="Feature Use",COUNTIFS($B$5:B568,B568,$D$5:D568,"Feature Use",$E$5:E568,E568)=1),1,0)</f>
        <v>0</v>
      </c>
      <c r="J568" s="29" t="n">
        <f aca="false">IF(AND(D568="Feature Use",COUNTIFS($B$5:B568,B568,$D$5:D568,"Feature Use",$E$5:E568,E568)=2),1,0)</f>
        <v>0</v>
      </c>
      <c r="K568" s="29" t="n">
        <f aca="false">IF(COUNTIF($B$5:B568,B568)=1,1,0)</f>
        <v>0</v>
      </c>
      <c r="L568" s="29" t="n">
        <f aca="false">IF(AND(C568&gt;=Settings!$B$5-Settings!$B$8+1,C568&lt;=Settings!$B$5,COUNTIFS($B$5:B568,B568,$C$5:C568,"&gt;="&amp;(Settings!$B$5-Settings!$B$8+1),$C$5:C568,"&lt;="&amp;Settings!$B$5)=1),1,0)</f>
        <v>0</v>
      </c>
      <c r="M568" s="29" t="n">
        <f aca="false">IF(AND(C568&gt;=Settings!$B$5-Settings!$B$9+1,C568&lt;=Settings!$B$5,COUNTIFS($B$5:B568,B568,$C$5:C568,"&gt;="&amp;(Settings!$B$5-Settings!$B$9+1),$C$5:C568,"&lt;="&amp;Settings!$B$5)=1),1,0)</f>
        <v>0</v>
      </c>
      <c r="N568" s="29" t="n">
        <f aca="false">IF(AND(D568="Feature Use",COUNTIFS($B$5:B568,B568,$D$5:D568,"Feature Use")=1),1,0)</f>
        <v>0</v>
      </c>
    </row>
    <row r="569" customFormat="false" ht="15" hidden="false" customHeight="false" outlineLevel="0" collapsed="false">
      <c r="A569" s="22" t="s">
        <v>876</v>
      </c>
      <c r="B569" s="22" t="s">
        <v>333</v>
      </c>
      <c r="C569" s="31" t="n">
        <v>46286</v>
      </c>
      <c r="D569" s="22" t="s">
        <v>300</v>
      </c>
      <c r="E569" s="22" t="s">
        <v>311</v>
      </c>
      <c r="F569" s="29" t="str">
        <f aca="false">IF(COUNTIF(Referral_Data!$C$5:$C$1000,B569)&gt;0,"Referred",IF(COUNTIF(Referral_Data!$B$5:$B$1000,B569)&gt;0,"Referrer","Organic"))</f>
        <v>Organic</v>
      </c>
      <c r="G569" s="29" t="n">
        <f aca="false">IF(COUNTIFS($B$5:B569,B569,$C$5:C569,C569)=1,1,0)</f>
        <v>0</v>
      </c>
      <c r="H569" s="29" t="n">
        <f aca="false">IF(AND(G569=1,COUNTIFS($B$5:$B$1635,B569,$C$5:$C$1635,"&lt;"&amp;C569)&gt;0),1,0)</f>
        <v>0</v>
      </c>
      <c r="I569" s="29" t="n">
        <f aca="false">IF(AND(D569="Feature Use",COUNTIFS($B$5:B569,B569,$D$5:D569,"Feature Use",$E$5:E569,E569)=1),1,0)</f>
        <v>0</v>
      </c>
      <c r="J569" s="29" t="n">
        <f aca="false">IF(AND(D569="Feature Use",COUNTIFS($B$5:B569,B569,$D$5:D569,"Feature Use",$E$5:E569,E569)=2),1,0)</f>
        <v>0</v>
      </c>
      <c r="K569" s="29" t="n">
        <f aca="false">IF(COUNTIF($B$5:B569,B569)=1,1,0)</f>
        <v>0</v>
      </c>
      <c r="L569" s="29" t="n">
        <f aca="false">IF(AND(C569&gt;=Settings!$B$5-Settings!$B$8+1,C569&lt;=Settings!$B$5,COUNTIFS($B$5:B569,B569,$C$5:C569,"&gt;="&amp;(Settings!$B$5-Settings!$B$8+1),$C$5:C569,"&lt;="&amp;Settings!$B$5)=1),1,0)</f>
        <v>0</v>
      </c>
      <c r="M569" s="29" t="n">
        <f aca="false">IF(AND(C569&gt;=Settings!$B$5-Settings!$B$9+1,C569&lt;=Settings!$B$5,COUNTIFS($B$5:B569,B569,$C$5:C569,"&gt;="&amp;(Settings!$B$5-Settings!$B$9+1),$C$5:C569,"&lt;="&amp;Settings!$B$5)=1),1,0)</f>
        <v>0</v>
      </c>
      <c r="N569" s="29" t="n">
        <f aca="false">IF(AND(D569="Feature Use",COUNTIFS($B$5:B569,B569,$D$5:D569,"Feature Use")=1),1,0)</f>
        <v>0</v>
      </c>
    </row>
    <row r="570" customFormat="false" ht="15" hidden="false" customHeight="false" outlineLevel="0" collapsed="false">
      <c r="A570" s="22" t="s">
        <v>877</v>
      </c>
      <c r="B570" s="22" t="s">
        <v>333</v>
      </c>
      <c r="C570" s="31" t="n">
        <v>46286</v>
      </c>
      <c r="D570" s="22" t="s">
        <v>308</v>
      </c>
      <c r="E570" s="22" t="s">
        <v>319</v>
      </c>
      <c r="F570" s="29" t="str">
        <f aca="false">IF(COUNTIF(Referral_Data!$C$5:$C$1000,B570)&gt;0,"Referred",IF(COUNTIF(Referral_Data!$B$5:$B$1000,B570)&gt;0,"Referrer","Organic"))</f>
        <v>Organic</v>
      </c>
      <c r="G570" s="29" t="n">
        <f aca="false">IF(COUNTIFS($B$5:B570,B570,$C$5:C570,C570)=1,1,0)</f>
        <v>0</v>
      </c>
      <c r="H570" s="29" t="n">
        <f aca="false">IF(AND(G570=1,COUNTIFS($B$5:$B$1635,B570,$C$5:$C$1635,"&lt;"&amp;C570)&gt;0),1,0)</f>
        <v>0</v>
      </c>
      <c r="I570" s="29" t="n">
        <f aca="false">IF(AND(D570="Feature Use",COUNTIFS($B$5:B570,B570,$D$5:D570,"Feature Use",$E$5:E570,E570)=1),1,0)</f>
        <v>0</v>
      </c>
      <c r="J570" s="29" t="n">
        <f aca="false">IF(AND(D570="Feature Use",COUNTIFS($B$5:B570,B570,$D$5:D570,"Feature Use",$E$5:E570,E570)=2),1,0)</f>
        <v>0</v>
      </c>
      <c r="K570" s="29" t="n">
        <f aca="false">IF(COUNTIF($B$5:B570,B570)=1,1,0)</f>
        <v>0</v>
      </c>
      <c r="L570" s="29" t="n">
        <f aca="false">IF(AND(C570&gt;=Settings!$B$5-Settings!$B$8+1,C570&lt;=Settings!$B$5,COUNTIFS($B$5:B570,B570,$C$5:C570,"&gt;="&amp;(Settings!$B$5-Settings!$B$8+1),$C$5:C570,"&lt;="&amp;Settings!$B$5)=1),1,0)</f>
        <v>0</v>
      </c>
      <c r="M570" s="29" t="n">
        <f aca="false">IF(AND(C570&gt;=Settings!$B$5-Settings!$B$9+1,C570&lt;=Settings!$B$5,COUNTIFS($B$5:B570,B570,$C$5:C570,"&gt;="&amp;(Settings!$B$5-Settings!$B$9+1),$C$5:C570,"&lt;="&amp;Settings!$B$5)=1),1,0)</f>
        <v>0</v>
      </c>
      <c r="N570" s="29" t="n">
        <f aca="false">IF(AND(D570="Feature Use",COUNTIFS($B$5:B570,B570,$D$5:D570,"Feature Use")=1),1,0)</f>
        <v>0</v>
      </c>
    </row>
    <row r="571" customFormat="false" ht="15" hidden="false" customHeight="false" outlineLevel="0" collapsed="false">
      <c r="A571" s="22" t="s">
        <v>878</v>
      </c>
      <c r="B571" s="22" t="s">
        <v>333</v>
      </c>
      <c r="C571" s="31" t="n">
        <v>46286</v>
      </c>
      <c r="D571" s="22" t="s">
        <v>308</v>
      </c>
      <c r="E571" s="22" t="s">
        <v>305</v>
      </c>
      <c r="F571" s="29" t="str">
        <f aca="false">IF(COUNTIF(Referral_Data!$C$5:$C$1000,B571)&gt;0,"Referred",IF(COUNTIF(Referral_Data!$B$5:$B$1000,B571)&gt;0,"Referrer","Organic"))</f>
        <v>Organic</v>
      </c>
      <c r="G571" s="29" t="n">
        <f aca="false">IF(COUNTIFS($B$5:B571,B571,$C$5:C571,C571)=1,1,0)</f>
        <v>0</v>
      </c>
      <c r="H571" s="29" t="n">
        <f aca="false">IF(AND(G571=1,COUNTIFS($B$5:$B$1635,B571,$C$5:$C$1635,"&lt;"&amp;C571)&gt;0),1,0)</f>
        <v>0</v>
      </c>
      <c r="I571" s="29" t="n">
        <f aca="false">IF(AND(D571="Feature Use",COUNTIFS($B$5:B571,B571,$D$5:D571,"Feature Use",$E$5:E571,E571)=1),1,0)</f>
        <v>0</v>
      </c>
      <c r="J571" s="29" t="n">
        <f aca="false">IF(AND(D571="Feature Use",COUNTIFS($B$5:B571,B571,$D$5:D571,"Feature Use",$E$5:E571,E571)=2),1,0)</f>
        <v>0</v>
      </c>
      <c r="K571" s="29" t="n">
        <f aca="false">IF(COUNTIF($B$5:B571,B571)=1,1,0)</f>
        <v>0</v>
      </c>
      <c r="L571" s="29" t="n">
        <f aca="false">IF(AND(C571&gt;=Settings!$B$5-Settings!$B$8+1,C571&lt;=Settings!$B$5,COUNTIFS($B$5:B571,B571,$C$5:C571,"&gt;="&amp;(Settings!$B$5-Settings!$B$8+1),$C$5:C571,"&lt;="&amp;Settings!$B$5)=1),1,0)</f>
        <v>0</v>
      </c>
      <c r="M571" s="29" t="n">
        <f aca="false">IF(AND(C571&gt;=Settings!$B$5-Settings!$B$9+1,C571&lt;=Settings!$B$5,COUNTIFS($B$5:B571,B571,$C$5:C571,"&gt;="&amp;(Settings!$B$5-Settings!$B$9+1),$C$5:C571,"&lt;="&amp;Settings!$B$5)=1),1,0)</f>
        <v>0</v>
      </c>
      <c r="N571" s="29" t="n">
        <f aca="false">IF(AND(D571="Feature Use",COUNTIFS($B$5:B571,B571,$D$5:D571,"Feature Use")=1),1,0)</f>
        <v>0</v>
      </c>
    </row>
    <row r="572" customFormat="false" ht="15" hidden="false" customHeight="false" outlineLevel="0" collapsed="false">
      <c r="A572" s="22" t="s">
        <v>879</v>
      </c>
      <c r="B572" s="22" t="s">
        <v>181</v>
      </c>
      <c r="C572" s="31" t="n">
        <v>46286</v>
      </c>
      <c r="D572" s="22" t="s">
        <v>297</v>
      </c>
      <c r="E572" s="22" t="s">
        <v>298</v>
      </c>
      <c r="F572" s="29" t="str">
        <f aca="false">IF(COUNTIF(Referral_Data!$C$5:$C$1000,B572)&gt;0,"Referred",IF(COUNTIF(Referral_Data!$B$5:$B$1000,B572)&gt;0,"Referrer","Organic"))</f>
        <v>Referred</v>
      </c>
      <c r="G572" s="29" t="n">
        <f aca="false">IF(COUNTIFS($B$5:B572,B572,$C$5:C572,C572)=1,1,0)</f>
        <v>1</v>
      </c>
      <c r="H572" s="29" t="n">
        <f aca="false">IF(AND(G572=1,COUNTIFS($B$5:$B$1635,B572,$C$5:$C$1635,"&lt;"&amp;C572)&gt;0),1,0)</f>
        <v>1</v>
      </c>
      <c r="I572" s="29" t="n">
        <f aca="false">IF(AND(D572="Feature Use",COUNTIFS($B$5:B572,B572,$D$5:D572,"Feature Use",$E$5:E572,E572)=1),1,0)</f>
        <v>0</v>
      </c>
      <c r="J572" s="29" t="n">
        <f aca="false">IF(AND(D572="Feature Use",COUNTIFS($B$5:B572,B572,$D$5:D572,"Feature Use",$E$5:E572,E572)=2),1,0)</f>
        <v>0</v>
      </c>
      <c r="K572" s="29" t="n">
        <f aca="false">IF(COUNTIF($B$5:B572,B572)=1,1,0)</f>
        <v>0</v>
      </c>
      <c r="L572" s="29" t="n">
        <f aca="false">IF(AND(C572&gt;=Settings!$B$5-Settings!$B$8+1,C572&lt;=Settings!$B$5,COUNTIFS($B$5:B572,B572,$C$5:C572,"&gt;="&amp;(Settings!$B$5-Settings!$B$8+1),$C$5:C572,"&lt;="&amp;Settings!$B$5)=1),1,0)</f>
        <v>0</v>
      </c>
      <c r="M572" s="29" t="n">
        <f aca="false">IF(AND(C572&gt;=Settings!$B$5-Settings!$B$9+1,C572&lt;=Settings!$B$5,COUNTIFS($B$5:B572,B572,$C$5:C572,"&gt;="&amp;(Settings!$B$5-Settings!$B$9+1),$C$5:C572,"&lt;="&amp;Settings!$B$5)=1),1,0)</f>
        <v>0</v>
      </c>
      <c r="N572" s="29" t="n">
        <f aca="false">IF(AND(D572="Feature Use",COUNTIFS($B$5:B572,B572,$D$5:D572,"Feature Use")=1),1,0)</f>
        <v>0</v>
      </c>
    </row>
    <row r="573" customFormat="false" ht="15" hidden="false" customHeight="false" outlineLevel="0" collapsed="false">
      <c r="A573" s="22" t="s">
        <v>880</v>
      </c>
      <c r="B573" s="22" t="s">
        <v>181</v>
      </c>
      <c r="C573" s="31" t="n">
        <v>46286</v>
      </c>
      <c r="D573" s="22" t="s">
        <v>300</v>
      </c>
      <c r="E573" s="22" t="s">
        <v>319</v>
      </c>
      <c r="F573" s="29" t="str">
        <f aca="false">IF(COUNTIF(Referral_Data!$C$5:$C$1000,B573)&gt;0,"Referred",IF(COUNTIF(Referral_Data!$B$5:$B$1000,B573)&gt;0,"Referrer","Organic"))</f>
        <v>Referred</v>
      </c>
      <c r="G573" s="29" t="n">
        <f aca="false">IF(COUNTIFS($B$5:B573,B573,$C$5:C573,C573)=1,1,0)</f>
        <v>0</v>
      </c>
      <c r="H573" s="29" t="n">
        <f aca="false">IF(AND(G573=1,COUNTIFS($B$5:$B$1635,B573,$C$5:$C$1635,"&lt;"&amp;C573)&gt;0),1,0)</f>
        <v>0</v>
      </c>
      <c r="I573" s="29" t="n">
        <f aca="false">IF(AND(D573="Feature Use",COUNTIFS($B$5:B573,B573,$D$5:D573,"Feature Use",$E$5:E573,E573)=1),1,0)</f>
        <v>0</v>
      </c>
      <c r="J573" s="29" t="n">
        <f aca="false">IF(AND(D573="Feature Use",COUNTIFS($B$5:B573,B573,$D$5:D573,"Feature Use",$E$5:E573,E573)=2),1,0)</f>
        <v>0</v>
      </c>
      <c r="K573" s="29" t="n">
        <f aca="false">IF(COUNTIF($B$5:B573,B573)=1,1,0)</f>
        <v>0</v>
      </c>
      <c r="L573" s="29" t="n">
        <f aca="false">IF(AND(C573&gt;=Settings!$B$5-Settings!$B$8+1,C573&lt;=Settings!$B$5,COUNTIFS($B$5:B573,B573,$C$5:C573,"&gt;="&amp;(Settings!$B$5-Settings!$B$8+1),$C$5:C573,"&lt;="&amp;Settings!$B$5)=1),1,0)</f>
        <v>0</v>
      </c>
      <c r="M573" s="29" t="n">
        <f aca="false">IF(AND(C573&gt;=Settings!$B$5-Settings!$B$9+1,C573&lt;=Settings!$B$5,COUNTIFS($B$5:B573,B573,$C$5:C573,"&gt;="&amp;(Settings!$B$5-Settings!$B$9+1),$C$5:C573,"&lt;="&amp;Settings!$B$5)=1),1,0)</f>
        <v>0</v>
      </c>
      <c r="N573" s="29" t="n">
        <f aca="false">IF(AND(D573="Feature Use",COUNTIFS($B$5:B573,B573,$D$5:D573,"Feature Use")=1),1,0)</f>
        <v>0</v>
      </c>
    </row>
    <row r="574" customFormat="false" ht="15" hidden="false" customHeight="false" outlineLevel="0" collapsed="false">
      <c r="A574" s="22" t="s">
        <v>881</v>
      </c>
      <c r="B574" s="22" t="s">
        <v>181</v>
      </c>
      <c r="C574" s="31" t="n">
        <v>46286</v>
      </c>
      <c r="D574" s="22" t="s">
        <v>308</v>
      </c>
      <c r="E574" s="22" t="s">
        <v>311</v>
      </c>
      <c r="F574" s="29" t="str">
        <f aca="false">IF(COUNTIF(Referral_Data!$C$5:$C$1000,B574)&gt;0,"Referred",IF(COUNTIF(Referral_Data!$B$5:$B$1000,B574)&gt;0,"Referrer","Organic"))</f>
        <v>Referred</v>
      </c>
      <c r="G574" s="29" t="n">
        <f aca="false">IF(COUNTIFS($B$5:B574,B574,$C$5:C574,C574)=1,1,0)</f>
        <v>0</v>
      </c>
      <c r="H574" s="29" t="n">
        <f aca="false">IF(AND(G574=1,COUNTIFS($B$5:$B$1635,B574,$C$5:$C$1635,"&lt;"&amp;C574)&gt;0),1,0)</f>
        <v>0</v>
      </c>
      <c r="I574" s="29" t="n">
        <f aca="false">IF(AND(D574="Feature Use",COUNTIFS($B$5:B574,B574,$D$5:D574,"Feature Use",$E$5:E574,E574)=1),1,0)</f>
        <v>0</v>
      </c>
      <c r="J574" s="29" t="n">
        <f aca="false">IF(AND(D574="Feature Use",COUNTIFS($B$5:B574,B574,$D$5:D574,"Feature Use",$E$5:E574,E574)=2),1,0)</f>
        <v>0</v>
      </c>
      <c r="K574" s="29" t="n">
        <f aca="false">IF(COUNTIF($B$5:B574,B574)=1,1,0)</f>
        <v>0</v>
      </c>
      <c r="L574" s="29" t="n">
        <f aca="false">IF(AND(C574&gt;=Settings!$B$5-Settings!$B$8+1,C574&lt;=Settings!$B$5,COUNTIFS($B$5:B574,B574,$C$5:C574,"&gt;="&amp;(Settings!$B$5-Settings!$B$8+1),$C$5:C574,"&lt;="&amp;Settings!$B$5)=1),1,0)</f>
        <v>0</v>
      </c>
      <c r="M574" s="29" t="n">
        <f aca="false">IF(AND(C574&gt;=Settings!$B$5-Settings!$B$9+1,C574&lt;=Settings!$B$5,COUNTIFS($B$5:B574,B574,$C$5:C574,"&gt;="&amp;(Settings!$B$5-Settings!$B$9+1),$C$5:C574,"&lt;="&amp;Settings!$B$5)=1),1,0)</f>
        <v>0</v>
      </c>
      <c r="N574" s="29" t="n">
        <f aca="false">IF(AND(D574="Feature Use",COUNTIFS($B$5:B574,B574,$D$5:D574,"Feature Use")=1),1,0)</f>
        <v>0</v>
      </c>
    </row>
    <row r="575" customFormat="false" ht="15" hidden="false" customHeight="false" outlineLevel="0" collapsed="false">
      <c r="A575" s="22" t="s">
        <v>882</v>
      </c>
      <c r="B575" s="22" t="s">
        <v>181</v>
      </c>
      <c r="C575" s="31" t="n">
        <v>46286</v>
      </c>
      <c r="D575" s="22" t="s">
        <v>308</v>
      </c>
      <c r="E575" s="22" t="s">
        <v>305</v>
      </c>
      <c r="F575" s="29" t="str">
        <f aca="false">IF(COUNTIF(Referral_Data!$C$5:$C$1000,B575)&gt;0,"Referred",IF(COUNTIF(Referral_Data!$B$5:$B$1000,B575)&gt;0,"Referrer","Organic"))</f>
        <v>Referred</v>
      </c>
      <c r="G575" s="29" t="n">
        <f aca="false">IF(COUNTIFS($B$5:B575,B575,$C$5:C575,C575)=1,1,0)</f>
        <v>0</v>
      </c>
      <c r="H575" s="29" t="n">
        <f aca="false">IF(AND(G575=1,COUNTIFS($B$5:$B$1635,B575,$C$5:$C$1635,"&lt;"&amp;C575)&gt;0),1,0)</f>
        <v>0</v>
      </c>
      <c r="I575" s="29" t="n">
        <f aca="false">IF(AND(D575="Feature Use",COUNTIFS($B$5:B575,B575,$D$5:D575,"Feature Use",$E$5:E575,E575)=1),1,0)</f>
        <v>0</v>
      </c>
      <c r="J575" s="29" t="n">
        <f aca="false">IF(AND(D575="Feature Use",COUNTIFS($B$5:B575,B575,$D$5:D575,"Feature Use",$E$5:E575,E575)=2),1,0)</f>
        <v>0</v>
      </c>
      <c r="K575" s="29" t="n">
        <f aca="false">IF(COUNTIF($B$5:B575,B575)=1,1,0)</f>
        <v>0</v>
      </c>
      <c r="L575" s="29" t="n">
        <f aca="false">IF(AND(C575&gt;=Settings!$B$5-Settings!$B$8+1,C575&lt;=Settings!$B$5,COUNTIFS($B$5:B575,B575,$C$5:C575,"&gt;="&amp;(Settings!$B$5-Settings!$B$8+1),$C$5:C575,"&lt;="&amp;Settings!$B$5)=1),1,0)</f>
        <v>0</v>
      </c>
      <c r="M575" s="29" t="n">
        <f aca="false">IF(AND(C575&gt;=Settings!$B$5-Settings!$B$9+1,C575&lt;=Settings!$B$5,COUNTIFS($B$5:B575,B575,$C$5:C575,"&gt;="&amp;(Settings!$B$5-Settings!$B$9+1),$C$5:C575,"&lt;="&amp;Settings!$B$5)=1),1,0)</f>
        <v>0</v>
      </c>
      <c r="N575" s="29" t="n">
        <f aca="false">IF(AND(D575="Feature Use",COUNTIFS($B$5:B575,B575,$D$5:D575,"Feature Use")=1),1,0)</f>
        <v>0</v>
      </c>
    </row>
    <row r="576" customFormat="false" ht="15" hidden="false" customHeight="false" outlineLevel="0" collapsed="false">
      <c r="A576" s="22" t="s">
        <v>883</v>
      </c>
      <c r="B576" s="22" t="s">
        <v>213</v>
      </c>
      <c r="C576" s="31" t="n">
        <v>46286</v>
      </c>
      <c r="D576" s="22" t="s">
        <v>297</v>
      </c>
      <c r="E576" s="22" t="s">
        <v>298</v>
      </c>
      <c r="F576" s="29" t="str">
        <f aca="false">IF(COUNTIF(Referral_Data!$C$5:$C$1000,B576)&gt;0,"Referred",IF(COUNTIF(Referral_Data!$B$5:$B$1000,B576)&gt;0,"Referrer","Organic"))</f>
        <v>Referred</v>
      </c>
      <c r="G576" s="29" t="n">
        <f aca="false">IF(COUNTIFS($B$5:B576,B576,$C$5:C576,C576)=1,1,0)</f>
        <v>1</v>
      </c>
      <c r="H576" s="29" t="n">
        <f aca="false">IF(AND(G576=1,COUNTIFS($B$5:$B$1635,B576,$C$5:$C$1635,"&lt;"&amp;C576)&gt;0),1,0)</f>
        <v>1</v>
      </c>
      <c r="I576" s="29" t="n">
        <f aca="false">IF(AND(D576="Feature Use",COUNTIFS($B$5:B576,B576,$D$5:D576,"Feature Use",$E$5:E576,E576)=1),1,0)</f>
        <v>0</v>
      </c>
      <c r="J576" s="29" t="n">
        <f aca="false">IF(AND(D576="Feature Use",COUNTIFS($B$5:B576,B576,$D$5:D576,"Feature Use",$E$5:E576,E576)=2),1,0)</f>
        <v>0</v>
      </c>
      <c r="K576" s="29" t="n">
        <f aca="false">IF(COUNTIF($B$5:B576,B576)=1,1,0)</f>
        <v>0</v>
      </c>
      <c r="L576" s="29" t="n">
        <f aca="false">IF(AND(C576&gt;=Settings!$B$5-Settings!$B$8+1,C576&lt;=Settings!$B$5,COUNTIFS($B$5:B576,B576,$C$5:C576,"&gt;="&amp;(Settings!$B$5-Settings!$B$8+1),$C$5:C576,"&lt;="&amp;Settings!$B$5)=1),1,0)</f>
        <v>0</v>
      </c>
      <c r="M576" s="29" t="n">
        <f aca="false">IF(AND(C576&gt;=Settings!$B$5-Settings!$B$9+1,C576&lt;=Settings!$B$5,COUNTIFS($B$5:B576,B576,$C$5:C576,"&gt;="&amp;(Settings!$B$5-Settings!$B$9+1),$C$5:C576,"&lt;="&amp;Settings!$B$5)=1),1,0)</f>
        <v>0</v>
      </c>
      <c r="N576" s="29" t="n">
        <f aca="false">IF(AND(D576="Feature Use",COUNTIFS($B$5:B576,B576,$D$5:D576,"Feature Use")=1),1,0)</f>
        <v>0</v>
      </c>
    </row>
    <row r="577" customFormat="false" ht="15" hidden="false" customHeight="false" outlineLevel="0" collapsed="false">
      <c r="A577" s="22" t="s">
        <v>884</v>
      </c>
      <c r="B577" s="22" t="s">
        <v>213</v>
      </c>
      <c r="C577" s="31" t="n">
        <v>46286</v>
      </c>
      <c r="D577" s="22" t="s">
        <v>300</v>
      </c>
      <c r="E577" s="22" t="s">
        <v>305</v>
      </c>
      <c r="F577" s="29" t="str">
        <f aca="false">IF(COUNTIF(Referral_Data!$C$5:$C$1000,B577)&gt;0,"Referred",IF(COUNTIF(Referral_Data!$B$5:$B$1000,B577)&gt;0,"Referrer","Organic"))</f>
        <v>Referred</v>
      </c>
      <c r="G577" s="29" t="n">
        <f aca="false">IF(COUNTIFS($B$5:B577,B577,$C$5:C577,C577)=1,1,0)</f>
        <v>0</v>
      </c>
      <c r="H577" s="29" t="n">
        <f aca="false">IF(AND(G577=1,COUNTIFS($B$5:$B$1635,B577,$C$5:$C$1635,"&lt;"&amp;C577)&gt;0),1,0)</f>
        <v>0</v>
      </c>
      <c r="I577" s="29" t="n">
        <f aca="false">IF(AND(D577="Feature Use",COUNTIFS($B$5:B577,B577,$D$5:D577,"Feature Use",$E$5:E577,E577)=1),1,0)</f>
        <v>0</v>
      </c>
      <c r="J577" s="29" t="n">
        <f aca="false">IF(AND(D577="Feature Use",COUNTIFS($B$5:B577,B577,$D$5:D577,"Feature Use",$E$5:E577,E577)=2),1,0)</f>
        <v>0</v>
      </c>
      <c r="K577" s="29" t="n">
        <f aca="false">IF(COUNTIF($B$5:B577,B577)=1,1,0)</f>
        <v>0</v>
      </c>
      <c r="L577" s="29" t="n">
        <f aca="false">IF(AND(C577&gt;=Settings!$B$5-Settings!$B$8+1,C577&lt;=Settings!$B$5,COUNTIFS($B$5:B577,B577,$C$5:C577,"&gt;="&amp;(Settings!$B$5-Settings!$B$8+1),$C$5:C577,"&lt;="&amp;Settings!$B$5)=1),1,0)</f>
        <v>0</v>
      </c>
      <c r="M577" s="29" t="n">
        <f aca="false">IF(AND(C577&gt;=Settings!$B$5-Settings!$B$9+1,C577&lt;=Settings!$B$5,COUNTIFS($B$5:B577,B577,$C$5:C577,"&gt;="&amp;(Settings!$B$5-Settings!$B$9+1),$C$5:C577,"&lt;="&amp;Settings!$B$5)=1),1,0)</f>
        <v>0</v>
      </c>
      <c r="N577" s="29" t="n">
        <f aca="false">IF(AND(D577="Feature Use",COUNTIFS($B$5:B577,B577,$D$5:D577,"Feature Use")=1),1,0)</f>
        <v>0</v>
      </c>
    </row>
    <row r="578" customFormat="false" ht="15" hidden="false" customHeight="false" outlineLevel="0" collapsed="false">
      <c r="A578" s="22" t="s">
        <v>885</v>
      </c>
      <c r="B578" s="22" t="s">
        <v>234</v>
      </c>
      <c r="C578" s="31" t="n">
        <v>46286</v>
      </c>
      <c r="D578" s="22" t="s">
        <v>297</v>
      </c>
      <c r="E578" s="22" t="s">
        <v>298</v>
      </c>
      <c r="F578" s="29" t="str">
        <f aca="false">IF(COUNTIF(Referral_Data!$C$5:$C$1000,B578)&gt;0,"Referred",IF(COUNTIF(Referral_Data!$B$5:$B$1000,B578)&gt;0,"Referrer","Organic"))</f>
        <v>Referred</v>
      </c>
      <c r="G578" s="29" t="n">
        <f aca="false">IF(COUNTIFS($B$5:B578,B578,$C$5:C578,C578)=1,1,0)</f>
        <v>1</v>
      </c>
      <c r="H578" s="29" t="n">
        <f aca="false">IF(AND(G578=1,COUNTIFS($B$5:$B$1635,B578,$C$5:$C$1635,"&lt;"&amp;C578)&gt;0),1,0)</f>
        <v>1</v>
      </c>
      <c r="I578" s="29" t="n">
        <f aca="false">IF(AND(D578="Feature Use",COUNTIFS($B$5:B578,B578,$D$5:D578,"Feature Use",$E$5:E578,E578)=1),1,0)</f>
        <v>0</v>
      </c>
      <c r="J578" s="29" t="n">
        <f aca="false">IF(AND(D578="Feature Use",COUNTIFS($B$5:B578,B578,$D$5:D578,"Feature Use",$E$5:E578,E578)=2),1,0)</f>
        <v>0</v>
      </c>
      <c r="K578" s="29" t="n">
        <f aca="false">IF(COUNTIF($B$5:B578,B578)=1,1,0)</f>
        <v>0</v>
      </c>
      <c r="L578" s="29" t="n">
        <f aca="false">IF(AND(C578&gt;=Settings!$B$5-Settings!$B$8+1,C578&lt;=Settings!$B$5,COUNTIFS($B$5:B578,B578,$C$5:C578,"&gt;="&amp;(Settings!$B$5-Settings!$B$8+1),$C$5:C578,"&lt;="&amp;Settings!$B$5)=1),1,0)</f>
        <v>0</v>
      </c>
      <c r="M578" s="29" t="n">
        <f aca="false">IF(AND(C578&gt;=Settings!$B$5-Settings!$B$9+1,C578&lt;=Settings!$B$5,COUNTIFS($B$5:B578,B578,$C$5:C578,"&gt;="&amp;(Settings!$B$5-Settings!$B$9+1),$C$5:C578,"&lt;="&amp;Settings!$B$5)=1),1,0)</f>
        <v>0</v>
      </c>
      <c r="N578" s="29" t="n">
        <f aca="false">IF(AND(D578="Feature Use",COUNTIFS($B$5:B578,B578,$D$5:D578,"Feature Use")=1),1,0)</f>
        <v>0</v>
      </c>
    </row>
    <row r="579" customFormat="false" ht="15" hidden="false" customHeight="false" outlineLevel="0" collapsed="false">
      <c r="A579" s="22" t="s">
        <v>886</v>
      </c>
      <c r="B579" s="22" t="s">
        <v>234</v>
      </c>
      <c r="C579" s="31" t="n">
        <v>46286</v>
      </c>
      <c r="D579" s="22" t="s">
        <v>300</v>
      </c>
      <c r="E579" s="22" t="s">
        <v>319</v>
      </c>
      <c r="F579" s="29" t="str">
        <f aca="false">IF(COUNTIF(Referral_Data!$C$5:$C$1000,B579)&gt;0,"Referred",IF(COUNTIF(Referral_Data!$B$5:$B$1000,B579)&gt;0,"Referrer","Organic"))</f>
        <v>Referred</v>
      </c>
      <c r="G579" s="29" t="n">
        <f aca="false">IF(COUNTIFS($B$5:B579,B579,$C$5:C579,C579)=1,1,0)</f>
        <v>0</v>
      </c>
      <c r="H579" s="29" t="n">
        <f aca="false">IF(AND(G579=1,COUNTIFS($B$5:$B$1635,B579,$C$5:$C$1635,"&lt;"&amp;C579)&gt;0),1,0)</f>
        <v>0</v>
      </c>
      <c r="I579" s="29" t="n">
        <f aca="false">IF(AND(D579="Feature Use",COUNTIFS($B$5:B579,B579,$D$5:D579,"Feature Use",$E$5:E579,E579)=1),1,0)</f>
        <v>0</v>
      </c>
      <c r="J579" s="29" t="n">
        <f aca="false">IF(AND(D579="Feature Use",COUNTIFS($B$5:B579,B579,$D$5:D579,"Feature Use",$E$5:E579,E579)=2),1,0)</f>
        <v>1</v>
      </c>
      <c r="K579" s="29" t="n">
        <f aca="false">IF(COUNTIF($B$5:B579,B579)=1,1,0)</f>
        <v>0</v>
      </c>
      <c r="L579" s="29" t="n">
        <f aca="false">IF(AND(C579&gt;=Settings!$B$5-Settings!$B$8+1,C579&lt;=Settings!$B$5,COUNTIFS($B$5:B579,B579,$C$5:C579,"&gt;="&amp;(Settings!$B$5-Settings!$B$8+1),$C$5:C579,"&lt;="&amp;Settings!$B$5)=1),1,0)</f>
        <v>0</v>
      </c>
      <c r="M579" s="29" t="n">
        <f aca="false">IF(AND(C579&gt;=Settings!$B$5-Settings!$B$9+1,C579&lt;=Settings!$B$5,COUNTIFS($B$5:B579,B579,$C$5:C579,"&gt;="&amp;(Settings!$B$5-Settings!$B$9+1),$C$5:C579,"&lt;="&amp;Settings!$B$5)=1),1,0)</f>
        <v>0</v>
      </c>
      <c r="N579" s="29" t="n">
        <f aca="false">IF(AND(D579="Feature Use",COUNTIFS($B$5:B579,B579,$D$5:D579,"Feature Use")=1),1,0)</f>
        <v>0</v>
      </c>
    </row>
    <row r="580" customFormat="false" ht="15" hidden="false" customHeight="false" outlineLevel="0" collapsed="false">
      <c r="A580" s="22" t="s">
        <v>887</v>
      </c>
      <c r="B580" s="22" t="s">
        <v>234</v>
      </c>
      <c r="C580" s="31" t="n">
        <v>46286</v>
      </c>
      <c r="D580" s="22" t="s">
        <v>300</v>
      </c>
      <c r="E580" s="22" t="s">
        <v>301</v>
      </c>
      <c r="F580" s="29" t="str">
        <f aca="false">IF(COUNTIF(Referral_Data!$C$5:$C$1000,B580)&gt;0,"Referred",IF(COUNTIF(Referral_Data!$B$5:$B$1000,B580)&gt;0,"Referrer","Organic"))</f>
        <v>Referred</v>
      </c>
      <c r="G580" s="29" t="n">
        <f aca="false">IF(COUNTIFS($B$5:B580,B580,$C$5:C580,C580)=1,1,0)</f>
        <v>0</v>
      </c>
      <c r="H580" s="29" t="n">
        <f aca="false">IF(AND(G580=1,COUNTIFS($B$5:$B$1635,B580,$C$5:$C$1635,"&lt;"&amp;C580)&gt;0),1,0)</f>
        <v>0</v>
      </c>
      <c r="I580" s="29" t="n">
        <f aca="false">IF(AND(D580="Feature Use",COUNTIFS($B$5:B580,B580,$D$5:D580,"Feature Use",$E$5:E580,E580)=1),1,0)</f>
        <v>0</v>
      </c>
      <c r="J580" s="29" t="n">
        <f aca="false">IF(AND(D580="Feature Use",COUNTIFS($B$5:B580,B580,$D$5:D580,"Feature Use",$E$5:E580,E580)=2),1,0)</f>
        <v>1</v>
      </c>
      <c r="K580" s="29" t="n">
        <f aca="false">IF(COUNTIF($B$5:B580,B580)=1,1,0)</f>
        <v>0</v>
      </c>
      <c r="L580" s="29" t="n">
        <f aca="false">IF(AND(C580&gt;=Settings!$B$5-Settings!$B$8+1,C580&lt;=Settings!$B$5,COUNTIFS($B$5:B580,B580,$C$5:C580,"&gt;="&amp;(Settings!$B$5-Settings!$B$8+1),$C$5:C580,"&lt;="&amp;Settings!$B$5)=1),1,0)</f>
        <v>0</v>
      </c>
      <c r="M580" s="29" t="n">
        <f aca="false">IF(AND(C580&gt;=Settings!$B$5-Settings!$B$9+1,C580&lt;=Settings!$B$5,COUNTIFS($B$5:B580,B580,$C$5:C580,"&gt;="&amp;(Settings!$B$5-Settings!$B$9+1),$C$5:C580,"&lt;="&amp;Settings!$B$5)=1),1,0)</f>
        <v>0</v>
      </c>
      <c r="N580" s="29" t="n">
        <f aca="false">IF(AND(D580="Feature Use",COUNTIFS($B$5:B580,B580,$D$5:D580,"Feature Use")=1),1,0)</f>
        <v>0</v>
      </c>
    </row>
    <row r="581" customFormat="false" ht="15" hidden="false" customHeight="false" outlineLevel="0" collapsed="false">
      <c r="A581" s="22" t="s">
        <v>888</v>
      </c>
      <c r="B581" s="22" t="s">
        <v>241</v>
      </c>
      <c r="C581" s="31" t="n">
        <v>46286</v>
      </c>
      <c r="D581" s="22" t="s">
        <v>297</v>
      </c>
      <c r="E581" s="22" t="s">
        <v>298</v>
      </c>
      <c r="F581" s="29" t="str">
        <f aca="false">IF(COUNTIF(Referral_Data!$C$5:$C$1000,B581)&gt;0,"Referred",IF(COUNTIF(Referral_Data!$B$5:$B$1000,B581)&gt;0,"Referrer","Organic"))</f>
        <v>Referred</v>
      </c>
      <c r="G581" s="29" t="n">
        <f aca="false">IF(COUNTIFS($B$5:B581,B581,$C$5:C581,C581)=1,1,0)</f>
        <v>1</v>
      </c>
      <c r="H581" s="29" t="n">
        <f aca="false">IF(AND(G581=1,COUNTIFS($B$5:$B$1635,B581,$C$5:$C$1635,"&lt;"&amp;C581)&gt;0),1,0)</f>
        <v>1</v>
      </c>
      <c r="I581" s="29" t="n">
        <f aca="false">IF(AND(D581="Feature Use",COUNTIFS($B$5:B581,B581,$D$5:D581,"Feature Use",$E$5:E581,E581)=1),1,0)</f>
        <v>0</v>
      </c>
      <c r="J581" s="29" t="n">
        <f aca="false">IF(AND(D581="Feature Use",COUNTIFS($B$5:B581,B581,$D$5:D581,"Feature Use",$E$5:E581,E581)=2),1,0)</f>
        <v>0</v>
      </c>
      <c r="K581" s="29" t="n">
        <f aca="false">IF(COUNTIF($B$5:B581,B581)=1,1,0)</f>
        <v>0</v>
      </c>
      <c r="L581" s="29" t="n">
        <f aca="false">IF(AND(C581&gt;=Settings!$B$5-Settings!$B$8+1,C581&lt;=Settings!$B$5,COUNTIFS($B$5:B581,B581,$C$5:C581,"&gt;="&amp;(Settings!$B$5-Settings!$B$8+1),$C$5:C581,"&lt;="&amp;Settings!$B$5)=1),1,0)</f>
        <v>0</v>
      </c>
      <c r="M581" s="29" t="n">
        <f aca="false">IF(AND(C581&gt;=Settings!$B$5-Settings!$B$9+1,C581&lt;=Settings!$B$5,COUNTIFS($B$5:B581,B581,$C$5:C581,"&gt;="&amp;(Settings!$B$5-Settings!$B$9+1),$C$5:C581,"&lt;="&amp;Settings!$B$5)=1),1,0)</f>
        <v>0</v>
      </c>
      <c r="N581" s="29" t="n">
        <f aca="false">IF(AND(D581="Feature Use",COUNTIFS($B$5:B581,B581,$D$5:D581,"Feature Use")=1),1,0)</f>
        <v>0</v>
      </c>
    </row>
    <row r="582" customFormat="false" ht="15" hidden="false" customHeight="false" outlineLevel="0" collapsed="false">
      <c r="A582" s="22" t="s">
        <v>889</v>
      </c>
      <c r="B582" s="22" t="s">
        <v>241</v>
      </c>
      <c r="C582" s="31" t="n">
        <v>46286</v>
      </c>
      <c r="D582" s="22" t="s">
        <v>300</v>
      </c>
      <c r="E582" s="22" t="s">
        <v>301</v>
      </c>
      <c r="F582" s="29" t="str">
        <f aca="false">IF(COUNTIF(Referral_Data!$C$5:$C$1000,B582)&gt;0,"Referred",IF(COUNTIF(Referral_Data!$B$5:$B$1000,B582)&gt;0,"Referrer","Organic"))</f>
        <v>Referred</v>
      </c>
      <c r="G582" s="29" t="n">
        <f aca="false">IF(COUNTIFS($B$5:B582,B582,$C$5:C582,C582)=1,1,0)</f>
        <v>0</v>
      </c>
      <c r="H582" s="29" t="n">
        <f aca="false">IF(AND(G582=1,COUNTIFS($B$5:$B$1635,B582,$C$5:$C$1635,"&lt;"&amp;C582)&gt;0),1,0)</f>
        <v>0</v>
      </c>
      <c r="I582" s="29" t="n">
        <f aca="false">IF(AND(D582="Feature Use",COUNTIFS($B$5:B582,B582,$D$5:D582,"Feature Use",$E$5:E582,E582)=1),1,0)</f>
        <v>0</v>
      </c>
      <c r="J582" s="29" t="n">
        <f aca="false">IF(AND(D582="Feature Use",COUNTIFS($B$5:B582,B582,$D$5:D582,"Feature Use",$E$5:E582,E582)=2),1,0)</f>
        <v>0</v>
      </c>
      <c r="K582" s="29" t="n">
        <f aca="false">IF(COUNTIF($B$5:B582,B582)=1,1,0)</f>
        <v>0</v>
      </c>
      <c r="L582" s="29" t="n">
        <f aca="false">IF(AND(C582&gt;=Settings!$B$5-Settings!$B$8+1,C582&lt;=Settings!$B$5,COUNTIFS($B$5:B582,B582,$C$5:C582,"&gt;="&amp;(Settings!$B$5-Settings!$B$8+1),$C$5:C582,"&lt;="&amp;Settings!$B$5)=1),1,0)</f>
        <v>0</v>
      </c>
      <c r="M582" s="29" t="n">
        <f aca="false">IF(AND(C582&gt;=Settings!$B$5-Settings!$B$9+1,C582&lt;=Settings!$B$5,COUNTIFS($B$5:B582,B582,$C$5:C582,"&gt;="&amp;(Settings!$B$5-Settings!$B$9+1),$C$5:C582,"&lt;="&amp;Settings!$B$5)=1),1,0)</f>
        <v>0</v>
      </c>
      <c r="N582" s="29" t="n">
        <f aca="false">IF(AND(D582="Feature Use",COUNTIFS($B$5:B582,B582,$D$5:D582,"Feature Use")=1),1,0)</f>
        <v>0</v>
      </c>
    </row>
    <row r="583" customFormat="false" ht="15" hidden="false" customHeight="false" outlineLevel="0" collapsed="false">
      <c r="A583" s="22" t="s">
        <v>890</v>
      </c>
      <c r="B583" s="22" t="s">
        <v>241</v>
      </c>
      <c r="C583" s="31" t="n">
        <v>46286</v>
      </c>
      <c r="D583" s="22" t="s">
        <v>308</v>
      </c>
      <c r="E583" s="22" t="s">
        <v>301</v>
      </c>
      <c r="F583" s="29" t="str">
        <f aca="false">IF(COUNTIF(Referral_Data!$C$5:$C$1000,B583)&gt;0,"Referred",IF(COUNTIF(Referral_Data!$B$5:$B$1000,B583)&gt;0,"Referrer","Organic"))</f>
        <v>Referred</v>
      </c>
      <c r="G583" s="29" t="n">
        <f aca="false">IF(COUNTIFS($B$5:B583,B583,$C$5:C583,C583)=1,1,0)</f>
        <v>0</v>
      </c>
      <c r="H583" s="29" t="n">
        <f aca="false">IF(AND(G583=1,COUNTIFS($B$5:$B$1635,B583,$C$5:$C$1635,"&lt;"&amp;C583)&gt;0),1,0)</f>
        <v>0</v>
      </c>
      <c r="I583" s="29" t="n">
        <f aca="false">IF(AND(D583="Feature Use",COUNTIFS($B$5:B583,B583,$D$5:D583,"Feature Use",$E$5:E583,E583)=1),1,0)</f>
        <v>0</v>
      </c>
      <c r="J583" s="29" t="n">
        <f aca="false">IF(AND(D583="Feature Use",COUNTIFS($B$5:B583,B583,$D$5:D583,"Feature Use",$E$5:E583,E583)=2),1,0)</f>
        <v>0</v>
      </c>
      <c r="K583" s="29" t="n">
        <f aca="false">IF(COUNTIF($B$5:B583,B583)=1,1,0)</f>
        <v>0</v>
      </c>
      <c r="L583" s="29" t="n">
        <f aca="false">IF(AND(C583&gt;=Settings!$B$5-Settings!$B$8+1,C583&lt;=Settings!$B$5,COUNTIFS($B$5:B583,B583,$C$5:C583,"&gt;="&amp;(Settings!$B$5-Settings!$B$8+1),$C$5:C583,"&lt;="&amp;Settings!$B$5)=1),1,0)</f>
        <v>0</v>
      </c>
      <c r="M583" s="29" t="n">
        <f aca="false">IF(AND(C583&gt;=Settings!$B$5-Settings!$B$9+1,C583&lt;=Settings!$B$5,COUNTIFS($B$5:B583,B583,$C$5:C583,"&gt;="&amp;(Settings!$B$5-Settings!$B$9+1),$C$5:C583,"&lt;="&amp;Settings!$B$5)=1),1,0)</f>
        <v>0</v>
      </c>
      <c r="N583" s="29" t="n">
        <f aca="false">IF(AND(D583="Feature Use",COUNTIFS($B$5:B583,B583,$D$5:D583,"Feature Use")=1),1,0)</f>
        <v>0</v>
      </c>
    </row>
    <row r="584" customFormat="false" ht="15" hidden="false" customHeight="false" outlineLevel="0" collapsed="false">
      <c r="A584" s="22" t="s">
        <v>891</v>
      </c>
      <c r="B584" s="22" t="s">
        <v>167</v>
      </c>
      <c r="C584" s="31" t="n">
        <v>46286</v>
      </c>
      <c r="D584" s="22" t="s">
        <v>297</v>
      </c>
      <c r="E584" s="22" t="s">
        <v>298</v>
      </c>
      <c r="F584" s="29" t="str">
        <f aca="false">IF(COUNTIF(Referral_Data!$C$5:$C$1000,B584)&gt;0,"Referred",IF(COUNTIF(Referral_Data!$B$5:$B$1000,B584)&gt;0,"Referrer","Organic"))</f>
        <v>Referrer</v>
      </c>
      <c r="G584" s="29" t="n">
        <f aca="false">IF(COUNTIFS($B$5:B584,B584,$C$5:C584,C584)=1,1,0)</f>
        <v>1</v>
      </c>
      <c r="H584" s="29" t="n">
        <f aca="false">IF(AND(G584=1,COUNTIFS($B$5:$B$1635,B584,$C$5:$C$1635,"&lt;"&amp;C584)&gt;0),1,0)</f>
        <v>1</v>
      </c>
      <c r="I584" s="29" t="n">
        <f aca="false">IF(AND(D584="Feature Use",COUNTIFS($B$5:B584,B584,$D$5:D584,"Feature Use",$E$5:E584,E584)=1),1,0)</f>
        <v>0</v>
      </c>
      <c r="J584" s="29" t="n">
        <f aca="false">IF(AND(D584="Feature Use",COUNTIFS($B$5:B584,B584,$D$5:D584,"Feature Use",$E$5:E584,E584)=2),1,0)</f>
        <v>0</v>
      </c>
      <c r="K584" s="29" t="n">
        <f aca="false">IF(COUNTIF($B$5:B584,B584)=1,1,0)</f>
        <v>0</v>
      </c>
      <c r="L584" s="29" t="n">
        <f aca="false">IF(AND(C584&gt;=Settings!$B$5-Settings!$B$8+1,C584&lt;=Settings!$B$5,COUNTIFS($B$5:B584,B584,$C$5:C584,"&gt;="&amp;(Settings!$B$5-Settings!$B$8+1),$C$5:C584,"&lt;="&amp;Settings!$B$5)=1),1,0)</f>
        <v>0</v>
      </c>
      <c r="M584" s="29" t="n">
        <f aca="false">IF(AND(C584&gt;=Settings!$B$5-Settings!$B$9+1,C584&lt;=Settings!$B$5,COUNTIFS($B$5:B584,B584,$C$5:C584,"&gt;="&amp;(Settings!$B$5-Settings!$B$9+1),$C$5:C584,"&lt;="&amp;Settings!$B$5)=1),1,0)</f>
        <v>0</v>
      </c>
      <c r="N584" s="29" t="n">
        <f aca="false">IF(AND(D584="Feature Use",COUNTIFS($B$5:B584,B584,$D$5:D584,"Feature Use")=1),1,0)</f>
        <v>0</v>
      </c>
    </row>
    <row r="585" customFormat="false" ht="15" hidden="false" customHeight="false" outlineLevel="0" collapsed="false">
      <c r="A585" s="22" t="s">
        <v>892</v>
      </c>
      <c r="B585" s="22" t="s">
        <v>167</v>
      </c>
      <c r="C585" s="31" t="n">
        <v>46286</v>
      </c>
      <c r="D585" s="22" t="s">
        <v>300</v>
      </c>
      <c r="E585" s="22" t="s">
        <v>311</v>
      </c>
      <c r="F585" s="29" t="str">
        <f aca="false">IF(COUNTIF(Referral_Data!$C$5:$C$1000,B585)&gt;0,"Referred",IF(COUNTIF(Referral_Data!$B$5:$B$1000,B585)&gt;0,"Referrer","Organic"))</f>
        <v>Referrer</v>
      </c>
      <c r="G585" s="29" t="n">
        <f aca="false">IF(COUNTIFS($B$5:B585,B585,$C$5:C585,C585)=1,1,0)</f>
        <v>0</v>
      </c>
      <c r="H585" s="29" t="n">
        <f aca="false">IF(AND(G585=1,COUNTIFS($B$5:$B$1635,B585,$C$5:$C$1635,"&lt;"&amp;C585)&gt;0),1,0)</f>
        <v>0</v>
      </c>
      <c r="I585" s="29" t="n">
        <f aca="false">IF(AND(D585="Feature Use",COUNTIFS($B$5:B585,B585,$D$5:D585,"Feature Use",$E$5:E585,E585)=1),1,0)</f>
        <v>0</v>
      </c>
      <c r="J585" s="29" t="n">
        <f aca="false">IF(AND(D585="Feature Use",COUNTIFS($B$5:B585,B585,$D$5:D585,"Feature Use",$E$5:E585,E585)=2),1,0)</f>
        <v>1</v>
      </c>
      <c r="K585" s="29" t="n">
        <f aca="false">IF(COUNTIF($B$5:B585,B585)=1,1,0)</f>
        <v>0</v>
      </c>
      <c r="L585" s="29" t="n">
        <f aca="false">IF(AND(C585&gt;=Settings!$B$5-Settings!$B$8+1,C585&lt;=Settings!$B$5,COUNTIFS($B$5:B585,B585,$C$5:C585,"&gt;="&amp;(Settings!$B$5-Settings!$B$8+1),$C$5:C585,"&lt;="&amp;Settings!$B$5)=1),1,0)</f>
        <v>0</v>
      </c>
      <c r="M585" s="29" t="n">
        <f aca="false">IF(AND(C585&gt;=Settings!$B$5-Settings!$B$9+1,C585&lt;=Settings!$B$5,COUNTIFS($B$5:B585,B585,$C$5:C585,"&gt;="&amp;(Settings!$B$5-Settings!$B$9+1),$C$5:C585,"&lt;="&amp;Settings!$B$5)=1),1,0)</f>
        <v>0</v>
      </c>
      <c r="N585" s="29" t="n">
        <f aca="false">IF(AND(D585="Feature Use",COUNTIFS($B$5:B585,B585,$D$5:D585,"Feature Use")=1),1,0)</f>
        <v>0</v>
      </c>
    </row>
    <row r="586" customFormat="false" ht="15" hidden="false" customHeight="false" outlineLevel="0" collapsed="false">
      <c r="A586" s="22" t="s">
        <v>893</v>
      </c>
      <c r="B586" s="22" t="s">
        <v>208</v>
      </c>
      <c r="C586" s="31" t="n">
        <v>46286</v>
      </c>
      <c r="D586" s="22" t="s">
        <v>297</v>
      </c>
      <c r="E586" s="22" t="s">
        <v>298</v>
      </c>
      <c r="F586" s="29" t="str">
        <f aca="false">IF(COUNTIF(Referral_Data!$C$5:$C$1000,B586)&gt;0,"Referred",IF(COUNTIF(Referral_Data!$B$5:$B$1000,B586)&gt;0,"Referrer","Organic"))</f>
        <v>Referrer</v>
      </c>
      <c r="G586" s="29" t="n">
        <f aca="false">IF(COUNTIFS($B$5:B586,B586,$C$5:C586,C586)=1,1,0)</f>
        <v>1</v>
      </c>
      <c r="H586" s="29" t="n">
        <f aca="false">IF(AND(G586=1,COUNTIFS($B$5:$B$1635,B586,$C$5:$C$1635,"&lt;"&amp;C586)&gt;0),1,0)</f>
        <v>1</v>
      </c>
      <c r="I586" s="29" t="n">
        <f aca="false">IF(AND(D586="Feature Use",COUNTIFS($B$5:B586,B586,$D$5:D586,"Feature Use",$E$5:E586,E586)=1),1,0)</f>
        <v>0</v>
      </c>
      <c r="J586" s="29" t="n">
        <f aca="false">IF(AND(D586="Feature Use",COUNTIFS($B$5:B586,B586,$D$5:D586,"Feature Use",$E$5:E586,E586)=2),1,0)</f>
        <v>0</v>
      </c>
      <c r="K586" s="29" t="n">
        <f aca="false">IF(COUNTIF($B$5:B586,B586)=1,1,0)</f>
        <v>0</v>
      </c>
      <c r="L586" s="29" t="n">
        <f aca="false">IF(AND(C586&gt;=Settings!$B$5-Settings!$B$8+1,C586&lt;=Settings!$B$5,COUNTIFS($B$5:B586,B586,$C$5:C586,"&gt;="&amp;(Settings!$B$5-Settings!$B$8+1),$C$5:C586,"&lt;="&amp;Settings!$B$5)=1),1,0)</f>
        <v>0</v>
      </c>
      <c r="M586" s="29" t="n">
        <f aca="false">IF(AND(C586&gt;=Settings!$B$5-Settings!$B$9+1,C586&lt;=Settings!$B$5,COUNTIFS($B$5:B586,B586,$C$5:C586,"&gt;="&amp;(Settings!$B$5-Settings!$B$9+1),$C$5:C586,"&lt;="&amp;Settings!$B$5)=1),1,0)</f>
        <v>0</v>
      </c>
      <c r="N586" s="29" t="n">
        <f aca="false">IF(AND(D586="Feature Use",COUNTIFS($B$5:B586,B586,$D$5:D586,"Feature Use")=1),1,0)</f>
        <v>0</v>
      </c>
    </row>
    <row r="587" customFormat="false" ht="15" hidden="false" customHeight="false" outlineLevel="0" collapsed="false">
      <c r="A587" s="22" t="s">
        <v>894</v>
      </c>
      <c r="B587" s="22" t="s">
        <v>208</v>
      </c>
      <c r="C587" s="31" t="n">
        <v>46286</v>
      </c>
      <c r="D587" s="22" t="s">
        <v>300</v>
      </c>
      <c r="E587" s="22" t="s">
        <v>305</v>
      </c>
      <c r="F587" s="29" t="str">
        <f aca="false">IF(COUNTIF(Referral_Data!$C$5:$C$1000,B587)&gt;0,"Referred",IF(COUNTIF(Referral_Data!$B$5:$B$1000,B587)&gt;0,"Referrer","Organic"))</f>
        <v>Referrer</v>
      </c>
      <c r="G587" s="29" t="n">
        <f aca="false">IF(COUNTIFS($B$5:B587,B587,$C$5:C587,C587)=1,1,0)</f>
        <v>0</v>
      </c>
      <c r="H587" s="29" t="n">
        <f aca="false">IF(AND(G587=1,COUNTIFS($B$5:$B$1635,B587,$C$5:$C$1635,"&lt;"&amp;C587)&gt;0),1,0)</f>
        <v>0</v>
      </c>
      <c r="I587" s="29" t="n">
        <f aca="false">IF(AND(D587="Feature Use",COUNTIFS($B$5:B587,B587,$D$5:D587,"Feature Use",$E$5:E587,E587)=1),1,0)</f>
        <v>0</v>
      </c>
      <c r="J587" s="29" t="n">
        <f aca="false">IF(AND(D587="Feature Use",COUNTIFS($B$5:B587,B587,$D$5:D587,"Feature Use",$E$5:E587,E587)=2),1,0)</f>
        <v>0</v>
      </c>
      <c r="K587" s="29" t="n">
        <f aca="false">IF(COUNTIF($B$5:B587,B587)=1,1,0)</f>
        <v>0</v>
      </c>
      <c r="L587" s="29" t="n">
        <f aca="false">IF(AND(C587&gt;=Settings!$B$5-Settings!$B$8+1,C587&lt;=Settings!$B$5,COUNTIFS($B$5:B587,B587,$C$5:C587,"&gt;="&amp;(Settings!$B$5-Settings!$B$8+1),$C$5:C587,"&lt;="&amp;Settings!$B$5)=1),1,0)</f>
        <v>0</v>
      </c>
      <c r="M587" s="29" t="n">
        <f aca="false">IF(AND(C587&gt;=Settings!$B$5-Settings!$B$9+1,C587&lt;=Settings!$B$5,COUNTIFS($B$5:B587,B587,$C$5:C587,"&gt;="&amp;(Settings!$B$5-Settings!$B$9+1),$C$5:C587,"&lt;="&amp;Settings!$B$5)=1),1,0)</f>
        <v>0</v>
      </c>
      <c r="N587" s="29" t="n">
        <f aca="false">IF(AND(D587="Feature Use",COUNTIFS($B$5:B587,B587,$D$5:D587,"Feature Use")=1),1,0)</f>
        <v>0</v>
      </c>
    </row>
    <row r="588" customFormat="false" ht="15" hidden="false" customHeight="false" outlineLevel="0" collapsed="false">
      <c r="A588" s="22" t="s">
        <v>895</v>
      </c>
      <c r="B588" s="22" t="s">
        <v>208</v>
      </c>
      <c r="C588" s="31" t="n">
        <v>46286</v>
      </c>
      <c r="D588" s="22" t="s">
        <v>300</v>
      </c>
      <c r="E588" s="22" t="s">
        <v>309</v>
      </c>
      <c r="F588" s="29" t="str">
        <f aca="false">IF(COUNTIF(Referral_Data!$C$5:$C$1000,B588)&gt;0,"Referred",IF(COUNTIF(Referral_Data!$B$5:$B$1000,B588)&gt;0,"Referrer","Organic"))</f>
        <v>Referrer</v>
      </c>
      <c r="G588" s="29" t="n">
        <f aca="false">IF(COUNTIFS($B$5:B588,B588,$C$5:C588,C588)=1,1,0)</f>
        <v>0</v>
      </c>
      <c r="H588" s="29" t="n">
        <f aca="false">IF(AND(G588=1,COUNTIFS($B$5:$B$1635,B588,$C$5:$C$1635,"&lt;"&amp;C588)&gt;0),1,0)</f>
        <v>0</v>
      </c>
      <c r="I588" s="29" t="n">
        <f aca="false">IF(AND(D588="Feature Use",COUNTIFS($B$5:B588,B588,$D$5:D588,"Feature Use",$E$5:E588,E588)=1),1,0)</f>
        <v>0</v>
      </c>
      <c r="J588" s="29" t="n">
        <f aca="false">IF(AND(D588="Feature Use",COUNTIFS($B$5:B588,B588,$D$5:D588,"Feature Use",$E$5:E588,E588)=2),1,0)</f>
        <v>1</v>
      </c>
      <c r="K588" s="29" t="n">
        <f aca="false">IF(COUNTIF($B$5:B588,B588)=1,1,0)</f>
        <v>0</v>
      </c>
      <c r="L588" s="29" t="n">
        <f aca="false">IF(AND(C588&gt;=Settings!$B$5-Settings!$B$8+1,C588&lt;=Settings!$B$5,COUNTIFS($B$5:B588,B588,$C$5:C588,"&gt;="&amp;(Settings!$B$5-Settings!$B$8+1),$C$5:C588,"&lt;="&amp;Settings!$B$5)=1),1,0)</f>
        <v>0</v>
      </c>
      <c r="M588" s="29" t="n">
        <f aca="false">IF(AND(C588&gt;=Settings!$B$5-Settings!$B$9+1,C588&lt;=Settings!$B$5,COUNTIFS($B$5:B588,B588,$C$5:C588,"&gt;="&amp;(Settings!$B$5-Settings!$B$9+1),$C$5:C588,"&lt;="&amp;Settings!$B$5)=1),1,0)</f>
        <v>0</v>
      </c>
      <c r="N588" s="29" t="n">
        <f aca="false">IF(AND(D588="Feature Use",COUNTIFS($B$5:B588,B588,$D$5:D588,"Feature Use")=1),1,0)</f>
        <v>0</v>
      </c>
    </row>
    <row r="589" customFormat="false" ht="15" hidden="false" customHeight="false" outlineLevel="0" collapsed="false">
      <c r="A589" s="22" t="s">
        <v>896</v>
      </c>
      <c r="B589" s="22" t="s">
        <v>208</v>
      </c>
      <c r="C589" s="31" t="n">
        <v>46286</v>
      </c>
      <c r="D589" s="22" t="s">
        <v>308</v>
      </c>
      <c r="E589" s="22" t="s">
        <v>305</v>
      </c>
      <c r="F589" s="29" t="str">
        <f aca="false">IF(COUNTIF(Referral_Data!$C$5:$C$1000,B589)&gt;0,"Referred",IF(COUNTIF(Referral_Data!$B$5:$B$1000,B589)&gt;0,"Referrer","Organic"))</f>
        <v>Referrer</v>
      </c>
      <c r="G589" s="29" t="n">
        <f aca="false">IF(COUNTIFS($B$5:B589,B589,$C$5:C589,C589)=1,1,0)</f>
        <v>0</v>
      </c>
      <c r="H589" s="29" t="n">
        <f aca="false">IF(AND(G589=1,COUNTIFS($B$5:$B$1635,B589,$C$5:$C$1635,"&lt;"&amp;C589)&gt;0),1,0)</f>
        <v>0</v>
      </c>
      <c r="I589" s="29" t="n">
        <f aca="false">IF(AND(D589="Feature Use",COUNTIFS($B$5:B589,B589,$D$5:D589,"Feature Use",$E$5:E589,E589)=1),1,0)</f>
        <v>0</v>
      </c>
      <c r="J589" s="29" t="n">
        <f aca="false">IF(AND(D589="Feature Use",COUNTIFS($B$5:B589,B589,$D$5:D589,"Feature Use",$E$5:E589,E589)=2),1,0)</f>
        <v>0</v>
      </c>
      <c r="K589" s="29" t="n">
        <f aca="false">IF(COUNTIF($B$5:B589,B589)=1,1,0)</f>
        <v>0</v>
      </c>
      <c r="L589" s="29" t="n">
        <f aca="false">IF(AND(C589&gt;=Settings!$B$5-Settings!$B$8+1,C589&lt;=Settings!$B$5,COUNTIFS($B$5:B589,B589,$C$5:C589,"&gt;="&amp;(Settings!$B$5-Settings!$B$8+1),$C$5:C589,"&lt;="&amp;Settings!$B$5)=1),1,0)</f>
        <v>0</v>
      </c>
      <c r="M589" s="29" t="n">
        <f aca="false">IF(AND(C589&gt;=Settings!$B$5-Settings!$B$9+1,C589&lt;=Settings!$B$5,COUNTIFS($B$5:B589,B589,$C$5:C589,"&gt;="&amp;(Settings!$B$5-Settings!$B$9+1),$C$5:C589,"&lt;="&amp;Settings!$B$5)=1),1,0)</f>
        <v>0</v>
      </c>
      <c r="N589" s="29" t="n">
        <f aca="false">IF(AND(D589="Feature Use",COUNTIFS($B$5:B589,B589,$D$5:D589,"Feature Use")=1),1,0)</f>
        <v>0</v>
      </c>
    </row>
    <row r="590" customFormat="false" ht="15" hidden="false" customHeight="false" outlineLevel="0" collapsed="false">
      <c r="A590" s="22" t="s">
        <v>897</v>
      </c>
      <c r="B590" s="22" t="s">
        <v>175</v>
      </c>
      <c r="C590" s="31" t="n">
        <v>46286</v>
      </c>
      <c r="D590" s="22" t="s">
        <v>297</v>
      </c>
      <c r="E590" s="22" t="s">
        <v>298</v>
      </c>
      <c r="F590" s="29" t="str">
        <f aca="false">IF(COUNTIF(Referral_Data!$C$5:$C$1000,B590)&gt;0,"Referred",IF(COUNTIF(Referral_Data!$B$5:$B$1000,B590)&gt;0,"Referrer","Organic"))</f>
        <v>Referrer</v>
      </c>
      <c r="G590" s="29" t="n">
        <f aca="false">IF(COUNTIFS($B$5:B590,B590,$C$5:C590,C590)=1,1,0)</f>
        <v>1</v>
      </c>
      <c r="H590" s="29" t="n">
        <f aca="false">IF(AND(G590=1,COUNTIFS($B$5:$B$1635,B590,$C$5:$C$1635,"&lt;"&amp;C590)&gt;0),1,0)</f>
        <v>1</v>
      </c>
      <c r="I590" s="29" t="n">
        <f aca="false">IF(AND(D590="Feature Use",COUNTIFS($B$5:B590,B590,$D$5:D590,"Feature Use",$E$5:E590,E590)=1),1,0)</f>
        <v>0</v>
      </c>
      <c r="J590" s="29" t="n">
        <f aca="false">IF(AND(D590="Feature Use",COUNTIFS($B$5:B590,B590,$D$5:D590,"Feature Use",$E$5:E590,E590)=2),1,0)</f>
        <v>0</v>
      </c>
      <c r="K590" s="29" t="n">
        <f aca="false">IF(COUNTIF($B$5:B590,B590)=1,1,0)</f>
        <v>0</v>
      </c>
      <c r="L590" s="29" t="n">
        <f aca="false">IF(AND(C590&gt;=Settings!$B$5-Settings!$B$8+1,C590&lt;=Settings!$B$5,COUNTIFS($B$5:B590,B590,$C$5:C590,"&gt;="&amp;(Settings!$B$5-Settings!$B$8+1),$C$5:C590,"&lt;="&amp;Settings!$B$5)=1),1,0)</f>
        <v>0</v>
      </c>
      <c r="M590" s="29" t="n">
        <f aca="false">IF(AND(C590&gt;=Settings!$B$5-Settings!$B$9+1,C590&lt;=Settings!$B$5,COUNTIFS($B$5:B590,B590,$C$5:C590,"&gt;="&amp;(Settings!$B$5-Settings!$B$9+1),$C$5:C590,"&lt;="&amp;Settings!$B$5)=1),1,0)</f>
        <v>1</v>
      </c>
      <c r="N590" s="29" t="n">
        <f aca="false">IF(AND(D590="Feature Use",COUNTIFS($B$5:B590,B590,$D$5:D590,"Feature Use")=1),1,0)</f>
        <v>0</v>
      </c>
    </row>
    <row r="591" customFormat="false" ht="15" hidden="false" customHeight="false" outlineLevel="0" collapsed="false">
      <c r="A591" s="22" t="s">
        <v>898</v>
      </c>
      <c r="B591" s="22" t="s">
        <v>175</v>
      </c>
      <c r="C591" s="31" t="n">
        <v>46286</v>
      </c>
      <c r="D591" s="22" t="s">
        <v>300</v>
      </c>
      <c r="E591" s="22" t="s">
        <v>311</v>
      </c>
      <c r="F591" s="29" t="str">
        <f aca="false">IF(COUNTIF(Referral_Data!$C$5:$C$1000,B591)&gt;0,"Referred",IF(COUNTIF(Referral_Data!$B$5:$B$1000,B591)&gt;0,"Referrer","Organic"))</f>
        <v>Referrer</v>
      </c>
      <c r="G591" s="29" t="n">
        <f aca="false">IF(COUNTIFS($B$5:B591,B591,$C$5:C591,C591)=1,1,0)</f>
        <v>0</v>
      </c>
      <c r="H591" s="29" t="n">
        <f aca="false">IF(AND(G591=1,COUNTIFS($B$5:$B$1635,B591,$C$5:$C$1635,"&lt;"&amp;C591)&gt;0),1,0)</f>
        <v>0</v>
      </c>
      <c r="I591" s="29" t="n">
        <f aca="false">IF(AND(D591="Feature Use",COUNTIFS($B$5:B591,B591,$D$5:D591,"Feature Use",$E$5:E591,E591)=1),1,0)</f>
        <v>0</v>
      </c>
      <c r="J591" s="29" t="n">
        <f aca="false">IF(AND(D591="Feature Use",COUNTIFS($B$5:B591,B591,$D$5:D591,"Feature Use",$E$5:E591,E591)=2),1,0)</f>
        <v>0</v>
      </c>
      <c r="K591" s="29" t="n">
        <f aca="false">IF(COUNTIF($B$5:B591,B591)=1,1,0)</f>
        <v>0</v>
      </c>
      <c r="L591" s="29" t="n">
        <f aca="false">IF(AND(C591&gt;=Settings!$B$5-Settings!$B$8+1,C591&lt;=Settings!$B$5,COUNTIFS($B$5:B591,B591,$C$5:C591,"&gt;="&amp;(Settings!$B$5-Settings!$B$8+1),$C$5:C591,"&lt;="&amp;Settings!$B$5)=1),1,0)</f>
        <v>0</v>
      </c>
      <c r="M591" s="29" t="n">
        <f aca="false">IF(AND(C591&gt;=Settings!$B$5-Settings!$B$9+1,C591&lt;=Settings!$B$5,COUNTIFS($B$5:B591,B591,$C$5:C591,"&gt;="&amp;(Settings!$B$5-Settings!$B$9+1),$C$5:C591,"&lt;="&amp;Settings!$B$5)=1),1,0)</f>
        <v>0</v>
      </c>
      <c r="N591" s="29" t="n">
        <f aca="false">IF(AND(D591="Feature Use",COUNTIFS($B$5:B591,B591,$D$5:D591,"Feature Use")=1),1,0)</f>
        <v>0</v>
      </c>
    </row>
    <row r="592" customFormat="false" ht="15" hidden="false" customHeight="false" outlineLevel="0" collapsed="false">
      <c r="A592" s="22" t="s">
        <v>899</v>
      </c>
      <c r="B592" s="22" t="s">
        <v>175</v>
      </c>
      <c r="C592" s="31" t="n">
        <v>46286</v>
      </c>
      <c r="D592" s="22" t="s">
        <v>300</v>
      </c>
      <c r="E592" s="22" t="s">
        <v>311</v>
      </c>
      <c r="F592" s="29" t="str">
        <f aca="false">IF(COUNTIF(Referral_Data!$C$5:$C$1000,B592)&gt;0,"Referred",IF(COUNTIF(Referral_Data!$B$5:$B$1000,B592)&gt;0,"Referrer","Organic"))</f>
        <v>Referrer</v>
      </c>
      <c r="G592" s="29" t="n">
        <f aca="false">IF(COUNTIFS($B$5:B592,B592,$C$5:C592,C592)=1,1,0)</f>
        <v>0</v>
      </c>
      <c r="H592" s="29" t="n">
        <f aca="false">IF(AND(G592=1,COUNTIFS($B$5:$B$1635,B592,$C$5:$C$1635,"&lt;"&amp;C592)&gt;0),1,0)</f>
        <v>0</v>
      </c>
      <c r="I592" s="29" t="n">
        <f aca="false">IF(AND(D592="Feature Use",COUNTIFS($B$5:B592,B592,$D$5:D592,"Feature Use",$E$5:E592,E592)=1),1,0)</f>
        <v>0</v>
      </c>
      <c r="J592" s="29" t="n">
        <f aca="false">IF(AND(D592="Feature Use",COUNTIFS($B$5:B592,B592,$D$5:D592,"Feature Use",$E$5:E592,E592)=2),1,0)</f>
        <v>0</v>
      </c>
      <c r="K592" s="29" t="n">
        <f aca="false">IF(COUNTIF($B$5:B592,B592)=1,1,0)</f>
        <v>0</v>
      </c>
      <c r="L592" s="29" t="n">
        <f aca="false">IF(AND(C592&gt;=Settings!$B$5-Settings!$B$8+1,C592&lt;=Settings!$B$5,COUNTIFS($B$5:B592,B592,$C$5:C592,"&gt;="&amp;(Settings!$B$5-Settings!$B$8+1),$C$5:C592,"&lt;="&amp;Settings!$B$5)=1),1,0)</f>
        <v>0</v>
      </c>
      <c r="M592" s="29" t="n">
        <f aca="false">IF(AND(C592&gt;=Settings!$B$5-Settings!$B$9+1,C592&lt;=Settings!$B$5,COUNTIFS($B$5:B592,B592,$C$5:C592,"&gt;="&amp;(Settings!$B$5-Settings!$B$9+1),$C$5:C592,"&lt;="&amp;Settings!$B$5)=1),1,0)</f>
        <v>0</v>
      </c>
      <c r="N592" s="29" t="n">
        <f aca="false">IF(AND(D592="Feature Use",COUNTIFS($B$5:B592,B592,$D$5:D592,"Feature Use")=1),1,0)</f>
        <v>0</v>
      </c>
    </row>
    <row r="593" customFormat="false" ht="15" hidden="false" customHeight="false" outlineLevel="0" collapsed="false">
      <c r="A593" s="22" t="s">
        <v>900</v>
      </c>
      <c r="B593" s="22" t="s">
        <v>303</v>
      </c>
      <c r="C593" s="31" t="n">
        <v>46287</v>
      </c>
      <c r="D593" s="22" t="s">
        <v>297</v>
      </c>
      <c r="E593" s="22" t="s">
        <v>298</v>
      </c>
      <c r="F593" s="29" t="str">
        <f aca="false">IF(COUNTIF(Referral_Data!$C$5:$C$1000,B593)&gt;0,"Referred",IF(COUNTIF(Referral_Data!$B$5:$B$1000,B593)&gt;0,"Referrer","Organic"))</f>
        <v>Organic</v>
      </c>
      <c r="G593" s="29" t="n">
        <f aca="false">IF(COUNTIFS($B$5:B593,B593,$C$5:C593,C593)=1,1,0)</f>
        <v>1</v>
      </c>
      <c r="H593" s="29" t="n">
        <f aca="false">IF(AND(G593=1,COUNTIFS($B$5:$B$1635,B593,$C$5:$C$1635,"&lt;"&amp;C593)&gt;0),1,0)</f>
        <v>1</v>
      </c>
      <c r="I593" s="29" t="n">
        <f aca="false">IF(AND(D593="Feature Use",COUNTIFS($B$5:B593,B593,$D$5:D593,"Feature Use",$E$5:E593,E593)=1),1,0)</f>
        <v>0</v>
      </c>
      <c r="J593" s="29" t="n">
        <f aca="false">IF(AND(D593="Feature Use",COUNTIFS($B$5:B593,B593,$D$5:D593,"Feature Use",$E$5:E593,E593)=2),1,0)</f>
        <v>0</v>
      </c>
      <c r="K593" s="29" t="n">
        <f aca="false">IF(COUNTIF($B$5:B593,B593)=1,1,0)</f>
        <v>0</v>
      </c>
      <c r="L593" s="29" t="n">
        <f aca="false">IF(AND(C593&gt;=Settings!$B$5-Settings!$B$8+1,C593&lt;=Settings!$B$5,COUNTIFS($B$5:B593,B593,$C$5:C593,"&gt;="&amp;(Settings!$B$5-Settings!$B$8+1),$C$5:C593,"&lt;="&amp;Settings!$B$5)=1),1,0)</f>
        <v>0</v>
      </c>
      <c r="M593" s="29" t="n">
        <f aca="false">IF(AND(C593&gt;=Settings!$B$5-Settings!$B$9+1,C593&lt;=Settings!$B$5,COUNTIFS($B$5:B593,B593,$C$5:C593,"&gt;="&amp;(Settings!$B$5-Settings!$B$9+1),$C$5:C593,"&lt;="&amp;Settings!$B$5)=1),1,0)</f>
        <v>0</v>
      </c>
      <c r="N593" s="29" t="n">
        <f aca="false">IF(AND(D593="Feature Use",COUNTIFS($B$5:B593,B593,$D$5:D593,"Feature Use")=1),1,0)</f>
        <v>0</v>
      </c>
    </row>
    <row r="594" customFormat="false" ht="15" hidden="false" customHeight="false" outlineLevel="0" collapsed="false">
      <c r="A594" s="22" t="s">
        <v>901</v>
      </c>
      <c r="B594" s="22" t="s">
        <v>303</v>
      </c>
      <c r="C594" s="31" t="n">
        <v>46287</v>
      </c>
      <c r="D594" s="22" t="s">
        <v>300</v>
      </c>
      <c r="E594" s="22" t="s">
        <v>311</v>
      </c>
      <c r="F594" s="29" t="str">
        <f aca="false">IF(COUNTIF(Referral_Data!$C$5:$C$1000,B594)&gt;0,"Referred",IF(COUNTIF(Referral_Data!$B$5:$B$1000,B594)&gt;0,"Referrer","Organic"))</f>
        <v>Organic</v>
      </c>
      <c r="G594" s="29" t="n">
        <f aca="false">IF(COUNTIFS($B$5:B594,B594,$C$5:C594,C594)=1,1,0)</f>
        <v>0</v>
      </c>
      <c r="H594" s="29" t="n">
        <f aca="false">IF(AND(G594=1,COUNTIFS($B$5:$B$1635,B594,$C$5:$C$1635,"&lt;"&amp;C594)&gt;0),1,0)</f>
        <v>0</v>
      </c>
      <c r="I594" s="29" t="n">
        <f aca="false">IF(AND(D594="Feature Use",COUNTIFS($B$5:B594,B594,$D$5:D594,"Feature Use",$E$5:E594,E594)=1),1,0)</f>
        <v>0</v>
      </c>
      <c r="J594" s="29" t="n">
        <f aca="false">IF(AND(D594="Feature Use",COUNTIFS($B$5:B594,B594,$D$5:D594,"Feature Use",$E$5:E594,E594)=2),1,0)</f>
        <v>0</v>
      </c>
      <c r="K594" s="29" t="n">
        <f aca="false">IF(COUNTIF($B$5:B594,B594)=1,1,0)</f>
        <v>0</v>
      </c>
      <c r="L594" s="29" t="n">
        <f aca="false">IF(AND(C594&gt;=Settings!$B$5-Settings!$B$8+1,C594&lt;=Settings!$B$5,COUNTIFS($B$5:B594,B594,$C$5:C594,"&gt;="&amp;(Settings!$B$5-Settings!$B$8+1),$C$5:C594,"&lt;="&amp;Settings!$B$5)=1),1,0)</f>
        <v>0</v>
      </c>
      <c r="M594" s="29" t="n">
        <f aca="false">IF(AND(C594&gt;=Settings!$B$5-Settings!$B$9+1,C594&lt;=Settings!$B$5,COUNTIFS($B$5:B594,B594,$C$5:C594,"&gt;="&amp;(Settings!$B$5-Settings!$B$9+1),$C$5:C594,"&lt;="&amp;Settings!$B$5)=1),1,0)</f>
        <v>0</v>
      </c>
      <c r="N594" s="29" t="n">
        <f aca="false">IF(AND(D594="Feature Use",COUNTIFS($B$5:B594,B594,$D$5:D594,"Feature Use")=1),1,0)</f>
        <v>0</v>
      </c>
    </row>
    <row r="595" customFormat="false" ht="15" hidden="false" customHeight="false" outlineLevel="0" collapsed="false">
      <c r="A595" s="22" t="s">
        <v>902</v>
      </c>
      <c r="B595" s="22" t="s">
        <v>385</v>
      </c>
      <c r="C595" s="31" t="n">
        <v>46287</v>
      </c>
      <c r="D595" s="22" t="s">
        <v>297</v>
      </c>
      <c r="E595" s="22" t="s">
        <v>298</v>
      </c>
      <c r="F595" s="29" t="str">
        <f aca="false">IF(COUNTIF(Referral_Data!$C$5:$C$1000,B595)&gt;0,"Referred",IF(COUNTIF(Referral_Data!$B$5:$B$1000,B595)&gt;0,"Referrer","Organic"))</f>
        <v>Organic</v>
      </c>
      <c r="G595" s="29" t="n">
        <f aca="false">IF(COUNTIFS($B$5:B595,B595,$C$5:C595,C595)=1,1,0)</f>
        <v>1</v>
      </c>
      <c r="H595" s="29" t="n">
        <f aca="false">IF(AND(G595=1,COUNTIFS($B$5:$B$1635,B595,$C$5:$C$1635,"&lt;"&amp;C595)&gt;0),1,0)</f>
        <v>1</v>
      </c>
      <c r="I595" s="29" t="n">
        <f aca="false">IF(AND(D595="Feature Use",COUNTIFS($B$5:B595,B595,$D$5:D595,"Feature Use",$E$5:E595,E595)=1),1,0)</f>
        <v>0</v>
      </c>
      <c r="J595" s="29" t="n">
        <f aca="false">IF(AND(D595="Feature Use",COUNTIFS($B$5:B595,B595,$D$5:D595,"Feature Use",$E$5:E595,E595)=2),1,0)</f>
        <v>0</v>
      </c>
      <c r="K595" s="29" t="n">
        <f aca="false">IF(COUNTIF($B$5:B595,B595)=1,1,0)</f>
        <v>0</v>
      </c>
      <c r="L595" s="29" t="n">
        <f aca="false">IF(AND(C595&gt;=Settings!$B$5-Settings!$B$8+1,C595&lt;=Settings!$B$5,COUNTIFS($B$5:B595,B595,$C$5:C595,"&gt;="&amp;(Settings!$B$5-Settings!$B$8+1),$C$5:C595,"&lt;="&amp;Settings!$B$5)=1),1,0)</f>
        <v>0</v>
      </c>
      <c r="M595" s="29" t="n">
        <f aca="false">IF(AND(C595&gt;=Settings!$B$5-Settings!$B$9+1,C595&lt;=Settings!$B$5,COUNTIFS($B$5:B595,B595,$C$5:C595,"&gt;="&amp;(Settings!$B$5-Settings!$B$9+1),$C$5:C595,"&lt;="&amp;Settings!$B$5)=1),1,0)</f>
        <v>1</v>
      </c>
      <c r="N595" s="29" t="n">
        <f aca="false">IF(AND(D595="Feature Use",COUNTIFS($B$5:B595,B595,$D$5:D595,"Feature Use")=1),1,0)</f>
        <v>0</v>
      </c>
    </row>
    <row r="596" customFormat="false" ht="15" hidden="false" customHeight="false" outlineLevel="0" collapsed="false">
      <c r="A596" s="22" t="s">
        <v>903</v>
      </c>
      <c r="B596" s="22" t="s">
        <v>385</v>
      </c>
      <c r="C596" s="31" t="n">
        <v>46287</v>
      </c>
      <c r="D596" s="22" t="s">
        <v>300</v>
      </c>
      <c r="E596" s="22" t="s">
        <v>305</v>
      </c>
      <c r="F596" s="29" t="str">
        <f aca="false">IF(COUNTIF(Referral_Data!$C$5:$C$1000,B596)&gt;0,"Referred",IF(COUNTIF(Referral_Data!$B$5:$B$1000,B596)&gt;0,"Referrer","Organic"))</f>
        <v>Organic</v>
      </c>
      <c r="G596" s="29" t="n">
        <f aca="false">IF(COUNTIFS($B$5:B596,B596,$C$5:C596,C596)=1,1,0)</f>
        <v>0</v>
      </c>
      <c r="H596" s="29" t="n">
        <f aca="false">IF(AND(G596=1,COUNTIFS($B$5:$B$1635,B596,$C$5:$C$1635,"&lt;"&amp;C596)&gt;0),1,0)</f>
        <v>0</v>
      </c>
      <c r="I596" s="29" t="n">
        <f aca="false">IF(AND(D596="Feature Use",COUNTIFS($B$5:B596,B596,$D$5:D596,"Feature Use",$E$5:E596,E596)=1),1,0)</f>
        <v>1</v>
      </c>
      <c r="J596" s="29" t="n">
        <f aca="false">IF(AND(D596="Feature Use",COUNTIFS($B$5:B596,B596,$D$5:D596,"Feature Use",$E$5:E596,E596)=2),1,0)</f>
        <v>0</v>
      </c>
      <c r="K596" s="29" t="n">
        <f aca="false">IF(COUNTIF($B$5:B596,B596)=1,1,0)</f>
        <v>0</v>
      </c>
      <c r="L596" s="29" t="n">
        <f aca="false">IF(AND(C596&gt;=Settings!$B$5-Settings!$B$8+1,C596&lt;=Settings!$B$5,COUNTIFS($B$5:B596,B596,$C$5:C596,"&gt;="&amp;(Settings!$B$5-Settings!$B$8+1),$C$5:C596,"&lt;="&amp;Settings!$B$5)=1),1,0)</f>
        <v>0</v>
      </c>
      <c r="M596" s="29" t="n">
        <f aca="false">IF(AND(C596&gt;=Settings!$B$5-Settings!$B$9+1,C596&lt;=Settings!$B$5,COUNTIFS($B$5:B596,B596,$C$5:C596,"&gt;="&amp;(Settings!$B$5-Settings!$B$9+1),$C$5:C596,"&lt;="&amp;Settings!$B$5)=1),1,0)</f>
        <v>0</v>
      </c>
      <c r="N596" s="29" t="n">
        <f aca="false">IF(AND(D596="Feature Use",COUNTIFS($B$5:B596,B596,$D$5:D596,"Feature Use")=1),1,0)</f>
        <v>0</v>
      </c>
    </row>
    <row r="597" customFormat="false" ht="15" hidden="false" customHeight="false" outlineLevel="0" collapsed="false">
      <c r="A597" s="22" t="s">
        <v>904</v>
      </c>
      <c r="B597" s="22" t="s">
        <v>385</v>
      </c>
      <c r="C597" s="31" t="n">
        <v>46287</v>
      </c>
      <c r="D597" s="22" t="s">
        <v>300</v>
      </c>
      <c r="E597" s="22" t="s">
        <v>305</v>
      </c>
      <c r="F597" s="29" t="str">
        <f aca="false">IF(COUNTIF(Referral_Data!$C$5:$C$1000,B597)&gt;0,"Referred",IF(COUNTIF(Referral_Data!$B$5:$B$1000,B597)&gt;0,"Referrer","Organic"))</f>
        <v>Organic</v>
      </c>
      <c r="G597" s="29" t="n">
        <f aca="false">IF(COUNTIFS($B$5:B597,B597,$C$5:C597,C597)=1,1,0)</f>
        <v>0</v>
      </c>
      <c r="H597" s="29" t="n">
        <f aca="false">IF(AND(G597=1,COUNTIFS($B$5:$B$1635,B597,$C$5:$C$1635,"&lt;"&amp;C597)&gt;0),1,0)</f>
        <v>0</v>
      </c>
      <c r="I597" s="29" t="n">
        <f aca="false">IF(AND(D597="Feature Use",COUNTIFS($B$5:B597,B597,$D$5:D597,"Feature Use",$E$5:E597,E597)=1),1,0)</f>
        <v>0</v>
      </c>
      <c r="J597" s="29" t="n">
        <f aca="false">IF(AND(D597="Feature Use",COUNTIFS($B$5:B597,B597,$D$5:D597,"Feature Use",$E$5:E597,E597)=2),1,0)</f>
        <v>1</v>
      </c>
      <c r="K597" s="29" t="n">
        <f aca="false">IF(COUNTIF($B$5:B597,B597)=1,1,0)</f>
        <v>0</v>
      </c>
      <c r="L597" s="29" t="n">
        <f aca="false">IF(AND(C597&gt;=Settings!$B$5-Settings!$B$8+1,C597&lt;=Settings!$B$5,COUNTIFS($B$5:B597,B597,$C$5:C597,"&gt;="&amp;(Settings!$B$5-Settings!$B$8+1),$C$5:C597,"&lt;="&amp;Settings!$B$5)=1),1,0)</f>
        <v>0</v>
      </c>
      <c r="M597" s="29" t="n">
        <f aca="false">IF(AND(C597&gt;=Settings!$B$5-Settings!$B$9+1,C597&lt;=Settings!$B$5,COUNTIFS($B$5:B597,B597,$C$5:C597,"&gt;="&amp;(Settings!$B$5-Settings!$B$9+1),$C$5:C597,"&lt;="&amp;Settings!$B$5)=1),1,0)</f>
        <v>0</v>
      </c>
      <c r="N597" s="29" t="n">
        <f aca="false">IF(AND(D597="Feature Use",COUNTIFS($B$5:B597,B597,$D$5:D597,"Feature Use")=1),1,0)</f>
        <v>0</v>
      </c>
    </row>
    <row r="598" customFormat="false" ht="15" hidden="false" customHeight="false" outlineLevel="0" collapsed="false">
      <c r="A598" s="22" t="s">
        <v>905</v>
      </c>
      <c r="B598" s="22" t="s">
        <v>385</v>
      </c>
      <c r="C598" s="31" t="n">
        <v>46287</v>
      </c>
      <c r="D598" s="22" t="s">
        <v>308</v>
      </c>
      <c r="E598" s="22" t="s">
        <v>319</v>
      </c>
      <c r="F598" s="29" t="str">
        <f aca="false">IF(COUNTIF(Referral_Data!$C$5:$C$1000,B598)&gt;0,"Referred",IF(COUNTIF(Referral_Data!$B$5:$B$1000,B598)&gt;0,"Referrer","Organic"))</f>
        <v>Organic</v>
      </c>
      <c r="G598" s="29" t="n">
        <f aca="false">IF(COUNTIFS($B$5:B598,B598,$C$5:C598,C598)=1,1,0)</f>
        <v>0</v>
      </c>
      <c r="H598" s="29" t="n">
        <f aca="false">IF(AND(G598=1,COUNTIFS($B$5:$B$1635,B598,$C$5:$C$1635,"&lt;"&amp;C598)&gt;0),1,0)</f>
        <v>0</v>
      </c>
      <c r="I598" s="29" t="n">
        <f aca="false">IF(AND(D598="Feature Use",COUNTIFS($B$5:B598,B598,$D$5:D598,"Feature Use",$E$5:E598,E598)=1),1,0)</f>
        <v>0</v>
      </c>
      <c r="J598" s="29" t="n">
        <f aca="false">IF(AND(D598="Feature Use",COUNTIFS($B$5:B598,B598,$D$5:D598,"Feature Use",$E$5:E598,E598)=2),1,0)</f>
        <v>0</v>
      </c>
      <c r="K598" s="29" t="n">
        <f aca="false">IF(COUNTIF($B$5:B598,B598)=1,1,0)</f>
        <v>0</v>
      </c>
      <c r="L598" s="29" t="n">
        <f aca="false">IF(AND(C598&gt;=Settings!$B$5-Settings!$B$8+1,C598&lt;=Settings!$B$5,COUNTIFS($B$5:B598,B598,$C$5:C598,"&gt;="&amp;(Settings!$B$5-Settings!$B$8+1),$C$5:C598,"&lt;="&amp;Settings!$B$5)=1),1,0)</f>
        <v>0</v>
      </c>
      <c r="M598" s="29" t="n">
        <f aca="false">IF(AND(C598&gt;=Settings!$B$5-Settings!$B$9+1,C598&lt;=Settings!$B$5,COUNTIFS($B$5:B598,B598,$C$5:C598,"&gt;="&amp;(Settings!$B$5-Settings!$B$9+1),$C$5:C598,"&lt;="&amp;Settings!$B$5)=1),1,0)</f>
        <v>0</v>
      </c>
      <c r="N598" s="29" t="n">
        <f aca="false">IF(AND(D598="Feature Use",COUNTIFS($B$5:B598,B598,$D$5:D598,"Feature Use")=1),1,0)</f>
        <v>0</v>
      </c>
    </row>
    <row r="599" customFormat="false" ht="15" hidden="false" customHeight="false" outlineLevel="0" collapsed="false">
      <c r="A599" s="22" t="s">
        <v>906</v>
      </c>
      <c r="B599" s="22" t="s">
        <v>385</v>
      </c>
      <c r="C599" s="31" t="n">
        <v>46287</v>
      </c>
      <c r="D599" s="22" t="s">
        <v>308</v>
      </c>
      <c r="E599" s="22" t="s">
        <v>311</v>
      </c>
      <c r="F599" s="29" t="str">
        <f aca="false">IF(COUNTIF(Referral_Data!$C$5:$C$1000,B599)&gt;0,"Referred",IF(COUNTIF(Referral_Data!$B$5:$B$1000,B599)&gt;0,"Referrer","Organic"))</f>
        <v>Organic</v>
      </c>
      <c r="G599" s="29" t="n">
        <f aca="false">IF(COUNTIFS($B$5:B599,B599,$C$5:C599,C599)=1,1,0)</f>
        <v>0</v>
      </c>
      <c r="H599" s="29" t="n">
        <f aca="false">IF(AND(G599=1,COUNTIFS($B$5:$B$1635,B599,$C$5:$C$1635,"&lt;"&amp;C599)&gt;0),1,0)</f>
        <v>0</v>
      </c>
      <c r="I599" s="29" t="n">
        <f aca="false">IF(AND(D599="Feature Use",COUNTIFS($B$5:B599,B599,$D$5:D599,"Feature Use",$E$5:E599,E599)=1),1,0)</f>
        <v>0</v>
      </c>
      <c r="J599" s="29" t="n">
        <f aca="false">IF(AND(D599="Feature Use",COUNTIFS($B$5:B599,B599,$D$5:D599,"Feature Use",$E$5:E599,E599)=2),1,0)</f>
        <v>0</v>
      </c>
      <c r="K599" s="29" t="n">
        <f aca="false">IF(COUNTIF($B$5:B599,B599)=1,1,0)</f>
        <v>0</v>
      </c>
      <c r="L599" s="29" t="n">
        <f aca="false">IF(AND(C599&gt;=Settings!$B$5-Settings!$B$8+1,C599&lt;=Settings!$B$5,COUNTIFS($B$5:B599,B599,$C$5:C599,"&gt;="&amp;(Settings!$B$5-Settings!$B$8+1),$C$5:C599,"&lt;="&amp;Settings!$B$5)=1),1,0)</f>
        <v>0</v>
      </c>
      <c r="M599" s="29" t="n">
        <f aca="false">IF(AND(C599&gt;=Settings!$B$5-Settings!$B$9+1,C599&lt;=Settings!$B$5,COUNTIFS($B$5:B599,B599,$C$5:C599,"&gt;="&amp;(Settings!$B$5-Settings!$B$9+1),$C$5:C599,"&lt;="&amp;Settings!$B$5)=1),1,0)</f>
        <v>0</v>
      </c>
      <c r="N599" s="29" t="n">
        <f aca="false">IF(AND(D599="Feature Use",COUNTIFS($B$5:B599,B599,$D$5:D599,"Feature Use")=1),1,0)</f>
        <v>0</v>
      </c>
    </row>
    <row r="600" customFormat="false" ht="15" hidden="false" customHeight="false" outlineLevel="0" collapsed="false">
      <c r="A600" s="22" t="s">
        <v>907</v>
      </c>
      <c r="B600" s="22" t="s">
        <v>313</v>
      </c>
      <c r="C600" s="31" t="n">
        <v>46287</v>
      </c>
      <c r="D600" s="22" t="s">
        <v>297</v>
      </c>
      <c r="E600" s="22" t="s">
        <v>298</v>
      </c>
      <c r="F600" s="29" t="str">
        <f aca="false">IF(COUNTIF(Referral_Data!$C$5:$C$1000,B600)&gt;0,"Referred",IF(COUNTIF(Referral_Data!$B$5:$B$1000,B600)&gt;0,"Referrer","Organic"))</f>
        <v>Organic</v>
      </c>
      <c r="G600" s="29" t="n">
        <f aca="false">IF(COUNTIFS($B$5:B600,B600,$C$5:C600,C600)=1,1,0)</f>
        <v>1</v>
      </c>
      <c r="H600" s="29" t="n">
        <f aca="false">IF(AND(G600=1,COUNTIFS($B$5:$B$1635,B600,$C$5:$C$1635,"&lt;"&amp;C600)&gt;0),1,0)</f>
        <v>1</v>
      </c>
      <c r="I600" s="29" t="n">
        <f aca="false">IF(AND(D600="Feature Use",COUNTIFS($B$5:B600,B600,$D$5:D600,"Feature Use",$E$5:E600,E600)=1),1,0)</f>
        <v>0</v>
      </c>
      <c r="J600" s="29" t="n">
        <f aca="false">IF(AND(D600="Feature Use",COUNTIFS($B$5:B600,B600,$D$5:D600,"Feature Use",$E$5:E600,E600)=2),1,0)</f>
        <v>0</v>
      </c>
      <c r="K600" s="29" t="n">
        <f aca="false">IF(COUNTIF($B$5:B600,B600)=1,1,0)</f>
        <v>0</v>
      </c>
      <c r="L600" s="29" t="n">
        <f aca="false">IF(AND(C600&gt;=Settings!$B$5-Settings!$B$8+1,C600&lt;=Settings!$B$5,COUNTIFS($B$5:B600,B600,$C$5:C600,"&gt;="&amp;(Settings!$B$5-Settings!$B$8+1),$C$5:C600,"&lt;="&amp;Settings!$B$5)=1),1,0)</f>
        <v>0</v>
      </c>
      <c r="M600" s="29" t="n">
        <f aca="false">IF(AND(C600&gt;=Settings!$B$5-Settings!$B$9+1,C600&lt;=Settings!$B$5,COUNTIFS($B$5:B600,B600,$C$5:C600,"&gt;="&amp;(Settings!$B$5-Settings!$B$9+1),$C$5:C600,"&lt;="&amp;Settings!$B$5)=1),1,0)</f>
        <v>0</v>
      </c>
      <c r="N600" s="29" t="n">
        <f aca="false">IF(AND(D600="Feature Use",COUNTIFS($B$5:B600,B600,$D$5:D600,"Feature Use")=1),1,0)</f>
        <v>0</v>
      </c>
    </row>
    <row r="601" customFormat="false" ht="15" hidden="false" customHeight="false" outlineLevel="0" collapsed="false">
      <c r="A601" s="22" t="s">
        <v>908</v>
      </c>
      <c r="B601" s="22" t="s">
        <v>313</v>
      </c>
      <c r="C601" s="31" t="n">
        <v>46287</v>
      </c>
      <c r="D601" s="22" t="s">
        <v>300</v>
      </c>
      <c r="E601" s="22" t="s">
        <v>311</v>
      </c>
      <c r="F601" s="29" t="str">
        <f aca="false">IF(COUNTIF(Referral_Data!$C$5:$C$1000,B601)&gt;0,"Referred",IF(COUNTIF(Referral_Data!$B$5:$B$1000,B601)&gt;0,"Referrer","Organic"))</f>
        <v>Organic</v>
      </c>
      <c r="G601" s="29" t="n">
        <f aca="false">IF(COUNTIFS($B$5:B601,B601,$C$5:C601,C601)=1,1,0)</f>
        <v>0</v>
      </c>
      <c r="H601" s="29" t="n">
        <f aca="false">IF(AND(G601=1,COUNTIFS($B$5:$B$1635,B601,$C$5:$C$1635,"&lt;"&amp;C601)&gt;0),1,0)</f>
        <v>0</v>
      </c>
      <c r="I601" s="29" t="n">
        <f aca="false">IF(AND(D601="Feature Use",COUNTIFS($B$5:B601,B601,$D$5:D601,"Feature Use",$E$5:E601,E601)=1),1,0)</f>
        <v>0</v>
      </c>
      <c r="J601" s="29" t="n">
        <f aca="false">IF(AND(D601="Feature Use",COUNTIFS($B$5:B601,B601,$D$5:D601,"Feature Use",$E$5:E601,E601)=2),1,0)</f>
        <v>0</v>
      </c>
      <c r="K601" s="29" t="n">
        <f aca="false">IF(COUNTIF($B$5:B601,B601)=1,1,0)</f>
        <v>0</v>
      </c>
      <c r="L601" s="29" t="n">
        <f aca="false">IF(AND(C601&gt;=Settings!$B$5-Settings!$B$8+1,C601&lt;=Settings!$B$5,COUNTIFS($B$5:B601,B601,$C$5:C601,"&gt;="&amp;(Settings!$B$5-Settings!$B$8+1),$C$5:C601,"&lt;="&amp;Settings!$B$5)=1),1,0)</f>
        <v>0</v>
      </c>
      <c r="M601" s="29" t="n">
        <f aca="false">IF(AND(C601&gt;=Settings!$B$5-Settings!$B$9+1,C601&lt;=Settings!$B$5,COUNTIFS($B$5:B601,B601,$C$5:C601,"&gt;="&amp;(Settings!$B$5-Settings!$B$9+1),$C$5:C601,"&lt;="&amp;Settings!$B$5)=1),1,0)</f>
        <v>0</v>
      </c>
      <c r="N601" s="29" t="n">
        <f aca="false">IF(AND(D601="Feature Use",COUNTIFS($B$5:B601,B601,$D$5:D601,"Feature Use")=1),1,0)</f>
        <v>0</v>
      </c>
    </row>
    <row r="602" customFormat="false" ht="15" hidden="false" customHeight="false" outlineLevel="0" collapsed="false">
      <c r="A602" s="22" t="s">
        <v>909</v>
      </c>
      <c r="B602" s="22" t="s">
        <v>254</v>
      </c>
      <c r="C602" s="31" t="n">
        <v>46287</v>
      </c>
      <c r="D602" s="22" t="s">
        <v>297</v>
      </c>
      <c r="E602" s="22" t="s">
        <v>298</v>
      </c>
      <c r="F602" s="29" t="str">
        <f aca="false">IF(COUNTIF(Referral_Data!$C$5:$C$1000,B602)&gt;0,"Referred",IF(COUNTIF(Referral_Data!$B$5:$B$1000,B602)&gt;0,"Referrer","Organic"))</f>
        <v>Referred</v>
      </c>
      <c r="G602" s="29" t="n">
        <f aca="false">IF(COUNTIFS($B$5:B602,B602,$C$5:C602,C602)=1,1,0)</f>
        <v>1</v>
      </c>
      <c r="H602" s="29" t="n">
        <f aca="false">IF(AND(G602=1,COUNTIFS($B$5:$B$1635,B602,$C$5:$C$1635,"&lt;"&amp;C602)&gt;0),1,0)</f>
        <v>1</v>
      </c>
      <c r="I602" s="29" t="n">
        <f aca="false">IF(AND(D602="Feature Use",COUNTIFS($B$5:B602,B602,$D$5:D602,"Feature Use",$E$5:E602,E602)=1),1,0)</f>
        <v>0</v>
      </c>
      <c r="J602" s="29" t="n">
        <f aca="false">IF(AND(D602="Feature Use",COUNTIFS($B$5:B602,B602,$D$5:D602,"Feature Use",$E$5:E602,E602)=2),1,0)</f>
        <v>0</v>
      </c>
      <c r="K602" s="29" t="n">
        <f aca="false">IF(COUNTIF($B$5:B602,B602)=1,1,0)</f>
        <v>0</v>
      </c>
      <c r="L602" s="29" t="n">
        <f aca="false">IF(AND(C602&gt;=Settings!$B$5-Settings!$B$8+1,C602&lt;=Settings!$B$5,COUNTIFS($B$5:B602,B602,$C$5:C602,"&gt;="&amp;(Settings!$B$5-Settings!$B$8+1),$C$5:C602,"&lt;="&amp;Settings!$B$5)=1),1,0)</f>
        <v>0</v>
      </c>
      <c r="M602" s="29" t="n">
        <f aca="false">IF(AND(C602&gt;=Settings!$B$5-Settings!$B$9+1,C602&lt;=Settings!$B$5,COUNTIFS($B$5:B602,B602,$C$5:C602,"&gt;="&amp;(Settings!$B$5-Settings!$B$9+1),$C$5:C602,"&lt;="&amp;Settings!$B$5)=1),1,0)</f>
        <v>0</v>
      </c>
      <c r="N602" s="29" t="n">
        <f aca="false">IF(AND(D602="Feature Use",COUNTIFS($B$5:B602,B602,$D$5:D602,"Feature Use")=1),1,0)</f>
        <v>0</v>
      </c>
    </row>
    <row r="603" customFormat="false" ht="15" hidden="false" customHeight="false" outlineLevel="0" collapsed="false">
      <c r="A603" s="22" t="s">
        <v>910</v>
      </c>
      <c r="B603" s="22" t="s">
        <v>254</v>
      </c>
      <c r="C603" s="31" t="n">
        <v>46287</v>
      </c>
      <c r="D603" s="22" t="s">
        <v>300</v>
      </c>
      <c r="E603" s="22" t="s">
        <v>319</v>
      </c>
      <c r="F603" s="29" t="str">
        <f aca="false">IF(COUNTIF(Referral_Data!$C$5:$C$1000,B603)&gt;0,"Referred",IF(COUNTIF(Referral_Data!$B$5:$B$1000,B603)&gt;0,"Referrer","Organic"))</f>
        <v>Referred</v>
      </c>
      <c r="G603" s="29" t="n">
        <f aca="false">IF(COUNTIFS($B$5:B603,B603,$C$5:C603,C603)=1,1,0)</f>
        <v>0</v>
      </c>
      <c r="H603" s="29" t="n">
        <f aca="false">IF(AND(G603=1,COUNTIFS($B$5:$B$1635,B603,$C$5:$C$1635,"&lt;"&amp;C603)&gt;0),1,0)</f>
        <v>0</v>
      </c>
      <c r="I603" s="29" t="n">
        <f aca="false">IF(AND(D603="Feature Use",COUNTIFS($B$5:B603,B603,$D$5:D603,"Feature Use",$E$5:E603,E603)=1),1,0)</f>
        <v>0</v>
      </c>
      <c r="J603" s="29" t="n">
        <f aca="false">IF(AND(D603="Feature Use",COUNTIFS($B$5:B603,B603,$D$5:D603,"Feature Use",$E$5:E603,E603)=2),1,0)</f>
        <v>1</v>
      </c>
      <c r="K603" s="29" t="n">
        <f aca="false">IF(COUNTIF($B$5:B603,B603)=1,1,0)</f>
        <v>0</v>
      </c>
      <c r="L603" s="29" t="n">
        <f aca="false">IF(AND(C603&gt;=Settings!$B$5-Settings!$B$8+1,C603&lt;=Settings!$B$5,COUNTIFS($B$5:B603,B603,$C$5:C603,"&gt;="&amp;(Settings!$B$5-Settings!$B$8+1),$C$5:C603,"&lt;="&amp;Settings!$B$5)=1),1,0)</f>
        <v>0</v>
      </c>
      <c r="M603" s="29" t="n">
        <f aca="false">IF(AND(C603&gt;=Settings!$B$5-Settings!$B$9+1,C603&lt;=Settings!$B$5,COUNTIFS($B$5:B603,B603,$C$5:C603,"&gt;="&amp;(Settings!$B$5-Settings!$B$9+1),$C$5:C603,"&lt;="&amp;Settings!$B$5)=1),1,0)</f>
        <v>0</v>
      </c>
      <c r="N603" s="29" t="n">
        <f aca="false">IF(AND(D603="Feature Use",COUNTIFS($B$5:B603,B603,$D$5:D603,"Feature Use")=1),1,0)</f>
        <v>0</v>
      </c>
    </row>
    <row r="604" customFormat="false" ht="15" hidden="false" customHeight="false" outlineLevel="0" collapsed="false">
      <c r="A604" s="22" t="s">
        <v>911</v>
      </c>
      <c r="B604" s="22" t="s">
        <v>167</v>
      </c>
      <c r="C604" s="31" t="n">
        <v>46287</v>
      </c>
      <c r="D604" s="22" t="s">
        <v>297</v>
      </c>
      <c r="E604" s="22" t="s">
        <v>298</v>
      </c>
      <c r="F604" s="29" t="str">
        <f aca="false">IF(COUNTIF(Referral_Data!$C$5:$C$1000,B604)&gt;0,"Referred",IF(COUNTIF(Referral_Data!$B$5:$B$1000,B604)&gt;0,"Referrer","Organic"))</f>
        <v>Referrer</v>
      </c>
      <c r="G604" s="29" t="n">
        <f aca="false">IF(COUNTIFS($B$5:B604,B604,$C$5:C604,C604)=1,1,0)</f>
        <v>1</v>
      </c>
      <c r="H604" s="29" t="n">
        <f aca="false">IF(AND(G604=1,COUNTIFS($B$5:$B$1635,B604,$C$5:$C$1635,"&lt;"&amp;C604)&gt;0),1,0)</f>
        <v>1</v>
      </c>
      <c r="I604" s="29" t="n">
        <f aca="false">IF(AND(D604="Feature Use",COUNTIFS($B$5:B604,B604,$D$5:D604,"Feature Use",$E$5:E604,E604)=1),1,0)</f>
        <v>0</v>
      </c>
      <c r="J604" s="29" t="n">
        <f aca="false">IF(AND(D604="Feature Use",COUNTIFS($B$5:B604,B604,$D$5:D604,"Feature Use",$E$5:E604,E604)=2),1,0)</f>
        <v>0</v>
      </c>
      <c r="K604" s="29" t="n">
        <f aca="false">IF(COUNTIF($B$5:B604,B604)=1,1,0)</f>
        <v>0</v>
      </c>
      <c r="L604" s="29" t="n">
        <f aca="false">IF(AND(C604&gt;=Settings!$B$5-Settings!$B$8+1,C604&lt;=Settings!$B$5,COUNTIFS($B$5:B604,B604,$C$5:C604,"&gt;="&amp;(Settings!$B$5-Settings!$B$8+1),$C$5:C604,"&lt;="&amp;Settings!$B$5)=1),1,0)</f>
        <v>0</v>
      </c>
      <c r="M604" s="29" t="n">
        <f aca="false">IF(AND(C604&gt;=Settings!$B$5-Settings!$B$9+1,C604&lt;=Settings!$B$5,COUNTIFS($B$5:B604,B604,$C$5:C604,"&gt;="&amp;(Settings!$B$5-Settings!$B$9+1),$C$5:C604,"&lt;="&amp;Settings!$B$5)=1),1,0)</f>
        <v>0</v>
      </c>
      <c r="N604" s="29" t="n">
        <f aca="false">IF(AND(D604="Feature Use",COUNTIFS($B$5:B604,B604,$D$5:D604,"Feature Use")=1),1,0)</f>
        <v>0</v>
      </c>
    </row>
    <row r="605" customFormat="false" ht="15" hidden="false" customHeight="false" outlineLevel="0" collapsed="false">
      <c r="A605" s="22" t="s">
        <v>912</v>
      </c>
      <c r="B605" s="22" t="s">
        <v>167</v>
      </c>
      <c r="C605" s="31" t="n">
        <v>46287</v>
      </c>
      <c r="D605" s="22" t="s">
        <v>300</v>
      </c>
      <c r="E605" s="22" t="s">
        <v>301</v>
      </c>
      <c r="F605" s="29" t="str">
        <f aca="false">IF(COUNTIF(Referral_Data!$C$5:$C$1000,B605)&gt;0,"Referred",IF(COUNTIF(Referral_Data!$B$5:$B$1000,B605)&gt;0,"Referrer","Organic"))</f>
        <v>Referrer</v>
      </c>
      <c r="G605" s="29" t="n">
        <f aca="false">IF(COUNTIFS($B$5:B605,B605,$C$5:C605,C605)=1,1,0)</f>
        <v>0</v>
      </c>
      <c r="H605" s="29" t="n">
        <f aca="false">IF(AND(G605=1,COUNTIFS($B$5:$B$1635,B605,$C$5:$C$1635,"&lt;"&amp;C605)&gt;0),1,0)</f>
        <v>0</v>
      </c>
      <c r="I605" s="29" t="n">
        <f aca="false">IF(AND(D605="Feature Use",COUNTIFS($B$5:B605,B605,$D$5:D605,"Feature Use",$E$5:E605,E605)=1),1,0)</f>
        <v>0</v>
      </c>
      <c r="J605" s="29" t="n">
        <f aca="false">IF(AND(D605="Feature Use",COUNTIFS($B$5:B605,B605,$D$5:D605,"Feature Use",$E$5:E605,E605)=2),1,0)</f>
        <v>1</v>
      </c>
      <c r="K605" s="29" t="n">
        <f aca="false">IF(COUNTIF($B$5:B605,B605)=1,1,0)</f>
        <v>0</v>
      </c>
      <c r="L605" s="29" t="n">
        <f aca="false">IF(AND(C605&gt;=Settings!$B$5-Settings!$B$8+1,C605&lt;=Settings!$B$5,COUNTIFS($B$5:B605,B605,$C$5:C605,"&gt;="&amp;(Settings!$B$5-Settings!$B$8+1),$C$5:C605,"&lt;="&amp;Settings!$B$5)=1),1,0)</f>
        <v>0</v>
      </c>
      <c r="M605" s="29" t="n">
        <f aca="false">IF(AND(C605&gt;=Settings!$B$5-Settings!$B$9+1,C605&lt;=Settings!$B$5,COUNTIFS($B$5:B605,B605,$C$5:C605,"&gt;="&amp;(Settings!$B$5-Settings!$B$9+1),$C$5:C605,"&lt;="&amp;Settings!$B$5)=1),1,0)</f>
        <v>0</v>
      </c>
      <c r="N605" s="29" t="n">
        <f aca="false">IF(AND(D605="Feature Use",COUNTIFS($B$5:B605,B605,$D$5:D605,"Feature Use")=1),1,0)</f>
        <v>0</v>
      </c>
    </row>
    <row r="606" customFormat="false" ht="15" hidden="false" customHeight="false" outlineLevel="0" collapsed="false">
      <c r="A606" s="22" t="s">
        <v>913</v>
      </c>
      <c r="B606" s="22" t="s">
        <v>167</v>
      </c>
      <c r="C606" s="31" t="n">
        <v>46287</v>
      </c>
      <c r="D606" s="22" t="s">
        <v>300</v>
      </c>
      <c r="E606" s="22" t="s">
        <v>309</v>
      </c>
      <c r="F606" s="29" t="str">
        <f aca="false">IF(COUNTIF(Referral_Data!$C$5:$C$1000,B606)&gt;0,"Referred",IF(COUNTIF(Referral_Data!$B$5:$B$1000,B606)&gt;0,"Referrer","Organic"))</f>
        <v>Referrer</v>
      </c>
      <c r="G606" s="29" t="n">
        <f aca="false">IF(COUNTIFS($B$5:B606,B606,$C$5:C606,C606)=1,1,0)</f>
        <v>0</v>
      </c>
      <c r="H606" s="29" t="n">
        <f aca="false">IF(AND(G606=1,COUNTIFS($B$5:$B$1635,B606,$C$5:$C$1635,"&lt;"&amp;C606)&gt;0),1,0)</f>
        <v>0</v>
      </c>
      <c r="I606" s="29" t="n">
        <f aca="false">IF(AND(D606="Feature Use",COUNTIFS($B$5:B606,B606,$D$5:D606,"Feature Use",$E$5:E606,E606)=1),1,0)</f>
        <v>0</v>
      </c>
      <c r="J606" s="29" t="n">
        <f aca="false">IF(AND(D606="Feature Use",COUNTIFS($B$5:B606,B606,$D$5:D606,"Feature Use",$E$5:E606,E606)=2),1,0)</f>
        <v>1</v>
      </c>
      <c r="K606" s="29" t="n">
        <f aca="false">IF(COUNTIF($B$5:B606,B606)=1,1,0)</f>
        <v>0</v>
      </c>
      <c r="L606" s="29" t="n">
        <f aca="false">IF(AND(C606&gt;=Settings!$B$5-Settings!$B$8+1,C606&lt;=Settings!$B$5,COUNTIFS($B$5:B606,B606,$C$5:C606,"&gt;="&amp;(Settings!$B$5-Settings!$B$8+1),$C$5:C606,"&lt;="&amp;Settings!$B$5)=1),1,0)</f>
        <v>0</v>
      </c>
      <c r="M606" s="29" t="n">
        <f aca="false">IF(AND(C606&gt;=Settings!$B$5-Settings!$B$9+1,C606&lt;=Settings!$B$5,COUNTIFS($B$5:B606,B606,$C$5:C606,"&gt;="&amp;(Settings!$B$5-Settings!$B$9+1),$C$5:C606,"&lt;="&amp;Settings!$B$5)=1),1,0)</f>
        <v>0</v>
      </c>
      <c r="N606" s="29" t="n">
        <f aca="false">IF(AND(D606="Feature Use",COUNTIFS($B$5:B606,B606,$D$5:D606,"Feature Use")=1),1,0)</f>
        <v>0</v>
      </c>
    </row>
    <row r="607" customFormat="false" ht="15" hidden="false" customHeight="false" outlineLevel="0" collapsed="false">
      <c r="A607" s="22" t="s">
        <v>914</v>
      </c>
      <c r="B607" s="22" t="s">
        <v>196</v>
      </c>
      <c r="C607" s="31" t="n">
        <v>46287</v>
      </c>
      <c r="D607" s="22" t="s">
        <v>297</v>
      </c>
      <c r="E607" s="22" t="s">
        <v>298</v>
      </c>
      <c r="F607" s="29" t="str">
        <f aca="false">IF(COUNTIF(Referral_Data!$C$5:$C$1000,B607)&gt;0,"Referred",IF(COUNTIF(Referral_Data!$B$5:$B$1000,B607)&gt;0,"Referrer","Organic"))</f>
        <v>Referrer</v>
      </c>
      <c r="G607" s="29" t="n">
        <f aca="false">IF(COUNTIFS($B$5:B607,B607,$C$5:C607,C607)=1,1,0)</f>
        <v>1</v>
      </c>
      <c r="H607" s="29" t="n">
        <f aca="false">IF(AND(G607=1,COUNTIFS($B$5:$B$1635,B607,$C$5:$C$1635,"&lt;"&amp;C607)&gt;0),1,0)</f>
        <v>1</v>
      </c>
      <c r="I607" s="29" t="n">
        <f aca="false">IF(AND(D607="Feature Use",COUNTIFS($B$5:B607,B607,$D$5:D607,"Feature Use",$E$5:E607,E607)=1),1,0)</f>
        <v>0</v>
      </c>
      <c r="J607" s="29" t="n">
        <f aca="false">IF(AND(D607="Feature Use",COUNTIFS($B$5:B607,B607,$D$5:D607,"Feature Use",$E$5:E607,E607)=2),1,0)</f>
        <v>0</v>
      </c>
      <c r="K607" s="29" t="n">
        <f aca="false">IF(COUNTIF($B$5:B607,B607)=1,1,0)</f>
        <v>0</v>
      </c>
      <c r="L607" s="29" t="n">
        <f aca="false">IF(AND(C607&gt;=Settings!$B$5-Settings!$B$8+1,C607&lt;=Settings!$B$5,COUNTIFS($B$5:B607,B607,$C$5:C607,"&gt;="&amp;(Settings!$B$5-Settings!$B$8+1),$C$5:C607,"&lt;="&amp;Settings!$B$5)=1),1,0)</f>
        <v>0</v>
      </c>
      <c r="M607" s="29" t="n">
        <f aca="false">IF(AND(C607&gt;=Settings!$B$5-Settings!$B$9+1,C607&lt;=Settings!$B$5,COUNTIFS($B$5:B607,B607,$C$5:C607,"&gt;="&amp;(Settings!$B$5-Settings!$B$9+1),$C$5:C607,"&lt;="&amp;Settings!$B$5)=1),1,0)</f>
        <v>0</v>
      </c>
      <c r="N607" s="29" t="n">
        <f aca="false">IF(AND(D607="Feature Use",COUNTIFS($B$5:B607,B607,$D$5:D607,"Feature Use")=1),1,0)</f>
        <v>0</v>
      </c>
    </row>
    <row r="608" customFormat="false" ht="15" hidden="false" customHeight="false" outlineLevel="0" collapsed="false">
      <c r="A608" s="22" t="s">
        <v>915</v>
      </c>
      <c r="B608" s="22" t="s">
        <v>196</v>
      </c>
      <c r="C608" s="31" t="n">
        <v>46287</v>
      </c>
      <c r="D608" s="22" t="s">
        <v>300</v>
      </c>
      <c r="E608" s="22" t="s">
        <v>311</v>
      </c>
      <c r="F608" s="29" t="str">
        <f aca="false">IF(COUNTIF(Referral_Data!$C$5:$C$1000,B608)&gt;0,"Referred",IF(COUNTIF(Referral_Data!$B$5:$B$1000,B608)&gt;0,"Referrer","Organic"))</f>
        <v>Referrer</v>
      </c>
      <c r="G608" s="29" t="n">
        <f aca="false">IF(COUNTIFS($B$5:B608,B608,$C$5:C608,C608)=1,1,0)</f>
        <v>0</v>
      </c>
      <c r="H608" s="29" t="n">
        <f aca="false">IF(AND(G608=1,COUNTIFS($B$5:$B$1635,B608,$C$5:$C$1635,"&lt;"&amp;C608)&gt;0),1,0)</f>
        <v>0</v>
      </c>
      <c r="I608" s="29" t="n">
        <f aca="false">IF(AND(D608="Feature Use",COUNTIFS($B$5:B608,B608,$D$5:D608,"Feature Use",$E$5:E608,E608)=1),1,0)</f>
        <v>0</v>
      </c>
      <c r="J608" s="29" t="n">
        <f aca="false">IF(AND(D608="Feature Use",COUNTIFS($B$5:B608,B608,$D$5:D608,"Feature Use",$E$5:E608,E608)=2),1,0)</f>
        <v>0</v>
      </c>
      <c r="K608" s="29" t="n">
        <f aca="false">IF(COUNTIF($B$5:B608,B608)=1,1,0)</f>
        <v>0</v>
      </c>
      <c r="L608" s="29" t="n">
        <f aca="false">IF(AND(C608&gt;=Settings!$B$5-Settings!$B$8+1,C608&lt;=Settings!$B$5,COUNTIFS($B$5:B608,B608,$C$5:C608,"&gt;="&amp;(Settings!$B$5-Settings!$B$8+1),$C$5:C608,"&lt;="&amp;Settings!$B$5)=1),1,0)</f>
        <v>0</v>
      </c>
      <c r="M608" s="29" t="n">
        <f aca="false">IF(AND(C608&gt;=Settings!$B$5-Settings!$B$9+1,C608&lt;=Settings!$B$5,COUNTIFS($B$5:B608,B608,$C$5:C608,"&gt;="&amp;(Settings!$B$5-Settings!$B$9+1),$C$5:C608,"&lt;="&amp;Settings!$B$5)=1),1,0)</f>
        <v>0</v>
      </c>
      <c r="N608" s="29" t="n">
        <f aca="false">IF(AND(D608="Feature Use",COUNTIFS($B$5:B608,B608,$D$5:D608,"Feature Use")=1),1,0)</f>
        <v>0</v>
      </c>
    </row>
    <row r="609" customFormat="false" ht="15" hidden="false" customHeight="false" outlineLevel="0" collapsed="false">
      <c r="A609" s="22" t="s">
        <v>916</v>
      </c>
      <c r="B609" s="22" t="s">
        <v>173</v>
      </c>
      <c r="C609" s="31" t="n">
        <v>46287</v>
      </c>
      <c r="D609" s="22" t="s">
        <v>297</v>
      </c>
      <c r="E609" s="22" t="s">
        <v>298</v>
      </c>
      <c r="F609" s="29" t="str">
        <f aca="false">IF(COUNTIF(Referral_Data!$C$5:$C$1000,B609)&gt;0,"Referred",IF(COUNTIF(Referral_Data!$B$5:$B$1000,B609)&gt;0,"Referrer","Organic"))</f>
        <v>Referrer</v>
      </c>
      <c r="G609" s="29" t="n">
        <f aca="false">IF(COUNTIFS($B$5:B609,B609,$C$5:C609,C609)=1,1,0)</f>
        <v>1</v>
      </c>
      <c r="H609" s="29" t="n">
        <f aca="false">IF(AND(G609=1,COUNTIFS($B$5:$B$1635,B609,$C$5:$C$1635,"&lt;"&amp;C609)&gt;0),1,0)</f>
        <v>1</v>
      </c>
      <c r="I609" s="29" t="n">
        <f aca="false">IF(AND(D609="Feature Use",COUNTIFS($B$5:B609,B609,$D$5:D609,"Feature Use",$E$5:E609,E609)=1),1,0)</f>
        <v>0</v>
      </c>
      <c r="J609" s="29" t="n">
        <f aca="false">IF(AND(D609="Feature Use",COUNTIFS($B$5:B609,B609,$D$5:D609,"Feature Use",$E$5:E609,E609)=2),1,0)</f>
        <v>0</v>
      </c>
      <c r="K609" s="29" t="n">
        <f aca="false">IF(COUNTIF($B$5:B609,B609)=1,1,0)</f>
        <v>0</v>
      </c>
      <c r="L609" s="29" t="n">
        <f aca="false">IF(AND(C609&gt;=Settings!$B$5-Settings!$B$8+1,C609&lt;=Settings!$B$5,COUNTIFS($B$5:B609,B609,$C$5:C609,"&gt;="&amp;(Settings!$B$5-Settings!$B$8+1),$C$5:C609,"&lt;="&amp;Settings!$B$5)=1),1,0)</f>
        <v>0</v>
      </c>
      <c r="M609" s="29" t="n">
        <f aca="false">IF(AND(C609&gt;=Settings!$B$5-Settings!$B$9+1,C609&lt;=Settings!$B$5,COUNTIFS($B$5:B609,B609,$C$5:C609,"&gt;="&amp;(Settings!$B$5-Settings!$B$9+1),$C$5:C609,"&lt;="&amp;Settings!$B$5)=1),1,0)</f>
        <v>0</v>
      </c>
      <c r="N609" s="29" t="n">
        <f aca="false">IF(AND(D609="Feature Use",COUNTIFS($B$5:B609,B609,$D$5:D609,"Feature Use")=1),1,0)</f>
        <v>0</v>
      </c>
    </row>
    <row r="610" customFormat="false" ht="15" hidden="false" customHeight="false" outlineLevel="0" collapsed="false">
      <c r="A610" s="22" t="s">
        <v>917</v>
      </c>
      <c r="B610" s="22" t="s">
        <v>173</v>
      </c>
      <c r="C610" s="31" t="n">
        <v>46287</v>
      </c>
      <c r="D610" s="22" t="s">
        <v>300</v>
      </c>
      <c r="E610" s="22" t="s">
        <v>305</v>
      </c>
      <c r="F610" s="29" t="str">
        <f aca="false">IF(COUNTIF(Referral_Data!$C$5:$C$1000,B610)&gt;0,"Referred",IF(COUNTIF(Referral_Data!$B$5:$B$1000,B610)&gt;0,"Referrer","Organic"))</f>
        <v>Referrer</v>
      </c>
      <c r="G610" s="29" t="n">
        <f aca="false">IF(COUNTIFS($B$5:B610,B610,$C$5:C610,C610)=1,1,0)</f>
        <v>0</v>
      </c>
      <c r="H610" s="29" t="n">
        <f aca="false">IF(AND(G610=1,COUNTIFS($B$5:$B$1635,B610,$C$5:$C$1635,"&lt;"&amp;C610)&gt;0),1,0)</f>
        <v>0</v>
      </c>
      <c r="I610" s="29" t="n">
        <f aca="false">IF(AND(D610="Feature Use",COUNTIFS($B$5:B610,B610,$D$5:D610,"Feature Use",$E$5:E610,E610)=1),1,0)</f>
        <v>0</v>
      </c>
      <c r="J610" s="29" t="n">
        <f aca="false">IF(AND(D610="Feature Use",COUNTIFS($B$5:B610,B610,$D$5:D610,"Feature Use",$E$5:E610,E610)=2),1,0)</f>
        <v>0</v>
      </c>
      <c r="K610" s="29" t="n">
        <f aca="false">IF(COUNTIF($B$5:B610,B610)=1,1,0)</f>
        <v>0</v>
      </c>
      <c r="L610" s="29" t="n">
        <f aca="false">IF(AND(C610&gt;=Settings!$B$5-Settings!$B$8+1,C610&lt;=Settings!$B$5,COUNTIFS($B$5:B610,B610,$C$5:C610,"&gt;="&amp;(Settings!$B$5-Settings!$B$8+1),$C$5:C610,"&lt;="&amp;Settings!$B$5)=1),1,0)</f>
        <v>0</v>
      </c>
      <c r="M610" s="29" t="n">
        <f aca="false">IF(AND(C610&gt;=Settings!$B$5-Settings!$B$9+1,C610&lt;=Settings!$B$5,COUNTIFS($B$5:B610,B610,$C$5:C610,"&gt;="&amp;(Settings!$B$5-Settings!$B$9+1),$C$5:C610,"&lt;="&amp;Settings!$B$5)=1),1,0)</f>
        <v>0</v>
      </c>
      <c r="N610" s="29" t="n">
        <f aca="false">IF(AND(D610="Feature Use",COUNTIFS($B$5:B610,B610,$D$5:D610,"Feature Use")=1),1,0)</f>
        <v>0</v>
      </c>
    </row>
    <row r="611" customFormat="false" ht="15" hidden="false" customHeight="false" outlineLevel="0" collapsed="false">
      <c r="A611" s="22" t="s">
        <v>918</v>
      </c>
      <c r="B611" s="22" t="s">
        <v>173</v>
      </c>
      <c r="C611" s="31" t="n">
        <v>46287</v>
      </c>
      <c r="D611" s="22" t="s">
        <v>300</v>
      </c>
      <c r="E611" s="22" t="s">
        <v>309</v>
      </c>
      <c r="F611" s="29" t="str">
        <f aca="false">IF(COUNTIF(Referral_Data!$C$5:$C$1000,B611)&gt;0,"Referred",IF(COUNTIF(Referral_Data!$B$5:$B$1000,B611)&gt;0,"Referrer","Organic"))</f>
        <v>Referrer</v>
      </c>
      <c r="G611" s="29" t="n">
        <f aca="false">IF(COUNTIFS($B$5:B611,B611,$C$5:C611,C611)=1,1,0)</f>
        <v>0</v>
      </c>
      <c r="H611" s="29" t="n">
        <f aca="false">IF(AND(G611=1,COUNTIFS($B$5:$B$1635,B611,$C$5:$C$1635,"&lt;"&amp;C611)&gt;0),1,0)</f>
        <v>0</v>
      </c>
      <c r="I611" s="29" t="n">
        <f aca="false">IF(AND(D611="Feature Use",COUNTIFS($B$5:B611,B611,$D$5:D611,"Feature Use",$E$5:E611,E611)=1),1,0)</f>
        <v>0</v>
      </c>
      <c r="J611" s="29" t="n">
        <f aca="false">IF(AND(D611="Feature Use",COUNTIFS($B$5:B611,B611,$D$5:D611,"Feature Use",$E$5:E611,E611)=2),1,0)</f>
        <v>1</v>
      </c>
      <c r="K611" s="29" t="n">
        <f aca="false">IF(COUNTIF($B$5:B611,B611)=1,1,0)</f>
        <v>0</v>
      </c>
      <c r="L611" s="29" t="n">
        <f aca="false">IF(AND(C611&gt;=Settings!$B$5-Settings!$B$8+1,C611&lt;=Settings!$B$5,COUNTIFS($B$5:B611,B611,$C$5:C611,"&gt;="&amp;(Settings!$B$5-Settings!$B$8+1),$C$5:C611,"&lt;="&amp;Settings!$B$5)=1),1,0)</f>
        <v>0</v>
      </c>
      <c r="M611" s="29" t="n">
        <f aca="false">IF(AND(C611&gt;=Settings!$B$5-Settings!$B$9+1,C611&lt;=Settings!$B$5,COUNTIFS($B$5:B611,B611,$C$5:C611,"&gt;="&amp;(Settings!$B$5-Settings!$B$9+1),$C$5:C611,"&lt;="&amp;Settings!$B$5)=1),1,0)</f>
        <v>0</v>
      </c>
      <c r="N611" s="29" t="n">
        <f aca="false">IF(AND(D611="Feature Use",COUNTIFS($B$5:B611,B611,$D$5:D611,"Feature Use")=1),1,0)</f>
        <v>0</v>
      </c>
    </row>
    <row r="612" customFormat="false" ht="15" hidden="false" customHeight="false" outlineLevel="0" collapsed="false">
      <c r="A612" s="22" t="s">
        <v>919</v>
      </c>
      <c r="B612" s="22" t="s">
        <v>173</v>
      </c>
      <c r="C612" s="31" t="n">
        <v>46287</v>
      </c>
      <c r="D612" s="22" t="s">
        <v>308</v>
      </c>
      <c r="E612" s="22" t="s">
        <v>301</v>
      </c>
      <c r="F612" s="29" t="str">
        <f aca="false">IF(COUNTIF(Referral_Data!$C$5:$C$1000,B612)&gt;0,"Referred",IF(COUNTIF(Referral_Data!$B$5:$B$1000,B612)&gt;0,"Referrer","Organic"))</f>
        <v>Referrer</v>
      </c>
      <c r="G612" s="29" t="n">
        <f aca="false">IF(COUNTIFS($B$5:B612,B612,$C$5:C612,C612)=1,1,0)</f>
        <v>0</v>
      </c>
      <c r="H612" s="29" t="n">
        <f aca="false">IF(AND(G612=1,COUNTIFS($B$5:$B$1635,B612,$C$5:$C$1635,"&lt;"&amp;C612)&gt;0),1,0)</f>
        <v>0</v>
      </c>
      <c r="I612" s="29" t="n">
        <f aca="false">IF(AND(D612="Feature Use",COUNTIFS($B$5:B612,B612,$D$5:D612,"Feature Use",$E$5:E612,E612)=1),1,0)</f>
        <v>0</v>
      </c>
      <c r="J612" s="29" t="n">
        <f aca="false">IF(AND(D612="Feature Use",COUNTIFS($B$5:B612,B612,$D$5:D612,"Feature Use",$E$5:E612,E612)=2),1,0)</f>
        <v>0</v>
      </c>
      <c r="K612" s="29" t="n">
        <f aca="false">IF(COUNTIF($B$5:B612,B612)=1,1,0)</f>
        <v>0</v>
      </c>
      <c r="L612" s="29" t="n">
        <f aca="false">IF(AND(C612&gt;=Settings!$B$5-Settings!$B$8+1,C612&lt;=Settings!$B$5,COUNTIFS($B$5:B612,B612,$C$5:C612,"&gt;="&amp;(Settings!$B$5-Settings!$B$8+1),$C$5:C612,"&lt;="&amp;Settings!$B$5)=1),1,0)</f>
        <v>0</v>
      </c>
      <c r="M612" s="29" t="n">
        <f aca="false">IF(AND(C612&gt;=Settings!$B$5-Settings!$B$9+1,C612&lt;=Settings!$B$5,COUNTIFS($B$5:B612,B612,$C$5:C612,"&gt;="&amp;(Settings!$B$5-Settings!$B$9+1),$C$5:C612,"&lt;="&amp;Settings!$B$5)=1),1,0)</f>
        <v>0</v>
      </c>
      <c r="N612" s="29" t="n">
        <f aca="false">IF(AND(D612="Feature Use",COUNTIFS($B$5:B612,B612,$D$5:D612,"Feature Use")=1),1,0)</f>
        <v>0</v>
      </c>
    </row>
    <row r="613" customFormat="false" ht="15" hidden="false" customHeight="false" outlineLevel="0" collapsed="false">
      <c r="A613" s="22" t="s">
        <v>920</v>
      </c>
      <c r="B613" s="22" t="s">
        <v>173</v>
      </c>
      <c r="C613" s="31" t="n">
        <v>46287</v>
      </c>
      <c r="D613" s="22" t="s">
        <v>308</v>
      </c>
      <c r="E613" s="22" t="s">
        <v>319</v>
      </c>
      <c r="F613" s="29" t="str">
        <f aca="false">IF(COUNTIF(Referral_Data!$C$5:$C$1000,B613)&gt;0,"Referred",IF(COUNTIF(Referral_Data!$B$5:$B$1000,B613)&gt;0,"Referrer","Organic"))</f>
        <v>Referrer</v>
      </c>
      <c r="G613" s="29" t="n">
        <f aca="false">IF(COUNTIFS($B$5:B613,B613,$C$5:C613,C613)=1,1,0)</f>
        <v>0</v>
      </c>
      <c r="H613" s="29" t="n">
        <f aca="false">IF(AND(G613=1,COUNTIFS($B$5:$B$1635,B613,$C$5:$C$1635,"&lt;"&amp;C613)&gt;0),1,0)</f>
        <v>0</v>
      </c>
      <c r="I613" s="29" t="n">
        <f aca="false">IF(AND(D613="Feature Use",COUNTIFS($B$5:B613,B613,$D$5:D613,"Feature Use",$E$5:E613,E613)=1),1,0)</f>
        <v>0</v>
      </c>
      <c r="J613" s="29" t="n">
        <f aca="false">IF(AND(D613="Feature Use",COUNTIFS($B$5:B613,B613,$D$5:D613,"Feature Use",$E$5:E613,E613)=2),1,0)</f>
        <v>0</v>
      </c>
      <c r="K613" s="29" t="n">
        <f aca="false">IF(COUNTIF($B$5:B613,B613)=1,1,0)</f>
        <v>0</v>
      </c>
      <c r="L613" s="29" t="n">
        <f aca="false">IF(AND(C613&gt;=Settings!$B$5-Settings!$B$8+1,C613&lt;=Settings!$B$5,COUNTIFS($B$5:B613,B613,$C$5:C613,"&gt;="&amp;(Settings!$B$5-Settings!$B$8+1),$C$5:C613,"&lt;="&amp;Settings!$B$5)=1),1,0)</f>
        <v>0</v>
      </c>
      <c r="M613" s="29" t="n">
        <f aca="false">IF(AND(C613&gt;=Settings!$B$5-Settings!$B$9+1,C613&lt;=Settings!$B$5,COUNTIFS($B$5:B613,B613,$C$5:C613,"&gt;="&amp;(Settings!$B$5-Settings!$B$9+1),$C$5:C613,"&lt;="&amp;Settings!$B$5)=1),1,0)</f>
        <v>0</v>
      </c>
      <c r="N613" s="29" t="n">
        <f aca="false">IF(AND(D613="Feature Use",COUNTIFS($B$5:B613,B613,$D$5:D613,"Feature Use")=1),1,0)</f>
        <v>0</v>
      </c>
    </row>
    <row r="614" customFormat="false" ht="15" hidden="false" customHeight="false" outlineLevel="0" collapsed="false">
      <c r="A614" s="22" t="s">
        <v>921</v>
      </c>
      <c r="B614" s="22" t="s">
        <v>208</v>
      </c>
      <c r="C614" s="31" t="n">
        <v>46287</v>
      </c>
      <c r="D614" s="22" t="s">
        <v>297</v>
      </c>
      <c r="E614" s="22" t="s">
        <v>298</v>
      </c>
      <c r="F614" s="29" t="str">
        <f aca="false">IF(COUNTIF(Referral_Data!$C$5:$C$1000,B614)&gt;0,"Referred",IF(COUNTIF(Referral_Data!$B$5:$B$1000,B614)&gt;0,"Referrer","Organic"))</f>
        <v>Referrer</v>
      </c>
      <c r="G614" s="29" t="n">
        <f aca="false">IF(COUNTIFS($B$5:B614,B614,$C$5:C614,C614)=1,1,0)</f>
        <v>1</v>
      </c>
      <c r="H614" s="29" t="n">
        <f aca="false">IF(AND(G614=1,COUNTIFS($B$5:$B$1635,B614,$C$5:$C$1635,"&lt;"&amp;C614)&gt;0),1,0)</f>
        <v>1</v>
      </c>
      <c r="I614" s="29" t="n">
        <f aca="false">IF(AND(D614="Feature Use",COUNTIFS($B$5:B614,B614,$D$5:D614,"Feature Use",$E$5:E614,E614)=1),1,0)</f>
        <v>0</v>
      </c>
      <c r="J614" s="29" t="n">
        <f aca="false">IF(AND(D614="Feature Use",COUNTIFS($B$5:B614,B614,$D$5:D614,"Feature Use",$E$5:E614,E614)=2),1,0)</f>
        <v>0</v>
      </c>
      <c r="K614" s="29" t="n">
        <f aca="false">IF(COUNTIF($B$5:B614,B614)=1,1,0)</f>
        <v>0</v>
      </c>
      <c r="L614" s="29" t="n">
        <f aca="false">IF(AND(C614&gt;=Settings!$B$5-Settings!$B$8+1,C614&lt;=Settings!$B$5,COUNTIFS($B$5:B614,B614,$C$5:C614,"&gt;="&amp;(Settings!$B$5-Settings!$B$8+1),$C$5:C614,"&lt;="&amp;Settings!$B$5)=1),1,0)</f>
        <v>0</v>
      </c>
      <c r="M614" s="29" t="n">
        <f aca="false">IF(AND(C614&gt;=Settings!$B$5-Settings!$B$9+1,C614&lt;=Settings!$B$5,COUNTIFS($B$5:B614,B614,$C$5:C614,"&gt;="&amp;(Settings!$B$5-Settings!$B$9+1),$C$5:C614,"&lt;="&amp;Settings!$B$5)=1),1,0)</f>
        <v>0</v>
      </c>
      <c r="N614" s="29" t="n">
        <f aca="false">IF(AND(D614="Feature Use",COUNTIFS($B$5:B614,B614,$D$5:D614,"Feature Use")=1),1,0)</f>
        <v>0</v>
      </c>
    </row>
    <row r="615" customFormat="false" ht="15" hidden="false" customHeight="false" outlineLevel="0" collapsed="false">
      <c r="A615" s="22" t="s">
        <v>922</v>
      </c>
      <c r="B615" s="22" t="s">
        <v>208</v>
      </c>
      <c r="C615" s="31" t="n">
        <v>46287</v>
      </c>
      <c r="D615" s="22" t="s">
        <v>300</v>
      </c>
      <c r="E615" s="22" t="s">
        <v>305</v>
      </c>
      <c r="F615" s="29" t="str">
        <f aca="false">IF(COUNTIF(Referral_Data!$C$5:$C$1000,B615)&gt;0,"Referred",IF(COUNTIF(Referral_Data!$B$5:$B$1000,B615)&gt;0,"Referrer","Organic"))</f>
        <v>Referrer</v>
      </c>
      <c r="G615" s="29" t="n">
        <f aca="false">IF(COUNTIFS($B$5:B615,B615,$C$5:C615,C615)=1,1,0)</f>
        <v>0</v>
      </c>
      <c r="H615" s="29" t="n">
        <f aca="false">IF(AND(G615=1,COUNTIFS($B$5:$B$1635,B615,$C$5:$C$1635,"&lt;"&amp;C615)&gt;0),1,0)</f>
        <v>0</v>
      </c>
      <c r="I615" s="29" t="n">
        <f aca="false">IF(AND(D615="Feature Use",COUNTIFS($B$5:B615,B615,$D$5:D615,"Feature Use",$E$5:E615,E615)=1),1,0)</f>
        <v>0</v>
      </c>
      <c r="J615" s="29" t="n">
        <f aca="false">IF(AND(D615="Feature Use",COUNTIFS($B$5:B615,B615,$D$5:D615,"Feature Use",$E$5:E615,E615)=2),1,0)</f>
        <v>0</v>
      </c>
      <c r="K615" s="29" t="n">
        <f aca="false">IF(COUNTIF($B$5:B615,B615)=1,1,0)</f>
        <v>0</v>
      </c>
      <c r="L615" s="29" t="n">
        <f aca="false">IF(AND(C615&gt;=Settings!$B$5-Settings!$B$8+1,C615&lt;=Settings!$B$5,COUNTIFS($B$5:B615,B615,$C$5:C615,"&gt;="&amp;(Settings!$B$5-Settings!$B$8+1),$C$5:C615,"&lt;="&amp;Settings!$B$5)=1),1,0)</f>
        <v>0</v>
      </c>
      <c r="M615" s="29" t="n">
        <f aca="false">IF(AND(C615&gt;=Settings!$B$5-Settings!$B$9+1,C615&lt;=Settings!$B$5,COUNTIFS($B$5:B615,B615,$C$5:C615,"&gt;="&amp;(Settings!$B$5-Settings!$B$9+1),$C$5:C615,"&lt;="&amp;Settings!$B$5)=1),1,0)</f>
        <v>0</v>
      </c>
      <c r="N615" s="29" t="n">
        <f aca="false">IF(AND(D615="Feature Use",COUNTIFS($B$5:B615,B615,$D$5:D615,"Feature Use")=1),1,0)</f>
        <v>0</v>
      </c>
    </row>
    <row r="616" customFormat="false" ht="15" hidden="false" customHeight="false" outlineLevel="0" collapsed="false">
      <c r="A616" s="22" t="s">
        <v>923</v>
      </c>
      <c r="B616" s="22" t="s">
        <v>208</v>
      </c>
      <c r="C616" s="31" t="n">
        <v>46287</v>
      </c>
      <c r="D616" s="22" t="s">
        <v>300</v>
      </c>
      <c r="E616" s="22" t="s">
        <v>305</v>
      </c>
      <c r="F616" s="29" t="str">
        <f aca="false">IF(COUNTIF(Referral_Data!$C$5:$C$1000,B616)&gt;0,"Referred",IF(COUNTIF(Referral_Data!$B$5:$B$1000,B616)&gt;0,"Referrer","Organic"))</f>
        <v>Referrer</v>
      </c>
      <c r="G616" s="29" t="n">
        <f aca="false">IF(COUNTIFS($B$5:B616,B616,$C$5:C616,C616)=1,1,0)</f>
        <v>0</v>
      </c>
      <c r="H616" s="29" t="n">
        <f aca="false">IF(AND(G616=1,COUNTIFS($B$5:$B$1635,B616,$C$5:$C$1635,"&lt;"&amp;C616)&gt;0),1,0)</f>
        <v>0</v>
      </c>
      <c r="I616" s="29" t="n">
        <f aca="false">IF(AND(D616="Feature Use",COUNTIFS($B$5:B616,B616,$D$5:D616,"Feature Use",$E$5:E616,E616)=1),1,0)</f>
        <v>0</v>
      </c>
      <c r="J616" s="29" t="n">
        <f aca="false">IF(AND(D616="Feature Use",COUNTIFS($B$5:B616,B616,$D$5:D616,"Feature Use",$E$5:E616,E616)=2),1,0)</f>
        <v>0</v>
      </c>
      <c r="K616" s="29" t="n">
        <f aca="false">IF(COUNTIF($B$5:B616,B616)=1,1,0)</f>
        <v>0</v>
      </c>
      <c r="L616" s="29" t="n">
        <f aca="false">IF(AND(C616&gt;=Settings!$B$5-Settings!$B$8+1,C616&lt;=Settings!$B$5,COUNTIFS($B$5:B616,B616,$C$5:C616,"&gt;="&amp;(Settings!$B$5-Settings!$B$8+1),$C$5:C616,"&lt;="&amp;Settings!$B$5)=1),1,0)</f>
        <v>0</v>
      </c>
      <c r="M616" s="29" t="n">
        <f aca="false">IF(AND(C616&gt;=Settings!$B$5-Settings!$B$9+1,C616&lt;=Settings!$B$5,COUNTIFS($B$5:B616,B616,$C$5:C616,"&gt;="&amp;(Settings!$B$5-Settings!$B$9+1),$C$5:C616,"&lt;="&amp;Settings!$B$5)=1),1,0)</f>
        <v>0</v>
      </c>
      <c r="N616" s="29" t="n">
        <f aca="false">IF(AND(D616="Feature Use",COUNTIFS($B$5:B616,B616,$D$5:D616,"Feature Use")=1),1,0)</f>
        <v>0</v>
      </c>
    </row>
    <row r="617" customFormat="false" ht="15" hidden="false" customHeight="false" outlineLevel="0" collapsed="false">
      <c r="A617" s="22" t="s">
        <v>924</v>
      </c>
      <c r="B617" s="22" t="s">
        <v>183</v>
      </c>
      <c r="C617" s="31" t="n">
        <v>46287</v>
      </c>
      <c r="D617" s="22" t="s">
        <v>297</v>
      </c>
      <c r="E617" s="22" t="s">
        <v>298</v>
      </c>
      <c r="F617" s="29" t="str">
        <f aca="false">IF(COUNTIF(Referral_Data!$C$5:$C$1000,B617)&gt;0,"Referred",IF(COUNTIF(Referral_Data!$B$5:$B$1000,B617)&gt;0,"Referrer","Organic"))</f>
        <v>Referrer</v>
      </c>
      <c r="G617" s="29" t="n">
        <f aca="false">IF(COUNTIFS($B$5:B617,B617,$C$5:C617,C617)=1,1,0)</f>
        <v>1</v>
      </c>
      <c r="H617" s="29" t="n">
        <f aca="false">IF(AND(G617=1,COUNTIFS($B$5:$B$1635,B617,$C$5:$C$1635,"&lt;"&amp;C617)&gt;0),1,0)</f>
        <v>1</v>
      </c>
      <c r="I617" s="29" t="n">
        <f aca="false">IF(AND(D617="Feature Use",COUNTIFS($B$5:B617,B617,$D$5:D617,"Feature Use",$E$5:E617,E617)=1),1,0)</f>
        <v>0</v>
      </c>
      <c r="J617" s="29" t="n">
        <f aca="false">IF(AND(D617="Feature Use",COUNTIFS($B$5:B617,B617,$D$5:D617,"Feature Use",$E$5:E617,E617)=2),1,0)</f>
        <v>0</v>
      </c>
      <c r="K617" s="29" t="n">
        <f aca="false">IF(COUNTIF($B$5:B617,B617)=1,1,0)</f>
        <v>0</v>
      </c>
      <c r="L617" s="29" t="n">
        <f aca="false">IF(AND(C617&gt;=Settings!$B$5-Settings!$B$8+1,C617&lt;=Settings!$B$5,COUNTIFS($B$5:B617,B617,$C$5:C617,"&gt;="&amp;(Settings!$B$5-Settings!$B$8+1),$C$5:C617,"&lt;="&amp;Settings!$B$5)=1),1,0)</f>
        <v>0</v>
      </c>
      <c r="M617" s="29" t="n">
        <f aca="false">IF(AND(C617&gt;=Settings!$B$5-Settings!$B$9+1,C617&lt;=Settings!$B$5,COUNTIFS($B$5:B617,B617,$C$5:C617,"&gt;="&amp;(Settings!$B$5-Settings!$B$9+1),$C$5:C617,"&lt;="&amp;Settings!$B$5)=1),1,0)</f>
        <v>1</v>
      </c>
      <c r="N617" s="29" t="n">
        <f aca="false">IF(AND(D617="Feature Use",COUNTIFS($B$5:B617,B617,$D$5:D617,"Feature Use")=1),1,0)</f>
        <v>0</v>
      </c>
    </row>
    <row r="618" customFormat="false" ht="15" hidden="false" customHeight="false" outlineLevel="0" collapsed="false">
      <c r="A618" s="22" t="s">
        <v>925</v>
      </c>
      <c r="B618" s="22" t="s">
        <v>183</v>
      </c>
      <c r="C618" s="31" t="n">
        <v>46287</v>
      </c>
      <c r="D618" s="22" t="s">
        <v>300</v>
      </c>
      <c r="E618" s="22" t="s">
        <v>305</v>
      </c>
      <c r="F618" s="29" t="str">
        <f aca="false">IF(COUNTIF(Referral_Data!$C$5:$C$1000,B618)&gt;0,"Referred",IF(COUNTIF(Referral_Data!$B$5:$B$1000,B618)&gt;0,"Referrer","Organic"))</f>
        <v>Referrer</v>
      </c>
      <c r="G618" s="29" t="n">
        <f aca="false">IF(COUNTIFS($B$5:B618,B618,$C$5:C618,C618)=1,1,0)</f>
        <v>0</v>
      </c>
      <c r="H618" s="29" t="n">
        <f aca="false">IF(AND(G618=1,COUNTIFS($B$5:$B$1635,B618,$C$5:$C$1635,"&lt;"&amp;C618)&gt;0),1,0)</f>
        <v>0</v>
      </c>
      <c r="I618" s="29" t="n">
        <f aca="false">IF(AND(D618="Feature Use",COUNTIFS($B$5:B618,B618,$D$5:D618,"Feature Use",$E$5:E618,E618)=1),1,0)</f>
        <v>1</v>
      </c>
      <c r="J618" s="29" t="n">
        <f aca="false">IF(AND(D618="Feature Use",COUNTIFS($B$5:B618,B618,$D$5:D618,"Feature Use",$E$5:E618,E618)=2),1,0)</f>
        <v>0</v>
      </c>
      <c r="K618" s="29" t="n">
        <f aca="false">IF(COUNTIF($B$5:B618,B618)=1,1,0)</f>
        <v>0</v>
      </c>
      <c r="L618" s="29" t="n">
        <f aca="false">IF(AND(C618&gt;=Settings!$B$5-Settings!$B$8+1,C618&lt;=Settings!$B$5,COUNTIFS($B$5:B618,B618,$C$5:C618,"&gt;="&amp;(Settings!$B$5-Settings!$B$8+1),$C$5:C618,"&lt;="&amp;Settings!$B$5)=1),1,0)</f>
        <v>0</v>
      </c>
      <c r="M618" s="29" t="n">
        <f aca="false">IF(AND(C618&gt;=Settings!$B$5-Settings!$B$9+1,C618&lt;=Settings!$B$5,COUNTIFS($B$5:B618,B618,$C$5:C618,"&gt;="&amp;(Settings!$B$5-Settings!$B$9+1),$C$5:C618,"&lt;="&amp;Settings!$B$5)=1),1,0)</f>
        <v>0</v>
      </c>
      <c r="N618" s="29" t="n">
        <f aca="false">IF(AND(D618="Feature Use",COUNTIFS($B$5:B618,B618,$D$5:D618,"Feature Use")=1),1,0)</f>
        <v>0</v>
      </c>
    </row>
    <row r="619" customFormat="false" ht="15" hidden="false" customHeight="false" outlineLevel="0" collapsed="false">
      <c r="A619" s="22" t="s">
        <v>926</v>
      </c>
      <c r="B619" s="22" t="s">
        <v>183</v>
      </c>
      <c r="C619" s="31" t="n">
        <v>46287</v>
      </c>
      <c r="D619" s="22" t="s">
        <v>308</v>
      </c>
      <c r="E619" s="22" t="s">
        <v>305</v>
      </c>
      <c r="F619" s="29" t="str">
        <f aca="false">IF(COUNTIF(Referral_Data!$C$5:$C$1000,B619)&gt;0,"Referred",IF(COUNTIF(Referral_Data!$B$5:$B$1000,B619)&gt;0,"Referrer","Organic"))</f>
        <v>Referrer</v>
      </c>
      <c r="G619" s="29" t="n">
        <f aca="false">IF(COUNTIFS($B$5:B619,B619,$C$5:C619,C619)=1,1,0)</f>
        <v>0</v>
      </c>
      <c r="H619" s="29" t="n">
        <f aca="false">IF(AND(G619=1,COUNTIFS($B$5:$B$1635,B619,$C$5:$C$1635,"&lt;"&amp;C619)&gt;0),1,0)</f>
        <v>0</v>
      </c>
      <c r="I619" s="29" t="n">
        <f aca="false">IF(AND(D619="Feature Use",COUNTIFS($B$5:B619,B619,$D$5:D619,"Feature Use",$E$5:E619,E619)=1),1,0)</f>
        <v>0</v>
      </c>
      <c r="J619" s="29" t="n">
        <f aca="false">IF(AND(D619="Feature Use",COUNTIFS($B$5:B619,B619,$D$5:D619,"Feature Use",$E$5:E619,E619)=2),1,0)</f>
        <v>0</v>
      </c>
      <c r="K619" s="29" t="n">
        <f aca="false">IF(COUNTIF($B$5:B619,B619)=1,1,0)</f>
        <v>0</v>
      </c>
      <c r="L619" s="29" t="n">
        <f aca="false">IF(AND(C619&gt;=Settings!$B$5-Settings!$B$8+1,C619&lt;=Settings!$B$5,COUNTIFS($B$5:B619,B619,$C$5:C619,"&gt;="&amp;(Settings!$B$5-Settings!$B$8+1),$C$5:C619,"&lt;="&amp;Settings!$B$5)=1),1,0)</f>
        <v>0</v>
      </c>
      <c r="M619" s="29" t="n">
        <f aca="false">IF(AND(C619&gt;=Settings!$B$5-Settings!$B$9+1,C619&lt;=Settings!$B$5,COUNTIFS($B$5:B619,B619,$C$5:C619,"&gt;="&amp;(Settings!$B$5-Settings!$B$9+1),$C$5:C619,"&lt;="&amp;Settings!$B$5)=1),1,0)</f>
        <v>0</v>
      </c>
      <c r="N619" s="29" t="n">
        <f aca="false">IF(AND(D619="Feature Use",COUNTIFS($B$5:B619,B619,$D$5:D619,"Feature Use")=1),1,0)</f>
        <v>0</v>
      </c>
    </row>
    <row r="620" customFormat="false" ht="15" hidden="false" customHeight="false" outlineLevel="0" collapsed="false">
      <c r="A620" s="22" t="s">
        <v>927</v>
      </c>
      <c r="B620" s="22" t="s">
        <v>175</v>
      </c>
      <c r="C620" s="31" t="n">
        <v>46287</v>
      </c>
      <c r="D620" s="22" t="s">
        <v>297</v>
      </c>
      <c r="E620" s="22" t="s">
        <v>298</v>
      </c>
      <c r="F620" s="29" t="str">
        <f aca="false">IF(COUNTIF(Referral_Data!$C$5:$C$1000,B620)&gt;0,"Referred",IF(COUNTIF(Referral_Data!$B$5:$B$1000,B620)&gt;0,"Referrer","Organic"))</f>
        <v>Referrer</v>
      </c>
      <c r="G620" s="29" t="n">
        <f aca="false">IF(COUNTIFS($B$5:B620,B620,$C$5:C620,C620)=1,1,0)</f>
        <v>1</v>
      </c>
      <c r="H620" s="29" t="n">
        <f aca="false">IF(AND(G620=1,COUNTIFS($B$5:$B$1635,B620,$C$5:$C$1635,"&lt;"&amp;C620)&gt;0),1,0)</f>
        <v>1</v>
      </c>
      <c r="I620" s="29" t="n">
        <f aca="false">IF(AND(D620="Feature Use",COUNTIFS($B$5:B620,B620,$D$5:D620,"Feature Use",$E$5:E620,E620)=1),1,0)</f>
        <v>0</v>
      </c>
      <c r="J620" s="29" t="n">
        <f aca="false">IF(AND(D620="Feature Use",COUNTIFS($B$5:B620,B620,$D$5:D620,"Feature Use",$E$5:E620,E620)=2),1,0)</f>
        <v>0</v>
      </c>
      <c r="K620" s="29" t="n">
        <f aca="false">IF(COUNTIF($B$5:B620,B620)=1,1,0)</f>
        <v>0</v>
      </c>
      <c r="L620" s="29" t="n">
        <f aca="false">IF(AND(C620&gt;=Settings!$B$5-Settings!$B$8+1,C620&lt;=Settings!$B$5,COUNTIFS($B$5:B620,B620,$C$5:C620,"&gt;="&amp;(Settings!$B$5-Settings!$B$8+1),$C$5:C620,"&lt;="&amp;Settings!$B$5)=1),1,0)</f>
        <v>0</v>
      </c>
      <c r="M620" s="29" t="n">
        <f aca="false">IF(AND(C620&gt;=Settings!$B$5-Settings!$B$9+1,C620&lt;=Settings!$B$5,COUNTIFS($B$5:B620,B620,$C$5:C620,"&gt;="&amp;(Settings!$B$5-Settings!$B$9+1),$C$5:C620,"&lt;="&amp;Settings!$B$5)=1),1,0)</f>
        <v>0</v>
      </c>
      <c r="N620" s="29" t="n">
        <f aca="false">IF(AND(D620="Feature Use",COUNTIFS($B$5:B620,B620,$D$5:D620,"Feature Use")=1),1,0)</f>
        <v>0</v>
      </c>
    </row>
    <row r="621" customFormat="false" ht="15" hidden="false" customHeight="false" outlineLevel="0" collapsed="false">
      <c r="A621" s="22" t="s">
        <v>928</v>
      </c>
      <c r="B621" s="22" t="s">
        <v>175</v>
      </c>
      <c r="C621" s="31" t="n">
        <v>46287</v>
      </c>
      <c r="D621" s="22" t="s">
        <v>300</v>
      </c>
      <c r="E621" s="22" t="s">
        <v>305</v>
      </c>
      <c r="F621" s="29" t="str">
        <f aca="false">IF(COUNTIF(Referral_Data!$C$5:$C$1000,B621)&gt;0,"Referred",IF(COUNTIF(Referral_Data!$B$5:$B$1000,B621)&gt;0,"Referrer","Organic"))</f>
        <v>Referrer</v>
      </c>
      <c r="G621" s="29" t="n">
        <f aca="false">IF(COUNTIFS($B$5:B621,B621,$C$5:C621,C621)=1,1,0)</f>
        <v>0</v>
      </c>
      <c r="H621" s="29" t="n">
        <f aca="false">IF(AND(G621=1,COUNTIFS($B$5:$B$1635,B621,$C$5:$C$1635,"&lt;"&amp;C621)&gt;0),1,0)</f>
        <v>0</v>
      </c>
      <c r="I621" s="29" t="n">
        <f aca="false">IF(AND(D621="Feature Use",COUNTIFS($B$5:B621,B621,$D$5:D621,"Feature Use",$E$5:E621,E621)=1),1,0)</f>
        <v>0</v>
      </c>
      <c r="J621" s="29" t="n">
        <f aca="false">IF(AND(D621="Feature Use",COUNTIFS($B$5:B621,B621,$D$5:D621,"Feature Use",$E$5:E621,E621)=2),1,0)</f>
        <v>0</v>
      </c>
      <c r="K621" s="29" t="n">
        <f aca="false">IF(COUNTIF($B$5:B621,B621)=1,1,0)</f>
        <v>0</v>
      </c>
      <c r="L621" s="29" t="n">
        <f aca="false">IF(AND(C621&gt;=Settings!$B$5-Settings!$B$8+1,C621&lt;=Settings!$B$5,COUNTIFS($B$5:B621,B621,$C$5:C621,"&gt;="&amp;(Settings!$B$5-Settings!$B$8+1),$C$5:C621,"&lt;="&amp;Settings!$B$5)=1),1,0)</f>
        <v>0</v>
      </c>
      <c r="M621" s="29" t="n">
        <f aca="false">IF(AND(C621&gt;=Settings!$B$5-Settings!$B$9+1,C621&lt;=Settings!$B$5,COUNTIFS($B$5:B621,B621,$C$5:C621,"&gt;="&amp;(Settings!$B$5-Settings!$B$9+1),$C$5:C621,"&lt;="&amp;Settings!$B$5)=1),1,0)</f>
        <v>0</v>
      </c>
      <c r="N621" s="29" t="n">
        <f aca="false">IF(AND(D621="Feature Use",COUNTIFS($B$5:B621,B621,$D$5:D621,"Feature Use")=1),1,0)</f>
        <v>0</v>
      </c>
    </row>
    <row r="622" customFormat="false" ht="15" hidden="false" customHeight="false" outlineLevel="0" collapsed="false">
      <c r="A622" s="22" t="s">
        <v>929</v>
      </c>
      <c r="B622" s="22" t="s">
        <v>175</v>
      </c>
      <c r="C622" s="31" t="n">
        <v>46287</v>
      </c>
      <c r="D622" s="22" t="s">
        <v>308</v>
      </c>
      <c r="E622" s="22" t="s">
        <v>305</v>
      </c>
      <c r="F622" s="29" t="str">
        <f aca="false">IF(COUNTIF(Referral_Data!$C$5:$C$1000,B622)&gt;0,"Referred",IF(COUNTIF(Referral_Data!$B$5:$B$1000,B622)&gt;0,"Referrer","Organic"))</f>
        <v>Referrer</v>
      </c>
      <c r="G622" s="29" t="n">
        <f aca="false">IF(COUNTIFS($B$5:B622,B622,$C$5:C622,C622)=1,1,0)</f>
        <v>0</v>
      </c>
      <c r="H622" s="29" t="n">
        <f aca="false">IF(AND(G622=1,COUNTIFS($B$5:$B$1635,B622,$C$5:$C$1635,"&lt;"&amp;C622)&gt;0),1,0)</f>
        <v>0</v>
      </c>
      <c r="I622" s="29" t="n">
        <f aca="false">IF(AND(D622="Feature Use",COUNTIFS($B$5:B622,B622,$D$5:D622,"Feature Use",$E$5:E622,E622)=1),1,0)</f>
        <v>0</v>
      </c>
      <c r="J622" s="29" t="n">
        <f aca="false">IF(AND(D622="Feature Use",COUNTIFS($B$5:B622,B622,$D$5:D622,"Feature Use",$E$5:E622,E622)=2),1,0)</f>
        <v>0</v>
      </c>
      <c r="K622" s="29" t="n">
        <f aca="false">IF(COUNTIF($B$5:B622,B622)=1,1,0)</f>
        <v>0</v>
      </c>
      <c r="L622" s="29" t="n">
        <f aca="false">IF(AND(C622&gt;=Settings!$B$5-Settings!$B$8+1,C622&lt;=Settings!$B$5,COUNTIFS($B$5:B622,B622,$C$5:C622,"&gt;="&amp;(Settings!$B$5-Settings!$B$8+1),$C$5:C622,"&lt;="&amp;Settings!$B$5)=1),1,0)</f>
        <v>0</v>
      </c>
      <c r="M622" s="29" t="n">
        <f aca="false">IF(AND(C622&gt;=Settings!$B$5-Settings!$B$9+1,C622&lt;=Settings!$B$5,COUNTIFS($B$5:B622,B622,$C$5:C622,"&gt;="&amp;(Settings!$B$5-Settings!$B$9+1),$C$5:C622,"&lt;="&amp;Settings!$B$5)=1),1,0)</f>
        <v>0</v>
      </c>
      <c r="N622" s="29" t="n">
        <f aca="false">IF(AND(D622="Feature Use",COUNTIFS($B$5:B622,B622,$D$5:D622,"Feature Use")=1),1,0)</f>
        <v>0</v>
      </c>
    </row>
    <row r="623" customFormat="false" ht="15" hidden="false" customHeight="false" outlineLevel="0" collapsed="false">
      <c r="A623" s="22" t="s">
        <v>930</v>
      </c>
      <c r="B623" s="22" t="s">
        <v>427</v>
      </c>
      <c r="C623" s="31" t="n">
        <v>46288</v>
      </c>
      <c r="D623" s="22" t="s">
        <v>297</v>
      </c>
      <c r="E623" s="22" t="s">
        <v>298</v>
      </c>
      <c r="F623" s="29" t="str">
        <f aca="false">IF(COUNTIF(Referral_Data!$C$5:$C$1000,B623)&gt;0,"Referred",IF(COUNTIF(Referral_Data!$B$5:$B$1000,B623)&gt;0,"Referrer","Organic"))</f>
        <v>Organic</v>
      </c>
      <c r="G623" s="29" t="n">
        <f aca="false">IF(COUNTIFS($B$5:B623,B623,$C$5:C623,C623)=1,1,0)</f>
        <v>1</v>
      </c>
      <c r="H623" s="29" t="n">
        <f aca="false">IF(AND(G623=1,COUNTIFS($B$5:$B$1635,B623,$C$5:$C$1635,"&lt;"&amp;C623)&gt;0),1,0)</f>
        <v>1</v>
      </c>
      <c r="I623" s="29" t="n">
        <f aca="false">IF(AND(D623="Feature Use",COUNTIFS($B$5:B623,B623,$D$5:D623,"Feature Use",$E$5:E623,E623)=1),1,0)</f>
        <v>0</v>
      </c>
      <c r="J623" s="29" t="n">
        <f aca="false">IF(AND(D623="Feature Use",COUNTIFS($B$5:B623,B623,$D$5:D623,"Feature Use",$E$5:E623,E623)=2),1,0)</f>
        <v>0</v>
      </c>
      <c r="K623" s="29" t="n">
        <f aca="false">IF(COUNTIF($B$5:B623,B623)=1,1,0)</f>
        <v>0</v>
      </c>
      <c r="L623" s="29" t="n">
        <f aca="false">IF(AND(C623&gt;=Settings!$B$5-Settings!$B$8+1,C623&lt;=Settings!$B$5,COUNTIFS($B$5:B623,B623,$C$5:C623,"&gt;="&amp;(Settings!$B$5-Settings!$B$8+1),$C$5:C623,"&lt;="&amp;Settings!$B$5)=1),1,0)</f>
        <v>0</v>
      </c>
      <c r="M623" s="29" t="n">
        <f aca="false">IF(AND(C623&gt;=Settings!$B$5-Settings!$B$9+1,C623&lt;=Settings!$B$5,COUNTIFS($B$5:B623,B623,$C$5:C623,"&gt;="&amp;(Settings!$B$5-Settings!$B$9+1),$C$5:C623,"&lt;="&amp;Settings!$B$5)=1),1,0)</f>
        <v>1</v>
      </c>
      <c r="N623" s="29" t="n">
        <f aca="false">IF(AND(D623="Feature Use",COUNTIFS($B$5:B623,B623,$D$5:D623,"Feature Use")=1),1,0)</f>
        <v>0</v>
      </c>
    </row>
    <row r="624" customFormat="false" ht="15" hidden="false" customHeight="false" outlineLevel="0" collapsed="false">
      <c r="A624" s="22" t="s">
        <v>931</v>
      </c>
      <c r="B624" s="22" t="s">
        <v>427</v>
      </c>
      <c r="C624" s="31" t="n">
        <v>46288</v>
      </c>
      <c r="D624" s="22" t="s">
        <v>300</v>
      </c>
      <c r="E624" s="22" t="s">
        <v>305</v>
      </c>
      <c r="F624" s="29" t="str">
        <f aca="false">IF(COUNTIF(Referral_Data!$C$5:$C$1000,B624)&gt;0,"Referred",IF(COUNTIF(Referral_Data!$B$5:$B$1000,B624)&gt;0,"Referrer","Organic"))</f>
        <v>Organic</v>
      </c>
      <c r="G624" s="29" t="n">
        <f aca="false">IF(COUNTIFS($B$5:B624,B624,$C$5:C624,C624)=1,1,0)</f>
        <v>0</v>
      </c>
      <c r="H624" s="29" t="n">
        <f aca="false">IF(AND(G624=1,COUNTIFS($B$5:$B$1635,B624,$C$5:$C$1635,"&lt;"&amp;C624)&gt;0),1,0)</f>
        <v>0</v>
      </c>
      <c r="I624" s="29" t="n">
        <f aca="false">IF(AND(D624="Feature Use",COUNTIFS($B$5:B624,B624,$D$5:D624,"Feature Use",$E$5:E624,E624)=1),1,0)</f>
        <v>0</v>
      </c>
      <c r="J624" s="29" t="n">
        <f aca="false">IF(AND(D624="Feature Use",COUNTIFS($B$5:B624,B624,$D$5:D624,"Feature Use",$E$5:E624,E624)=2),1,0)</f>
        <v>1</v>
      </c>
      <c r="K624" s="29" t="n">
        <f aca="false">IF(COUNTIF($B$5:B624,B624)=1,1,0)</f>
        <v>0</v>
      </c>
      <c r="L624" s="29" t="n">
        <f aca="false">IF(AND(C624&gt;=Settings!$B$5-Settings!$B$8+1,C624&lt;=Settings!$B$5,COUNTIFS($B$5:B624,B624,$C$5:C624,"&gt;="&amp;(Settings!$B$5-Settings!$B$8+1),$C$5:C624,"&lt;="&amp;Settings!$B$5)=1),1,0)</f>
        <v>0</v>
      </c>
      <c r="M624" s="29" t="n">
        <f aca="false">IF(AND(C624&gt;=Settings!$B$5-Settings!$B$9+1,C624&lt;=Settings!$B$5,COUNTIFS($B$5:B624,B624,$C$5:C624,"&gt;="&amp;(Settings!$B$5-Settings!$B$9+1),$C$5:C624,"&lt;="&amp;Settings!$B$5)=1),1,0)</f>
        <v>0</v>
      </c>
      <c r="N624" s="29" t="n">
        <f aca="false">IF(AND(D624="Feature Use",COUNTIFS($B$5:B624,B624,$D$5:D624,"Feature Use")=1),1,0)</f>
        <v>0</v>
      </c>
    </row>
    <row r="625" customFormat="false" ht="15" hidden="false" customHeight="false" outlineLevel="0" collapsed="false">
      <c r="A625" s="22" t="s">
        <v>932</v>
      </c>
      <c r="B625" s="22" t="s">
        <v>329</v>
      </c>
      <c r="C625" s="31" t="n">
        <v>46288</v>
      </c>
      <c r="D625" s="22" t="s">
        <v>297</v>
      </c>
      <c r="E625" s="22" t="s">
        <v>298</v>
      </c>
      <c r="F625" s="29" t="str">
        <f aca="false">IF(COUNTIF(Referral_Data!$C$5:$C$1000,B625)&gt;0,"Referred",IF(COUNTIF(Referral_Data!$B$5:$B$1000,B625)&gt;0,"Referrer","Organic"))</f>
        <v>Organic</v>
      </c>
      <c r="G625" s="29" t="n">
        <f aca="false">IF(COUNTIFS($B$5:B625,B625,$C$5:C625,C625)=1,1,0)</f>
        <v>1</v>
      </c>
      <c r="H625" s="29" t="n">
        <f aca="false">IF(AND(G625=1,COUNTIFS($B$5:$B$1635,B625,$C$5:$C$1635,"&lt;"&amp;C625)&gt;0),1,0)</f>
        <v>1</v>
      </c>
      <c r="I625" s="29" t="n">
        <f aca="false">IF(AND(D625="Feature Use",COUNTIFS($B$5:B625,B625,$D$5:D625,"Feature Use",$E$5:E625,E625)=1),1,0)</f>
        <v>0</v>
      </c>
      <c r="J625" s="29" t="n">
        <f aca="false">IF(AND(D625="Feature Use",COUNTIFS($B$5:B625,B625,$D$5:D625,"Feature Use",$E$5:E625,E625)=2),1,0)</f>
        <v>0</v>
      </c>
      <c r="K625" s="29" t="n">
        <f aca="false">IF(COUNTIF($B$5:B625,B625)=1,1,0)</f>
        <v>0</v>
      </c>
      <c r="L625" s="29" t="n">
        <f aca="false">IF(AND(C625&gt;=Settings!$B$5-Settings!$B$8+1,C625&lt;=Settings!$B$5,COUNTIFS($B$5:B625,B625,$C$5:C625,"&gt;="&amp;(Settings!$B$5-Settings!$B$8+1),$C$5:C625,"&lt;="&amp;Settings!$B$5)=1),1,0)</f>
        <v>0</v>
      </c>
      <c r="M625" s="29" t="n">
        <f aca="false">IF(AND(C625&gt;=Settings!$B$5-Settings!$B$9+1,C625&lt;=Settings!$B$5,COUNTIFS($B$5:B625,B625,$C$5:C625,"&gt;="&amp;(Settings!$B$5-Settings!$B$9+1),$C$5:C625,"&lt;="&amp;Settings!$B$5)=1),1,0)</f>
        <v>0</v>
      </c>
      <c r="N625" s="29" t="n">
        <f aca="false">IF(AND(D625="Feature Use",COUNTIFS($B$5:B625,B625,$D$5:D625,"Feature Use")=1),1,0)</f>
        <v>0</v>
      </c>
    </row>
    <row r="626" customFormat="false" ht="15" hidden="false" customHeight="false" outlineLevel="0" collapsed="false">
      <c r="A626" s="22" t="s">
        <v>933</v>
      </c>
      <c r="B626" s="22" t="s">
        <v>329</v>
      </c>
      <c r="C626" s="31" t="n">
        <v>46288</v>
      </c>
      <c r="D626" s="22" t="s">
        <v>300</v>
      </c>
      <c r="E626" s="22" t="s">
        <v>305</v>
      </c>
      <c r="F626" s="29" t="str">
        <f aca="false">IF(COUNTIF(Referral_Data!$C$5:$C$1000,B626)&gt;0,"Referred",IF(COUNTIF(Referral_Data!$B$5:$B$1000,B626)&gt;0,"Referrer","Organic"))</f>
        <v>Organic</v>
      </c>
      <c r="G626" s="29" t="n">
        <f aca="false">IF(COUNTIFS($B$5:B626,B626,$C$5:C626,C626)=1,1,0)</f>
        <v>0</v>
      </c>
      <c r="H626" s="29" t="n">
        <f aca="false">IF(AND(G626=1,COUNTIFS($B$5:$B$1635,B626,$C$5:$C$1635,"&lt;"&amp;C626)&gt;0),1,0)</f>
        <v>0</v>
      </c>
      <c r="I626" s="29" t="n">
        <f aca="false">IF(AND(D626="Feature Use",COUNTIFS($B$5:B626,B626,$D$5:D626,"Feature Use",$E$5:E626,E626)=1),1,0)</f>
        <v>0</v>
      </c>
      <c r="J626" s="29" t="n">
        <f aca="false">IF(AND(D626="Feature Use",COUNTIFS($B$5:B626,B626,$D$5:D626,"Feature Use",$E$5:E626,E626)=2),1,0)</f>
        <v>0</v>
      </c>
      <c r="K626" s="29" t="n">
        <f aca="false">IF(COUNTIF($B$5:B626,B626)=1,1,0)</f>
        <v>0</v>
      </c>
      <c r="L626" s="29" t="n">
        <f aca="false">IF(AND(C626&gt;=Settings!$B$5-Settings!$B$8+1,C626&lt;=Settings!$B$5,COUNTIFS($B$5:B626,B626,$C$5:C626,"&gt;="&amp;(Settings!$B$5-Settings!$B$8+1),$C$5:C626,"&lt;="&amp;Settings!$B$5)=1),1,0)</f>
        <v>0</v>
      </c>
      <c r="M626" s="29" t="n">
        <f aca="false">IF(AND(C626&gt;=Settings!$B$5-Settings!$B$9+1,C626&lt;=Settings!$B$5,COUNTIFS($B$5:B626,B626,$C$5:C626,"&gt;="&amp;(Settings!$B$5-Settings!$B$9+1),$C$5:C626,"&lt;="&amp;Settings!$B$5)=1),1,0)</f>
        <v>0</v>
      </c>
      <c r="N626" s="29" t="n">
        <f aca="false">IF(AND(D626="Feature Use",COUNTIFS($B$5:B626,B626,$D$5:D626,"Feature Use")=1),1,0)</f>
        <v>0</v>
      </c>
    </row>
    <row r="627" customFormat="false" ht="15" hidden="false" customHeight="false" outlineLevel="0" collapsed="false">
      <c r="A627" s="22" t="s">
        <v>934</v>
      </c>
      <c r="B627" s="22" t="s">
        <v>329</v>
      </c>
      <c r="C627" s="31" t="n">
        <v>46288</v>
      </c>
      <c r="D627" s="22" t="s">
        <v>300</v>
      </c>
      <c r="E627" s="22" t="s">
        <v>305</v>
      </c>
      <c r="F627" s="29" t="str">
        <f aca="false">IF(COUNTIF(Referral_Data!$C$5:$C$1000,B627)&gt;0,"Referred",IF(COUNTIF(Referral_Data!$B$5:$B$1000,B627)&gt;0,"Referrer","Organic"))</f>
        <v>Organic</v>
      </c>
      <c r="G627" s="29" t="n">
        <f aca="false">IF(COUNTIFS($B$5:B627,B627,$C$5:C627,C627)=1,1,0)</f>
        <v>0</v>
      </c>
      <c r="H627" s="29" t="n">
        <f aca="false">IF(AND(G627=1,COUNTIFS($B$5:$B$1635,B627,$C$5:$C$1635,"&lt;"&amp;C627)&gt;0),1,0)</f>
        <v>0</v>
      </c>
      <c r="I627" s="29" t="n">
        <f aca="false">IF(AND(D627="Feature Use",COUNTIFS($B$5:B627,B627,$D$5:D627,"Feature Use",$E$5:E627,E627)=1),1,0)</f>
        <v>0</v>
      </c>
      <c r="J627" s="29" t="n">
        <f aca="false">IF(AND(D627="Feature Use",COUNTIFS($B$5:B627,B627,$D$5:D627,"Feature Use",$E$5:E627,E627)=2),1,0)</f>
        <v>0</v>
      </c>
      <c r="K627" s="29" t="n">
        <f aca="false">IF(COUNTIF($B$5:B627,B627)=1,1,0)</f>
        <v>0</v>
      </c>
      <c r="L627" s="29" t="n">
        <f aca="false">IF(AND(C627&gt;=Settings!$B$5-Settings!$B$8+1,C627&lt;=Settings!$B$5,COUNTIFS($B$5:B627,B627,$C$5:C627,"&gt;="&amp;(Settings!$B$5-Settings!$B$8+1),$C$5:C627,"&lt;="&amp;Settings!$B$5)=1),1,0)</f>
        <v>0</v>
      </c>
      <c r="M627" s="29" t="n">
        <f aca="false">IF(AND(C627&gt;=Settings!$B$5-Settings!$B$9+1,C627&lt;=Settings!$B$5,COUNTIFS($B$5:B627,B627,$C$5:C627,"&gt;="&amp;(Settings!$B$5-Settings!$B$9+1),$C$5:C627,"&lt;="&amp;Settings!$B$5)=1),1,0)</f>
        <v>0</v>
      </c>
      <c r="N627" s="29" t="n">
        <f aca="false">IF(AND(D627="Feature Use",COUNTIFS($B$5:B627,B627,$D$5:D627,"Feature Use")=1),1,0)</f>
        <v>0</v>
      </c>
    </row>
    <row r="628" customFormat="false" ht="15" hidden="false" customHeight="false" outlineLevel="0" collapsed="false">
      <c r="A628" s="22" t="s">
        <v>935</v>
      </c>
      <c r="B628" s="22" t="s">
        <v>303</v>
      </c>
      <c r="C628" s="31" t="n">
        <v>46288</v>
      </c>
      <c r="D628" s="22" t="s">
        <v>297</v>
      </c>
      <c r="E628" s="22" t="s">
        <v>298</v>
      </c>
      <c r="F628" s="29" t="str">
        <f aca="false">IF(COUNTIF(Referral_Data!$C$5:$C$1000,B628)&gt;0,"Referred",IF(COUNTIF(Referral_Data!$B$5:$B$1000,B628)&gt;0,"Referrer","Organic"))</f>
        <v>Organic</v>
      </c>
      <c r="G628" s="29" t="n">
        <f aca="false">IF(COUNTIFS($B$5:B628,B628,$C$5:C628,C628)=1,1,0)</f>
        <v>1</v>
      </c>
      <c r="H628" s="29" t="n">
        <f aca="false">IF(AND(G628=1,COUNTIFS($B$5:$B$1635,B628,$C$5:$C$1635,"&lt;"&amp;C628)&gt;0),1,0)</f>
        <v>1</v>
      </c>
      <c r="I628" s="29" t="n">
        <f aca="false">IF(AND(D628="Feature Use",COUNTIFS($B$5:B628,B628,$D$5:D628,"Feature Use",$E$5:E628,E628)=1),1,0)</f>
        <v>0</v>
      </c>
      <c r="J628" s="29" t="n">
        <f aca="false">IF(AND(D628="Feature Use",COUNTIFS($B$5:B628,B628,$D$5:D628,"Feature Use",$E$5:E628,E628)=2),1,0)</f>
        <v>0</v>
      </c>
      <c r="K628" s="29" t="n">
        <f aca="false">IF(COUNTIF($B$5:B628,B628)=1,1,0)</f>
        <v>0</v>
      </c>
      <c r="L628" s="29" t="n">
        <f aca="false">IF(AND(C628&gt;=Settings!$B$5-Settings!$B$8+1,C628&lt;=Settings!$B$5,COUNTIFS($B$5:B628,B628,$C$5:C628,"&gt;="&amp;(Settings!$B$5-Settings!$B$8+1),$C$5:C628,"&lt;="&amp;Settings!$B$5)=1),1,0)</f>
        <v>0</v>
      </c>
      <c r="M628" s="29" t="n">
        <f aca="false">IF(AND(C628&gt;=Settings!$B$5-Settings!$B$9+1,C628&lt;=Settings!$B$5,COUNTIFS($B$5:B628,B628,$C$5:C628,"&gt;="&amp;(Settings!$B$5-Settings!$B$9+1),$C$5:C628,"&lt;="&amp;Settings!$B$5)=1),1,0)</f>
        <v>0</v>
      </c>
      <c r="N628" s="29" t="n">
        <f aca="false">IF(AND(D628="Feature Use",COUNTIFS($B$5:B628,B628,$D$5:D628,"Feature Use")=1),1,0)</f>
        <v>0</v>
      </c>
    </row>
    <row r="629" customFormat="false" ht="15" hidden="false" customHeight="false" outlineLevel="0" collapsed="false">
      <c r="A629" s="22" t="s">
        <v>936</v>
      </c>
      <c r="B629" s="22" t="s">
        <v>303</v>
      </c>
      <c r="C629" s="31" t="n">
        <v>46288</v>
      </c>
      <c r="D629" s="22" t="s">
        <v>300</v>
      </c>
      <c r="E629" s="22" t="s">
        <v>311</v>
      </c>
      <c r="F629" s="29" t="str">
        <f aca="false">IF(COUNTIF(Referral_Data!$C$5:$C$1000,B629)&gt;0,"Referred",IF(COUNTIF(Referral_Data!$B$5:$B$1000,B629)&gt;0,"Referrer","Organic"))</f>
        <v>Organic</v>
      </c>
      <c r="G629" s="29" t="n">
        <f aca="false">IF(COUNTIFS($B$5:B629,B629,$C$5:C629,C629)=1,1,0)</f>
        <v>0</v>
      </c>
      <c r="H629" s="29" t="n">
        <f aca="false">IF(AND(G629=1,COUNTIFS($B$5:$B$1635,B629,$C$5:$C$1635,"&lt;"&amp;C629)&gt;0),1,0)</f>
        <v>0</v>
      </c>
      <c r="I629" s="29" t="n">
        <f aca="false">IF(AND(D629="Feature Use",COUNTIFS($B$5:B629,B629,$D$5:D629,"Feature Use",$E$5:E629,E629)=1),1,0)</f>
        <v>0</v>
      </c>
      <c r="J629" s="29" t="n">
        <f aca="false">IF(AND(D629="Feature Use",COUNTIFS($B$5:B629,B629,$D$5:D629,"Feature Use",$E$5:E629,E629)=2),1,0)</f>
        <v>0</v>
      </c>
      <c r="K629" s="29" t="n">
        <f aca="false">IF(COUNTIF($B$5:B629,B629)=1,1,0)</f>
        <v>0</v>
      </c>
      <c r="L629" s="29" t="n">
        <f aca="false">IF(AND(C629&gt;=Settings!$B$5-Settings!$B$8+1,C629&lt;=Settings!$B$5,COUNTIFS($B$5:B629,B629,$C$5:C629,"&gt;="&amp;(Settings!$B$5-Settings!$B$8+1),$C$5:C629,"&lt;="&amp;Settings!$B$5)=1),1,0)</f>
        <v>0</v>
      </c>
      <c r="M629" s="29" t="n">
        <f aca="false">IF(AND(C629&gt;=Settings!$B$5-Settings!$B$9+1,C629&lt;=Settings!$B$5,COUNTIFS($B$5:B629,B629,$C$5:C629,"&gt;="&amp;(Settings!$B$5-Settings!$B$9+1),$C$5:C629,"&lt;="&amp;Settings!$B$5)=1),1,0)</f>
        <v>0</v>
      </c>
      <c r="N629" s="29" t="n">
        <f aca="false">IF(AND(D629="Feature Use",COUNTIFS($B$5:B629,B629,$D$5:D629,"Feature Use")=1),1,0)</f>
        <v>0</v>
      </c>
    </row>
    <row r="630" customFormat="false" ht="15" hidden="false" customHeight="false" outlineLevel="0" collapsed="false">
      <c r="A630" s="22" t="s">
        <v>937</v>
      </c>
      <c r="B630" s="22" t="s">
        <v>303</v>
      </c>
      <c r="C630" s="31" t="n">
        <v>46288</v>
      </c>
      <c r="D630" s="22" t="s">
        <v>308</v>
      </c>
      <c r="E630" s="22" t="s">
        <v>311</v>
      </c>
      <c r="F630" s="29" t="str">
        <f aca="false">IF(COUNTIF(Referral_Data!$C$5:$C$1000,B630)&gt;0,"Referred",IF(COUNTIF(Referral_Data!$B$5:$B$1000,B630)&gt;0,"Referrer","Organic"))</f>
        <v>Organic</v>
      </c>
      <c r="G630" s="29" t="n">
        <f aca="false">IF(COUNTIFS($B$5:B630,B630,$C$5:C630,C630)=1,1,0)</f>
        <v>0</v>
      </c>
      <c r="H630" s="29" t="n">
        <f aca="false">IF(AND(G630=1,COUNTIFS($B$5:$B$1635,B630,$C$5:$C$1635,"&lt;"&amp;C630)&gt;0),1,0)</f>
        <v>0</v>
      </c>
      <c r="I630" s="29" t="n">
        <f aca="false">IF(AND(D630="Feature Use",COUNTIFS($B$5:B630,B630,$D$5:D630,"Feature Use",$E$5:E630,E630)=1),1,0)</f>
        <v>0</v>
      </c>
      <c r="J630" s="29" t="n">
        <f aca="false">IF(AND(D630="Feature Use",COUNTIFS($B$5:B630,B630,$D$5:D630,"Feature Use",$E$5:E630,E630)=2),1,0)</f>
        <v>0</v>
      </c>
      <c r="K630" s="29" t="n">
        <f aca="false">IF(COUNTIF($B$5:B630,B630)=1,1,0)</f>
        <v>0</v>
      </c>
      <c r="L630" s="29" t="n">
        <f aca="false">IF(AND(C630&gt;=Settings!$B$5-Settings!$B$8+1,C630&lt;=Settings!$B$5,COUNTIFS($B$5:B630,B630,$C$5:C630,"&gt;="&amp;(Settings!$B$5-Settings!$B$8+1),$C$5:C630,"&lt;="&amp;Settings!$B$5)=1),1,0)</f>
        <v>0</v>
      </c>
      <c r="M630" s="29" t="n">
        <f aca="false">IF(AND(C630&gt;=Settings!$B$5-Settings!$B$9+1,C630&lt;=Settings!$B$5,COUNTIFS($B$5:B630,B630,$C$5:C630,"&gt;="&amp;(Settings!$B$5-Settings!$B$9+1),$C$5:C630,"&lt;="&amp;Settings!$B$5)=1),1,0)</f>
        <v>0</v>
      </c>
      <c r="N630" s="29" t="n">
        <f aca="false">IF(AND(D630="Feature Use",COUNTIFS($B$5:B630,B630,$D$5:D630,"Feature Use")=1),1,0)</f>
        <v>0</v>
      </c>
    </row>
    <row r="631" customFormat="false" ht="15" hidden="false" customHeight="false" outlineLevel="0" collapsed="false">
      <c r="A631" s="22" t="s">
        <v>938</v>
      </c>
      <c r="B631" s="22" t="s">
        <v>333</v>
      </c>
      <c r="C631" s="31" t="n">
        <v>46288</v>
      </c>
      <c r="D631" s="22" t="s">
        <v>297</v>
      </c>
      <c r="E631" s="22" t="s">
        <v>298</v>
      </c>
      <c r="F631" s="29" t="str">
        <f aca="false">IF(COUNTIF(Referral_Data!$C$5:$C$1000,B631)&gt;0,"Referred",IF(COUNTIF(Referral_Data!$B$5:$B$1000,B631)&gt;0,"Referrer","Organic"))</f>
        <v>Organic</v>
      </c>
      <c r="G631" s="29" t="n">
        <f aca="false">IF(COUNTIFS($B$5:B631,B631,$C$5:C631,C631)=1,1,0)</f>
        <v>1</v>
      </c>
      <c r="H631" s="29" t="n">
        <f aca="false">IF(AND(G631=1,COUNTIFS($B$5:$B$1635,B631,$C$5:$C$1635,"&lt;"&amp;C631)&gt;0),1,0)</f>
        <v>1</v>
      </c>
      <c r="I631" s="29" t="n">
        <f aca="false">IF(AND(D631="Feature Use",COUNTIFS($B$5:B631,B631,$D$5:D631,"Feature Use",$E$5:E631,E631)=1),1,0)</f>
        <v>0</v>
      </c>
      <c r="J631" s="29" t="n">
        <f aca="false">IF(AND(D631="Feature Use",COUNTIFS($B$5:B631,B631,$D$5:D631,"Feature Use",$E$5:E631,E631)=2),1,0)</f>
        <v>0</v>
      </c>
      <c r="K631" s="29" t="n">
        <f aca="false">IF(COUNTIF($B$5:B631,B631)=1,1,0)</f>
        <v>0</v>
      </c>
      <c r="L631" s="29" t="n">
        <f aca="false">IF(AND(C631&gt;=Settings!$B$5-Settings!$B$8+1,C631&lt;=Settings!$B$5,COUNTIFS($B$5:B631,B631,$C$5:C631,"&gt;="&amp;(Settings!$B$5-Settings!$B$8+1),$C$5:C631,"&lt;="&amp;Settings!$B$5)=1),1,0)</f>
        <v>0</v>
      </c>
      <c r="M631" s="29" t="n">
        <f aca="false">IF(AND(C631&gt;=Settings!$B$5-Settings!$B$9+1,C631&lt;=Settings!$B$5,COUNTIFS($B$5:B631,B631,$C$5:C631,"&gt;="&amp;(Settings!$B$5-Settings!$B$9+1),$C$5:C631,"&lt;="&amp;Settings!$B$5)=1),1,0)</f>
        <v>0</v>
      </c>
      <c r="N631" s="29" t="n">
        <f aca="false">IF(AND(D631="Feature Use",COUNTIFS($B$5:B631,B631,$D$5:D631,"Feature Use")=1),1,0)</f>
        <v>0</v>
      </c>
    </row>
    <row r="632" customFormat="false" ht="15" hidden="false" customHeight="false" outlineLevel="0" collapsed="false">
      <c r="A632" s="22" t="s">
        <v>939</v>
      </c>
      <c r="B632" s="22" t="s">
        <v>333</v>
      </c>
      <c r="C632" s="31" t="n">
        <v>46288</v>
      </c>
      <c r="D632" s="22" t="s">
        <v>300</v>
      </c>
      <c r="E632" s="22" t="s">
        <v>309</v>
      </c>
      <c r="F632" s="29" t="str">
        <f aca="false">IF(COUNTIF(Referral_Data!$C$5:$C$1000,B632)&gt;0,"Referred",IF(COUNTIF(Referral_Data!$B$5:$B$1000,B632)&gt;0,"Referrer","Organic"))</f>
        <v>Organic</v>
      </c>
      <c r="G632" s="29" t="n">
        <f aca="false">IF(COUNTIFS($B$5:B632,B632,$C$5:C632,C632)=1,1,0)</f>
        <v>0</v>
      </c>
      <c r="H632" s="29" t="n">
        <f aca="false">IF(AND(G632=1,COUNTIFS($B$5:$B$1635,B632,$C$5:$C$1635,"&lt;"&amp;C632)&gt;0),1,0)</f>
        <v>0</v>
      </c>
      <c r="I632" s="29" t="n">
        <f aca="false">IF(AND(D632="Feature Use",COUNTIFS($B$5:B632,B632,$D$5:D632,"Feature Use",$E$5:E632,E632)=1),1,0)</f>
        <v>1</v>
      </c>
      <c r="J632" s="29" t="n">
        <f aca="false">IF(AND(D632="Feature Use",COUNTIFS($B$5:B632,B632,$D$5:D632,"Feature Use",$E$5:E632,E632)=2),1,0)</f>
        <v>0</v>
      </c>
      <c r="K632" s="29" t="n">
        <f aca="false">IF(COUNTIF($B$5:B632,B632)=1,1,0)</f>
        <v>0</v>
      </c>
      <c r="L632" s="29" t="n">
        <f aca="false">IF(AND(C632&gt;=Settings!$B$5-Settings!$B$8+1,C632&lt;=Settings!$B$5,COUNTIFS($B$5:B632,B632,$C$5:C632,"&gt;="&amp;(Settings!$B$5-Settings!$B$8+1),$C$5:C632,"&lt;="&amp;Settings!$B$5)=1),1,0)</f>
        <v>0</v>
      </c>
      <c r="M632" s="29" t="n">
        <f aca="false">IF(AND(C632&gt;=Settings!$B$5-Settings!$B$9+1,C632&lt;=Settings!$B$5,COUNTIFS($B$5:B632,B632,$C$5:C632,"&gt;="&amp;(Settings!$B$5-Settings!$B$9+1),$C$5:C632,"&lt;="&amp;Settings!$B$5)=1),1,0)</f>
        <v>0</v>
      </c>
      <c r="N632" s="29" t="n">
        <f aca="false">IF(AND(D632="Feature Use",COUNTIFS($B$5:B632,B632,$D$5:D632,"Feature Use")=1),1,0)</f>
        <v>0</v>
      </c>
    </row>
    <row r="633" customFormat="false" ht="15" hidden="false" customHeight="false" outlineLevel="0" collapsed="false">
      <c r="A633" s="22" t="s">
        <v>940</v>
      </c>
      <c r="B633" s="22" t="s">
        <v>333</v>
      </c>
      <c r="C633" s="31" t="n">
        <v>46288</v>
      </c>
      <c r="D633" s="22" t="s">
        <v>300</v>
      </c>
      <c r="E633" s="22" t="s">
        <v>305</v>
      </c>
      <c r="F633" s="29" t="str">
        <f aca="false">IF(COUNTIF(Referral_Data!$C$5:$C$1000,B633)&gt;0,"Referred",IF(COUNTIF(Referral_Data!$B$5:$B$1000,B633)&gt;0,"Referrer","Organic"))</f>
        <v>Organic</v>
      </c>
      <c r="G633" s="29" t="n">
        <f aca="false">IF(COUNTIFS($B$5:B633,B633,$C$5:C633,C633)=1,1,0)</f>
        <v>0</v>
      </c>
      <c r="H633" s="29" t="n">
        <f aca="false">IF(AND(G633=1,COUNTIFS($B$5:$B$1635,B633,$C$5:$C$1635,"&lt;"&amp;C633)&gt;0),1,0)</f>
        <v>0</v>
      </c>
      <c r="I633" s="29" t="n">
        <f aca="false">IF(AND(D633="Feature Use",COUNTIFS($B$5:B633,B633,$D$5:D633,"Feature Use",$E$5:E633,E633)=1),1,0)</f>
        <v>0</v>
      </c>
      <c r="J633" s="29" t="n">
        <f aca="false">IF(AND(D633="Feature Use",COUNTIFS($B$5:B633,B633,$D$5:D633,"Feature Use",$E$5:E633,E633)=2),1,0)</f>
        <v>1</v>
      </c>
      <c r="K633" s="29" t="n">
        <f aca="false">IF(COUNTIF($B$5:B633,B633)=1,1,0)</f>
        <v>0</v>
      </c>
      <c r="L633" s="29" t="n">
        <f aca="false">IF(AND(C633&gt;=Settings!$B$5-Settings!$B$8+1,C633&lt;=Settings!$B$5,COUNTIFS($B$5:B633,B633,$C$5:C633,"&gt;="&amp;(Settings!$B$5-Settings!$B$8+1),$C$5:C633,"&lt;="&amp;Settings!$B$5)=1),1,0)</f>
        <v>0</v>
      </c>
      <c r="M633" s="29" t="n">
        <f aca="false">IF(AND(C633&gt;=Settings!$B$5-Settings!$B$9+1,C633&lt;=Settings!$B$5,COUNTIFS($B$5:B633,B633,$C$5:C633,"&gt;="&amp;(Settings!$B$5-Settings!$B$9+1),$C$5:C633,"&lt;="&amp;Settings!$B$5)=1),1,0)</f>
        <v>0</v>
      </c>
      <c r="N633" s="29" t="n">
        <f aca="false">IF(AND(D633="Feature Use",COUNTIFS($B$5:B633,B633,$D$5:D633,"Feature Use")=1),1,0)</f>
        <v>0</v>
      </c>
    </row>
    <row r="634" customFormat="false" ht="15" hidden="false" customHeight="false" outlineLevel="0" collapsed="false">
      <c r="A634" s="22" t="s">
        <v>941</v>
      </c>
      <c r="B634" s="22" t="s">
        <v>333</v>
      </c>
      <c r="C634" s="31" t="n">
        <v>46288</v>
      </c>
      <c r="D634" s="22" t="s">
        <v>308</v>
      </c>
      <c r="E634" s="22" t="s">
        <v>305</v>
      </c>
      <c r="F634" s="29" t="str">
        <f aca="false">IF(COUNTIF(Referral_Data!$C$5:$C$1000,B634)&gt;0,"Referred",IF(COUNTIF(Referral_Data!$B$5:$B$1000,B634)&gt;0,"Referrer","Organic"))</f>
        <v>Organic</v>
      </c>
      <c r="G634" s="29" t="n">
        <f aca="false">IF(COUNTIFS($B$5:B634,B634,$C$5:C634,C634)=1,1,0)</f>
        <v>0</v>
      </c>
      <c r="H634" s="29" t="n">
        <f aca="false">IF(AND(G634=1,COUNTIFS($B$5:$B$1635,B634,$C$5:$C$1635,"&lt;"&amp;C634)&gt;0),1,0)</f>
        <v>0</v>
      </c>
      <c r="I634" s="29" t="n">
        <f aca="false">IF(AND(D634="Feature Use",COUNTIFS($B$5:B634,B634,$D$5:D634,"Feature Use",$E$5:E634,E634)=1),1,0)</f>
        <v>0</v>
      </c>
      <c r="J634" s="29" t="n">
        <f aca="false">IF(AND(D634="Feature Use",COUNTIFS($B$5:B634,B634,$D$5:D634,"Feature Use",$E$5:E634,E634)=2),1,0)</f>
        <v>0</v>
      </c>
      <c r="K634" s="29" t="n">
        <f aca="false">IF(COUNTIF($B$5:B634,B634)=1,1,0)</f>
        <v>0</v>
      </c>
      <c r="L634" s="29" t="n">
        <f aca="false">IF(AND(C634&gt;=Settings!$B$5-Settings!$B$8+1,C634&lt;=Settings!$B$5,COUNTIFS($B$5:B634,B634,$C$5:C634,"&gt;="&amp;(Settings!$B$5-Settings!$B$8+1),$C$5:C634,"&lt;="&amp;Settings!$B$5)=1),1,0)</f>
        <v>0</v>
      </c>
      <c r="M634" s="29" t="n">
        <f aca="false">IF(AND(C634&gt;=Settings!$B$5-Settings!$B$9+1,C634&lt;=Settings!$B$5,COUNTIFS($B$5:B634,B634,$C$5:C634,"&gt;="&amp;(Settings!$B$5-Settings!$B$9+1),$C$5:C634,"&lt;="&amp;Settings!$B$5)=1),1,0)</f>
        <v>0</v>
      </c>
      <c r="N634" s="29" t="n">
        <f aca="false">IF(AND(D634="Feature Use",COUNTIFS($B$5:B634,B634,$D$5:D634,"Feature Use")=1),1,0)</f>
        <v>0</v>
      </c>
    </row>
    <row r="635" customFormat="false" ht="15" hidden="false" customHeight="false" outlineLevel="0" collapsed="false">
      <c r="A635" s="22" t="s">
        <v>942</v>
      </c>
      <c r="B635" s="22" t="s">
        <v>333</v>
      </c>
      <c r="C635" s="31" t="n">
        <v>46288</v>
      </c>
      <c r="D635" s="22" t="s">
        <v>308</v>
      </c>
      <c r="E635" s="22" t="s">
        <v>301</v>
      </c>
      <c r="F635" s="29" t="str">
        <f aca="false">IF(COUNTIF(Referral_Data!$C$5:$C$1000,B635)&gt;0,"Referred",IF(COUNTIF(Referral_Data!$B$5:$B$1000,B635)&gt;0,"Referrer","Organic"))</f>
        <v>Organic</v>
      </c>
      <c r="G635" s="29" t="n">
        <f aca="false">IF(COUNTIFS($B$5:B635,B635,$C$5:C635,C635)=1,1,0)</f>
        <v>0</v>
      </c>
      <c r="H635" s="29" t="n">
        <f aca="false">IF(AND(G635=1,COUNTIFS($B$5:$B$1635,B635,$C$5:$C$1635,"&lt;"&amp;C635)&gt;0),1,0)</f>
        <v>0</v>
      </c>
      <c r="I635" s="29" t="n">
        <f aca="false">IF(AND(D635="Feature Use",COUNTIFS($B$5:B635,B635,$D$5:D635,"Feature Use",$E$5:E635,E635)=1),1,0)</f>
        <v>0</v>
      </c>
      <c r="J635" s="29" t="n">
        <f aca="false">IF(AND(D635="Feature Use",COUNTIFS($B$5:B635,B635,$D$5:D635,"Feature Use",$E$5:E635,E635)=2),1,0)</f>
        <v>0</v>
      </c>
      <c r="K635" s="29" t="n">
        <f aca="false">IF(COUNTIF($B$5:B635,B635)=1,1,0)</f>
        <v>0</v>
      </c>
      <c r="L635" s="29" t="n">
        <f aca="false">IF(AND(C635&gt;=Settings!$B$5-Settings!$B$8+1,C635&lt;=Settings!$B$5,COUNTIFS($B$5:B635,B635,$C$5:C635,"&gt;="&amp;(Settings!$B$5-Settings!$B$8+1),$C$5:C635,"&lt;="&amp;Settings!$B$5)=1),1,0)</f>
        <v>0</v>
      </c>
      <c r="M635" s="29" t="n">
        <f aca="false">IF(AND(C635&gt;=Settings!$B$5-Settings!$B$9+1,C635&lt;=Settings!$B$5,COUNTIFS($B$5:B635,B635,$C$5:C635,"&gt;="&amp;(Settings!$B$5-Settings!$B$9+1),$C$5:C635,"&lt;="&amp;Settings!$B$5)=1),1,0)</f>
        <v>0</v>
      </c>
      <c r="N635" s="29" t="n">
        <f aca="false">IF(AND(D635="Feature Use",COUNTIFS($B$5:B635,B635,$D$5:D635,"Feature Use")=1),1,0)</f>
        <v>0</v>
      </c>
    </row>
    <row r="636" customFormat="false" ht="15" hidden="false" customHeight="false" outlineLevel="0" collapsed="false">
      <c r="A636" s="22" t="s">
        <v>943</v>
      </c>
      <c r="B636" s="22" t="s">
        <v>530</v>
      </c>
      <c r="C636" s="31" t="n">
        <v>46288</v>
      </c>
      <c r="D636" s="22" t="s">
        <v>297</v>
      </c>
      <c r="E636" s="22" t="s">
        <v>298</v>
      </c>
      <c r="F636" s="29" t="str">
        <f aca="false">IF(COUNTIF(Referral_Data!$C$5:$C$1000,B636)&gt;0,"Referred",IF(COUNTIF(Referral_Data!$B$5:$B$1000,B636)&gt;0,"Referrer","Organic"))</f>
        <v>Organic</v>
      </c>
      <c r="G636" s="29" t="n">
        <f aca="false">IF(COUNTIFS($B$5:B636,B636,$C$5:C636,C636)=1,1,0)</f>
        <v>1</v>
      </c>
      <c r="H636" s="29" t="n">
        <f aca="false">IF(AND(G636=1,COUNTIFS($B$5:$B$1635,B636,$C$5:$C$1635,"&lt;"&amp;C636)&gt;0),1,0)</f>
        <v>1</v>
      </c>
      <c r="I636" s="29" t="n">
        <f aca="false">IF(AND(D636="Feature Use",COUNTIFS($B$5:B636,B636,$D$5:D636,"Feature Use",$E$5:E636,E636)=1),1,0)</f>
        <v>0</v>
      </c>
      <c r="J636" s="29" t="n">
        <f aca="false">IF(AND(D636="Feature Use",COUNTIFS($B$5:B636,B636,$D$5:D636,"Feature Use",$E$5:E636,E636)=2),1,0)</f>
        <v>0</v>
      </c>
      <c r="K636" s="29" t="n">
        <f aca="false">IF(COUNTIF($B$5:B636,B636)=1,1,0)</f>
        <v>0</v>
      </c>
      <c r="L636" s="29" t="n">
        <f aca="false">IF(AND(C636&gt;=Settings!$B$5-Settings!$B$8+1,C636&lt;=Settings!$B$5,COUNTIFS($B$5:B636,B636,$C$5:C636,"&gt;="&amp;(Settings!$B$5-Settings!$B$8+1),$C$5:C636,"&lt;="&amp;Settings!$B$5)=1),1,0)</f>
        <v>0</v>
      </c>
      <c r="M636" s="29" t="n">
        <f aca="false">IF(AND(C636&gt;=Settings!$B$5-Settings!$B$9+1,C636&lt;=Settings!$B$5,COUNTIFS($B$5:B636,B636,$C$5:C636,"&gt;="&amp;(Settings!$B$5-Settings!$B$9+1),$C$5:C636,"&lt;="&amp;Settings!$B$5)=1),1,0)</f>
        <v>0</v>
      </c>
      <c r="N636" s="29" t="n">
        <f aca="false">IF(AND(D636="Feature Use",COUNTIFS($B$5:B636,B636,$D$5:D636,"Feature Use")=1),1,0)</f>
        <v>0</v>
      </c>
    </row>
    <row r="637" customFormat="false" ht="15" hidden="false" customHeight="false" outlineLevel="0" collapsed="false">
      <c r="A637" s="22" t="s">
        <v>944</v>
      </c>
      <c r="B637" s="22" t="s">
        <v>530</v>
      </c>
      <c r="C637" s="31" t="n">
        <v>46288</v>
      </c>
      <c r="D637" s="22" t="s">
        <v>300</v>
      </c>
      <c r="E637" s="22" t="s">
        <v>305</v>
      </c>
      <c r="F637" s="29" t="str">
        <f aca="false">IF(COUNTIF(Referral_Data!$C$5:$C$1000,B637)&gt;0,"Referred",IF(COUNTIF(Referral_Data!$B$5:$B$1000,B637)&gt;0,"Referrer","Organic"))</f>
        <v>Organic</v>
      </c>
      <c r="G637" s="29" t="n">
        <f aca="false">IF(COUNTIFS($B$5:B637,B637,$C$5:C637,C637)=1,1,0)</f>
        <v>0</v>
      </c>
      <c r="H637" s="29" t="n">
        <f aca="false">IF(AND(G637=1,COUNTIFS($B$5:$B$1635,B637,$C$5:$C$1635,"&lt;"&amp;C637)&gt;0),1,0)</f>
        <v>0</v>
      </c>
      <c r="I637" s="29" t="n">
        <f aca="false">IF(AND(D637="Feature Use",COUNTIFS($B$5:B637,B637,$D$5:D637,"Feature Use",$E$5:E637,E637)=1),1,0)</f>
        <v>0</v>
      </c>
      <c r="J637" s="29" t="n">
        <f aca="false">IF(AND(D637="Feature Use",COUNTIFS($B$5:B637,B637,$D$5:D637,"Feature Use",$E$5:E637,E637)=2),1,0)</f>
        <v>0</v>
      </c>
      <c r="K637" s="29" t="n">
        <f aca="false">IF(COUNTIF($B$5:B637,B637)=1,1,0)</f>
        <v>0</v>
      </c>
      <c r="L637" s="29" t="n">
        <f aca="false">IF(AND(C637&gt;=Settings!$B$5-Settings!$B$8+1,C637&lt;=Settings!$B$5,COUNTIFS($B$5:B637,B637,$C$5:C637,"&gt;="&amp;(Settings!$B$5-Settings!$B$8+1),$C$5:C637,"&lt;="&amp;Settings!$B$5)=1),1,0)</f>
        <v>0</v>
      </c>
      <c r="M637" s="29" t="n">
        <f aca="false">IF(AND(C637&gt;=Settings!$B$5-Settings!$B$9+1,C637&lt;=Settings!$B$5,COUNTIFS($B$5:B637,B637,$C$5:C637,"&gt;="&amp;(Settings!$B$5-Settings!$B$9+1),$C$5:C637,"&lt;="&amp;Settings!$B$5)=1),1,0)</f>
        <v>0</v>
      </c>
      <c r="N637" s="29" t="n">
        <f aca="false">IF(AND(D637="Feature Use",COUNTIFS($B$5:B637,B637,$D$5:D637,"Feature Use")=1),1,0)</f>
        <v>0</v>
      </c>
    </row>
    <row r="638" customFormat="false" ht="15" hidden="false" customHeight="false" outlineLevel="0" collapsed="false">
      <c r="A638" s="22" t="s">
        <v>945</v>
      </c>
      <c r="B638" s="22" t="s">
        <v>530</v>
      </c>
      <c r="C638" s="31" t="n">
        <v>46288</v>
      </c>
      <c r="D638" s="22" t="s">
        <v>300</v>
      </c>
      <c r="E638" s="22" t="s">
        <v>311</v>
      </c>
      <c r="F638" s="29" t="str">
        <f aca="false">IF(COUNTIF(Referral_Data!$C$5:$C$1000,B638)&gt;0,"Referred",IF(COUNTIF(Referral_Data!$B$5:$B$1000,B638)&gt;0,"Referrer","Organic"))</f>
        <v>Organic</v>
      </c>
      <c r="G638" s="29" t="n">
        <f aca="false">IF(COUNTIFS($B$5:B638,B638,$C$5:C638,C638)=1,1,0)</f>
        <v>0</v>
      </c>
      <c r="H638" s="29" t="n">
        <f aca="false">IF(AND(G638=1,COUNTIFS($B$5:$B$1635,B638,$C$5:$C$1635,"&lt;"&amp;C638)&gt;0),1,0)</f>
        <v>0</v>
      </c>
      <c r="I638" s="29" t="n">
        <f aca="false">IF(AND(D638="Feature Use",COUNTIFS($B$5:B638,B638,$D$5:D638,"Feature Use",$E$5:E638,E638)=1),1,0)</f>
        <v>0</v>
      </c>
      <c r="J638" s="29" t="n">
        <f aca="false">IF(AND(D638="Feature Use",COUNTIFS($B$5:B638,B638,$D$5:D638,"Feature Use",$E$5:E638,E638)=2),1,0)</f>
        <v>0</v>
      </c>
      <c r="K638" s="29" t="n">
        <f aca="false">IF(COUNTIF($B$5:B638,B638)=1,1,0)</f>
        <v>0</v>
      </c>
      <c r="L638" s="29" t="n">
        <f aca="false">IF(AND(C638&gt;=Settings!$B$5-Settings!$B$8+1,C638&lt;=Settings!$B$5,COUNTIFS($B$5:B638,B638,$C$5:C638,"&gt;="&amp;(Settings!$B$5-Settings!$B$8+1),$C$5:C638,"&lt;="&amp;Settings!$B$5)=1),1,0)</f>
        <v>0</v>
      </c>
      <c r="M638" s="29" t="n">
        <f aca="false">IF(AND(C638&gt;=Settings!$B$5-Settings!$B$9+1,C638&lt;=Settings!$B$5,COUNTIFS($B$5:B638,B638,$C$5:C638,"&gt;="&amp;(Settings!$B$5-Settings!$B$9+1),$C$5:C638,"&lt;="&amp;Settings!$B$5)=1),1,0)</f>
        <v>0</v>
      </c>
      <c r="N638" s="29" t="n">
        <f aca="false">IF(AND(D638="Feature Use",COUNTIFS($B$5:B638,B638,$D$5:D638,"Feature Use")=1),1,0)</f>
        <v>0</v>
      </c>
    </row>
    <row r="639" customFormat="false" ht="15" hidden="false" customHeight="false" outlineLevel="0" collapsed="false">
      <c r="A639" s="22" t="s">
        <v>946</v>
      </c>
      <c r="B639" s="22" t="s">
        <v>184</v>
      </c>
      <c r="C639" s="31" t="n">
        <v>46288</v>
      </c>
      <c r="D639" s="22" t="s">
        <v>297</v>
      </c>
      <c r="E639" s="22" t="s">
        <v>298</v>
      </c>
      <c r="F639" s="29" t="str">
        <f aca="false">IF(COUNTIF(Referral_Data!$C$5:$C$1000,B639)&gt;0,"Referred",IF(COUNTIF(Referral_Data!$B$5:$B$1000,B639)&gt;0,"Referrer","Organic"))</f>
        <v>Referred</v>
      </c>
      <c r="G639" s="29" t="n">
        <f aca="false">IF(COUNTIFS($B$5:B639,B639,$C$5:C639,C639)=1,1,0)</f>
        <v>1</v>
      </c>
      <c r="H639" s="29" t="n">
        <f aca="false">IF(AND(G639=1,COUNTIFS($B$5:$B$1635,B639,$C$5:$C$1635,"&lt;"&amp;C639)&gt;0),1,0)</f>
        <v>1</v>
      </c>
      <c r="I639" s="29" t="n">
        <f aca="false">IF(AND(D639="Feature Use",COUNTIFS($B$5:B639,B639,$D$5:D639,"Feature Use",$E$5:E639,E639)=1),1,0)</f>
        <v>0</v>
      </c>
      <c r="J639" s="29" t="n">
        <f aca="false">IF(AND(D639="Feature Use",COUNTIFS($B$5:B639,B639,$D$5:D639,"Feature Use",$E$5:E639,E639)=2),1,0)</f>
        <v>0</v>
      </c>
      <c r="K639" s="29" t="n">
        <f aca="false">IF(COUNTIF($B$5:B639,B639)=1,1,0)</f>
        <v>0</v>
      </c>
      <c r="L639" s="29" t="n">
        <f aca="false">IF(AND(C639&gt;=Settings!$B$5-Settings!$B$8+1,C639&lt;=Settings!$B$5,COUNTIFS($B$5:B639,B639,$C$5:C639,"&gt;="&amp;(Settings!$B$5-Settings!$B$8+1),$C$5:C639,"&lt;="&amp;Settings!$B$5)=1),1,0)</f>
        <v>0</v>
      </c>
      <c r="M639" s="29" t="n">
        <f aca="false">IF(AND(C639&gt;=Settings!$B$5-Settings!$B$9+1,C639&lt;=Settings!$B$5,COUNTIFS($B$5:B639,B639,$C$5:C639,"&gt;="&amp;(Settings!$B$5-Settings!$B$9+1),$C$5:C639,"&lt;="&amp;Settings!$B$5)=1),1,0)</f>
        <v>0</v>
      </c>
      <c r="N639" s="29" t="n">
        <f aca="false">IF(AND(D639="Feature Use",COUNTIFS($B$5:B639,B639,$D$5:D639,"Feature Use")=1),1,0)</f>
        <v>0</v>
      </c>
    </row>
    <row r="640" customFormat="false" ht="15" hidden="false" customHeight="false" outlineLevel="0" collapsed="false">
      <c r="A640" s="22" t="s">
        <v>947</v>
      </c>
      <c r="B640" s="22" t="s">
        <v>184</v>
      </c>
      <c r="C640" s="31" t="n">
        <v>46288</v>
      </c>
      <c r="D640" s="22" t="s">
        <v>300</v>
      </c>
      <c r="E640" s="22" t="s">
        <v>309</v>
      </c>
      <c r="F640" s="29" t="str">
        <f aca="false">IF(COUNTIF(Referral_Data!$C$5:$C$1000,B640)&gt;0,"Referred",IF(COUNTIF(Referral_Data!$B$5:$B$1000,B640)&gt;0,"Referrer","Organic"))</f>
        <v>Referred</v>
      </c>
      <c r="G640" s="29" t="n">
        <f aca="false">IF(COUNTIFS($B$5:B640,B640,$C$5:C640,C640)=1,1,0)</f>
        <v>0</v>
      </c>
      <c r="H640" s="29" t="n">
        <f aca="false">IF(AND(G640=1,COUNTIFS($B$5:$B$1635,B640,$C$5:$C$1635,"&lt;"&amp;C640)&gt;0),1,0)</f>
        <v>0</v>
      </c>
      <c r="I640" s="29" t="n">
        <f aca="false">IF(AND(D640="Feature Use",COUNTIFS($B$5:B640,B640,$D$5:D640,"Feature Use",$E$5:E640,E640)=1),1,0)</f>
        <v>0</v>
      </c>
      <c r="J640" s="29" t="n">
        <f aca="false">IF(AND(D640="Feature Use",COUNTIFS($B$5:B640,B640,$D$5:D640,"Feature Use",$E$5:E640,E640)=2),1,0)</f>
        <v>1</v>
      </c>
      <c r="K640" s="29" t="n">
        <f aca="false">IF(COUNTIF($B$5:B640,B640)=1,1,0)</f>
        <v>0</v>
      </c>
      <c r="L640" s="29" t="n">
        <f aca="false">IF(AND(C640&gt;=Settings!$B$5-Settings!$B$8+1,C640&lt;=Settings!$B$5,COUNTIFS($B$5:B640,B640,$C$5:C640,"&gt;="&amp;(Settings!$B$5-Settings!$B$8+1),$C$5:C640,"&lt;="&amp;Settings!$B$5)=1),1,0)</f>
        <v>0</v>
      </c>
      <c r="M640" s="29" t="n">
        <f aca="false">IF(AND(C640&gt;=Settings!$B$5-Settings!$B$9+1,C640&lt;=Settings!$B$5,COUNTIFS($B$5:B640,B640,$C$5:C640,"&gt;="&amp;(Settings!$B$5-Settings!$B$9+1),$C$5:C640,"&lt;="&amp;Settings!$B$5)=1),1,0)</f>
        <v>0</v>
      </c>
      <c r="N640" s="29" t="n">
        <f aca="false">IF(AND(D640="Feature Use",COUNTIFS($B$5:B640,B640,$D$5:D640,"Feature Use")=1),1,0)</f>
        <v>0</v>
      </c>
    </row>
    <row r="641" customFormat="false" ht="15" hidden="false" customHeight="false" outlineLevel="0" collapsed="false">
      <c r="A641" s="22" t="s">
        <v>948</v>
      </c>
      <c r="B641" s="22" t="s">
        <v>192</v>
      </c>
      <c r="C641" s="31" t="n">
        <v>46288</v>
      </c>
      <c r="D641" s="22" t="s">
        <v>297</v>
      </c>
      <c r="E641" s="22" t="s">
        <v>298</v>
      </c>
      <c r="F641" s="29" t="str">
        <f aca="false">IF(COUNTIF(Referral_Data!$C$5:$C$1000,B641)&gt;0,"Referred",IF(COUNTIF(Referral_Data!$B$5:$B$1000,B641)&gt;0,"Referrer","Organic"))</f>
        <v>Referred</v>
      </c>
      <c r="G641" s="29" t="n">
        <f aca="false">IF(COUNTIFS($B$5:B641,B641,$C$5:C641,C641)=1,1,0)</f>
        <v>1</v>
      </c>
      <c r="H641" s="29" t="n">
        <f aca="false">IF(AND(G641=1,COUNTIFS($B$5:$B$1635,B641,$C$5:$C$1635,"&lt;"&amp;C641)&gt;0),1,0)</f>
        <v>1</v>
      </c>
      <c r="I641" s="29" t="n">
        <f aca="false">IF(AND(D641="Feature Use",COUNTIFS($B$5:B641,B641,$D$5:D641,"Feature Use",$E$5:E641,E641)=1),1,0)</f>
        <v>0</v>
      </c>
      <c r="J641" s="29" t="n">
        <f aca="false">IF(AND(D641="Feature Use",COUNTIFS($B$5:B641,B641,$D$5:D641,"Feature Use",$E$5:E641,E641)=2),1,0)</f>
        <v>0</v>
      </c>
      <c r="K641" s="29" t="n">
        <f aca="false">IF(COUNTIF($B$5:B641,B641)=1,1,0)</f>
        <v>0</v>
      </c>
      <c r="L641" s="29" t="n">
        <f aca="false">IF(AND(C641&gt;=Settings!$B$5-Settings!$B$8+1,C641&lt;=Settings!$B$5,COUNTIFS($B$5:B641,B641,$C$5:C641,"&gt;="&amp;(Settings!$B$5-Settings!$B$8+1),$C$5:C641,"&lt;="&amp;Settings!$B$5)=1),1,0)</f>
        <v>0</v>
      </c>
      <c r="M641" s="29" t="n">
        <f aca="false">IF(AND(C641&gt;=Settings!$B$5-Settings!$B$9+1,C641&lt;=Settings!$B$5,COUNTIFS($B$5:B641,B641,$C$5:C641,"&gt;="&amp;(Settings!$B$5-Settings!$B$9+1),$C$5:C641,"&lt;="&amp;Settings!$B$5)=1),1,0)</f>
        <v>0</v>
      </c>
      <c r="N641" s="29" t="n">
        <f aca="false">IF(AND(D641="Feature Use",COUNTIFS($B$5:B641,B641,$D$5:D641,"Feature Use")=1),1,0)</f>
        <v>0</v>
      </c>
    </row>
    <row r="642" customFormat="false" ht="15" hidden="false" customHeight="false" outlineLevel="0" collapsed="false">
      <c r="A642" s="22" t="s">
        <v>949</v>
      </c>
      <c r="B642" s="22" t="s">
        <v>192</v>
      </c>
      <c r="C642" s="31" t="n">
        <v>46288</v>
      </c>
      <c r="D642" s="22" t="s">
        <v>300</v>
      </c>
      <c r="E642" s="22" t="s">
        <v>311</v>
      </c>
      <c r="F642" s="29" t="str">
        <f aca="false">IF(COUNTIF(Referral_Data!$C$5:$C$1000,B642)&gt;0,"Referred",IF(COUNTIF(Referral_Data!$B$5:$B$1000,B642)&gt;0,"Referrer","Organic"))</f>
        <v>Referred</v>
      </c>
      <c r="G642" s="29" t="n">
        <f aca="false">IF(COUNTIFS($B$5:B642,B642,$C$5:C642,C642)=1,1,0)</f>
        <v>0</v>
      </c>
      <c r="H642" s="29" t="n">
        <f aca="false">IF(AND(G642=1,COUNTIFS($B$5:$B$1635,B642,$C$5:$C$1635,"&lt;"&amp;C642)&gt;0),1,0)</f>
        <v>0</v>
      </c>
      <c r="I642" s="29" t="n">
        <f aca="false">IF(AND(D642="Feature Use",COUNTIFS($B$5:B642,B642,$D$5:D642,"Feature Use",$E$5:E642,E642)=1),1,0)</f>
        <v>0</v>
      </c>
      <c r="J642" s="29" t="n">
        <f aca="false">IF(AND(D642="Feature Use",COUNTIFS($B$5:B642,B642,$D$5:D642,"Feature Use",$E$5:E642,E642)=2),1,0)</f>
        <v>0</v>
      </c>
      <c r="K642" s="29" t="n">
        <f aca="false">IF(COUNTIF($B$5:B642,B642)=1,1,0)</f>
        <v>0</v>
      </c>
      <c r="L642" s="29" t="n">
        <f aca="false">IF(AND(C642&gt;=Settings!$B$5-Settings!$B$8+1,C642&lt;=Settings!$B$5,COUNTIFS($B$5:B642,B642,$C$5:C642,"&gt;="&amp;(Settings!$B$5-Settings!$B$8+1),$C$5:C642,"&lt;="&amp;Settings!$B$5)=1),1,0)</f>
        <v>0</v>
      </c>
      <c r="M642" s="29" t="n">
        <f aca="false">IF(AND(C642&gt;=Settings!$B$5-Settings!$B$9+1,C642&lt;=Settings!$B$5,COUNTIFS($B$5:B642,B642,$C$5:C642,"&gt;="&amp;(Settings!$B$5-Settings!$B$9+1),$C$5:C642,"&lt;="&amp;Settings!$B$5)=1),1,0)</f>
        <v>0</v>
      </c>
      <c r="N642" s="29" t="n">
        <f aca="false">IF(AND(D642="Feature Use",COUNTIFS($B$5:B642,B642,$D$5:D642,"Feature Use")=1),1,0)</f>
        <v>0</v>
      </c>
    </row>
    <row r="643" customFormat="false" ht="15" hidden="false" customHeight="false" outlineLevel="0" collapsed="false">
      <c r="A643" s="22" t="s">
        <v>950</v>
      </c>
      <c r="B643" s="22" t="s">
        <v>192</v>
      </c>
      <c r="C643" s="31" t="n">
        <v>46288</v>
      </c>
      <c r="D643" s="22" t="s">
        <v>300</v>
      </c>
      <c r="E643" s="22" t="s">
        <v>319</v>
      </c>
      <c r="F643" s="29" t="str">
        <f aca="false">IF(COUNTIF(Referral_Data!$C$5:$C$1000,B643)&gt;0,"Referred",IF(COUNTIF(Referral_Data!$B$5:$B$1000,B643)&gt;0,"Referrer","Organic"))</f>
        <v>Referred</v>
      </c>
      <c r="G643" s="29" t="n">
        <f aca="false">IF(COUNTIFS($B$5:B643,B643,$C$5:C643,C643)=1,1,0)</f>
        <v>0</v>
      </c>
      <c r="H643" s="29" t="n">
        <f aca="false">IF(AND(G643=1,COUNTIFS($B$5:$B$1635,B643,$C$5:$C$1635,"&lt;"&amp;C643)&gt;0),1,0)</f>
        <v>0</v>
      </c>
      <c r="I643" s="29" t="n">
        <f aca="false">IF(AND(D643="Feature Use",COUNTIFS($B$5:B643,B643,$D$5:D643,"Feature Use",$E$5:E643,E643)=1),1,0)</f>
        <v>0</v>
      </c>
      <c r="J643" s="29" t="n">
        <f aca="false">IF(AND(D643="Feature Use",COUNTIFS($B$5:B643,B643,$D$5:D643,"Feature Use",$E$5:E643,E643)=2),1,0)</f>
        <v>1</v>
      </c>
      <c r="K643" s="29" t="n">
        <f aca="false">IF(COUNTIF($B$5:B643,B643)=1,1,0)</f>
        <v>0</v>
      </c>
      <c r="L643" s="29" t="n">
        <f aca="false">IF(AND(C643&gt;=Settings!$B$5-Settings!$B$8+1,C643&lt;=Settings!$B$5,COUNTIFS($B$5:B643,B643,$C$5:C643,"&gt;="&amp;(Settings!$B$5-Settings!$B$8+1),$C$5:C643,"&lt;="&amp;Settings!$B$5)=1),1,0)</f>
        <v>0</v>
      </c>
      <c r="M643" s="29" t="n">
        <f aca="false">IF(AND(C643&gt;=Settings!$B$5-Settings!$B$9+1,C643&lt;=Settings!$B$5,COUNTIFS($B$5:B643,B643,$C$5:C643,"&gt;="&amp;(Settings!$B$5-Settings!$B$9+1),$C$5:C643,"&lt;="&amp;Settings!$B$5)=1),1,0)</f>
        <v>0</v>
      </c>
      <c r="N643" s="29" t="n">
        <f aca="false">IF(AND(D643="Feature Use",COUNTIFS($B$5:B643,B643,$D$5:D643,"Feature Use")=1),1,0)</f>
        <v>0</v>
      </c>
    </row>
    <row r="644" customFormat="false" ht="15" hidden="false" customHeight="false" outlineLevel="0" collapsed="false">
      <c r="A644" s="22" t="s">
        <v>951</v>
      </c>
      <c r="B644" s="22" t="s">
        <v>192</v>
      </c>
      <c r="C644" s="31" t="n">
        <v>46288</v>
      </c>
      <c r="D644" s="22" t="s">
        <v>308</v>
      </c>
      <c r="E644" s="22" t="s">
        <v>301</v>
      </c>
      <c r="F644" s="29" t="str">
        <f aca="false">IF(COUNTIF(Referral_Data!$C$5:$C$1000,B644)&gt;0,"Referred",IF(COUNTIF(Referral_Data!$B$5:$B$1000,B644)&gt;0,"Referrer","Organic"))</f>
        <v>Referred</v>
      </c>
      <c r="G644" s="29" t="n">
        <f aca="false">IF(COUNTIFS($B$5:B644,B644,$C$5:C644,C644)=1,1,0)</f>
        <v>0</v>
      </c>
      <c r="H644" s="29" t="n">
        <f aca="false">IF(AND(G644=1,COUNTIFS($B$5:$B$1635,B644,$C$5:$C$1635,"&lt;"&amp;C644)&gt;0),1,0)</f>
        <v>0</v>
      </c>
      <c r="I644" s="29" t="n">
        <f aca="false">IF(AND(D644="Feature Use",COUNTIFS($B$5:B644,B644,$D$5:D644,"Feature Use",$E$5:E644,E644)=1),1,0)</f>
        <v>0</v>
      </c>
      <c r="J644" s="29" t="n">
        <f aca="false">IF(AND(D644="Feature Use",COUNTIFS($B$5:B644,B644,$D$5:D644,"Feature Use",$E$5:E644,E644)=2),1,0)</f>
        <v>0</v>
      </c>
      <c r="K644" s="29" t="n">
        <f aca="false">IF(COUNTIF($B$5:B644,B644)=1,1,0)</f>
        <v>0</v>
      </c>
      <c r="L644" s="29" t="n">
        <f aca="false">IF(AND(C644&gt;=Settings!$B$5-Settings!$B$8+1,C644&lt;=Settings!$B$5,COUNTIFS($B$5:B644,B644,$C$5:C644,"&gt;="&amp;(Settings!$B$5-Settings!$B$8+1),$C$5:C644,"&lt;="&amp;Settings!$B$5)=1),1,0)</f>
        <v>0</v>
      </c>
      <c r="M644" s="29" t="n">
        <f aca="false">IF(AND(C644&gt;=Settings!$B$5-Settings!$B$9+1,C644&lt;=Settings!$B$5,COUNTIFS($B$5:B644,B644,$C$5:C644,"&gt;="&amp;(Settings!$B$5-Settings!$B$9+1),$C$5:C644,"&lt;="&amp;Settings!$B$5)=1),1,0)</f>
        <v>0</v>
      </c>
      <c r="N644" s="29" t="n">
        <f aca="false">IF(AND(D644="Feature Use",COUNTIFS($B$5:B644,B644,$D$5:D644,"Feature Use")=1),1,0)</f>
        <v>0</v>
      </c>
    </row>
    <row r="645" customFormat="false" ht="15" hidden="false" customHeight="false" outlineLevel="0" collapsed="false">
      <c r="A645" s="22" t="s">
        <v>952</v>
      </c>
      <c r="B645" s="22" t="s">
        <v>213</v>
      </c>
      <c r="C645" s="31" t="n">
        <v>46288</v>
      </c>
      <c r="D645" s="22" t="s">
        <v>297</v>
      </c>
      <c r="E645" s="22" t="s">
        <v>298</v>
      </c>
      <c r="F645" s="29" t="str">
        <f aca="false">IF(COUNTIF(Referral_Data!$C$5:$C$1000,B645)&gt;0,"Referred",IF(COUNTIF(Referral_Data!$B$5:$B$1000,B645)&gt;0,"Referrer","Organic"))</f>
        <v>Referred</v>
      </c>
      <c r="G645" s="29" t="n">
        <f aca="false">IF(COUNTIFS($B$5:B645,B645,$C$5:C645,C645)=1,1,0)</f>
        <v>1</v>
      </c>
      <c r="H645" s="29" t="n">
        <f aca="false">IF(AND(G645=1,COUNTIFS($B$5:$B$1635,B645,$C$5:$C$1635,"&lt;"&amp;C645)&gt;0),1,0)</f>
        <v>1</v>
      </c>
      <c r="I645" s="29" t="n">
        <f aca="false">IF(AND(D645="Feature Use",COUNTIFS($B$5:B645,B645,$D$5:D645,"Feature Use",$E$5:E645,E645)=1),1,0)</f>
        <v>0</v>
      </c>
      <c r="J645" s="29" t="n">
        <f aca="false">IF(AND(D645="Feature Use",COUNTIFS($B$5:B645,B645,$D$5:D645,"Feature Use",$E$5:E645,E645)=2),1,0)</f>
        <v>0</v>
      </c>
      <c r="K645" s="29" t="n">
        <f aca="false">IF(COUNTIF($B$5:B645,B645)=1,1,0)</f>
        <v>0</v>
      </c>
      <c r="L645" s="29" t="n">
        <f aca="false">IF(AND(C645&gt;=Settings!$B$5-Settings!$B$8+1,C645&lt;=Settings!$B$5,COUNTIFS($B$5:B645,B645,$C$5:C645,"&gt;="&amp;(Settings!$B$5-Settings!$B$8+1),$C$5:C645,"&lt;="&amp;Settings!$B$5)=1),1,0)</f>
        <v>0</v>
      </c>
      <c r="M645" s="29" t="n">
        <f aca="false">IF(AND(C645&gt;=Settings!$B$5-Settings!$B$9+1,C645&lt;=Settings!$B$5,COUNTIFS($B$5:B645,B645,$C$5:C645,"&gt;="&amp;(Settings!$B$5-Settings!$B$9+1),$C$5:C645,"&lt;="&amp;Settings!$B$5)=1),1,0)</f>
        <v>0</v>
      </c>
      <c r="N645" s="29" t="n">
        <f aca="false">IF(AND(D645="Feature Use",COUNTIFS($B$5:B645,B645,$D$5:D645,"Feature Use")=1),1,0)</f>
        <v>0</v>
      </c>
    </row>
    <row r="646" customFormat="false" ht="15" hidden="false" customHeight="false" outlineLevel="0" collapsed="false">
      <c r="A646" s="22" t="s">
        <v>953</v>
      </c>
      <c r="B646" s="22" t="s">
        <v>213</v>
      </c>
      <c r="C646" s="31" t="n">
        <v>46288</v>
      </c>
      <c r="D646" s="22" t="s">
        <v>300</v>
      </c>
      <c r="E646" s="22" t="s">
        <v>301</v>
      </c>
      <c r="F646" s="29" t="str">
        <f aca="false">IF(COUNTIF(Referral_Data!$C$5:$C$1000,B646)&gt;0,"Referred",IF(COUNTIF(Referral_Data!$B$5:$B$1000,B646)&gt;0,"Referrer","Organic"))</f>
        <v>Referred</v>
      </c>
      <c r="G646" s="29" t="n">
        <f aca="false">IF(COUNTIFS($B$5:B646,B646,$C$5:C646,C646)=1,1,0)</f>
        <v>0</v>
      </c>
      <c r="H646" s="29" t="n">
        <f aca="false">IF(AND(G646=1,COUNTIFS($B$5:$B$1635,B646,$C$5:$C$1635,"&lt;"&amp;C646)&gt;0),1,0)</f>
        <v>0</v>
      </c>
      <c r="I646" s="29" t="n">
        <f aca="false">IF(AND(D646="Feature Use",COUNTIFS($B$5:B646,B646,$D$5:D646,"Feature Use",$E$5:E646,E646)=1),1,0)</f>
        <v>0</v>
      </c>
      <c r="J646" s="29" t="n">
        <f aca="false">IF(AND(D646="Feature Use",COUNTIFS($B$5:B646,B646,$D$5:D646,"Feature Use",$E$5:E646,E646)=2),1,0)</f>
        <v>0</v>
      </c>
      <c r="K646" s="29" t="n">
        <f aca="false">IF(COUNTIF($B$5:B646,B646)=1,1,0)</f>
        <v>0</v>
      </c>
      <c r="L646" s="29" t="n">
        <f aca="false">IF(AND(C646&gt;=Settings!$B$5-Settings!$B$8+1,C646&lt;=Settings!$B$5,COUNTIFS($B$5:B646,B646,$C$5:C646,"&gt;="&amp;(Settings!$B$5-Settings!$B$8+1),$C$5:C646,"&lt;="&amp;Settings!$B$5)=1),1,0)</f>
        <v>0</v>
      </c>
      <c r="M646" s="29" t="n">
        <f aca="false">IF(AND(C646&gt;=Settings!$B$5-Settings!$B$9+1,C646&lt;=Settings!$B$5,COUNTIFS($B$5:B646,B646,$C$5:C646,"&gt;="&amp;(Settings!$B$5-Settings!$B$9+1),$C$5:C646,"&lt;="&amp;Settings!$B$5)=1),1,0)</f>
        <v>0</v>
      </c>
      <c r="N646" s="29" t="n">
        <f aca="false">IF(AND(D646="Feature Use",COUNTIFS($B$5:B646,B646,$D$5:D646,"Feature Use")=1),1,0)</f>
        <v>0</v>
      </c>
    </row>
    <row r="647" customFormat="false" ht="15" hidden="false" customHeight="false" outlineLevel="0" collapsed="false">
      <c r="A647" s="22" t="s">
        <v>954</v>
      </c>
      <c r="B647" s="22" t="s">
        <v>234</v>
      </c>
      <c r="C647" s="31" t="n">
        <v>46288</v>
      </c>
      <c r="D647" s="22" t="s">
        <v>297</v>
      </c>
      <c r="E647" s="22" t="s">
        <v>298</v>
      </c>
      <c r="F647" s="29" t="str">
        <f aca="false">IF(COUNTIF(Referral_Data!$C$5:$C$1000,B647)&gt;0,"Referred",IF(COUNTIF(Referral_Data!$B$5:$B$1000,B647)&gt;0,"Referrer","Organic"))</f>
        <v>Referred</v>
      </c>
      <c r="G647" s="29" t="n">
        <f aca="false">IF(COUNTIFS($B$5:B647,B647,$C$5:C647,C647)=1,1,0)</f>
        <v>1</v>
      </c>
      <c r="H647" s="29" t="n">
        <f aca="false">IF(AND(G647=1,COUNTIFS($B$5:$B$1635,B647,$C$5:$C$1635,"&lt;"&amp;C647)&gt;0),1,0)</f>
        <v>1</v>
      </c>
      <c r="I647" s="29" t="n">
        <f aca="false">IF(AND(D647="Feature Use",COUNTIFS($B$5:B647,B647,$D$5:D647,"Feature Use",$E$5:E647,E647)=1),1,0)</f>
        <v>0</v>
      </c>
      <c r="J647" s="29" t="n">
        <f aca="false">IF(AND(D647="Feature Use",COUNTIFS($B$5:B647,B647,$D$5:D647,"Feature Use",$E$5:E647,E647)=2),1,0)</f>
        <v>0</v>
      </c>
      <c r="K647" s="29" t="n">
        <f aca="false">IF(COUNTIF($B$5:B647,B647)=1,1,0)</f>
        <v>0</v>
      </c>
      <c r="L647" s="29" t="n">
        <f aca="false">IF(AND(C647&gt;=Settings!$B$5-Settings!$B$8+1,C647&lt;=Settings!$B$5,COUNTIFS($B$5:B647,B647,$C$5:C647,"&gt;="&amp;(Settings!$B$5-Settings!$B$8+1),$C$5:C647,"&lt;="&amp;Settings!$B$5)=1),1,0)</f>
        <v>0</v>
      </c>
      <c r="M647" s="29" t="n">
        <f aca="false">IF(AND(C647&gt;=Settings!$B$5-Settings!$B$9+1,C647&lt;=Settings!$B$5,COUNTIFS($B$5:B647,B647,$C$5:C647,"&gt;="&amp;(Settings!$B$5-Settings!$B$9+1),$C$5:C647,"&lt;="&amp;Settings!$B$5)=1),1,0)</f>
        <v>0</v>
      </c>
      <c r="N647" s="29" t="n">
        <f aca="false">IF(AND(D647="Feature Use",COUNTIFS($B$5:B647,B647,$D$5:D647,"Feature Use")=1),1,0)</f>
        <v>0</v>
      </c>
    </row>
    <row r="648" customFormat="false" ht="15" hidden="false" customHeight="false" outlineLevel="0" collapsed="false">
      <c r="A648" s="22" t="s">
        <v>955</v>
      </c>
      <c r="B648" s="22" t="s">
        <v>234</v>
      </c>
      <c r="C648" s="31" t="n">
        <v>46288</v>
      </c>
      <c r="D648" s="22" t="s">
        <v>300</v>
      </c>
      <c r="E648" s="22" t="s">
        <v>305</v>
      </c>
      <c r="F648" s="29" t="str">
        <f aca="false">IF(COUNTIF(Referral_Data!$C$5:$C$1000,B648)&gt;0,"Referred",IF(COUNTIF(Referral_Data!$B$5:$B$1000,B648)&gt;0,"Referrer","Organic"))</f>
        <v>Referred</v>
      </c>
      <c r="G648" s="29" t="n">
        <f aca="false">IF(COUNTIFS($B$5:B648,B648,$C$5:C648,C648)=1,1,0)</f>
        <v>0</v>
      </c>
      <c r="H648" s="29" t="n">
        <f aca="false">IF(AND(G648=1,COUNTIFS($B$5:$B$1635,B648,$C$5:$C$1635,"&lt;"&amp;C648)&gt;0),1,0)</f>
        <v>0</v>
      </c>
      <c r="I648" s="29" t="n">
        <f aca="false">IF(AND(D648="Feature Use",COUNTIFS($B$5:B648,B648,$D$5:D648,"Feature Use",$E$5:E648,E648)=1),1,0)</f>
        <v>0</v>
      </c>
      <c r="J648" s="29" t="n">
        <f aca="false">IF(AND(D648="Feature Use",COUNTIFS($B$5:B648,B648,$D$5:D648,"Feature Use",$E$5:E648,E648)=2),1,0)</f>
        <v>0</v>
      </c>
      <c r="K648" s="29" t="n">
        <f aca="false">IF(COUNTIF($B$5:B648,B648)=1,1,0)</f>
        <v>0</v>
      </c>
      <c r="L648" s="29" t="n">
        <f aca="false">IF(AND(C648&gt;=Settings!$B$5-Settings!$B$8+1,C648&lt;=Settings!$B$5,COUNTIFS($B$5:B648,B648,$C$5:C648,"&gt;="&amp;(Settings!$B$5-Settings!$B$8+1),$C$5:C648,"&lt;="&amp;Settings!$B$5)=1),1,0)</f>
        <v>0</v>
      </c>
      <c r="M648" s="29" t="n">
        <f aca="false">IF(AND(C648&gt;=Settings!$B$5-Settings!$B$9+1,C648&lt;=Settings!$B$5,COUNTIFS($B$5:B648,B648,$C$5:C648,"&gt;="&amp;(Settings!$B$5-Settings!$B$9+1),$C$5:C648,"&lt;="&amp;Settings!$B$5)=1),1,0)</f>
        <v>0</v>
      </c>
      <c r="N648" s="29" t="n">
        <f aca="false">IF(AND(D648="Feature Use",COUNTIFS($B$5:B648,B648,$D$5:D648,"Feature Use")=1),1,0)</f>
        <v>0</v>
      </c>
    </row>
    <row r="649" customFormat="false" ht="15" hidden="false" customHeight="false" outlineLevel="0" collapsed="false">
      <c r="A649" s="22" t="s">
        <v>956</v>
      </c>
      <c r="B649" s="22" t="s">
        <v>234</v>
      </c>
      <c r="C649" s="31" t="n">
        <v>46288</v>
      </c>
      <c r="D649" s="22" t="s">
        <v>300</v>
      </c>
      <c r="E649" s="22" t="s">
        <v>305</v>
      </c>
      <c r="F649" s="29" t="str">
        <f aca="false">IF(COUNTIF(Referral_Data!$C$5:$C$1000,B649)&gt;0,"Referred",IF(COUNTIF(Referral_Data!$B$5:$B$1000,B649)&gt;0,"Referrer","Organic"))</f>
        <v>Referred</v>
      </c>
      <c r="G649" s="29" t="n">
        <f aca="false">IF(COUNTIFS($B$5:B649,B649,$C$5:C649,C649)=1,1,0)</f>
        <v>0</v>
      </c>
      <c r="H649" s="29" t="n">
        <f aca="false">IF(AND(G649=1,COUNTIFS($B$5:$B$1635,B649,$C$5:$C$1635,"&lt;"&amp;C649)&gt;0),1,0)</f>
        <v>0</v>
      </c>
      <c r="I649" s="29" t="n">
        <f aca="false">IF(AND(D649="Feature Use",COUNTIFS($B$5:B649,B649,$D$5:D649,"Feature Use",$E$5:E649,E649)=1),1,0)</f>
        <v>0</v>
      </c>
      <c r="J649" s="29" t="n">
        <f aca="false">IF(AND(D649="Feature Use",COUNTIFS($B$5:B649,B649,$D$5:D649,"Feature Use",$E$5:E649,E649)=2),1,0)</f>
        <v>0</v>
      </c>
      <c r="K649" s="29" t="n">
        <f aca="false">IF(COUNTIF($B$5:B649,B649)=1,1,0)</f>
        <v>0</v>
      </c>
      <c r="L649" s="29" t="n">
        <f aca="false">IF(AND(C649&gt;=Settings!$B$5-Settings!$B$8+1,C649&lt;=Settings!$B$5,COUNTIFS($B$5:B649,B649,$C$5:C649,"&gt;="&amp;(Settings!$B$5-Settings!$B$8+1),$C$5:C649,"&lt;="&amp;Settings!$B$5)=1),1,0)</f>
        <v>0</v>
      </c>
      <c r="M649" s="29" t="n">
        <f aca="false">IF(AND(C649&gt;=Settings!$B$5-Settings!$B$9+1,C649&lt;=Settings!$B$5,COUNTIFS($B$5:B649,B649,$C$5:C649,"&gt;="&amp;(Settings!$B$5-Settings!$B$9+1),$C$5:C649,"&lt;="&amp;Settings!$B$5)=1),1,0)</f>
        <v>0</v>
      </c>
      <c r="N649" s="29" t="n">
        <f aca="false">IF(AND(D649="Feature Use",COUNTIFS($B$5:B649,B649,$D$5:D649,"Feature Use")=1),1,0)</f>
        <v>0</v>
      </c>
    </row>
    <row r="650" customFormat="false" ht="15" hidden="false" customHeight="false" outlineLevel="0" collapsed="false">
      <c r="A650" s="22" t="s">
        <v>957</v>
      </c>
      <c r="B650" s="22" t="s">
        <v>241</v>
      </c>
      <c r="C650" s="31" t="n">
        <v>46288</v>
      </c>
      <c r="D650" s="22" t="s">
        <v>297</v>
      </c>
      <c r="E650" s="22" t="s">
        <v>298</v>
      </c>
      <c r="F650" s="29" t="str">
        <f aca="false">IF(COUNTIF(Referral_Data!$C$5:$C$1000,B650)&gt;0,"Referred",IF(COUNTIF(Referral_Data!$B$5:$B$1000,B650)&gt;0,"Referrer","Organic"))</f>
        <v>Referred</v>
      </c>
      <c r="G650" s="29" t="n">
        <f aca="false">IF(COUNTIFS($B$5:B650,B650,$C$5:C650,C650)=1,1,0)</f>
        <v>1</v>
      </c>
      <c r="H650" s="29" t="n">
        <f aca="false">IF(AND(G650=1,COUNTIFS($B$5:$B$1635,B650,$C$5:$C$1635,"&lt;"&amp;C650)&gt;0),1,0)</f>
        <v>1</v>
      </c>
      <c r="I650" s="29" t="n">
        <f aca="false">IF(AND(D650="Feature Use",COUNTIFS($B$5:B650,B650,$D$5:D650,"Feature Use",$E$5:E650,E650)=1),1,0)</f>
        <v>0</v>
      </c>
      <c r="J650" s="29" t="n">
        <f aca="false">IF(AND(D650="Feature Use",COUNTIFS($B$5:B650,B650,$D$5:D650,"Feature Use",$E$5:E650,E650)=2),1,0)</f>
        <v>0</v>
      </c>
      <c r="K650" s="29" t="n">
        <f aca="false">IF(COUNTIF($B$5:B650,B650)=1,1,0)</f>
        <v>0</v>
      </c>
      <c r="L650" s="29" t="n">
        <f aca="false">IF(AND(C650&gt;=Settings!$B$5-Settings!$B$8+1,C650&lt;=Settings!$B$5,COUNTIFS($B$5:B650,B650,$C$5:C650,"&gt;="&amp;(Settings!$B$5-Settings!$B$8+1),$C$5:C650,"&lt;="&amp;Settings!$B$5)=1),1,0)</f>
        <v>0</v>
      </c>
      <c r="M650" s="29" t="n">
        <f aca="false">IF(AND(C650&gt;=Settings!$B$5-Settings!$B$9+1,C650&lt;=Settings!$B$5,COUNTIFS($B$5:B650,B650,$C$5:C650,"&gt;="&amp;(Settings!$B$5-Settings!$B$9+1),$C$5:C650,"&lt;="&amp;Settings!$B$5)=1),1,0)</f>
        <v>0</v>
      </c>
      <c r="N650" s="29" t="n">
        <f aca="false">IF(AND(D650="Feature Use",COUNTIFS($B$5:B650,B650,$D$5:D650,"Feature Use")=1),1,0)</f>
        <v>0</v>
      </c>
    </row>
    <row r="651" customFormat="false" ht="15" hidden="false" customHeight="false" outlineLevel="0" collapsed="false">
      <c r="A651" s="22" t="s">
        <v>958</v>
      </c>
      <c r="B651" s="22" t="s">
        <v>241</v>
      </c>
      <c r="C651" s="31" t="n">
        <v>46288</v>
      </c>
      <c r="D651" s="22" t="s">
        <v>300</v>
      </c>
      <c r="E651" s="22" t="s">
        <v>311</v>
      </c>
      <c r="F651" s="29" t="str">
        <f aca="false">IF(COUNTIF(Referral_Data!$C$5:$C$1000,B651)&gt;0,"Referred",IF(COUNTIF(Referral_Data!$B$5:$B$1000,B651)&gt;0,"Referrer","Organic"))</f>
        <v>Referred</v>
      </c>
      <c r="G651" s="29" t="n">
        <f aca="false">IF(COUNTIFS($B$5:B651,B651,$C$5:C651,C651)=1,1,0)</f>
        <v>0</v>
      </c>
      <c r="H651" s="29" t="n">
        <f aca="false">IF(AND(G651=1,COUNTIFS($B$5:$B$1635,B651,$C$5:$C$1635,"&lt;"&amp;C651)&gt;0),1,0)</f>
        <v>0</v>
      </c>
      <c r="I651" s="29" t="n">
        <f aca="false">IF(AND(D651="Feature Use",COUNTIFS($B$5:B651,B651,$D$5:D651,"Feature Use",$E$5:E651,E651)=1),1,0)</f>
        <v>0</v>
      </c>
      <c r="J651" s="29" t="n">
        <f aca="false">IF(AND(D651="Feature Use",COUNTIFS($B$5:B651,B651,$D$5:D651,"Feature Use",$E$5:E651,E651)=2),1,0)</f>
        <v>0</v>
      </c>
      <c r="K651" s="29" t="n">
        <f aca="false">IF(COUNTIF($B$5:B651,B651)=1,1,0)</f>
        <v>0</v>
      </c>
      <c r="L651" s="29" t="n">
        <f aca="false">IF(AND(C651&gt;=Settings!$B$5-Settings!$B$8+1,C651&lt;=Settings!$B$5,COUNTIFS($B$5:B651,B651,$C$5:C651,"&gt;="&amp;(Settings!$B$5-Settings!$B$8+1),$C$5:C651,"&lt;="&amp;Settings!$B$5)=1),1,0)</f>
        <v>0</v>
      </c>
      <c r="M651" s="29" t="n">
        <f aca="false">IF(AND(C651&gt;=Settings!$B$5-Settings!$B$9+1,C651&lt;=Settings!$B$5,COUNTIFS($B$5:B651,B651,$C$5:C651,"&gt;="&amp;(Settings!$B$5-Settings!$B$9+1),$C$5:C651,"&lt;="&amp;Settings!$B$5)=1),1,0)</f>
        <v>0</v>
      </c>
      <c r="N651" s="29" t="n">
        <f aca="false">IF(AND(D651="Feature Use",COUNTIFS($B$5:B651,B651,$D$5:D651,"Feature Use")=1),1,0)</f>
        <v>0</v>
      </c>
    </row>
    <row r="652" customFormat="false" ht="15" hidden="false" customHeight="false" outlineLevel="0" collapsed="false">
      <c r="A652" s="22" t="s">
        <v>959</v>
      </c>
      <c r="B652" s="22" t="s">
        <v>241</v>
      </c>
      <c r="C652" s="31" t="n">
        <v>46288</v>
      </c>
      <c r="D652" s="22" t="s">
        <v>300</v>
      </c>
      <c r="E652" s="22" t="s">
        <v>301</v>
      </c>
      <c r="F652" s="29" t="str">
        <f aca="false">IF(COUNTIF(Referral_Data!$C$5:$C$1000,B652)&gt;0,"Referred",IF(COUNTIF(Referral_Data!$B$5:$B$1000,B652)&gt;0,"Referrer","Organic"))</f>
        <v>Referred</v>
      </c>
      <c r="G652" s="29" t="n">
        <f aca="false">IF(COUNTIFS($B$5:B652,B652,$C$5:C652,C652)=1,1,0)</f>
        <v>0</v>
      </c>
      <c r="H652" s="29" t="n">
        <f aca="false">IF(AND(G652=1,COUNTIFS($B$5:$B$1635,B652,$C$5:$C$1635,"&lt;"&amp;C652)&gt;0),1,0)</f>
        <v>0</v>
      </c>
      <c r="I652" s="29" t="n">
        <f aca="false">IF(AND(D652="Feature Use",COUNTIFS($B$5:B652,B652,$D$5:D652,"Feature Use",$E$5:E652,E652)=1),1,0)</f>
        <v>0</v>
      </c>
      <c r="J652" s="29" t="n">
        <f aca="false">IF(AND(D652="Feature Use",COUNTIFS($B$5:B652,B652,$D$5:D652,"Feature Use",$E$5:E652,E652)=2),1,0)</f>
        <v>0</v>
      </c>
      <c r="K652" s="29" t="n">
        <f aca="false">IF(COUNTIF($B$5:B652,B652)=1,1,0)</f>
        <v>0</v>
      </c>
      <c r="L652" s="29" t="n">
        <f aca="false">IF(AND(C652&gt;=Settings!$B$5-Settings!$B$8+1,C652&lt;=Settings!$B$5,COUNTIFS($B$5:B652,B652,$C$5:C652,"&gt;="&amp;(Settings!$B$5-Settings!$B$8+1),$C$5:C652,"&lt;="&amp;Settings!$B$5)=1),1,0)</f>
        <v>0</v>
      </c>
      <c r="M652" s="29" t="n">
        <f aca="false">IF(AND(C652&gt;=Settings!$B$5-Settings!$B$9+1,C652&lt;=Settings!$B$5,COUNTIFS($B$5:B652,B652,$C$5:C652,"&gt;="&amp;(Settings!$B$5-Settings!$B$9+1),$C$5:C652,"&lt;="&amp;Settings!$B$5)=1),1,0)</f>
        <v>0</v>
      </c>
      <c r="N652" s="29" t="n">
        <f aca="false">IF(AND(D652="Feature Use",COUNTIFS($B$5:B652,B652,$D$5:D652,"Feature Use")=1),1,0)</f>
        <v>0</v>
      </c>
    </row>
    <row r="653" customFormat="false" ht="15" hidden="false" customHeight="false" outlineLevel="0" collapsed="false">
      <c r="A653" s="22" t="s">
        <v>960</v>
      </c>
      <c r="B653" s="22" t="s">
        <v>241</v>
      </c>
      <c r="C653" s="31" t="n">
        <v>46288</v>
      </c>
      <c r="D653" s="22" t="s">
        <v>308</v>
      </c>
      <c r="E653" s="22" t="s">
        <v>305</v>
      </c>
      <c r="F653" s="29" t="str">
        <f aca="false">IF(COUNTIF(Referral_Data!$C$5:$C$1000,B653)&gt;0,"Referred",IF(COUNTIF(Referral_Data!$B$5:$B$1000,B653)&gt;0,"Referrer","Organic"))</f>
        <v>Referred</v>
      </c>
      <c r="G653" s="29" t="n">
        <f aca="false">IF(COUNTIFS($B$5:B653,B653,$C$5:C653,C653)=1,1,0)</f>
        <v>0</v>
      </c>
      <c r="H653" s="29" t="n">
        <f aca="false">IF(AND(G653=1,COUNTIFS($B$5:$B$1635,B653,$C$5:$C$1635,"&lt;"&amp;C653)&gt;0),1,0)</f>
        <v>0</v>
      </c>
      <c r="I653" s="29" t="n">
        <f aca="false">IF(AND(D653="Feature Use",COUNTIFS($B$5:B653,B653,$D$5:D653,"Feature Use",$E$5:E653,E653)=1),1,0)</f>
        <v>0</v>
      </c>
      <c r="J653" s="29" t="n">
        <f aca="false">IF(AND(D653="Feature Use",COUNTIFS($B$5:B653,B653,$D$5:D653,"Feature Use",$E$5:E653,E653)=2),1,0)</f>
        <v>0</v>
      </c>
      <c r="K653" s="29" t="n">
        <f aca="false">IF(COUNTIF($B$5:B653,B653)=1,1,0)</f>
        <v>0</v>
      </c>
      <c r="L653" s="29" t="n">
        <f aca="false">IF(AND(C653&gt;=Settings!$B$5-Settings!$B$8+1,C653&lt;=Settings!$B$5,COUNTIFS($B$5:B653,B653,$C$5:C653,"&gt;="&amp;(Settings!$B$5-Settings!$B$8+1),$C$5:C653,"&lt;="&amp;Settings!$B$5)=1),1,0)</f>
        <v>0</v>
      </c>
      <c r="M653" s="29" t="n">
        <f aca="false">IF(AND(C653&gt;=Settings!$B$5-Settings!$B$9+1,C653&lt;=Settings!$B$5,COUNTIFS($B$5:B653,B653,$C$5:C653,"&gt;="&amp;(Settings!$B$5-Settings!$B$9+1),$C$5:C653,"&lt;="&amp;Settings!$B$5)=1),1,0)</f>
        <v>0</v>
      </c>
      <c r="N653" s="29" t="n">
        <f aca="false">IF(AND(D653="Feature Use",COUNTIFS($B$5:B653,B653,$D$5:D653,"Feature Use")=1),1,0)</f>
        <v>0</v>
      </c>
    </row>
    <row r="654" customFormat="false" ht="15" hidden="false" customHeight="false" outlineLevel="0" collapsed="false">
      <c r="A654" s="22" t="s">
        <v>961</v>
      </c>
      <c r="B654" s="22" t="s">
        <v>241</v>
      </c>
      <c r="C654" s="31" t="n">
        <v>46288</v>
      </c>
      <c r="D654" s="22" t="s">
        <v>308</v>
      </c>
      <c r="E654" s="22" t="s">
        <v>305</v>
      </c>
      <c r="F654" s="29" t="str">
        <f aca="false">IF(COUNTIF(Referral_Data!$C$5:$C$1000,B654)&gt;0,"Referred",IF(COUNTIF(Referral_Data!$B$5:$B$1000,B654)&gt;0,"Referrer","Organic"))</f>
        <v>Referred</v>
      </c>
      <c r="G654" s="29" t="n">
        <f aca="false">IF(COUNTIFS($B$5:B654,B654,$C$5:C654,C654)=1,1,0)</f>
        <v>0</v>
      </c>
      <c r="H654" s="29" t="n">
        <f aca="false">IF(AND(G654=1,COUNTIFS($B$5:$B$1635,B654,$C$5:$C$1635,"&lt;"&amp;C654)&gt;0),1,0)</f>
        <v>0</v>
      </c>
      <c r="I654" s="29" t="n">
        <f aca="false">IF(AND(D654="Feature Use",COUNTIFS($B$5:B654,B654,$D$5:D654,"Feature Use",$E$5:E654,E654)=1),1,0)</f>
        <v>0</v>
      </c>
      <c r="J654" s="29" t="n">
        <f aca="false">IF(AND(D654="Feature Use",COUNTIFS($B$5:B654,B654,$D$5:D654,"Feature Use",$E$5:E654,E654)=2),1,0)</f>
        <v>0</v>
      </c>
      <c r="K654" s="29" t="n">
        <f aca="false">IF(COUNTIF($B$5:B654,B654)=1,1,0)</f>
        <v>0</v>
      </c>
      <c r="L654" s="29" t="n">
        <f aca="false">IF(AND(C654&gt;=Settings!$B$5-Settings!$B$8+1,C654&lt;=Settings!$B$5,COUNTIFS($B$5:B654,B654,$C$5:C654,"&gt;="&amp;(Settings!$B$5-Settings!$B$8+1),$C$5:C654,"&lt;="&amp;Settings!$B$5)=1),1,0)</f>
        <v>0</v>
      </c>
      <c r="M654" s="29" t="n">
        <f aca="false">IF(AND(C654&gt;=Settings!$B$5-Settings!$B$9+1,C654&lt;=Settings!$B$5,COUNTIFS($B$5:B654,B654,$C$5:C654,"&gt;="&amp;(Settings!$B$5-Settings!$B$9+1),$C$5:C654,"&lt;="&amp;Settings!$B$5)=1),1,0)</f>
        <v>0</v>
      </c>
      <c r="N654" s="29" t="n">
        <f aca="false">IF(AND(D654="Feature Use",COUNTIFS($B$5:B654,B654,$D$5:D654,"Feature Use")=1),1,0)</f>
        <v>0</v>
      </c>
    </row>
    <row r="655" customFormat="false" ht="15" hidden="false" customHeight="false" outlineLevel="0" collapsed="false">
      <c r="A655" s="22" t="s">
        <v>962</v>
      </c>
      <c r="B655" s="22" t="s">
        <v>261</v>
      </c>
      <c r="C655" s="31" t="n">
        <v>46288</v>
      </c>
      <c r="D655" s="22" t="s">
        <v>297</v>
      </c>
      <c r="E655" s="22" t="s">
        <v>298</v>
      </c>
      <c r="F655" s="29" t="str">
        <f aca="false">IF(COUNTIF(Referral_Data!$C$5:$C$1000,B655)&gt;0,"Referred",IF(COUNTIF(Referral_Data!$B$5:$B$1000,B655)&gt;0,"Referrer","Organic"))</f>
        <v>Referred</v>
      </c>
      <c r="G655" s="29" t="n">
        <f aca="false">IF(COUNTIFS($B$5:B655,B655,$C$5:C655,C655)=1,1,0)</f>
        <v>1</v>
      </c>
      <c r="H655" s="29" t="n">
        <f aca="false">IF(AND(G655=1,COUNTIFS($B$5:$B$1635,B655,$C$5:$C$1635,"&lt;"&amp;C655)&gt;0),1,0)</f>
        <v>1</v>
      </c>
      <c r="I655" s="29" t="n">
        <f aca="false">IF(AND(D655="Feature Use",COUNTIFS($B$5:B655,B655,$D$5:D655,"Feature Use",$E$5:E655,E655)=1),1,0)</f>
        <v>0</v>
      </c>
      <c r="J655" s="29" t="n">
        <f aca="false">IF(AND(D655="Feature Use",COUNTIFS($B$5:B655,B655,$D$5:D655,"Feature Use",$E$5:E655,E655)=2),1,0)</f>
        <v>0</v>
      </c>
      <c r="K655" s="29" t="n">
        <f aca="false">IF(COUNTIF($B$5:B655,B655)=1,1,0)</f>
        <v>0</v>
      </c>
      <c r="L655" s="29" t="n">
        <f aca="false">IF(AND(C655&gt;=Settings!$B$5-Settings!$B$8+1,C655&lt;=Settings!$B$5,COUNTIFS($B$5:B655,B655,$C$5:C655,"&gt;="&amp;(Settings!$B$5-Settings!$B$8+1),$C$5:C655,"&lt;="&amp;Settings!$B$5)=1),1,0)</f>
        <v>0</v>
      </c>
      <c r="M655" s="29" t="n">
        <f aca="false">IF(AND(C655&gt;=Settings!$B$5-Settings!$B$9+1,C655&lt;=Settings!$B$5,COUNTIFS($B$5:B655,B655,$C$5:C655,"&gt;="&amp;(Settings!$B$5-Settings!$B$9+1),$C$5:C655,"&lt;="&amp;Settings!$B$5)=1),1,0)</f>
        <v>0</v>
      </c>
      <c r="N655" s="29" t="n">
        <f aca="false">IF(AND(D655="Feature Use",COUNTIFS($B$5:B655,B655,$D$5:D655,"Feature Use")=1),1,0)</f>
        <v>0</v>
      </c>
    </row>
    <row r="656" customFormat="false" ht="15" hidden="false" customHeight="false" outlineLevel="0" collapsed="false">
      <c r="A656" s="22" t="s">
        <v>963</v>
      </c>
      <c r="B656" s="22" t="s">
        <v>261</v>
      </c>
      <c r="C656" s="31" t="n">
        <v>46288</v>
      </c>
      <c r="D656" s="22" t="s">
        <v>300</v>
      </c>
      <c r="E656" s="22" t="s">
        <v>311</v>
      </c>
      <c r="F656" s="29" t="str">
        <f aca="false">IF(COUNTIF(Referral_Data!$C$5:$C$1000,B656)&gt;0,"Referred",IF(COUNTIF(Referral_Data!$B$5:$B$1000,B656)&gt;0,"Referrer","Organic"))</f>
        <v>Referred</v>
      </c>
      <c r="G656" s="29" t="n">
        <f aca="false">IF(COUNTIFS($B$5:B656,B656,$C$5:C656,C656)=1,1,0)</f>
        <v>0</v>
      </c>
      <c r="H656" s="29" t="n">
        <f aca="false">IF(AND(G656=1,COUNTIFS($B$5:$B$1635,B656,$C$5:$C$1635,"&lt;"&amp;C656)&gt;0),1,0)</f>
        <v>0</v>
      </c>
      <c r="I656" s="29" t="n">
        <f aca="false">IF(AND(D656="Feature Use",COUNTIFS($B$5:B656,B656,$D$5:D656,"Feature Use",$E$5:E656,E656)=1),1,0)</f>
        <v>1</v>
      </c>
      <c r="J656" s="29" t="n">
        <f aca="false">IF(AND(D656="Feature Use",COUNTIFS($B$5:B656,B656,$D$5:D656,"Feature Use",$E$5:E656,E656)=2),1,0)</f>
        <v>0</v>
      </c>
      <c r="K656" s="29" t="n">
        <f aca="false">IF(COUNTIF($B$5:B656,B656)=1,1,0)</f>
        <v>0</v>
      </c>
      <c r="L656" s="29" t="n">
        <f aca="false">IF(AND(C656&gt;=Settings!$B$5-Settings!$B$8+1,C656&lt;=Settings!$B$5,COUNTIFS($B$5:B656,B656,$C$5:C656,"&gt;="&amp;(Settings!$B$5-Settings!$B$8+1),$C$5:C656,"&lt;="&amp;Settings!$B$5)=1),1,0)</f>
        <v>0</v>
      </c>
      <c r="M656" s="29" t="n">
        <f aca="false">IF(AND(C656&gt;=Settings!$B$5-Settings!$B$9+1,C656&lt;=Settings!$B$5,COUNTIFS($B$5:B656,B656,$C$5:C656,"&gt;="&amp;(Settings!$B$5-Settings!$B$9+1),$C$5:C656,"&lt;="&amp;Settings!$B$5)=1),1,0)</f>
        <v>0</v>
      </c>
      <c r="N656" s="29" t="n">
        <f aca="false">IF(AND(D656="Feature Use",COUNTIFS($B$5:B656,B656,$D$5:D656,"Feature Use")=1),1,0)</f>
        <v>0</v>
      </c>
    </row>
    <row r="657" customFormat="false" ht="15" hidden="false" customHeight="false" outlineLevel="0" collapsed="false">
      <c r="A657" s="22" t="s">
        <v>964</v>
      </c>
      <c r="B657" s="22" t="s">
        <v>261</v>
      </c>
      <c r="C657" s="31" t="n">
        <v>46288</v>
      </c>
      <c r="D657" s="22" t="s">
        <v>300</v>
      </c>
      <c r="E657" s="22" t="s">
        <v>305</v>
      </c>
      <c r="F657" s="29" t="str">
        <f aca="false">IF(COUNTIF(Referral_Data!$C$5:$C$1000,B657)&gt;0,"Referred",IF(COUNTIF(Referral_Data!$B$5:$B$1000,B657)&gt;0,"Referrer","Organic"))</f>
        <v>Referred</v>
      </c>
      <c r="G657" s="29" t="n">
        <f aca="false">IF(COUNTIFS($B$5:B657,B657,$C$5:C657,C657)=1,1,0)</f>
        <v>0</v>
      </c>
      <c r="H657" s="29" t="n">
        <f aca="false">IF(AND(G657=1,COUNTIFS($B$5:$B$1635,B657,$C$5:$C$1635,"&lt;"&amp;C657)&gt;0),1,0)</f>
        <v>0</v>
      </c>
      <c r="I657" s="29" t="n">
        <f aca="false">IF(AND(D657="Feature Use",COUNTIFS($B$5:B657,B657,$D$5:D657,"Feature Use",$E$5:E657,E657)=1),1,0)</f>
        <v>0</v>
      </c>
      <c r="J657" s="29" t="n">
        <f aca="false">IF(AND(D657="Feature Use",COUNTIFS($B$5:B657,B657,$D$5:D657,"Feature Use",$E$5:E657,E657)=2),1,0)</f>
        <v>1</v>
      </c>
      <c r="K657" s="29" t="n">
        <f aca="false">IF(COUNTIF($B$5:B657,B657)=1,1,0)</f>
        <v>0</v>
      </c>
      <c r="L657" s="29" t="n">
        <f aca="false">IF(AND(C657&gt;=Settings!$B$5-Settings!$B$8+1,C657&lt;=Settings!$B$5,COUNTIFS($B$5:B657,B657,$C$5:C657,"&gt;="&amp;(Settings!$B$5-Settings!$B$8+1),$C$5:C657,"&lt;="&amp;Settings!$B$5)=1),1,0)</f>
        <v>0</v>
      </c>
      <c r="M657" s="29" t="n">
        <f aca="false">IF(AND(C657&gt;=Settings!$B$5-Settings!$B$9+1,C657&lt;=Settings!$B$5,COUNTIFS($B$5:B657,B657,$C$5:C657,"&gt;="&amp;(Settings!$B$5-Settings!$B$9+1),$C$5:C657,"&lt;="&amp;Settings!$B$5)=1),1,0)</f>
        <v>0</v>
      </c>
      <c r="N657" s="29" t="n">
        <f aca="false">IF(AND(D657="Feature Use",COUNTIFS($B$5:B657,B657,$D$5:D657,"Feature Use")=1),1,0)</f>
        <v>0</v>
      </c>
    </row>
    <row r="658" customFormat="false" ht="15" hidden="false" customHeight="false" outlineLevel="0" collapsed="false">
      <c r="A658" s="22" t="s">
        <v>965</v>
      </c>
      <c r="B658" s="22" t="s">
        <v>167</v>
      </c>
      <c r="C658" s="31" t="n">
        <v>46288</v>
      </c>
      <c r="D658" s="22" t="s">
        <v>297</v>
      </c>
      <c r="E658" s="22" t="s">
        <v>298</v>
      </c>
      <c r="F658" s="29" t="str">
        <f aca="false">IF(COUNTIF(Referral_Data!$C$5:$C$1000,B658)&gt;0,"Referred",IF(COUNTIF(Referral_Data!$B$5:$B$1000,B658)&gt;0,"Referrer","Organic"))</f>
        <v>Referrer</v>
      </c>
      <c r="G658" s="29" t="n">
        <f aca="false">IF(COUNTIFS($B$5:B658,B658,$C$5:C658,C658)=1,1,0)</f>
        <v>1</v>
      </c>
      <c r="H658" s="29" t="n">
        <f aca="false">IF(AND(G658=1,COUNTIFS($B$5:$B$1635,B658,$C$5:$C$1635,"&lt;"&amp;C658)&gt;0),1,0)</f>
        <v>1</v>
      </c>
      <c r="I658" s="29" t="n">
        <f aca="false">IF(AND(D658="Feature Use",COUNTIFS($B$5:B658,B658,$D$5:D658,"Feature Use",$E$5:E658,E658)=1),1,0)</f>
        <v>0</v>
      </c>
      <c r="J658" s="29" t="n">
        <f aca="false">IF(AND(D658="Feature Use",COUNTIFS($B$5:B658,B658,$D$5:D658,"Feature Use",$E$5:E658,E658)=2),1,0)</f>
        <v>0</v>
      </c>
      <c r="K658" s="29" t="n">
        <f aca="false">IF(COUNTIF($B$5:B658,B658)=1,1,0)</f>
        <v>0</v>
      </c>
      <c r="L658" s="29" t="n">
        <f aca="false">IF(AND(C658&gt;=Settings!$B$5-Settings!$B$8+1,C658&lt;=Settings!$B$5,COUNTIFS($B$5:B658,B658,$C$5:C658,"&gt;="&amp;(Settings!$B$5-Settings!$B$8+1),$C$5:C658,"&lt;="&amp;Settings!$B$5)=1),1,0)</f>
        <v>0</v>
      </c>
      <c r="M658" s="29" t="n">
        <f aca="false">IF(AND(C658&gt;=Settings!$B$5-Settings!$B$9+1,C658&lt;=Settings!$B$5,COUNTIFS($B$5:B658,B658,$C$5:C658,"&gt;="&amp;(Settings!$B$5-Settings!$B$9+1),$C$5:C658,"&lt;="&amp;Settings!$B$5)=1),1,0)</f>
        <v>0</v>
      </c>
      <c r="N658" s="29" t="n">
        <f aca="false">IF(AND(D658="Feature Use",COUNTIFS($B$5:B658,B658,$D$5:D658,"Feature Use")=1),1,0)</f>
        <v>0</v>
      </c>
    </row>
    <row r="659" customFormat="false" ht="15" hidden="false" customHeight="false" outlineLevel="0" collapsed="false">
      <c r="A659" s="22" t="s">
        <v>966</v>
      </c>
      <c r="B659" s="22" t="s">
        <v>167</v>
      </c>
      <c r="C659" s="31" t="n">
        <v>46288</v>
      </c>
      <c r="D659" s="22" t="s">
        <v>300</v>
      </c>
      <c r="E659" s="22" t="s">
        <v>305</v>
      </c>
      <c r="F659" s="29" t="str">
        <f aca="false">IF(COUNTIF(Referral_Data!$C$5:$C$1000,B659)&gt;0,"Referred",IF(COUNTIF(Referral_Data!$B$5:$B$1000,B659)&gt;0,"Referrer","Organic"))</f>
        <v>Referrer</v>
      </c>
      <c r="G659" s="29" t="n">
        <f aca="false">IF(COUNTIFS($B$5:B659,B659,$C$5:C659,C659)=1,1,0)</f>
        <v>0</v>
      </c>
      <c r="H659" s="29" t="n">
        <f aca="false">IF(AND(G659=1,COUNTIFS($B$5:$B$1635,B659,$C$5:$C$1635,"&lt;"&amp;C659)&gt;0),1,0)</f>
        <v>0</v>
      </c>
      <c r="I659" s="29" t="n">
        <f aca="false">IF(AND(D659="Feature Use",COUNTIFS($B$5:B659,B659,$D$5:D659,"Feature Use",$E$5:E659,E659)=1),1,0)</f>
        <v>0</v>
      </c>
      <c r="J659" s="29" t="n">
        <f aca="false">IF(AND(D659="Feature Use",COUNTIFS($B$5:B659,B659,$D$5:D659,"Feature Use",$E$5:E659,E659)=2),1,0)</f>
        <v>0</v>
      </c>
      <c r="K659" s="29" t="n">
        <f aca="false">IF(COUNTIF($B$5:B659,B659)=1,1,0)</f>
        <v>0</v>
      </c>
      <c r="L659" s="29" t="n">
        <f aca="false">IF(AND(C659&gt;=Settings!$B$5-Settings!$B$8+1,C659&lt;=Settings!$B$5,COUNTIFS($B$5:B659,B659,$C$5:C659,"&gt;="&amp;(Settings!$B$5-Settings!$B$8+1),$C$5:C659,"&lt;="&amp;Settings!$B$5)=1),1,0)</f>
        <v>0</v>
      </c>
      <c r="M659" s="29" t="n">
        <f aca="false">IF(AND(C659&gt;=Settings!$B$5-Settings!$B$9+1,C659&lt;=Settings!$B$5,COUNTIFS($B$5:B659,B659,$C$5:C659,"&gt;="&amp;(Settings!$B$5-Settings!$B$9+1),$C$5:C659,"&lt;="&amp;Settings!$B$5)=1),1,0)</f>
        <v>0</v>
      </c>
      <c r="N659" s="29" t="n">
        <f aca="false">IF(AND(D659="Feature Use",COUNTIFS($B$5:B659,B659,$D$5:D659,"Feature Use")=1),1,0)</f>
        <v>0</v>
      </c>
    </row>
    <row r="660" customFormat="false" ht="15" hidden="false" customHeight="false" outlineLevel="0" collapsed="false">
      <c r="A660" s="22" t="s">
        <v>967</v>
      </c>
      <c r="B660" s="22" t="s">
        <v>167</v>
      </c>
      <c r="C660" s="31" t="n">
        <v>46288</v>
      </c>
      <c r="D660" s="22" t="s">
        <v>308</v>
      </c>
      <c r="E660" s="22" t="s">
        <v>305</v>
      </c>
      <c r="F660" s="29" t="str">
        <f aca="false">IF(COUNTIF(Referral_Data!$C$5:$C$1000,B660)&gt;0,"Referred",IF(COUNTIF(Referral_Data!$B$5:$B$1000,B660)&gt;0,"Referrer","Organic"))</f>
        <v>Referrer</v>
      </c>
      <c r="G660" s="29" t="n">
        <f aca="false">IF(COUNTIFS($B$5:B660,B660,$C$5:C660,C660)=1,1,0)</f>
        <v>0</v>
      </c>
      <c r="H660" s="29" t="n">
        <f aca="false">IF(AND(G660=1,COUNTIFS($B$5:$B$1635,B660,$C$5:$C$1635,"&lt;"&amp;C660)&gt;0),1,0)</f>
        <v>0</v>
      </c>
      <c r="I660" s="29" t="n">
        <f aca="false">IF(AND(D660="Feature Use",COUNTIFS($B$5:B660,B660,$D$5:D660,"Feature Use",$E$5:E660,E660)=1),1,0)</f>
        <v>0</v>
      </c>
      <c r="J660" s="29" t="n">
        <f aca="false">IF(AND(D660="Feature Use",COUNTIFS($B$5:B660,B660,$D$5:D660,"Feature Use",$E$5:E660,E660)=2),1,0)</f>
        <v>0</v>
      </c>
      <c r="K660" s="29" t="n">
        <f aca="false">IF(COUNTIF($B$5:B660,B660)=1,1,0)</f>
        <v>0</v>
      </c>
      <c r="L660" s="29" t="n">
        <f aca="false">IF(AND(C660&gt;=Settings!$B$5-Settings!$B$8+1,C660&lt;=Settings!$B$5,COUNTIFS($B$5:B660,B660,$C$5:C660,"&gt;="&amp;(Settings!$B$5-Settings!$B$8+1),$C$5:C660,"&lt;="&amp;Settings!$B$5)=1),1,0)</f>
        <v>0</v>
      </c>
      <c r="M660" s="29" t="n">
        <f aca="false">IF(AND(C660&gt;=Settings!$B$5-Settings!$B$9+1,C660&lt;=Settings!$B$5,COUNTIFS($B$5:B660,B660,$C$5:C660,"&gt;="&amp;(Settings!$B$5-Settings!$B$9+1),$C$5:C660,"&lt;="&amp;Settings!$B$5)=1),1,0)</f>
        <v>0</v>
      </c>
      <c r="N660" s="29" t="n">
        <f aca="false">IF(AND(D660="Feature Use",COUNTIFS($B$5:B660,B660,$D$5:D660,"Feature Use")=1),1,0)</f>
        <v>0</v>
      </c>
    </row>
    <row r="661" customFormat="false" ht="15" hidden="false" customHeight="false" outlineLevel="0" collapsed="false">
      <c r="A661" s="22" t="s">
        <v>968</v>
      </c>
      <c r="B661" s="22" t="s">
        <v>196</v>
      </c>
      <c r="C661" s="31" t="n">
        <v>46288</v>
      </c>
      <c r="D661" s="22" t="s">
        <v>297</v>
      </c>
      <c r="E661" s="22" t="s">
        <v>298</v>
      </c>
      <c r="F661" s="29" t="str">
        <f aca="false">IF(COUNTIF(Referral_Data!$C$5:$C$1000,B661)&gt;0,"Referred",IF(COUNTIF(Referral_Data!$B$5:$B$1000,B661)&gt;0,"Referrer","Organic"))</f>
        <v>Referrer</v>
      </c>
      <c r="G661" s="29" t="n">
        <f aca="false">IF(COUNTIFS($B$5:B661,B661,$C$5:C661,C661)=1,1,0)</f>
        <v>1</v>
      </c>
      <c r="H661" s="29" t="n">
        <f aca="false">IF(AND(G661=1,COUNTIFS($B$5:$B$1635,B661,$C$5:$C$1635,"&lt;"&amp;C661)&gt;0),1,0)</f>
        <v>1</v>
      </c>
      <c r="I661" s="29" t="n">
        <f aca="false">IF(AND(D661="Feature Use",COUNTIFS($B$5:B661,B661,$D$5:D661,"Feature Use",$E$5:E661,E661)=1),1,0)</f>
        <v>0</v>
      </c>
      <c r="J661" s="29" t="n">
        <f aca="false">IF(AND(D661="Feature Use",COUNTIFS($B$5:B661,B661,$D$5:D661,"Feature Use",$E$5:E661,E661)=2),1,0)</f>
        <v>0</v>
      </c>
      <c r="K661" s="29" t="n">
        <f aca="false">IF(COUNTIF($B$5:B661,B661)=1,1,0)</f>
        <v>0</v>
      </c>
      <c r="L661" s="29" t="n">
        <f aca="false">IF(AND(C661&gt;=Settings!$B$5-Settings!$B$8+1,C661&lt;=Settings!$B$5,COUNTIFS($B$5:B661,B661,$C$5:C661,"&gt;="&amp;(Settings!$B$5-Settings!$B$8+1),$C$5:C661,"&lt;="&amp;Settings!$B$5)=1),1,0)</f>
        <v>0</v>
      </c>
      <c r="M661" s="29" t="n">
        <f aca="false">IF(AND(C661&gt;=Settings!$B$5-Settings!$B$9+1,C661&lt;=Settings!$B$5,COUNTIFS($B$5:B661,B661,$C$5:C661,"&gt;="&amp;(Settings!$B$5-Settings!$B$9+1),$C$5:C661,"&lt;="&amp;Settings!$B$5)=1),1,0)</f>
        <v>0</v>
      </c>
      <c r="N661" s="29" t="n">
        <f aca="false">IF(AND(D661="Feature Use",COUNTIFS($B$5:B661,B661,$D$5:D661,"Feature Use")=1),1,0)</f>
        <v>0</v>
      </c>
    </row>
    <row r="662" customFormat="false" ht="15" hidden="false" customHeight="false" outlineLevel="0" collapsed="false">
      <c r="A662" s="22" t="s">
        <v>969</v>
      </c>
      <c r="B662" s="22" t="s">
        <v>196</v>
      </c>
      <c r="C662" s="31" t="n">
        <v>46288</v>
      </c>
      <c r="D662" s="22" t="s">
        <v>300</v>
      </c>
      <c r="E662" s="22" t="s">
        <v>311</v>
      </c>
      <c r="F662" s="29" t="str">
        <f aca="false">IF(COUNTIF(Referral_Data!$C$5:$C$1000,B662)&gt;0,"Referred",IF(COUNTIF(Referral_Data!$B$5:$B$1000,B662)&gt;0,"Referrer","Organic"))</f>
        <v>Referrer</v>
      </c>
      <c r="G662" s="29" t="n">
        <f aca="false">IF(COUNTIFS($B$5:B662,B662,$C$5:C662,C662)=1,1,0)</f>
        <v>0</v>
      </c>
      <c r="H662" s="29" t="n">
        <f aca="false">IF(AND(G662=1,COUNTIFS($B$5:$B$1635,B662,$C$5:$C$1635,"&lt;"&amp;C662)&gt;0),1,0)</f>
        <v>0</v>
      </c>
      <c r="I662" s="29" t="n">
        <f aca="false">IF(AND(D662="Feature Use",COUNTIFS($B$5:B662,B662,$D$5:D662,"Feature Use",$E$5:E662,E662)=1),1,0)</f>
        <v>0</v>
      </c>
      <c r="J662" s="29" t="n">
        <f aca="false">IF(AND(D662="Feature Use",COUNTIFS($B$5:B662,B662,$D$5:D662,"Feature Use",$E$5:E662,E662)=2),1,0)</f>
        <v>0</v>
      </c>
      <c r="K662" s="29" t="n">
        <f aca="false">IF(COUNTIF($B$5:B662,B662)=1,1,0)</f>
        <v>0</v>
      </c>
      <c r="L662" s="29" t="n">
        <f aca="false">IF(AND(C662&gt;=Settings!$B$5-Settings!$B$8+1,C662&lt;=Settings!$B$5,COUNTIFS($B$5:B662,B662,$C$5:C662,"&gt;="&amp;(Settings!$B$5-Settings!$B$8+1),$C$5:C662,"&lt;="&amp;Settings!$B$5)=1),1,0)</f>
        <v>0</v>
      </c>
      <c r="M662" s="29" t="n">
        <f aca="false">IF(AND(C662&gt;=Settings!$B$5-Settings!$B$9+1,C662&lt;=Settings!$B$5,COUNTIFS($B$5:B662,B662,$C$5:C662,"&gt;="&amp;(Settings!$B$5-Settings!$B$9+1),$C$5:C662,"&lt;="&amp;Settings!$B$5)=1),1,0)</f>
        <v>0</v>
      </c>
      <c r="N662" s="29" t="n">
        <f aca="false">IF(AND(D662="Feature Use",COUNTIFS($B$5:B662,B662,$D$5:D662,"Feature Use")=1),1,0)</f>
        <v>0</v>
      </c>
    </row>
    <row r="663" customFormat="false" ht="15" hidden="false" customHeight="false" outlineLevel="0" collapsed="false">
      <c r="A663" s="22" t="s">
        <v>970</v>
      </c>
      <c r="B663" s="22" t="s">
        <v>196</v>
      </c>
      <c r="C663" s="31" t="n">
        <v>46288</v>
      </c>
      <c r="D663" s="22" t="s">
        <v>308</v>
      </c>
      <c r="E663" s="22" t="s">
        <v>301</v>
      </c>
      <c r="F663" s="29" t="str">
        <f aca="false">IF(COUNTIF(Referral_Data!$C$5:$C$1000,B663)&gt;0,"Referred",IF(COUNTIF(Referral_Data!$B$5:$B$1000,B663)&gt;0,"Referrer","Organic"))</f>
        <v>Referrer</v>
      </c>
      <c r="G663" s="29" t="n">
        <f aca="false">IF(COUNTIFS($B$5:B663,B663,$C$5:C663,C663)=1,1,0)</f>
        <v>0</v>
      </c>
      <c r="H663" s="29" t="n">
        <f aca="false">IF(AND(G663=1,COUNTIFS($B$5:$B$1635,B663,$C$5:$C$1635,"&lt;"&amp;C663)&gt;0),1,0)</f>
        <v>0</v>
      </c>
      <c r="I663" s="29" t="n">
        <f aca="false">IF(AND(D663="Feature Use",COUNTIFS($B$5:B663,B663,$D$5:D663,"Feature Use",$E$5:E663,E663)=1),1,0)</f>
        <v>0</v>
      </c>
      <c r="J663" s="29" t="n">
        <f aca="false">IF(AND(D663="Feature Use",COUNTIFS($B$5:B663,B663,$D$5:D663,"Feature Use",$E$5:E663,E663)=2),1,0)</f>
        <v>0</v>
      </c>
      <c r="K663" s="29" t="n">
        <f aca="false">IF(COUNTIF($B$5:B663,B663)=1,1,0)</f>
        <v>0</v>
      </c>
      <c r="L663" s="29" t="n">
        <f aca="false">IF(AND(C663&gt;=Settings!$B$5-Settings!$B$8+1,C663&lt;=Settings!$B$5,COUNTIFS($B$5:B663,B663,$C$5:C663,"&gt;="&amp;(Settings!$B$5-Settings!$B$8+1),$C$5:C663,"&lt;="&amp;Settings!$B$5)=1),1,0)</f>
        <v>0</v>
      </c>
      <c r="M663" s="29" t="n">
        <f aca="false">IF(AND(C663&gt;=Settings!$B$5-Settings!$B$9+1,C663&lt;=Settings!$B$5,COUNTIFS($B$5:B663,B663,$C$5:C663,"&gt;="&amp;(Settings!$B$5-Settings!$B$9+1),$C$5:C663,"&lt;="&amp;Settings!$B$5)=1),1,0)</f>
        <v>0</v>
      </c>
      <c r="N663" s="29" t="n">
        <f aca="false">IF(AND(D663="Feature Use",COUNTIFS($B$5:B663,B663,$D$5:D663,"Feature Use")=1),1,0)</f>
        <v>0</v>
      </c>
    </row>
    <row r="664" customFormat="false" ht="15" hidden="false" customHeight="false" outlineLevel="0" collapsed="false">
      <c r="A664" s="22" t="s">
        <v>971</v>
      </c>
      <c r="B664" s="22" t="s">
        <v>208</v>
      </c>
      <c r="C664" s="31" t="n">
        <v>46288</v>
      </c>
      <c r="D664" s="22" t="s">
        <v>297</v>
      </c>
      <c r="E664" s="22" t="s">
        <v>298</v>
      </c>
      <c r="F664" s="29" t="str">
        <f aca="false">IF(COUNTIF(Referral_Data!$C$5:$C$1000,B664)&gt;0,"Referred",IF(COUNTIF(Referral_Data!$B$5:$B$1000,B664)&gt;0,"Referrer","Organic"))</f>
        <v>Referrer</v>
      </c>
      <c r="G664" s="29" t="n">
        <f aca="false">IF(COUNTIFS($B$5:B664,B664,$C$5:C664,C664)=1,1,0)</f>
        <v>1</v>
      </c>
      <c r="H664" s="29" t="n">
        <f aca="false">IF(AND(G664=1,COUNTIFS($B$5:$B$1635,B664,$C$5:$C$1635,"&lt;"&amp;C664)&gt;0),1,0)</f>
        <v>1</v>
      </c>
      <c r="I664" s="29" t="n">
        <f aca="false">IF(AND(D664="Feature Use",COUNTIFS($B$5:B664,B664,$D$5:D664,"Feature Use",$E$5:E664,E664)=1),1,0)</f>
        <v>0</v>
      </c>
      <c r="J664" s="29" t="n">
        <f aca="false">IF(AND(D664="Feature Use",COUNTIFS($B$5:B664,B664,$D$5:D664,"Feature Use",$E$5:E664,E664)=2),1,0)</f>
        <v>0</v>
      </c>
      <c r="K664" s="29" t="n">
        <f aca="false">IF(COUNTIF($B$5:B664,B664)=1,1,0)</f>
        <v>0</v>
      </c>
      <c r="L664" s="29" t="n">
        <f aca="false">IF(AND(C664&gt;=Settings!$B$5-Settings!$B$8+1,C664&lt;=Settings!$B$5,COUNTIFS($B$5:B664,B664,$C$5:C664,"&gt;="&amp;(Settings!$B$5-Settings!$B$8+1),$C$5:C664,"&lt;="&amp;Settings!$B$5)=1),1,0)</f>
        <v>0</v>
      </c>
      <c r="M664" s="29" t="n">
        <f aca="false">IF(AND(C664&gt;=Settings!$B$5-Settings!$B$9+1,C664&lt;=Settings!$B$5,COUNTIFS($B$5:B664,B664,$C$5:C664,"&gt;="&amp;(Settings!$B$5-Settings!$B$9+1),$C$5:C664,"&lt;="&amp;Settings!$B$5)=1),1,0)</f>
        <v>0</v>
      </c>
      <c r="N664" s="29" t="n">
        <f aca="false">IF(AND(D664="Feature Use",COUNTIFS($B$5:B664,B664,$D$5:D664,"Feature Use")=1),1,0)</f>
        <v>0</v>
      </c>
    </row>
    <row r="665" customFormat="false" ht="15" hidden="false" customHeight="false" outlineLevel="0" collapsed="false">
      <c r="A665" s="22" t="s">
        <v>972</v>
      </c>
      <c r="B665" s="22" t="s">
        <v>208</v>
      </c>
      <c r="C665" s="31" t="n">
        <v>46288</v>
      </c>
      <c r="D665" s="22" t="s">
        <v>300</v>
      </c>
      <c r="E665" s="22" t="s">
        <v>301</v>
      </c>
      <c r="F665" s="29" t="str">
        <f aca="false">IF(COUNTIF(Referral_Data!$C$5:$C$1000,B665)&gt;0,"Referred",IF(COUNTIF(Referral_Data!$B$5:$B$1000,B665)&gt;0,"Referrer","Organic"))</f>
        <v>Referrer</v>
      </c>
      <c r="G665" s="29" t="n">
        <f aca="false">IF(COUNTIFS($B$5:B665,B665,$C$5:C665,C665)=1,1,0)</f>
        <v>0</v>
      </c>
      <c r="H665" s="29" t="n">
        <f aca="false">IF(AND(G665=1,COUNTIFS($B$5:$B$1635,B665,$C$5:$C$1635,"&lt;"&amp;C665)&gt;0),1,0)</f>
        <v>0</v>
      </c>
      <c r="I665" s="29" t="n">
        <f aca="false">IF(AND(D665="Feature Use",COUNTIFS($B$5:B665,B665,$D$5:D665,"Feature Use",$E$5:E665,E665)=1),1,0)</f>
        <v>0</v>
      </c>
      <c r="J665" s="29" t="n">
        <f aca="false">IF(AND(D665="Feature Use",COUNTIFS($B$5:B665,B665,$D$5:D665,"Feature Use",$E$5:E665,E665)=2),1,0)</f>
        <v>1</v>
      </c>
      <c r="K665" s="29" t="n">
        <f aca="false">IF(COUNTIF($B$5:B665,B665)=1,1,0)</f>
        <v>0</v>
      </c>
      <c r="L665" s="29" t="n">
        <f aca="false">IF(AND(C665&gt;=Settings!$B$5-Settings!$B$8+1,C665&lt;=Settings!$B$5,COUNTIFS($B$5:B665,B665,$C$5:C665,"&gt;="&amp;(Settings!$B$5-Settings!$B$8+1),$C$5:C665,"&lt;="&amp;Settings!$B$5)=1),1,0)</f>
        <v>0</v>
      </c>
      <c r="M665" s="29" t="n">
        <f aca="false">IF(AND(C665&gt;=Settings!$B$5-Settings!$B$9+1,C665&lt;=Settings!$B$5,COUNTIFS($B$5:B665,B665,$C$5:C665,"&gt;="&amp;(Settings!$B$5-Settings!$B$9+1),$C$5:C665,"&lt;="&amp;Settings!$B$5)=1),1,0)</f>
        <v>0</v>
      </c>
      <c r="N665" s="29" t="n">
        <f aca="false">IF(AND(D665="Feature Use",COUNTIFS($B$5:B665,B665,$D$5:D665,"Feature Use")=1),1,0)</f>
        <v>0</v>
      </c>
    </row>
    <row r="666" customFormat="false" ht="15" hidden="false" customHeight="false" outlineLevel="0" collapsed="false">
      <c r="A666" s="22" t="s">
        <v>973</v>
      </c>
      <c r="B666" s="22" t="s">
        <v>203</v>
      </c>
      <c r="C666" s="31" t="n">
        <v>46288</v>
      </c>
      <c r="D666" s="22" t="s">
        <v>297</v>
      </c>
      <c r="E666" s="22" t="s">
        <v>298</v>
      </c>
      <c r="F666" s="29" t="str">
        <f aca="false">IF(COUNTIF(Referral_Data!$C$5:$C$1000,B666)&gt;0,"Referred",IF(COUNTIF(Referral_Data!$B$5:$B$1000,B666)&gt;0,"Referrer","Organic"))</f>
        <v>Referrer</v>
      </c>
      <c r="G666" s="29" t="n">
        <f aca="false">IF(COUNTIFS($B$5:B666,B666,$C$5:C666,C666)=1,1,0)</f>
        <v>1</v>
      </c>
      <c r="H666" s="29" t="n">
        <f aca="false">IF(AND(G666=1,COUNTIFS($B$5:$B$1635,B666,$C$5:$C$1635,"&lt;"&amp;C666)&gt;0),1,0)</f>
        <v>1</v>
      </c>
      <c r="I666" s="29" t="n">
        <f aca="false">IF(AND(D666="Feature Use",COUNTIFS($B$5:B666,B666,$D$5:D666,"Feature Use",$E$5:E666,E666)=1),1,0)</f>
        <v>0</v>
      </c>
      <c r="J666" s="29" t="n">
        <f aca="false">IF(AND(D666="Feature Use",COUNTIFS($B$5:B666,B666,$D$5:D666,"Feature Use",$E$5:E666,E666)=2),1,0)</f>
        <v>0</v>
      </c>
      <c r="K666" s="29" t="n">
        <f aca="false">IF(COUNTIF($B$5:B666,B666)=1,1,0)</f>
        <v>0</v>
      </c>
      <c r="L666" s="29" t="n">
        <f aca="false">IF(AND(C666&gt;=Settings!$B$5-Settings!$B$8+1,C666&lt;=Settings!$B$5,COUNTIFS($B$5:B666,B666,$C$5:C666,"&gt;="&amp;(Settings!$B$5-Settings!$B$8+1),$C$5:C666,"&lt;="&amp;Settings!$B$5)=1),1,0)</f>
        <v>0</v>
      </c>
      <c r="M666" s="29" t="n">
        <f aca="false">IF(AND(C666&gt;=Settings!$B$5-Settings!$B$9+1,C666&lt;=Settings!$B$5,COUNTIFS($B$5:B666,B666,$C$5:C666,"&gt;="&amp;(Settings!$B$5-Settings!$B$9+1),$C$5:C666,"&lt;="&amp;Settings!$B$5)=1),1,0)</f>
        <v>0</v>
      </c>
      <c r="N666" s="29" t="n">
        <f aca="false">IF(AND(D666="Feature Use",COUNTIFS($B$5:B666,B666,$D$5:D666,"Feature Use")=1),1,0)</f>
        <v>0</v>
      </c>
    </row>
    <row r="667" customFormat="false" ht="15" hidden="false" customHeight="false" outlineLevel="0" collapsed="false">
      <c r="A667" s="22" t="s">
        <v>974</v>
      </c>
      <c r="B667" s="22" t="s">
        <v>203</v>
      </c>
      <c r="C667" s="31" t="n">
        <v>46288</v>
      </c>
      <c r="D667" s="22" t="s">
        <v>300</v>
      </c>
      <c r="E667" s="22" t="s">
        <v>305</v>
      </c>
      <c r="F667" s="29" t="str">
        <f aca="false">IF(COUNTIF(Referral_Data!$C$5:$C$1000,B667)&gt;0,"Referred",IF(COUNTIF(Referral_Data!$B$5:$B$1000,B667)&gt;0,"Referrer","Organic"))</f>
        <v>Referrer</v>
      </c>
      <c r="G667" s="29" t="n">
        <f aca="false">IF(COUNTIFS($B$5:B667,B667,$C$5:C667,C667)=1,1,0)</f>
        <v>0</v>
      </c>
      <c r="H667" s="29" t="n">
        <f aca="false">IF(AND(G667=1,COUNTIFS($B$5:$B$1635,B667,$C$5:$C$1635,"&lt;"&amp;C667)&gt;0),1,0)</f>
        <v>0</v>
      </c>
      <c r="I667" s="29" t="n">
        <f aca="false">IF(AND(D667="Feature Use",COUNTIFS($B$5:B667,B667,$D$5:D667,"Feature Use",$E$5:E667,E667)=1),1,0)</f>
        <v>0</v>
      </c>
      <c r="J667" s="29" t="n">
        <f aca="false">IF(AND(D667="Feature Use",COUNTIFS($B$5:B667,B667,$D$5:D667,"Feature Use",$E$5:E667,E667)=2),1,0)</f>
        <v>0</v>
      </c>
      <c r="K667" s="29" t="n">
        <f aca="false">IF(COUNTIF($B$5:B667,B667)=1,1,0)</f>
        <v>0</v>
      </c>
      <c r="L667" s="29" t="n">
        <f aca="false">IF(AND(C667&gt;=Settings!$B$5-Settings!$B$8+1,C667&lt;=Settings!$B$5,COUNTIFS($B$5:B667,B667,$C$5:C667,"&gt;="&amp;(Settings!$B$5-Settings!$B$8+1),$C$5:C667,"&lt;="&amp;Settings!$B$5)=1),1,0)</f>
        <v>0</v>
      </c>
      <c r="M667" s="29" t="n">
        <f aca="false">IF(AND(C667&gt;=Settings!$B$5-Settings!$B$9+1,C667&lt;=Settings!$B$5,COUNTIFS($B$5:B667,B667,$C$5:C667,"&gt;="&amp;(Settings!$B$5-Settings!$B$9+1),$C$5:C667,"&lt;="&amp;Settings!$B$5)=1),1,0)</f>
        <v>0</v>
      </c>
      <c r="N667" s="29" t="n">
        <f aca="false">IF(AND(D667="Feature Use",COUNTIFS($B$5:B667,B667,$D$5:D667,"Feature Use")=1),1,0)</f>
        <v>0</v>
      </c>
    </row>
    <row r="668" customFormat="false" ht="15" hidden="false" customHeight="false" outlineLevel="0" collapsed="false">
      <c r="A668" s="22" t="s">
        <v>975</v>
      </c>
      <c r="B668" s="22" t="s">
        <v>203</v>
      </c>
      <c r="C668" s="31" t="n">
        <v>46288</v>
      </c>
      <c r="D668" s="22" t="s">
        <v>300</v>
      </c>
      <c r="E668" s="22" t="s">
        <v>305</v>
      </c>
      <c r="F668" s="29" t="str">
        <f aca="false">IF(COUNTIF(Referral_Data!$C$5:$C$1000,B668)&gt;0,"Referred",IF(COUNTIF(Referral_Data!$B$5:$B$1000,B668)&gt;0,"Referrer","Organic"))</f>
        <v>Referrer</v>
      </c>
      <c r="G668" s="29" t="n">
        <f aca="false">IF(COUNTIFS($B$5:B668,B668,$C$5:C668,C668)=1,1,0)</f>
        <v>0</v>
      </c>
      <c r="H668" s="29" t="n">
        <f aca="false">IF(AND(G668=1,COUNTIFS($B$5:$B$1635,B668,$C$5:$C$1635,"&lt;"&amp;C668)&gt;0),1,0)</f>
        <v>0</v>
      </c>
      <c r="I668" s="29" t="n">
        <f aca="false">IF(AND(D668="Feature Use",COUNTIFS($B$5:B668,B668,$D$5:D668,"Feature Use",$E$5:E668,E668)=1),1,0)</f>
        <v>0</v>
      </c>
      <c r="J668" s="29" t="n">
        <f aca="false">IF(AND(D668="Feature Use",COUNTIFS($B$5:B668,B668,$D$5:D668,"Feature Use",$E$5:E668,E668)=2),1,0)</f>
        <v>0</v>
      </c>
      <c r="K668" s="29" t="n">
        <f aca="false">IF(COUNTIF($B$5:B668,B668)=1,1,0)</f>
        <v>0</v>
      </c>
      <c r="L668" s="29" t="n">
        <f aca="false">IF(AND(C668&gt;=Settings!$B$5-Settings!$B$8+1,C668&lt;=Settings!$B$5,COUNTIFS($B$5:B668,B668,$C$5:C668,"&gt;="&amp;(Settings!$B$5-Settings!$B$8+1),$C$5:C668,"&lt;="&amp;Settings!$B$5)=1),1,0)</f>
        <v>0</v>
      </c>
      <c r="M668" s="29" t="n">
        <f aca="false">IF(AND(C668&gt;=Settings!$B$5-Settings!$B$9+1,C668&lt;=Settings!$B$5,COUNTIFS($B$5:B668,B668,$C$5:C668,"&gt;="&amp;(Settings!$B$5-Settings!$B$9+1),$C$5:C668,"&lt;="&amp;Settings!$B$5)=1),1,0)</f>
        <v>0</v>
      </c>
      <c r="N668" s="29" t="n">
        <f aca="false">IF(AND(D668="Feature Use",COUNTIFS($B$5:B668,B668,$D$5:D668,"Feature Use")=1),1,0)</f>
        <v>0</v>
      </c>
    </row>
    <row r="669" customFormat="false" ht="15" hidden="false" customHeight="false" outlineLevel="0" collapsed="false">
      <c r="A669" s="22" t="s">
        <v>976</v>
      </c>
      <c r="B669" s="22" t="s">
        <v>203</v>
      </c>
      <c r="C669" s="31" t="n">
        <v>46288</v>
      </c>
      <c r="D669" s="22" t="s">
        <v>308</v>
      </c>
      <c r="E669" s="22" t="s">
        <v>305</v>
      </c>
      <c r="F669" s="29" t="str">
        <f aca="false">IF(COUNTIF(Referral_Data!$C$5:$C$1000,B669)&gt;0,"Referred",IF(COUNTIF(Referral_Data!$B$5:$B$1000,B669)&gt;0,"Referrer","Organic"))</f>
        <v>Referrer</v>
      </c>
      <c r="G669" s="29" t="n">
        <f aca="false">IF(COUNTIFS($B$5:B669,B669,$C$5:C669,C669)=1,1,0)</f>
        <v>0</v>
      </c>
      <c r="H669" s="29" t="n">
        <f aca="false">IF(AND(G669=1,COUNTIFS($B$5:$B$1635,B669,$C$5:$C$1635,"&lt;"&amp;C669)&gt;0),1,0)</f>
        <v>0</v>
      </c>
      <c r="I669" s="29" t="n">
        <f aca="false">IF(AND(D669="Feature Use",COUNTIFS($B$5:B669,B669,$D$5:D669,"Feature Use",$E$5:E669,E669)=1),1,0)</f>
        <v>0</v>
      </c>
      <c r="J669" s="29" t="n">
        <f aca="false">IF(AND(D669="Feature Use",COUNTIFS($B$5:B669,B669,$D$5:D669,"Feature Use",$E$5:E669,E669)=2),1,0)</f>
        <v>0</v>
      </c>
      <c r="K669" s="29" t="n">
        <f aca="false">IF(COUNTIF($B$5:B669,B669)=1,1,0)</f>
        <v>0</v>
      </c>
      <c r="L669" s="29" t="n">
        <f aca="false">IF(AND(C669&gt;=Settings!$B$5-Settings!$B$8+1,C669&lt;=Settings!$B$5,COUNTIFS($B$5:B669,B669,$C$5:C669,"&gt;="&amp;(Settings!$B$5-Settings!$B$8+1),$C$5:C669,"&lt;="&amp;Settings!$B$5)=1),1,0)</f>
        <v>0</v>
      </c>
      <c r="M669" s="29" t="n">
        <f aca="false">IF(AND(C669&gt;=Settings!$B$5-Settings!$B$9+1,C669&lt;=Settings!$B$5,COUNTIFS($B$5:B669,B669,$C$5:C669,"&gt;="&amp;(Settings!$B$5-Settings!$B$9+1),$C$5:C669,"&lt;="&amp;Settings!$B$5)=1),1,0)</f>
        <v>0</v>
      </c>
      <c r="N669" s="29" t="n">
        <f aca="false">IF(AND(D669="Feature Use",COUNTIFS($B$5:B669,B669,$D$5:D669,"Feature Use")=1),1,0)</f>
        <v>0</v>
      </c>
    </row>
    <row r="670" customFormat="false" ht="15" hidden="false" customHeight="false" outlineLevel="0" collapsed="false">
      <c r="A670" s="22" t="s">
        <v>977</v>
      </c>
      <c r="B670" s="22" t="s">
        <v>203</v>
      </c>
      <c r="C670" s="31" t="n">
        <v>46288</v>
      </c>
      <c r="D670" s="22" t="s">
        <v>308</v>
      </c>
      <c r="E670" s="22" t="s">
        <v>311</v>
      </c>
      <c r="F670" s="29" t="str">
        <f aca="false">IF(COUNTIF(Referral_Data!$C$5:$C$1000,B670)&gt;0,"Referred",IF(COUNTIF(Referral_Data!$B$5:$B$1000,B670)&gt;0,"Referrer","Organic"))</f>
        <v>Referrer</v>
      </c>
      <c r="G670" s="29" t="n">
        <f aca="false">IF(COUNTIFS($B$5:B670,B670,$C$5:C670,C670)=1,1,0)</f>
        <v>0</v>
      </c>
      <c r="H670" s="29" t="n">
        <f aca="false">IF(AND(G670=1,COUNTIFS($B$5:$B$1635,B670,$C$5:$C$1635,"&lt;"&amp;C670)&gt;0),1,0)</f>
        <v>0</v>
      </c>
      <c r="I670" s="29" t="n">
        <f aca="false">IF(AND(D670="Feature Use",COUNTIFS($B$5:B670,B670,$D$5:D670,"Feature Use",$E$5:E670,E670)=1),1,0)</f>
        <v>0</v>
      </c>
      <c r="J670" s="29" t="n">
        <f aca="false">IF(AND(D670="Feature Use",COUNTIFS($B$5:B670,B670,$D$5:D670,"Feature Use",$E$5:E670,E670)=2),1,0)</f>
        <v>0</v>
      </c>
      <c r="K670" s="29" t="n">
        <f aca="false">IF(COUNTIF($B$5:B670,B670)=1,1,0)</f>
        <v>0</v>
      </c>
      <c r="L670" s="29" t="n">
        <f aca="false">IF(AND(C670&gt;=Settings!$B$5-Settings!$B$8+1,C670&lt;=Settings!$B$5,COUNTIFS($B$5:B670,B670,$C$5:C670,"&gt;="&amp;(Settings!$B$5-Settings!$B$8+1),$C$5:C670,"&lt;="&amp;Settings!$B$5)=1),1,0)</f>
        <v>0</v>
      </c>
      <c r="M670" s="29" t="n">
        <f aca="false">IF(AND(C670&gt;=Settings!$B$5-Settings!$B$9+1,C670&lt;=Settings!$B$5,COUNTIFS($B$5:B670,B670,$C$5:C670,"&gt;="&amp;(Settings!$B$5-Settings!$B$9+1),$C$5:C670,"&lt;="&amp;Settings!$B$5)=1),1,0)</f>
        <v>0</v>
      </c>
      <c r="N670" s="29" t="n">
        <f aca="false">IF(AND(D670="Feature Use",COUNTIFS($B$5:B670,B670,$D$5:D670,"Feature Use")=1),1,0)</f>
        <v>0</v>
      </c>
    </row>
    <row r="671" customFormat="false" ht="15" hidden="false" customHeight="false" outlineLevel="0" collapsed="false">
      <c r="A671" s="22" t="s">
        <v>978</v>
      </c>
      <c r="B671" s="22" t="s">
        <v>215</v>
      </c>
      <c r="C671" s="31" t="n">
        <v>46288</v>
      </c>
      <c r="D671" s="22" t="s">
        <v>297</v>
      </c>
      <c r="E671" s="22" t="s">
        <v>298</v>
      </c>
      <c r="F671" s="29" t="str">
        <f aca="false">IF(COUNTIF(Referral_Data!$C$5:$C$1000,B671)&gt;0,"Referred",IF(COUNTIF(Referral_Data!$B$5:$B$1000,B671)&gt;0,"Referrer","Organic"))</f>
        <v>Referrer</v>
      </c>
      <c r="G671" s="29" t="n">
        <f aca="false">IF(COUNTIFS($B$5:B671,B671,$C$5:C671,C671)=1,1,0)</f>
        <v>1</v>
      </c>
      <c r="H671" s="29" t="n">
        <f aca="false">IF(AND(G671=1,COUNTIFS($B$5:$B$1635,B671,$C$5:$C$1635,"&lt;"&amp;C671)&gt;0),1,0)</f>
        <v>1</v>
      </c>
      <c r="I671" s="29" t="n">
        <f aca="false">IF(AND(D671="Feature Use",COUNTIFS($B$5:B671,B671,$D$5:D671,"Feature Use",$E$5:E671,E671)=1),1,0)</f>
        <v>0</v>
      </c>
      <c r="J671" s="29" t="n">
        <f aca="false">IF(AND(D671="Feature Use",COUNTIFS($B$5:B671,B671,$D$5:D671,"Feature Use",$E$5:E671,E671)=2),1,0)</f>
        <v>0</v>
      </c>
      <c r="K671" s="29" t="n">
        <f aca="false">IF(COUNTIF($B$5:B671,B671)=1,1,0)</f>
        <v>0</v>
      </c>
      <c r="L671" s="29" t="n">
        <f aca="false">IF(AND(C671&gt;=Settings!$B$5-Settings!$B$8+1,C671&lt;=Settings!$B$5,COUNTIFS($B$5:B671,B671,$C$5:C671,"&gt;="&amp;(Settings!$B$5-Settings!$B$8+1),$C$5:C671,"&lt;="&amp;Settings!$B$5)=1),1,0)</f>
        <v>0</v>
      </c>
      <c r="M671" s="29" t="n">
        <f aca="false">IF(AND(C671&gt;=Settings!$B$5-Settings!$B$9+1,C671&lt;=Settings!$B$5,COUNTIFS($B$5:B671,B671,$C$5:C671,"&gt;="&amp;(Settings!$B$5-Settings!$B$9+1),$C$5:C671,"&lt;="&amp;Settings!$B$5)=1),1,0)</f>
        <v>1</v>
      </c>
      <c r="N671" s="29" t="n">
        <f aca="false">IF(AND(D671="Feature Use",COUNTIFS($B$5:B671,B671,$D$5:D671,"Feature Use")=1),1,0)</f>
        <v>0</v>
      </c>
    </row>
    <row r="672" customFormat="false" ht="15" hidden="false" customHeight="false" outlineLevel="0" collapsed="false">
      <c r="A672" s="22" t="s">
        <v>979</v>
      </c>
      <c r="B672" s="22" t="s">
        <v>215</v>
      </c>
      <c r="C672" s="31" t="n">
        <v>46288</v>
      </c>
      <c r="D672" s="22" t="s">
        <v>300</v>
      </c>
      <c r="E672" s="22" t="s">
        <v>305</v>
      </c>
      <c r="F672" s="29" t="str">
        <f aca="false">IF(COUNTIF(Referral_Data!$C$5:$C$1000,B672)&gt;0,"Referred",IF(COUNTIF(Referral_Data!$B$5:$B$1000,B672)&gt;0,"Referrer","Organic"))</f>
        <v>Referrer</v>
      </c>
      <c r="G672" s="29" t="n">
        <f aca="false">IF(COUNTIFS($B$5:B672,B672,$C$5:C672,C672)=1,1,0)</f>
        <v>0</v>
      </c>
      <c r="H672" s="29" t="n">
        <f aca="false">IF(AND(G672=1,COUNTIFS($B$5:$B$1635,B672,$C$5:$C$1635,"&lt;"&amp;C672)&gt;0),1,0)</f>
        <v>0</v>
      </c>
      <c r="I672" s="29" t="n">
        <f aca="false">IF(AND(D672="Feature Use",COUNTIFS($B$5:B672,B672,$D$5:D672,"Feature Use",$E$5:E672,E672)=1),1,0)</f>
        <v>0</v>
      </c>
      <c r="J672" s="29" t="n">
        <f aca="false">IF(AND(D672="Feature Use",COUNTIFS($B$5:B672,B672,$D$5:D672,"Feature Use",$E$5:E672,E672)=2),1,0)</f>
        <v>1</v>
      </c>
      <c r="K672" s="29" t="n">
        <f aca="false">IF(COUNTIF($B$5:B672,B672)=1,1,0)</f>
        <v>0</v>
      </c>
      <c r="L672" s="29" t="n">
        <f aca="false">IF(AND(C672&gt;=Settings!$B$5-Settings!$B$8+1,C672&lt;=Settings!$B$5,COUNTIFS($B$5:B672,B672,$C$5:C672,"&gt;="&amp;(Settings!$B$5-Settings!$B$8+1),$C$5:C672,"&lt;="&amp;Settings!$B$5)=1),1,0)</f>
        <v>0</v>
      </c>
      <c r="M672" s="29" t="n">
        <f aca="false">IF(AND(C672&gt;=Settings!$B$5-Settings!$B$9+1,C672&lt;=Settings!$B$5,COUNTIFS($B$5:B672,B672,$C$5:C672,"&gt;="&amp;(Settings!$B$5-Settings!$B$9+1),$C$5:C672,"&lt;="&amp;Settings!$B$5)=1),1,0)</f>
        <v>0</v>
      </c>
      <c r="N672" s="29" t="n">
        <f aca="false">IF(AND(D672="Feature Use",COUNTIFS($B$5:B672,B672,$D$5:D672,"Feature Use")=1),1,0)</f>
        <v>0</v>
      </c>
    </row>
    <row r="673" customFormat="false" ht="15" hidden="false" customHeight="false" outlineLevel="0" collapsed="false">
      <c r="A673" s="22" t="s">
        <v>980</v>
      </c>
      <c r="B673" s="22" t="s">
        <v>215</v>
      </c>
      <c r="C673" s="31" t="n">
        <v>46288</v>
      </c>
      <c r="D673" s="22" t="s">
        <v>308</v>
      </c>
      <c r="E673" s="22" t="s">
        <v>311</v>
      </c>
      <c r="F673" s="29" t="str">
        <f aca="false">IF(COUNTIF(Referral_Data!$C$5:$C$1000,B673)&gt;0,"Referred",IF(COUNTIF(Referral_Data!$B$5:$B$1000,B673)&gt;0,"Referrer","Organic"))</f>
        <v>Referrer</v>
      </c>
      <c r="G673" s="29" t="n">
        <f aca="false">IF(COUNTIFS($B$5:B673,B673,$C$5:C673,C673)=1,1,0)</f>
        <v>0</v>
      </c>
      <c r="H673" s="29" t="n">
        <f aca="false">IF(AND(G673=1,COUNTIFS($B$5:$B$1635,B673,$C$5:$C$1635,"&lt;"&amp;C673)&gt;0),1,0)</f>
        <v>0</v>
      </c>
      <c r="I673" s="29" t="n">
        <f aca="false">IF(AND(D673="Feature Use",COUNTIFS($B$5:B673,B673,$D$5:D673,"Feature Use",$E$5:E673,E673)=1),1,0)</f>
        <v>0</v>
      </c>
      <c r="J673" s="29" t="n">
        <f aca="false">IF(AND(D673="Feature Use",COUNTIFS($B$5:B673,B673,$D$5:D673,"Feature Use",$E$5:E673,E673)=2),1,0)</f>
        <v>0</v>
      </c>
      <c r="K673" s="29" t="n">
        <f aca="false">IF(COUNTIF($B$5:B673,B673)=1,1,0)</f>
        <v>0</v>
      </c>
      <c r="L673" s="29" t="n">
        <f aca="false">IF(AND(C673&gt;=Settings!$B$5-Settings!$B$8+1,C673&lt;=Settings!$B$5,COUNTIFS($B$5:B673,B673,$C$5:C673,"&gt;="&amp;(Settings!$B$5-Settings!$B$8+1),$C$5:C673,"&lt;="&amp;Settings!$B$5)=1),1,0)</f>
        <v>0</v>
      </c>
      <c r="M673" s="29" t="n">
        <f aca="false">IF(AND(C673&gt;=Settings!$B$5-Settings!$B$9+1,C673&lt;=Settings!$B$5,COUNTIFS($B$5:B673,B673,$C$5:C673,"&gt;="&amp;(Settings!$B$5-Settings!$B$9+1),$C$5:C673,"&lt;="&amp;Settings!$B$5)=1),1,0)</f>
        <v>0</v>
      </c>
      <c r="N673" s="29" t="n">
        <f aca="false">IF(AND(D673="Feature Use",COUNTIFS($B$5:B673,B673,$D$5:D673,"Feature Use")=1),1,0)</f>
        <v>0</v>
      </c>
    </row>
    <row r="674" customFormat="false" ht="15" hidden="false" customHeight="false" outlineLevel="0" collapsed="false">
      <c r="A674" s="22" t="s">
        <v>981</v>
      </c>
      <c r="B674" s="22" t="s">
        <v>215</v>
      </c>
      <c r="C674" s="31" t="n">
        <v>46288</v>
      </c>
      <c r="D674" s="22" t="s">
        <v>308</v>
      </c>
      <c r="E674" s="22" t="s">
        <v>311</v>
      </c>
      <c r="F674" s="29" t="str">
        <f aca="false">IF(COUNTIF(Referral_Data!$C$5:$C$1000,B674)&gt;0,"Referred",IF(COUNTIF(Referral_Data!$B$5:$B$1000,B674)&gt;0,"Referrer","Organic"))</f>
        <v>Referrer</v>
      </c>
      <c r="G674" s="29" t="n">
        <f aca="false">IF(COUNTIFS($B$5:B674,B674,$C$5:C674,C674)=1,1,0)</f>
        <v>0</v>
      </c>
      <c r="H674" s="29" t="n">
        <f aca="false">IF(AND(G674=1,COUNTIFS($B$5:$B$1635,B674,$C$5:$C$1635,"&lt;"&amp;C674)&gt;0),1,0)</f>
        <v>0</v>
      </c>
      <c r="I674" s="29" t="n">
        <f aca="false">IF(AND(D674="Feature Use",COUNTIFS($B$5:B674,B674,$D$5:D674,"Feature Use",$E$5:E674,E674)=1),1,0)</f>
        <v>0</v>
      </c>
      <c r="J674" s="29" t="n">
        <f aca="false">IF(AND(D674="Feature Use",COUNTIFS($B$5:B674,B674,$D$5:D674,"Feature Use",$E$5:E674,E674)=2),1,0)</f>
        <v>0</v>
      </c>
      <c r="K674" s="29" t="n">
        <f aca="false">IF(COUNTIF($B$5:B674,B674)=1,1,0)</f>
        <v>0</v>
      </c>
      <c r="L674" s="29" t="n">
        <f aca="false">IF(AND(C674&gt;=Settings!$B$5-Settings!$B$8+1,C674&lt;=Settings!$B$5,COUNTIFS($B$5:B674,B674,$C$5:C674,"&gt;="&amp;(Settings!$B$5-Settings!$B$8+1),$C$5:C674,"&lt;="&amp;Settings!$B$5)=1),1,0)</f>
        <v>0</v>
      </c>
      <c r="M674" s="29" t="n">
        <f aca="false">IF(AND(C674&gt;=Settings!$B$5-Settings!$B$9+1,C674&lt;=Settings!$B$5,COUNTIFS($B$5:B674,B674,$C$5:C674,"&gt;="&amp;(Settings!$B$5-Settings!$B$9+1),$C$5:C674,"&lt;="&amp;Settings!$B$5)=1),1,0)</f>
        <v>0</v>
      </c>
      <c r="N674" s="29" t="n">
        <f aca="false">IF(AND(D674="Feature Use",COUNTIFS($B$5:B674,B674,$D$5:D674,"Feature Use")=1),1,0)</f>
        <v>0</v>
      </c>
    </row>
    <row r="675" customFormat="false" ht="15" hidden="false" customHeight="false" outlineLevel="0" collapsed="false">
      <c r="A675" s="22" t="s">
        <v>982</v>
      </c>
      <c r="B675" s="22" t="s">
        <v>329</v>
      </c>
      <c r="C675" s="31" t="n">
        <v>46289</v>
      </c>
      <c r="D675" s="22" t="s">
        <v>297</v>
      </c>
      <c r="E675" s="22" t="s">
        <v>298</v>
      </c>
      <c r="F675" s="29" t="str">
        <f aca="false">IF(COUNTIF(Referral_Data!$C$5:$C$1000,B675)&gt;0,"Referred",IF(COUNTIF(Referral_Data!$B$5:$B$1000,B675)&gt;0,"Referrer","Organic"))</f>
        <v>Organic</v>
      </c>
      <c r="G675" s="29" t="n">
        <f aca="false">IF(COUNTIFS($B$5:B675,B675,$C$5:C675,C675)=1,1,0)</f>
        <v>1</v>
      </c>
      <c r="H675" s="29" t="n">
        <f aca="false">IF(AND(G675=1,COUNTIFS($B$5:$B$1635,B675,$C$5:$C$1635,"&lt;"&amp;C675)&gt;0),1,0)</f>
        <v>1</v>
      </c>
      <c r="I675" s="29" t="n">
        <f aca="false">IF(AND(D675="Feature Use",COUNTIFS($B$5:B675,B675,$D$5:D675,"Feature Use",$E$5:E675,E675)=1),1,0)</f>
        <v>0</v>
      </c>
      <c r="J675" s="29" t="n">
        <f aca="false">IF(AND(D675="Feature Use",COUNTIFS($B$5:B675,B675,$D$5:D675,"Feature Use",$E$5:E675,E675)=2),1,0)</f>
        <v>0</v>
      </c>
      <c r="K675" s="29" t="n">
        <f aca="false">IF(COUNTIF($B$5:B675,B675)=1,1,0)</f>
        <v>0</v>
      </c>
      <c r="L675" s="29" t="n">
        <f aca="false">IF(AND(C675&gt;=Settings!$B$5-Settings!$B$8+1,C675&lt;=Settings!$B$5,COUNTIFS($B$5:B675,B675,$C$5:C675,"&gt;="&amp;(Settings!$B$5-Settings!$B$8+1),$C$5:C675,"&lt;="&amp;Settings!$B$5)=1),1,0)</f>
        <v>0</v>
      </c>
      <c r="M675" s="29" t="n">
        <f aca="false">IF(AND(C675&gt;=Settings!$B$5-Settings!$B$9+1,C675&lt;=Settings!$B$5,COUNTIFS($B$5:B675,B675,$C$5:C675,"&gt;="&amp;(Settings!$B$5-Settings!$B$9+1),$C$5:C675,"&lt;="&amp;Settings!$B$5)=1),1,0)</f>
        <v>0</v>
      </c>
      <c r="N675" s="29" t="n">
        <f aca="false">IF(AND(D675="Feature Use",COUNTIFS($B$5:B675,B675,$D$5:D675,"Feature Use")=1),1,0)</f>
        <v>0</v>
      </c>
    </row>
    <row r="676" customFormat="false" ht="15" hidden="false" customHeight="false" outlineLevel="0" collapsed="false">
      <c r="A676" s="22" t="s">
        <v>983</v>
      </c>
      <c r="B676" s="22" t="s">
        <v>329</v>
      </c>
      <c r="C676" s="31" t="n">
        <v>46289</v>
      </c>
      <c r="D676" s="22" t="s">
        <v>300</v>
      </c>
      <c r="E676" s="22" t="s">
        <v>311</v>
      </c>
      <c r="F676" s="29" t="str">
        <f aca="false">IF(COUNTIF(Referral_Data!$C$5:$C$1000,B676)&gt;0,"Referred",IF(COUNTIF(Referral_Data!$B$5:$B$1000,B676)&gt;0,"Referrer","Organic"))</f>
        <v>Organic</v>
      </c>
      <c r="G676" s="29" t="n">
        <f aca="false">IF(COUNTIFS($B$5:B676,B676,$C$5:C676,C676)=1,1,0)</f>
        <v>0</v>
      </c>
      <c r="H676" s="29" t="n">
        <f aca="false">IF(AND(G676=1,COUNTIFS($B$5:$B$1635,B676,$C$5:$C$1635,"&lt;"&amp;C676)&gt;0),1,0)</f>
        <v>0</v>
      </c>
      <c r="I676" s="29" t="n">
        <f aca="false">IF(AND(D676="Feature Use",COUNTIFS($B$5:B676,B676,$D$5:D676,"Feature Use",$E$5:E676,E676)=1),1,0)</f>
        <v>0</v>
      </c>
      <c r="J676" s="29" t="n">
        <f aca="false">IF(AND(D676="Feature Use",COUNTIFS($B$5:B676,B676,$D$5:D676,"Feature Use",$E$5:E676,E676)=2),1,0)</f>
        <v>0</v>
      </c>
      <c r="K676" s="29" t="n">
        <f aca="false">IF(COUNTIF($B$5:B676,B676)=1,1,0)</f>
        <v>0</v>
      </c>
      <c r="L676" s="29" t="n">
        <f aca="false">IF(AND(C676&gt;=Settings!$B$5-Settings!$B$8+1,C676&lt;=Settings!$B$5,COUNTIFS($B$5:B676,B676,$C$5:C676,"&gt;="&amp;(Settings!$B$5-Settings!$B$8+1),$C$5:C676,"&lt;="&amp;Settings!$B$5)=1),1,0)</f>
        <v>0</v>
      </c>
      <c r="M676" s="29" t="n">
        <f aca="false">IF(AND(C676&gt;=Settings!$B$5-Settings!$B$9+1,C676&lt;=Settings!$B$5,COUNTIFS($B$5:B676,B676,$C$5:C676,"&gt;="&amp;(Settings!$B$5-Settings!$B$9+1),$C$5:C676,"&lt;="&amp;Settings!$B$5)=1),1,0)</f>
        <v>0</v>
      </c>
      <c r="N676" s="29" t="n">
        <f aca="false">IF(AND(D676="Feature Use",COUNTIFS($B$5:B676,B676,$D$5:D676,"Feature Use")=1),1,0)</f>
        <v>0</v>
      </c>
    </row>
    <row r="677" customFormat="false" ht="15" hidden="false" customHeight="false" outlineLevel="0" collapsed="false">
      <c r="A677" s="22" t="s">
        <v>984</v>
      </c>
      <c r="B677" s="22" t="s">
        <v>179</v>
      </c>
      <c r="C677" s="31" t="n">
        <v>46289</v>
      </c>
      <c r="D677" s="22" t="s">
        <v>297</v>
      </c>
      <c r="E677" s="22" t="s">
        <v>298</v>
      </c>
      <c r="F677" s="29" t="str">
        <f aca="false">IF(COUNTIF(Referral_Data!$C$5:$C$1000,B677)&gt;0,"Referred",IF(COUNTIF(Referral_Data!$B$5:$B$1000,B677)&gt;0,"Referrer","Organic"))</f>
        <v>Referred</v>
      </c>
      <c r="G677" s="29" t="n">
        <f aca="false">IF(COUNTIFS($B$5:B677,B677,$C$5:C677,C677)=1,1,0)</f>
        <v>1</v>
      </c>
      <c r="H677" s="29" t="n">
        <f aca="false">IF(AND(G677=1,COUNTIFS($B$5:$B$1635,B677,$C$5:$C$1635,"&lt;"&amp;C677)&gt;0),1,0)</f>
        <v>0</v>
      </c>
      <c r="I677" s="29" t="n">
        <f aca="false">IF(AND(D677="Feature Use",COUNTIFS($B$5:B677,B677,$D$5:D677,"Feature Use",$E$5:E677,E677)=1),1,0)</f>
        <v>0</v>
      </c>
      <c r="J677" s="29" t="n">
        <f aca="false">IF(AND(D677="Feature Use",COUNTIFS($B$5:B677,B677,$D$5:D677,"Feature Use",$E$5:E677,E677)=2),1,0)</f>
        <v>0</v>
      </c>
      <c r="K677" s="29" t="n">
        <f aca="false">IF(COUNTIF($B$5:B677,B677)=1,1,0)</f>
        <v>1</v>
      </c>
      <c r="L677" s="29" t="n">
        <f aca="false">IF(AND(C677&gt;=Settings!$B$5-Settings!$B$8+1,C677&lt;=Settings!$B$5,COUNTIFS($B$5:B677,B677,$C$5:C677,"&gt;="&amp;(Settings!$B$5-Settings!$B$8+1),$C$5:C677,"&lt;="&amp;Settings!$B$5)=1),1,0)</f>
        <v>0</v>
      </c>
      <c r="M677" s="29" t="n">
        <f aca="false">IF(AND(C677&gt;=Settings!$B$5-Settings!$B$9+1,C677&lt;=Settings!$B$5,COUNTIFS($B$5:B677,B677,$C$5:C677,"&gt;="&amp;(Settings!$B$5-Settings!$B$9+1),$C$5:C677,"&lt;="&amp;Settings!$B$5)=1),1,0)</f>
        <v>1</v>
      </c>
      <c r="N677" s="29" t="n">
        <f aca="false">IF(AND(D677="Feature Use",COUNTIFS($B$5:B677,B677,$D$5:D677,"Feature Use")=1),1,0)</f>
        <v>0</v>
      </c>
    </row>
    <row r="678" customFormat="false" ht="15" hidden="false" customHeight="false" outlineLevel="0" collapsed="false">
      <c r="A678" s="22" t="s">
        <v>985</v>
      </c>
      <c r="B678" s="22" t="s">
        <v>179</v>
      </c>
      <c r="C678" s="31" t="n">
        <v>46289</v>
      </c>
      <c r="D678" s="22" t="s">
        <v>300</v>
      </c>
      <c r="E678" s="22" t="s">
        <v>301</v>
      </c>
      <c r="F678" s="29" t="str">
        <f aca="false">IF(COUNTIF(Referral_Data!$C$5:$C$1000,B678)&gt;0,"Referred",IF(COUNTIF(Referral_Data!$B$5:$B$1000,B678)&gt;0,"Referrer","Organic"))</f>
        <v>Referred</v>
      </c>
      <c r="G678" s="29" t="n">
        <f aca="false">IF(COUNTIFS($B$5:B678,B678,$C$5:C678,C678)=1,1,0)</f>
        <v>0</v>
      </c>
      <c r="H678" s="29" t="n">
        <f aca="false">IF(AND(G678=1,COUNTIFS($B$5:$B$1635,B678,$C$5:$C$1635,"&lt;"&amp;C678)&gt;0),1,0)</f>
        <v>0</v>
      </c>
      <c r="I678" s="29" t="n">
        <f aca="false">IF(AND(D678="Feature Use",COUNTIFS($B$5:B678,B678,$D$5:D678,"Feature Use",$E$5:E678,E678)=1),1,0)</f>
        <v>1</v>
      </c>
      <c r="J678" s="29" t="n">
        <f aca="false">IF(AND(D678="Feature Use",COUNTIFS($B$5:B678,B678,$D$5:D678,"Feature Use",$E$5:E678,E678)=2),1,0)</f>
        <v>0</v>
      </c>
      <c r="K678" s="29" t="n">
        <f aca="false">IF(COUNTIF($B$5:B678,B678)=1,1,0)</f>
        <v>0</v>
      </c>
      <c r="L678" s="29" t="n">
        <f aca="false">IF(AND(C678&gt;=Settings!$B$5-Settings!$B$8+1,C678&lt;=Settings!$B$5,COUNTIFS($B$5:B678,B678,$C$5:C678,"&gt;="&amp;(Settings!$B$5-Settings!$B$8+1),$C$5:C678,"&lt;="&amp;Settings!$B$5)=1),1,0)</f>
        <v>0</v>
      </c>
      <c r="M678" s="29" t="n">
        <f aca="false">IF(AND(C678&gt;=Settings!$B$5-Settings!$B$9+1,C678&lt;=Settings!$B$5,COUNTIFS($B$5:B678,B678,$C$5:C678,"&gt;="&amp;(Settings!$B$5-Settings!$B$9+1),$C$5:C678,"&lt;="&amp;Settings!$B$5)=1),1,0)</f>
        <v>0</v>
      </c>
      <c r="N678" s="29" t="n">
        <f aca="false">IF(AND(D678="Feature Use",COUNTIFS($B$5:B678,B678,$D$5:D678,"Feature Use")=1),1,0)</f>
        <v>1</v>
      </c>
    </row>
    <row r="679" customFormat="false" ht="15" hidden="false" customHeight="false" outlineLevel="0" collapsed="false">
      <c r="A679" s="22" t="s">
        <v>986</v>
      </c>
      <c r="B679" s="22" t="s">
        <v>181</v>
      </c>
      <c r="C679" s="31" t="n">
        <v>46289</v>
      </c>
      <c r="D679" s="22" t="s">
        <v>297</v>
      </c>
      <c r="E679" s="22" t="s">
        <v>298</v>
      </c>
      <c r="F679" s="29" t="str">
        <f aca="false">IF(COUNTIF(Referral_Data!$C$5:$C$1000,B679)&gt;0,"Referred",IF(COUNTIF(Referral_Data!$B$5:$B$1000,B679)&gt;0,"Referrer","Organic"))</f>
        <v>Referred</v>
      </c>
      <c r="G679" s="29" t="n">
        <f aca="false">IF(COUNTIFS($B$5:B679,B679,$C$5:C679,C679)=1,1,0)</f>
        <v>1</v>
      </c>
      <c r="H679" s="29" t="n">
        <f aca="false">IF(AND(G679=1,COUNTIFS($B$5:$B$1635,B679,$C$5:$C$1635,"&lt;"&amp;C679)&gt;0),1,0)</f>
        <v>1</v>
      </c>
      <c r="I679" s="29" t="n">
        <f aca="false">IF(AND(D679="Feature Use",COUNTIFS($B$5:B679,B679,$D$5:D679,"Feature Use",$E$5:E679,E679)=1),1,0)</f>
        <v>0</v>
      </c>
      <c r="J679" s="29" t="n">
        <f aca="false">IF(AND(D679="Feature Use",COUNTIFS($B$5:B679,B679,$D$5:D679,"Feature Use",$E$5:E679,E679)=2),1,0)</f>
        <v>0</v>
      </c>
      <c r="K679" s="29" t="n">
        <f aca="false">IF(COUNTIF($B$5:B679,B679)=1,1,0)</f>
        <v>0</v>
      </c>
      <c r="L679" s="29" t="n">
        <f aca="false">IF(AND(C679&gt;=Settings!$B$5-Settings!$B$8+1,C679&lt;=Settings!$B$5,COUNTIFS($B$5:B679,B679,$C$5:C679,"&gt;="&amp;(Settings!$B$5-Settings!$B$8+1),$C$5:C679,"&lt;="&amp;Settings!$B$5)=1),1,0)</f>
        <v>0</v>
      </c>
      <c r="M679" s="29" t="n">
        <f aca="false">IF(AND(C679&gt;=Settings!$B$5-Settings!$B$9+1,C679&lt;=Settings!$B$5,COUNTIFS($B$5:B679,B679,$C$5:C679,"&gt;="&amp;(Settings!$B$5-Settings!$B$9+1),$C$5:C679,"&lt;="&amp;Settings!$B$5)=1),1,0)</f>
        <v>0</v>
      </c>
      <c r="N679" s="29" t="n">
        <f aca="false">IF(AND(D679="Feature Use",COUNTIFS($B$5:B679,B679,$D$5:D679,"Feature Use")=1),1,0)</f>
        <v>0</v>
      </c>
    </row>
    <row r="680" customFormat="false" ht="15" hidden="false" customHeight="false" outlineLevel="0" collapsed="false">
      <c r="A680" s="22" t="s">
        <v>987</v>
      </c>
      <c r="B680" s="22" t="s">
        <v>181</v>
      </c>
      <c r="C680" s="31" t="n">
        <v>46289</v>
      </c>
      <c r="D680" s="22" t="s">
        <v>300</v>
      </c>
      <c r="E680" s="22" t="s">
        <v>311</v>
      </c>
      <c r="F680" s="29" t="str">
        <f aca="false">IF(COUNTIF(Referral_Data!$C$5:$C$1000,B680)&gt;0,"Referred",IF(COUNTIF(Referral_Data!$B$5:$B$1000,B680)&gt;0,"Referrer","Organic"))</f>
        <v>Referred</v>
      </c>
      <c r="G680" s="29" t="n">
        <f aca="false">IF(COUNTIFS($B$5:B680,B680,$C$5:C680,C680)=1,1,0)</f>
        <v>0</v>
      </c>
      <c r="H680" s="29" t="n">
        <f aca="false">IF(AND(G680=1,COUNTIFS($B$5:$B$1635,B680,$C$5:$C$1635,"&lt;"&amp;C680)&gt;0),1,0)</f>
        <v>0</v>
      </c>
      <c r="I680" s="29" t="n">
        <f aca="false">IF(AND(D680="Feature Use",COUNTIFS($B$5:B680,B680,$D$5:D680,"Feature Use",$E$5:E680,E680)=1),1,0)</f>
        <v>0</v>
      </c>
      <c r="J680" s="29" t="n">
        <f aca="false">IF(AND(D680="Feature Use",COUNTIFS($B$5:B680,B680,$D$5:D680,"Feature Use",$E$5:E680,E680)=2),1,0)</f>
        <v>0</v>
      </c>
      <c r="K680" s="29" t="n">
        <f aca="false">IF(COUNTIF($B$5:B680,B680)=1,1,0)</f>
        <v>0</v>
      </c>
      <c r="L680" s="29" t="n">
        <f aca="false">IF(AND(C680&gt;=Settings!$B$5-Settings!$B$8+1,C680&lt;=Settings!$B$5,COUNTIFS($B$5:B680,B680,$C$5:C680,"&gt;="&amp;(Settings!$B$5-Settings!$B$8+1),$C$5:C680,"&lt;="&amp;Settings!$B$5)=1),1,0)</f>
        <v>0</v>
      </c>
      <c r="M680" s="29" t="n">
        <f aca="false">IF(AND(C680&gt;=Settings!$B$5-Settings!$B$9+1,C680&lt;=Settings!$B$5,COUNTIFS($B$5:B680,B680,$C$5:C680,"&gt;="&amp;(Settings!$B$5-Settings!$B$9+1),$C$5:C680,"&lt;="&amp;Settings!$B$5)=1),1,0)</f>
        <v>0</v>
      </c>
      <c r="N680" s="29" t="n">
        <f aca="false">IF(AND(D680="Feature Use",COUNTIFS($B$5:B680,B680,$D$5:D680,"Feature Use")=1),1,0)</f>
        <v>0</v>
      </c>
    </row>
    <row r="681" customFormat="false" ht="15" hidden="false" customHeight="false" outlineLevel="0" collapsed="false">
      <c r="A681" s="22" t="s">
        <v>988</v>
      </c>
      <c r="B681" s="22" t="s">
        <v>204</v>
      </c>
      <c r="C681" s="31" t="n">
        <v>46289</v>
      </c>
      <c r="D681" s="22" t="s">
        <v>297</v>
      </c>
      <c r="E681" s="22" t="s">
        <v>298</v>
      </c>
      <c r="F681" s="29" t="str">
        <f aca="false">IF(COUNTIF(Referral_Data!$C$5:$C$1000,B681)&gt;0,"Referred",IF(COUNTIF(Referral_Data!$B$5:$B$1000,B681)&gt;0,"Referrer","Organic"))</f>
        <v>Referred</v>
      </c>
      <c r="G681" s="29" t="n">
        <f aca="false">IF(COUNTIFS($B$5:B681,B681,$C$5:C681,C681)=1,1,0)</f>
        <v>1</v>
      </c>
      <c r="H681" s="29" t="n">
        <f aca="false">IF(AND(G681=1,COUNTIFS($B$5:$B$1635,B681,$C$5:$C$1635,"&lt;"&amp;C681)&gt;0),1,0)</f>
        <v>1</v>
      </c>
      <c r="I681" s="29" t="n">
        <f aca="false">IF(AND(D681="Feature Use",COUNTIFS($B$5:B681,B681,$D$5:D681,"Feature Use",$E$5:E681,E681)=1),1,0)</f>
        <v>0</v>
      </c>
      <c r="J681" s="29" t="n">
        <f aca="false">IF(AND(D681="Feature Use",COUNTIFS($B$5:B681,B681,$D$5:D681,"Feature Use",$E$5:E681,E681)=2),1,0)</f>
        <v>0</v>
      </c>
      <c r="K681" s="29" t="n">
        <f aca="false">IF(COUNTIF($B$5:B681,B681)=1,1,0)</f>
        <v>0</v>
      </c>
      <c r="L681" s="29" t="n">
        <f aca="false">IF(AND(C681&gt;=Settings!$B$5-Settings!$B$8+1,C681&lt;=Settings!$B$5,COUNTIFS($B$5:B681,B681,$C$5:C681,"&gt;="&amp;(Settings!$B$5-Settings!$B$8+1),$C$5:C681,"&lt;="&amp;Settings!$B$5)=1),1,0)</f>
        <v>0</v>
      </c>
      <c r="M681" s="29" t="n">
        <f aca="false">IF(AND(C681&gt;=Settings!$B$5-Settings!$B$9+1,C681&lt;=Settings!$B$5,COUNTIFS($B$5:B681,B681,$C$5:C681,"&gt;="&amp;(Settings!$B$5-Settings!$B$9+1),$C$5:C681,"&lt;="&amp;Settings!$B$5)=1),1,0)</f>
        <v>0</v>
      </c>
      <c r="N681" s="29" t="n">
        <f aca="false">IF(AND(D681="Feature Use",COUNTIFS($B$5:B681,B681,$D$5:D681,"Feature Use")=1),1,0)</f>
        <v>0</v>
      </c>
    </row>
    <row r="682" customFormat="false" ht="15" hidden="false" customHeight="false" outlineLevel="0" collapsed="false">
      <c r="A682" s="22" t="s">
        <v>989</v>
      </c>
      <c r="B682" s="22" t="s">
        <v>204</v>
      </c>
      <c r="C682" s="31" t="n">
        <v>46289</v>
      </c>
      <c r="D682" s="22" t="s">
        <v>300</v>
      </c>
      <c r="E682" s="22" t="s">
        <v>301</v>
      </c>
      <c r="F682" s="29" t="str">
        <f aca="false">IF(COUNTIF(Referral_Data!$C$5:$C$1000,B682)&gt;0,"Referred",IF(COUNTIF(Referral_Data!$B$5:$B$1000,B682)&gt;0,"Referrer","Organic"))</f>
        <v>Referred</v>
      </c>
      <c r="G682" s="29" t="n">
        <f aca="false">IF(COUNTIFS($B$5:B682,B682,$C$5:C682,C682)=1,1,0)</f>
        <v>0</v>
      </c>
      <c r="H682" s="29" t="n">
        <f aca="false">IF(AND(G682=1,COUNTIFS($B$5:$B$1635,B682,$C$5:$C$1635,"&lt;"&amp;C682)&gt;0),1,0)</f>
        <v>0</v>
      </c>
      <c r="I682" s="29" t="n">
        <f aca="false">IF(AND(D682="Feature Use",COUNTIFS($B$5:B682,B682,$D$5:D682,"Feature Use",$E$5:E682,E682)=1),1,0)</f>
        <v>0</v>
      </c>
      <c r="J682" s="29" t="n">
        <f aca="false">IF(AND(D682="Feature Use",COUNTIFS($B$5:B682,B682,$D$5:D682,"Feature Use",$E$5:E682,E682)=2),1,0)</f>
        <v>1</v>
      </c>
      <c r="K682" s="29" t="n">
        <f aca="false">IF(COUNTIF($B$5:B682,B682)=1,1,0)</f>
        <v>0</v>
      </c>
      <c r="L682" s="29" t="n">
        <f aca="false">IF(AND(C682&gt;=Settings!$B$5-Settings!$B$8+1,C682&lt;=Settings!$B$5,COUNTIFS($B$5:B682,B682,$C$5:C682,"&gt;="&amp;(Settings!$B$5-Settings!$B$8+1),$C$5:C682,"&lt;="&amp;Settings!$B$5)=1),1,0)</f>
        <v>0</v>
      </c>
      <c r="M682" s="29" t="n">
        <f aca="false">IF(AND(C682&gt;=Settings!$B$5-Settings!$B$9+1,C682&lt;=Settings!$B$5,COUNTIFS($B$5:B682,B682,$C$5:C682,"&gt;="&amp;(Settings!$B$5-Settings!$B$9+1),$C$5:C682,"&lt;="&amp;Settings!$B$5)=1),1,0)</f>
        <v>0</v>
      </c>
      <c r="N682" s="29" t="n">
        <f aca="false">IF(AND(D682="Feature Use",COUNTIFS($B$5:B682,B682,$D$5:D682,"Feature Use")=1),1,0)</f>
        <v>0</v>
      </c>
    </row>
    <row r="683" customFormat="false" ht="15" hidden="false" customHeight="false" outlineLevel="0" collapsed="false">
      <c r="A683" s="22" t="s">
        <v>990</v>
      </c>
      <c r="B683" s="22" t="s">
        <v>213</v>
      </c>
      <c r="C683" s="31" t="n">
        <v>46289</v>
      </c>
      <c r="D683" s="22" t="s">
        <v>297</v>
      </c>
      <c r="E683" s="22" t="s">
        <v>298</v>
      </c>
      <c r="F683" s="29" t="str">
        <f aca="false">IF(COUNTIF(Referral_Data!$C$5:$C$1000,B683)&gt;0,"Referred",IF(COUNTIF(Referral_Data!$B$5:$B$1000,B683)&gt;0,"Referrer","Organic"))</f>
        <v>Referred</v>
      </c>
      <c r="G683" s="29" t="n">
        <f aca="false">IF(COUNTIFS($B$5:B683,B683,$C$5:C683,C683)=1,1,0)</f>
        <v>1</v>
      </c>
      <c r="H683" s="29" t="n">
        <f aca="false">IF(AND(G683=1,COUNTIFS($B$5:$B$1635,B683,$C$5:$C$1635,"&lt;"&amp;C683)&gt;0),1,0)</f>
        <v>1</v>
      </c>
      <c r="I683" s="29" t="n">
        <f aca="false">IF(AND(D683="Feature Use",COUNTIFS($B$5:B683,B683,$D$5:D683,"Feature Use",$E$5:E683,E683)=1),1,0)</f>
        <v>0</v>
      </c>
      <c r="J683" s="29" t="n">
        <f aca="false">IF(AND(D683="Feature Use",COUNTIFS($B$5:B683,B683,$D$5:D683,"Feature Use",$E$5:E683,E683)=2),1,0)</f>
        <v>0</v>
      </c>
      <c r="K683" s="29" t="n">
        <f aca="false">IF(COUNTIF($B$5:B683,B683)=1,1,0)</f>
        <v>0</v>
      </c>
      <c r="L683" s="29" t="n">
        <f aca="false">IF(AND(C683&gt;=Settings!$B$5-Settings!$B$8+1,C683&lt;=Settings!$B$5,COUNTIFS($B$5:B683,B683,$C$5:C683,"&gt;="&amp;(Settings!$B$5-Settings!$B$8+1),$C$5:C683,"&lt;="&amp;Settings!$B$5)=1),1,0)</f>
        <v>0</v>
      </c>
      <c r="M683" s="29" t="n">
        <f aca="false">IF(AND(C683&gt;=Settings!$B$5-Settings!$B$9+1,C683&lt;=Settings!$B$5,COUNTIFS($B$5:B683,B683,$C$5:C683,"&gt;="&amp;(Settings!$B$5-Settings!$B$9+1),$C$5:C683,"&lt;="&amp;Settings!$B$5)=1),1,0)</f>
        <v>0</v>
      </c>
      <c r="N683" s="29" t="n">
        <f aca="false">IF(AND(D683="Feature Use",COUNTIFS($B$5:B683,B683,$D$5:D683,"Feature Use")=1),1,0)</f>
        <v>0</v>
      </c>
    </row>
    <row r="684" customFormat="false" ht="15" hidden="false" customHeight="false" outlineLevel="0" collapsed="false">
      <c r="A684" s="22" t="s">
        <v>991</v>
      </c>
      <c r="B684" s="22" t="s">
        <v>213</v>
      </c>
      <c r="C684" s="31" t="n">
        <v>46289</v>
      </c>
      <c r="D684" s="22" t="s">
        <v>300</v>
      </c>
      <c r="E684" s="22" t="s">
        <v>311</v>
      </c>
      <c r="F684" s="29" t="str">
        <f aca="false">IF(COUNTIF(Referral_Data!$C$5:$C$1000,B684)&gt;0,"Referred",IF(COUNTIF(Referral_Data!$B$5:$B$1000,B684)&gt;0,"Referrer","Organic"))</f>
        <v>Referred</v>
      </c>
      <c r="G684" s="29" t="n">
        <f aca="false">IF(COUNTIFS($B$5:B684,B684,$C$5:C684,C684)=1,1,0)</f>
        <v>0</v>
      </c>
      <c r="H684" s="29" t="n">
        <f aca="false">IF(AND(G684=1,COUNTIFS($B$5:$B$1635,B684,$C$5:$C$1635,"&lt;"&amp;C684)&gt;0),1,0)</f>
        <v>0</v>
      </c>
      <c r="I684" s="29" t="n">
        <f aca="false">IF(AND(D684="Feature Use",COUNTIFS($B$5:B684,B684,$D$5:D684,"Feature Use",$E$5:E684,E684)=1),1,0)</f>
        <v>0</v>
      </c>
      <c r="J684" s="29" t="n">
        <f aca="false">IF(AND(D684="Feature Use",COUNTIFS($B$5:B684,B684,$D$5:D684,"Feature Use",$E$5:E684,E684)=2),1,0)</f>
        <v>0</v>
      </c>
      <c r="K684" s="29" t="n">
        <f aca="false">IF(COUNTIF($B$5:B684,B684)=1,1,0)</f>
        <v>0</v>
      </c>
      <c r="L684" s="29" t="n">
        <f aca="false">IF(AND(C684&gt;=Settings!$B$5-Settings!$B$8+1,C684&lt;=Settings!$B$5,COUNTIFS($B$5:B684,B684,$C$5:C684,"&gt;="&amp;(Settings!$B$5-Settings!$B$8+1),$C$5:C684,"&lt;="&amp;Settings!$B$5)=1),1,0)</f>
        <v>0</v>
      </c>
      <c r="M684" s="29" t="n">
        <f aca="false">IF(AND(C684&gt;=Settings!$B$5-Settings!$B$9+1,C684&lt;=Settings!$B$5,COUNTIFS($B$5:B684,B684,$C$5:C684,"&gt;="&amp;(Settings!$B$5-Settings!$B$9+1),$C$5:C684,"&lt;="&amp;Settings!$B$5)=1),1,0)</f>
        <v>0</v>
      </c>
      <c r="N684" s="29" t="n">
        <f aca="false">IF(AND(D684="Feature Use",COUNTIFS($B$5:B684,B684,$D$5:D684,"Feature Use")=1),1,0)</f>
        <v>0</v>
      </c>
    </row>
    <row r="685" customFormat="false" ht="15" hidden="false" customHeight="false" outlineLevel="0" collapsed="false">
      <c r="A685" s="22" t="s">
        <v>992</v>
      </c>
      <c r="B685" s="22" t="s">
        <v>213</v>
      </c>
      <c r="C685" s="31" t="n">
        <v>46289</v>
      </c>
      <c r="D685" s="22" t="s">
        <v>300</v>
      </c>
      <c r="E685" s="22" t="s">
        <v>309</v>
      </c>
      <c r="F685" s="29" t="str">
        <f aca="false">IF(COUNTIF(Referral_Data!$C$5:$C$1000,B685)&gt;0,"Referred",IF(COUNTIF(Referral_Data!$B$5:$B$1000,B685)&gt;0,"Referrer","Organic"))</f>
        <v>Referred</v>
      </c>
      <c r="G685" s="29" t="n">
        <f aca="false">IF(COUNTIFS($B$5:B685,B685,$C$5:C685,C685)=1,1,0)</f>
        <v>0</v>
      </c>
      <c r="H685" s="29" t="n">
        <f aca="false">IF(AND(G685=1,COUNTIFS($B$5:$B$1635,B685,$C$5:$C$1635,"&lt;"&amp;C685)&gt;0),1,0)</f>
        <v>0</v>
      </c>
      <c r="I685" s="29" t="n">
        <f aca="false">IF(AND(D685="Feature Use",COUNTIFS($B$5:B685,B685,$D$5:D685,"Feature Use",$E$5:E685,E685)=1),1,0)</f>
        <v>1</v>
      </c>
      <c r="J685" s="29" t="n">
        <f aca="false">IF(AND(D685="Feature Use",COUNTIFS($B$5:B685,B685,$D$5:D685,"Feature Use",$E$5:E685,E685)=2),1,0)</f>
        <v>0</v>
      </c>
      <c r="K685" s="29" t="n">
        <f aca="false">IF(COUNTIF($B$5:B685,B685)=1,1,0)</f>
        <v>0</v>
      </c>
      <c r="L685" s="29" t="n">
        <f aca="false">IF(AND(C685&gt;=Settings!$B$5-Settings!$B$8+1,C685&lt;=Settings!$B$5,COUNTIFS($B$5:B685,B685,$C$5:C685,"&gt;="&amp;(Settings!$B$5-Settings!$B$8+1),$C$5:C685,"&lt;="&amp;Settings!$B$5)=1),1,0)</f>
        <v>0</v>
      </c>
      <c r="M685" s="29" t="n">
        <f aca="false">IF(AND(C685&gt;=Settings!$B$5-Settings!$B$9+1,C685&lt;=Settings!$B$5,COUNTIFS($B$5:B685,B685,$C$5:C685,"&gt;="&amp;(Settings!$B$5-Settings!$B$9+1),$C$5:C685,"&lt;="&amp;Settings!$B$5)=1),1,0)</f>
        <v>0</v>
      </c>
      <c r="N685" s="29" t="n">
        <f aca="false">IF(AND(D685="Feature Use",COUNTIFS($B$5:B685,B685,$D$5:D685,"Feature Use")=1),1,0)</f>
        <v>0</v>
      </c>
    </row>
    <row r="686" customFormat="false" ht="15" hidden="false" customHeight="false" outlineLevel="0" collapsed="false">
      <c r="A686" s="22" t="s">
        <v>993</v>
      </c>
      <c r="B686" s="22" t="s">
        <v>220</v>
      </c>
      <c r="C686" s="31" t="n">
        <v>46289</v>
      </c>
      <c r="D686" s="22" t="s">
        <v>297</v>
      </c>
      <c r="E686" s="22" t="s">
        <v>298</v>
      </c>
      <c r="F686" s="29" t="str">
        <f aca="false">IF(COUNTIF(Referral_Data!$C$5:$C$1000,B686)&gt;0,"Referred",IF(COUNTIF(Referral_Data!$B$5:$B$1000,B686)&gt;0,"Referrer","Organic"))</f>
        <v>Referred</v>
      </c>
      <c r="G686" s="29" t="n">
        <f aca="false">IF(COUNTIFS($B$5:B686,B686,$C$5:C686,C686)=1,1,0)</f>
        <v>1</v>
      </c>
      <c r="H686" s="29" t="n">
        <f aca="false">IF(AND(G686=1,COUNTIFS($B$5:$B$1635,B686,$C$5:$C$1635,"&lt;"&amp;C686)&gt;0),1,0)</f>
        <v>0</v>
      </c>
      <c r="I686" s="29" t="n">
        <f aca="false">IF(AND(D686="Feature Use",COUNTIFS($B$5:B686,B686,$D$5:D686,"Feature Use",$E$5:E686,E686)=1),1,0)</f>
        <v>0</v>
      </c>
      <c r="J686" s="29" t="n">
        <f aca="false">IF(AND(D686="Feature Use",COUNTIFS($B$5:B686,B686,$D$5:D686,"Feature Use",$E$5:E686,E686)=2),1,0)</f>
        <v>0</v>
      </c>
      <c r="K686" s="29" t="n">
        <f aca="false">IF(COUNTIF($B$5:B686,B686)=1,1,0)</f>
        <v>1</v>
      </c>
      <c r="L686" s="29" t="n">
        <f aca="false">IF(AND(C686&gt;=Settings!$B$5-Settings!$B$8+1,C686&lt;=Settings!$B$5,COUNTIFS($B$5:B686,B686,$C$5:C686,"&gt;="&amp;(Settings!$B$5-Settings!$B$8+1),$C$5:C686,"&lt;="&amp;Settings!$B$5)=1),1,0)</f>
        <v>0</v>
      </c>
      <c r="M686" s="29" t="n">
        <f aca="false">IF(AND(C686&gt;=Settings!$B$5-Settings!$B$9+1,C686&lt;=Settings!$B$5,COUNTIFS($B$5:B686,B686,$C$5:C686,"&gt;="&amp;(Settings!$B$5-Settings!$B$9+1),$C$5:C686,"&lt;="&amp;Settings!$B$5)=1),1,0)</f>
        <v>1</v>
      </c>
      <c r="N686" s="29" t="n">
        <f aca="false">IF(AND(D686="Feature Use",COUNTIFS($B$5:B686,B686,$D$5:D686,"Feature Use")=1),1,0)</f>
        <v>0</v>
      </c>
    </row>
    <row r="687" customFormat="false" ht="15" hidden="false" customHeight="false" outlineLevel="0" collapsed="false">
      <c r="A687" s="22" t="s">
        <v>994</v>
      </c>
      <c r="B687" s="22" t="s">
        <v>220</v>
      </c>
      <c r="C687" s="31" t="n">
        <v>46289</v>
      </c>
      <c r="D687" s="22" t="s">
        <v>300</v>
      </c>
      <c r="E687" s="22" t="s">
        <v>305</v>
      </c>
      <c r="F687" s="29" t="str">
        <f aca="false">IF(COUNTIF(Referral_Data!$C$5:$C$1000,B687)&gt;0,"Referred",IF(COUNTIF(Referral_Data!$B$5:$B$1000,B687)&gt;0,"Referrer","Organic"))</f>
        <v>Referred</v>
      </c>
      <c r="G687" s="29" t="n">
        <f aca="false">IF(COUNTIFS($B$5:B687,B687,$C$5:C687,C687)=1,1,0)</f>
        <v>0</v>
      </c>
      <c r="H687" s="29" t="n">
        <f aca="false">IF(AND(G687=1,COUNTIFS($B$5:$B$1635,B687,$C$5:$C$1635,"&lt;"&amp;C687)&gt;0),1,0)</f>
        <v>0</v>
      </c>
      <c r="I687" s="29" t="n">
        <f aca="false">IF(AND(D687="Feature Use",COUNTIFS($B$5:B687,B687,$D$5:D687,"Feature Use",$E$5:E687,E687)=1),1,0)</f>
        <v>1</v>
      </c>
      <c r="J687" s="29" t="n">
        <f aca="false">IF(AND(D687="Feature Use",COUNTIFS($B$5:B687,B687,$D$5:D687,"Feature Use",$E$5:E687,E687)=2),1,0)</f>
        <v>0</v>
      </c>
      <c r="K687" s="29" t="n">
        <f aca="false">IF(COUNTIF($B$5:B687,B687)=1,1,0)</f>
        <v>0</v>
      </c>
      <c r="L687" s="29" t="n">
        <f aca="false">IF(AND(C687&gt;=Settings!$B$5-Settings!$B$8+1,C687&lt;=Settings!$B$5,COUNTIFS($B$5:B687,B687,$C$5:C687,"&gt;="&amp;(Settings!$B$5-Settings!$B$8+1),$C$5:C687,"&lt;="&amp;Settings!$B$5)=1),1,0)</f>
        <v>0</v>
      </c>
      <c r="M687" s="29" t="n">
        <f aca="false">IF(AND(C687&gt;=Settings!$B$5-Settings!$B$9+1,C687&lt;=Settings!$B$5,COUNTIFS($B$5:B687,B687,$C$5:C687,"&gt;="&amp;(Settings!$B$5-Settings!$B$9+1),$C$5:C687,"&lt;="&amp;Settings!$B$5)=1),1,0)</f>
        <v>0</v>
      </c>
      <c r="N687" s="29" t="n">
        <f aca="false">IF(AND(D687="Feature Use",COUNTIFS($B$5:B687,B687,$D$5:D687,"Feature Use")=1),1,0)</f>
        <v>1</v>
      </c>
    </row>
    <row r="688" customFormat="false" ht="15" hidden="false" customHeight="false" outlineLevel="0" collapsed="false">
      <c r="A688" s="22" t="s">
        <v>995</v>
      </c>
      <c r="B688" s="22" t="s">
        <v>234</v>
      </c>
      <c r="C688" s="31" t="n">
        <v>46289</v>
      </c>
      <c r="D688" s="22" t="s">
        <v>297</v>
      </c>
      <c r="E688" s="22" t="s">
        <v>298</v>
      </c>
      <c r="F688" s="29" t="str">
        <f aca="false">IF(COUNTIF(Referral_Data!$C$5:$C$1000,B688)&gt;0,"Referred",IF(COUNTIF(Referral_Data!$B$5:$B$1000,B688)&gt;0,"Referrer","Organic"))</f>
        <v>Referred</v>
      </c>
      <c r="G688" s="29" t="n">
        <f aca="false">IF(COUNTIFS($B$5:B688,B688,$C$5:C688,C688)=1,1,0)</f>
        <v>1</v>
      </c>
      <c r="H688" s="29" t="n">
        <f aca="false">IF(AND(G688=1,COUNTIFS($B$5:$B$1635,B688,$C$5:$C$1635,"&lt;"&amp;C688)&gt;0),1,0)</f>
        <v>1</v>
      </c>
      <c r="I688" s="29" t="n">
        <f aca="false">IF(AND(D688="Feature Use",COUNTIFS($B$5:B688,B688,$D$5:D688,"Feature Use",$E$5:E688,E688)=1),1,0)</f>
        <v>0</v>
      </c>
      <c r="J688" s="29" t="n">
        <f aca="false">IF(AND(D688="Feature Use",COUNTIFS($B$5:B688,B688,$D$5:D688,"Feature Use",$E$5:E688,E688)=2),1,0)</f>
        <v>0</v>
      </c>
      <c r="K688" s="29" t="n">
        <f aca="false">IF(COUNTIF($B$5:B688,B688)=1,1,0)</f>
        <v>0</v>
      </c>
      <c r="L688" s="29" t="n">
        <f aca="false">IF(AND(C688&gt;=Settings!$B$5-Settings!$B$8+1,C688&lt;=Settings!$B$5,COUNTIFS($B$5:B688,B688,$C$5:C688,"&gt;="&amp;(Settings!$B$5-Settings!$B$8+1),$C$5:C688,"&lt;="&amp;Settings!$B$5)=1),1,0)</f>
        <v>0</v>
      </c>
      <c r="M688" s="29" t="n">
        <f aca="false">IF(AND(C688&gt;=Settings!$B$5-Settings!$B$9+1,C688&lt;=Settings!$B$5,COUNTIFS($B$5:B688,B688,$C$5:C688,"&gt;="&amp;(Settings!$B$5-Settings!$B$9+1),$C$5:C688,"&lt;="&amp;Settings!$B$5)=1),1,0)</f>
        <v>0</v>
      </c>
      <c r="N688" s="29" t="n">
        <f aca="false">IF(AND(D688="Feature Use",COUNTIFS($B$5:B688,B688,$D$5:D688,"Feature Use")=1),1,0)</f>
        <v>0</v>
      </c>
    </row>
    <row r="689" customFormat="false" ht="15" hidden="false" customHeight="false" outlineLevel="0" collapsed="false">
      <c r="A689" s="22" t="s">
        <v>996</v>
      </c>
      <c r="B689" s="22" t="s">
        <v>234</v>
      </c>
      <c r="C689" s="31" t="n">
        <v>46289</v>
      </c>
      <c r="D689" s="22" t="s">
        <v>300</v>
      </c>
      <c r="E689" s="22" t="s">
        <v>301</v>
      </c>
      <c r="F689" s="29" t="str">
        <f aca="false">IF(COUNTIF(Referral_Data!$C$5:$C$1000,B689)&gt;0,"Referred",IF(COUNTIF(Referral_Data!$B$5:$B$1000,B689)&gt;0,"Referrer","Organic"))</f>
        <v>Referred</v>
      </c>
      <c r="G689" s="29" t="n">
        <f aca="false">IF(COUNTIFS($B$5:B689,B689,$C$5:C689,C689)=1,1,0)</f>
        <v>0</v>
      </c>
      <c r="H689" s="29" t="n">
        <f aca="false">IF(AND(G689=1,COUNTIFS($B$5:$B$1635,B689,$C$5:$C$1635,"&lt;"&amp;C689)&gt;0),1,0)</f>
        <v>0</v>
      </c>
      <c r="I689" s="29" t="n">
        <f aca="false">IF(AND(D689="Feature Use",COUNTIFS($B$5:B689,B689,$D$5:D689,"Feature Use",$E$5:E689,E689)=1),1,0)</f>
        <v>0</v>
      </c>
      <c r="J689" s="29" t="n">
        <f aca="false">IF(AND(D689="Feature Use",COUNTIFS($B$5:B689,B689,$D$5:D689,"Feature Use",$E$5:E689,E689)=2),1,0)</f>
        <v>0</v>
      </c>
      <c r="K689" s="29" t="n">
        <f aca="false">IF(COUNTIF($B$5:B689,B689)=1,1,0)</f>
        <v>0</v>
      </c>
      <c r="L689" s="29" t="n">
        <f aca="false">IF(AND(C689&gt;=Settings!$B$5-Settings!$B$8+1,C689&lt;=Settings!$B$5,COUNTIFS($B$5:B689,B689,$C$5:C689,"&gt;="&amp;(Settings!$B$5-Settings!$B$8+1),$C$5:C689,"&lt;="&amp;Settings!$B$5)=1),1,0)</f>
        <v>0</v>
      </c>
      <c r="M689" s="29" t="n">
        <f aca="false">IF(AND(C689&gt;=Settings!$B$5-Settings!$B$9+1,C689&lt;=Settings!$B$5,COUNTIFS($B$5:B689,B689,$C$5:C689,"&gt;="&amp;(Settings!$B$5-Settings!$B$9+1),$C$5:C689,"&lt;="&amp;Settings!$B$5)=1),1,0)</f>
        <v>0</v>
      </c>
      <c r="N689" s="29" t="n">
        <f aca="false">IF(AND(D689="Feature Use",COUNTIFS($B$5:B689,B689,$D$5:D689,"Feature Use")=1),1,0)</f>
        <v>0</v>
      </c>
    </row>
    <row r="690" customFormat="false" ht="15" hidden="false" customHeight="false" outlineLevel="0" collapsed="false">
      <c r="A690" s="22" t="s">
        <v>997</v>
      </c>
      <c r="B690" s="22" t="s">
        <v>234</v>
      </c>
      <c r="C690" s="31" t="n">
        <v>46289</v>
      </c>
      <c r="D690" s="22" t="s">
        <v>300</v>
      </c>
      <c r="E690" s="22" t="s">
        <v>301</v>
      </c>
      <c r="F690" s="29" t="str">
        <f aca="false">IF(COUNTIF(Referral_Data!$C$5:$C$1000,B690)&gt;0,"Referred",IF(COUNTIF(Referral_Data!$B$5:$B$1000,B690)&gt;0,"Referrer","Organic"))</f>
        <v>Referred</v>
      </c>
      <c r="G690" s="29" t="n">
        <f aca="false">IF(COUNTIFS($B$5:B690,B690,$C$5:C690,C690)=1,1,0)</f>
        <v>0</v>
      </c>
      <c r="H690" s="29" t="n">
        <f aca="false">IF(AND(G690=1,COUNTIFS($B$5:$B$1635,B690,$C$5:$C$1635,"&lt;"&amp;C690)&gt;0),1,0)</f>
        <v>0</v>
      </c>
      <c r="I690" s="29" t="n">
        <f aca="false">IF(AND(D690="Feature Use",COUNTIFS($B$5:B690,B690,$D$5:D690,"Feature Use",$E$5:E690,E690)=1),1,0)</f>
        <v>0</v>
      </c>
      <c r="J690" s="29" t="n">
        <f aca="false">IF(AND(D690="Feature Use",COUNTIFS($B$5:B690,B690,$D$5:D690,"Feature Use",$E$5:E690,E690)=2),1,0)</f>
        <v>0</v>
      </c>
      <c r="K690" s="29" t="n">
        <f aca="false">IF(COUNTIF($B$5:B690,B690)=1,1,0)</f>
        <v>0</v>
      </c>
      <c r="L690" s="29" t="n">
        <f aca="false">IF(AND(C690&gt;=Settings!$B$5-Settings!$B$8+1,C690&lt;=Settings!$B$5,COUNTIFS($B$5:B690,B690,$C$5:C690,"&gt;="&amp;(Settings!$B$5-Settings!$B$8+1),$C$5:C690,"&lt;="&amp;Settings!$B$5)=1),1,0)</f>
        <v>0</v>
      </c>
      <c r="M690" s="29" t="n">
        <f aca="false">IF(AND(C690&gt;=Settings!$B$5-Settings!$B$9+1,C690&lt;=Settings!$B$5,COUNTIFS($B$5:B690,B690,$C$5:C690,"&gt;="&amp;(Settings!$B$5-Settings!$B$9+1),$C$5:C690,"&lt;="&amp;Settings!$B$5)=1),1,0)</f>
        <v>0</v>
      </c>
      <c r="N690" s="29" t="n">
        <f aca="false">IF(AND(D690="Feature Use",COUNTIFS($B$5:B690,B690,$D$5:D690,"Feature Use")=1),1,0)</f>
        <v>0</v>
      </c>
    </row>
    <row r="691" customFormat="false" ht="15" hidden="false" customHeight="false" outlineLevel="0" collapsed="false">
      <c r="A691" s="22" t="s">
        <v>998</v>
      </c>
      <c r="B691" s="22" t="s">
        <v>263</v>
      </c>
      <c r="C691" s="31" t="n">
        <v>46289</v>
      </c>
      <c r="D691" s="22" t="s">
        <v>297</v>
      </c>
      <c r="E691" s="22" t="s">
        <v>298</v>
      </c>
      <c r="F691" s="29" t="str">
        <f aca="false">IF(COUNTIF(Referral_Data!$C$5:$C$1000,B691)&gt;0,"Referred",IF(COUNTIF(Referral_Data!$B$5:$B$1000,B691)&gt;0,"Referrer","Organic"))</f>
        <v>Referred</v>
      </c>
      <c r="G691" s="29" t="n">
        <f aca="false">IF(COUNTIFS($B$5:B691,B691,$C$5:C691,C691)=1,1,0)</f>
        <v>1</v>
      </c>
      <c r="H691" s="29" t="n">
        <f aca="false">IF(AND(G691=1,COUNTIFS($B$5:$B$1635,B691,$C$5:$C$1635,"&lt;"&amp;C691)&gt;0),1,0)</f>
        <v>0</v>
      </c>
      <c r="I691" s="29" t="n">
        <f aca="false">IF(AND(D691="Feature Use",COUNTIFS($B$5:B691,B691,$D$5:D691,"Feature Use",$E$5:E691,E691)=1),1,0)</f>
        <v>0</v>
      </c>
      <c r="J691" s="29" t="n">
        <f aca="false">IF(AND(D691="Feature Use",COUNTIFS($B$5:B691,B691,$D$5:D691,"Feature Use",$E$5:E691,E691)=2),1,0)</f>
        <v>0</v>
      </c>
      <c r="K691" s="29" t="n">
        <f aca="false">IF(COUNTIF($B$5:B691,B691)=1,1,0)</f>
        <v>1</v>
      </c>
      <c r="L691" s="29" t="n">
        <f aca="false">IF(AND(C691&gt;=Settings!$B$5-Settings!$B$8+1,C691&lt;=Settings!$B$5,COUNTIFS($B$5:B691,B691,$C$5:C691,"&gt;="&amp;(Settings!$B$5-Settings!$B$8+1),$C$5:C691,"&lt;="&amp;Settings!$B$5)=1),1,0)</f>
        <v>0</v>
      </c>
      <c r="M691" s="29" t="n">
        <f aca="false">IF(AND(C691&gt;=Settings!$B$5-Settings!$B$9+1,C691&lt;=Settings!$B$5,COUNTIFS($B$5:B691,B691,$C$5:C691,"&gt;="&amp;(Settings!$B$5-Settings!$B$9+1),$C$5:C691,"&lt;="&amp;Settings!$B$5)=1),1,0)</f>
        <v>1</v>
      </c>
      <c r="N691" s="29" t="n">
        <f aca="false">IF(AND(D691="Feature Use",COUNTIFS($B$5:B691,B691,$D$5:D691,"Feature Use")=1),1,0)</f>
        <v>0</v>
      </c>
    </row>
    <row r="692" customFormat="false" ht="15" hidden="false" customHeight="false" outlineLevel="0" collapsed="false">
      <c r="A692" s="22" t="s">
        <v>999</v>
      </c>
      <c r="B692" s="22" t="s">
        <v>263</v>
      </c>
      <c r="C692" s="31" t="n">
        <v>46289</v>
      </c>
      <c r="D692" s="22" t="s">
        <v>300</v>
      </c>
      <c r="E692" s="22" t="s">
        <v>305</v>
      </c>
      <c r="F692" s="29" t="str">
        <f aca="false">IF(COUNTIF(Referral_Data!$C$5:$C$1000,B692)&gt;0,"Referred",IF(COUNTIF(Referral_Data!$B$5:$B$1000,B692)&gt;0,"Referrer","Organic"))</f>
        <v>Referred</v>
      </c>
      <c r="G692" s="29" t="n">
        <f aca="false">IF(COUNTIFS($B$5:B692,B692,$C$5:C692,C692)=1,1,0)</f>
        <v>0</v>
      </c>
      <c r="H692" s="29" t="n">
        <f aca="false">IF(AND(G692=1,COUNTIFS($B$5:$B$1635,B692,$C$5:$C$1635,"&lt;"&amp;C692)&gt;0),1,0)</f>
        <v>0</v>
      </c>
      <c r="I692" s="29" t="n">
        <f aca="false">IF(AND(D692="Feature Use",COUNTIFS($B$5:B692,B692,$D$5:D692,"Feature Use",$E$5:E692,E692)=1),1,0)</f>
        <v>1</v>
      </c>
      <c r="J692" s="29" t="n">
        <f aca="false">IF(AND(D692="Feature Use",COUNTIFS($B$5:B692,B692,$D$5:D692,"Feature Use",$E$5:E692,E692)=2),1,0)</f>
        <v>0</v>
      </c>
      <c r="K692" s="29" t="n">
        <f aca="false">IF(COUNTIF($B$5:B692,B692)=1,1,0)</f>
        <v>0</v>
      </c>
      <c r="L692" s="29" t="n">
        <f aca="false">IF(AND(C692&gt;=Settings!$B$5-Settings!$B$8+1,C692&lt;=Settings!$B$5,COUNTIFS($B$5:B692,B692,$C$5:C692,"&gt;="&amp;(Settings!$B$5-Settings!$B$8+1),$C$5:C692,"&lt;="&amp;Settings!$B$5)=1),1,0)</f>
        <v>0</v>
      </c>
      <c r="M692" s="29" t="n">
        <f aca="false">IF(AND(C692&gt;=Settings!$B$5-Settings!$B$9+1,C692&lt;=Settings!$B$5,COUNTIFS($B$5:B692,B692,$C$5:C692,"&gt;="&amp;(Settings!$B$5-Settings!$B$9+1),$C$5:C692,"&lt;="&amp;Settings!$B$5)=1),1,0)</f>
        <v>0</v>
      </c>
      <c r="N692" s="29" t="n">
        <f aca="false">IF(AND(D692="Feature Use",COUNTIFS($B$5:B692,B692,$D$5:D692,"Feature Use")=1),1,0)</f>
        <v>1</v>
      </c>
    </row>
    <row r="693" customFormat="false" ht="15" hidden="false" customHeight="false" outlineLevel="0" collapsed="false">
      <c r="A693" s="22" t="s">
        <v>1000</v>
      </c>
      <c r="B693" s="22" t="s">
        <v>263</v>
      </c>
      <c r="C693" s="31" t="n">
        <v>46289</v>
      </c>
      <c r="D693" s="22" t="s">
        <v>308</v>
      </c>
      <c r="E693" s="22" t="s">
        <v>311</v>
      </c>
      <c r="F693" s="29" t="str">
        <f aca="false">IF(COUNTIF(Referral_Data!$C$5:$C$1000,B693)&gt;0,"Referred",IF(COUNTIF(Referral_Data!$B$5:$B$1000,B693)&gt;0,"Referrer","Organic"))</f>
        <v>Referred</v>
      </c>
      <c r="G693" s="29" t="n">
        <f aca="false">IF(COUNTIFS($B$5:B693,B693,$C$5:C693,C693)=1,1,0)</f>
        <v>0</v>
      </c>
      <c r="H693" s="29" t="n">
        <f aca="false">IF(AND(G693=1,COUNTIFS($B$5:$B$1635,B693,$C$5:$C$1635,"&lt;"&amp;C693)&gt;0),1,0)</f>
        <v>0</v>
      </c>
      <c r="I693" s="29" t="n">
        <f aca="false">IF(AND(D693="Feature Use",COUNTIFS($B$5:B693,B693,$D$5:D693,"Feature Use",$E$5:E693,E693)=1),1,0)</f>
        <v>0</v>
      </c>
      <c r="J693" s="29" t="n">
        <f aca="false">IF(AND(D693="Feature Use",COUNTIFS($B$5:B693,B693,$D$5:D693,"Feature Use",$E$5:E693,E693)=2),1,0)</f>
        <v>0</v>
      </c>
      <c r="K693" s="29" t="n">
        <f aca="false">IF(COUNTIF($B$5:B693,B693)=1,1,0)</f>
        <v>0</v>
      </c>
      <c r="L693" s="29" t="n">
        <f aca="false">IF(AND(C693&gt;=Settings!$B$5-Settings!$B$8+1,C693&lt;=Settings!$B$5,COUNTIFS($B$5:B693,B693,$C$5:C693,"&gt;="&amp;(Settings!$B$5-Settings!$B$8+1),$C$5:C693,"&lt;="&amp;Settings!$B$5)=1),1,0)</f>
        <v>0</v>
      </c>
      <c r="M693" s="29" t="n">
        <f aca="false">IF(AND(C693&gt;=Settings!$B$5-Settings!$B$9+1,C693&lt;=Settings!$B$5,COUNTIFS($B$5:B693,B693,$C$5:C693,"&gt;="&amp;(Settings!$B$5-Settings!$B$9+1),$C$5:C693,"&lt;="&amp;Settings!$B$5)=1),1,0)</f>
        <v>0</v>
      </c>
      <c r="N693" s="29" t="n">
        <f aca="false">IF(AND(D693="Feature Use",COUNTIFS($B$5:B693,B693,$D$5:D693,"Feature Use")=1),1,0)</f>
        <v>0</v>
      </c>
    </row>
    <row r="694" customFormat="false" ht="15" hidden="false" customHeight="false" outlineLevel="0" collapsed="false">
      <c r="A694" s="22" t="s">
        <v>1001</v>
      </c>
      <c r="B694" s="22" t="s">
        <v>173</v>
      </c>
      <c r="C694" s="31" t="n">
        <v>46289</v>
      </c>
      <c r="D694" s="22" t="s">
        <v>297</v>
      </c>
      <c r="E694" s="22" t="s">
        <v>298</v>
      </c>
      <c r="F694" s="29" t="str">
        <f aca="false">IF(COUNTIF(Referral_Data!$C$5:$C$1000,B694)&gt;0,"Referred",IF(COUNTIF(Referral_Data!$B$5:$B$1000,B694)&gt;0,"Referrer","Organic"))</f>
        <v>Referrer</v>
      </c>
      <c r="G694" s="29" t="n">
        <f aca="false">IF(COUNTIFS($B$5:B694,B694,$C$5:C694,C694)=1,1,0)</f>
        <v>1</v>
      </c>
      <c r="H694" s="29" t="n">
        <f aca="false">IF(AND(G694=1,COUNTIFS($B$5:$B$1635,B694,$C$5:$C$1635,"&lt;"&amp;C694)&gt;0),1,0)</f>
        <v>1</v>
      </c>
      <c r="I694" s="29" t="n">
        <f aca="false">IF(AND(D694="Feature Use",COUNTIFS($B$5:B694,B694,$D$5:D694,"Feature Use",$E$5:E694,E694)=1),1,0)</f>
        <v>0</v>
      </c>
      <c r="J694" s="29" t="n">
        <f aca="false">IF(AND(D694="Feature Use",COUNTIFS($B$5:B694,B694,$D$5:D694,"Feature Use",$E$5:E694,E694)=2),1,0)</f>
        <v>0</v>
      </c>
      <c r="K694" s="29" t="n">
        <f aca="false">IF(COUNTIF($B$5:B694,B694)=1,1,0)</f>
        <v>0</v>
      </c>
      <c r="L694" s="29" t="n">
        <f aca="false">IF(AND(C694&gt;=Settings!$B$5-Settings!$B$8+1,C694&lt;=Settings!$B$5,COUNTIFS($B$5:B694,B694,$C$5:C694,"&gt;="&amp;(Settings!$B$5-Settings!$B$8+1),$C$5:C694,"&lt;="&amp;Settings!$B$5)=1),1,0)</f>
        <v>0</v>
      </c>
      <c r="M694" s="29" t="n">
        <f aca="false">IF(AND(C694&gt;=Settings!$B$5-Settings!$B$9+1,C694&lt;=Settings!$B$5,COUNTIFS($B$5:B694,B694,$C$5:C694,"&gt;="&amp;(Settings!$B$5-Settings!$B$9+1),$C$5:C694,"&lt;="&amp;Settings!$B$5)=1),1,0)</f>
        <v>0</v>
      </c>
      <c r="N694" s="29" t="n">
        <f aca="false">IF(AND(D694="Feature Use",COUNTIFS($B$5:B694,B694,$D$5:D694,"Feature Use")=1),1,0)</f>
        <v>0</v>
      </c>
    </row>
    <row r="695" customFormat="false" ht="15" hidden="false" customHeight="false" outlineLevel="0" collapsed="false">
      <c r="A695" s="22" t="s">
        <v>1002</v>
      </c>
      <c r="B695" s="22" t="s">
        <v>173</v>
      </c>
      <c r="C695" s="31" t="n">
        <v>46289</v>
      </c>
      <c r="D695" s="22" t="s">
        <v>300</v>
      </c>
      <c r="E695" s="22" t="s">
        <v>301</v>
      </c>
      <c r="F695" s="29" t="str">
        <f aca="false">IF(COUNTIF(Referral_Data!$C$5:$C$1000,B695)&gt;0,"Referred",IF(COUNTIF(Referral_Data!$B$5:$B$1000,B695)&gt;0,"Referrer","Organic"))</f>
        <v>Referrer</v>
      </c>
      <c r="G695" s="29" t="n">
        <f aca="false">IF(COUNTIFS($B$5:B695,B695,$C$5:C695,C695)=1,1,0)</f>
        <v>0</v>
      </c>
      <c r="H695" s="29" t="n">
        <f aca="false">IF(AND(G695=1,COUNTIFS($B$5:$B$1635,B695,$C$5:$C$1635,"&lt;"&amp;C695)&gt;0),1,0)</f>
        <v>0</v>
      </c>
      <c r="I695" s="29" t="n">
        <f aca="false">IF(AND(D695="Feature Use",COUNTIFS($B$5:B695,B695,$D$5:D695,"Feature Use",$E$5:E695,E695)=1),1,0)</f>
        <v>0</v>
      </c>
      <c r="J695" s="29" t="n">
        <f aca="false">IF(AND(D695="Feature Use",COUNTIFS($B$5:B695,B695,$D$5:D695,"Feature Use",$E$5:E695,E695)=2),1,0)</f>
        <v>0</v>
      </c>
      <c r="K695" s="29" t="n">
        <f aca="false">IF(COUNTIF($B$5:B695,B695)=1,1,0)</f>
        <v>0</v>
      </c>
      <c r="L695" s="29" t="n">
        <f aca="false">IF(AND(C695&gt;=Settings!$B$5-Settings!$B$8+1,C695&lt;=Settings!$B$5,COUNTIFS($B$5:B695,B695,$C$5:C695,"&gt;="&amp;(Settings!$B$5-Settings!$B$8+1),$C$5:C695,"&lt;="&amp;Settings!$B$5)=1),1,0)</f>
        <v>0</v>
      </c>
      <c r="M695" s="29" t="n">
        <f aca="false">IF(AND(C695&gt;=Settings!$B$5-Settings!$B$9+1,C695&lt;=Settings!$B$5,COUNTIFS($B$5:B695,B695,$C$5:C695,"&gt;="&amp;(Settings!$B$5-Settings!$B$9+1),$C$5:C695,"&lt;="&amp;Settings!$B$5)=1),1,0)</f>
        <v>0</v>
      </c>
      <c r="N695" s="29" t="n">
        <f aca="false">IF(AND(D695="Feature Use",COUNTIFS($B$5:B695,B695,$D$5:D695,"Feature Use")=1),1,0)</f>
        <v>0</v>
      </c>
    </row>
    <row r="696" customFormat="false" ht="15" hidden="false" customHeight="false" outlineLevel="0" collapsed="false">
      <c r="A696" s="22" t="s">
        <v>1003</v>
      </c>
      <c r="B696" s="22" t="s">
        <v>173</v>
      </c>
      <c r="C696" s="31" t="n">
        <v>46289</v>
      </c>
      <c r="D696" s="22" t="s">
        <v>308</v>
      </c>
      <c r="E696" s="22" t="s">
        <v>305</v>
      </c>
      <c r="F696" s="29" t="str">
        <f aca="false">IF(COUNTIF(Referral_Data!$C$5:$C$1000,B696)&gt;0,"Referred",IF(COUNTIF(Referral_Data!$B$5:$B$1000,B696)&gt;0,"Referrer","Organic"))</f>
        <v>Referrer</v>
      </c>
      <c r="G696" s="29" t="n">
        <f aca="false">IF(COUNTIFS($B$5:B696,B696,$C$5:C696,C696)=1,1,0)</f>
        <v>0</v>
      </c>
      <c r="H696" s="29" t="n">
        <f aca="false">IF(AND(G696=1,COUNTIFS($B$5:$B$1635,B696,$C$5:$C$1635,"&lt;"&amp;C696)&gt;0),1,0)</f>
        <v>0</v>
      </c>
      <c r="I696" s="29" t="n">
        <f aca="false">IF(AND(D696="Feature Use",COUNTIFS($B$5:B696,B696,$D$5:D696,"Feature Use",$E$5:E696,E696)=1),1,0)</f>
        <v>0</v>
      </c>
      <c r="J696" s="29" t="n">
        <f aca="false">IF(AND(D696="Feature Use",COUNTIFS($B$5:B696,B696,$D$5:D696,"Feature Use",$E$5:E696,E696)=2),1,0)</f>
        <v>0</v>
      </c>
      <c r="K696" s="29" t="n">
        <f aca="false">IF(COUNTIF($B$5:B696,B696)=1,1,0)</f>
        <v>0</v>
      </c>
      <c r="L696" s="29" t="n">
        <f aca="false">IF(AND(C696&gt;=Settings!$B$5-Settings!$B$8+1,C696&lt;=Settings!$B$5,COUNTIFS($B$5:B696,B696,$C$5:C696,"&gt;="&amp;(Settings!$B$5-Settings!$B$8+1),$C$5:C696,"&lt;="&amp;Settings!$B$5)=1),1,0)</f>
        <v>0</v>
      </c>
      <c r="M696" s="29" t="n">
        <f aca="false">IF(AND(C696&gt;=Settings!$B$5-Settings!$B$9+1,C696&lt;=Settings!$B$5,COUNTIFS($B$5:B696,B696,$C$5:C696,"&gt;="&amp;(Settings!$B$5-Settings!$B$9+1),$C$5:C696,"&lt;="&amp;Settings!$B$5)=1),1,0)</f>
        <v>0</v>
      </c>
      <c r="N696" s="29" t="n">
        <f aca="false">IF(AND(D696="Feature Use",COUNTIFS($B$5:B696,B696,$D$5:D696,"Feature Use")=1),1,0)</f>
        <v>0</v>
      </c>
    </row>
    <row r="697" customFormat="false" ht="15" hidden="false" customHeight="false" outlineLevel="0" collapsed="false">
      <c r="A697" s="22" t="s">
        <v>1004</v>
      </c>
      <c r="B697" s="22" t="s">
        <v>215</v>
      </c>
      <c r="C697" s="31" t="n">
        <v>46289</v>
      </c>
      <c r="D697" s="22" t="s">
        <v>297</v>
      </c>
      <c r="E697" s="22" t="s">
        <v>298</v>
      </c>
      <c r="F697" s="29" t="str">
        <f aca="false">IF(COUNTIF(Referral_Data!$C$5:$C$1000,B697)&gt;0,"Referred",IF(COUNTIF(Referral_Data!$B$5:$B$1000,B697)&gt;0,"Referrer","Organic"))</f>
        <v>Referrer</v>
      </c>
      <c r="G697" s="29" t="n">
        <f aca="false">IF(COUNTIFS($B$5:B697,B697,$C$5:C697,C697)=1,1,0)</f>
        <v>1</v>
      </c>
      <c r="H697" s="29" t="n">
        <f aca="false">IF(AND(G697=1,COUNTIFS($B$5:$B$1635,B697,$C$5:$C$1635,"&lt;"&amp;C697)&gt;0),1,0)</f>
        <v>1</v>
      </c>
      <c r="I697" s="29" t="n">
        <f aca="false">IF(AND(D697="Feature Use",COUNTIFS($B$5:B697,B697,$D$5:D697,"Feature Use",$E$5:E697,E697)=1),1,0)</f>
        <v>0</v>
      </c>
      <c r="J697" s="29" t="n">
        <f aca="false">IF(AND(D697="Feature Use",COUNTIFS($B$5:B697,B697,$D$5:D697,"Feature Use",$E$5:E697,E697)=2),1,0)</f>
        <v>0</v>
      </c>
      <c r="K697" s="29" t="n">
        <f aca="false">IF(COUNTIF($B$5:B697,B697)=1,1,0)</f>
        <v>0</v>
      </c>
      <c r="L697" s="29" t="n">
        <f aca="false">IF(AND(C697&gt;=Settings!$B$5-Settings!$B$8+1,C697&lt;=Settings!$B$5,COUNTIFS($B$5:B697,B697,$C$5:C697,"&gt;="&amp;(Settings!$B$5-Settings!$B$8+1),$C$5:C697,"&lt;="&amp;Settings!$B$5)=1),1,0)</f>
        <v>0</v>
      </c>
      <c r="M697" s="29" t="n">
        <f aca="false">IF(AND(C697&gt;=Settings!$B$5-Settings!$B$9+1,C697&lt;=Settings!$B$5,COUNTIFS($B$5:B697,B697,$C$5:C697,"&gt;="&amp;(Settings!$B$5-Settings!$B$9+1),$C$5:C697,"&lt;="&amp;Settings!$B$5)=1),1,0)</f>
        <v>0</v>
      </c>
      <c r="N697" s="29" t="n">
        <f aca="false">IF(AND(D697="Feature Use",COUNTIFS($B$5:B697,B697,$D$5:D697,"Feature Use")=1),1,0)</f>
        <v>0</v>
      </c>
    </row>
    <row r="698" customFormat="false" ht="15" hidden="false" customHeight="false" outlineLevel="0" collapsed="false">
      <c r="A698" s="22" t="s">
        <v>1005</v>
      </c>
      <c r="B698" s="22" t="s">
        <v>215</v>
      </c>
      <c r="C698" s="31" t="n">
        <v>46289</v>
      </c>
      <c r="D698" s="22" t="s">
        <v>300</v>
      </c>
      <c r="E698" s="22" t="s">
        <v>311</v>
      </c>
      <c r="F698" s="29" t="str">
        <f aca="false">IF(COUNTIF(Referral_Data!$C$5:$C$1000,B698)&gt;0,"Referred",IF(COUNTIF(Referral_Data!$B$5:$B$1000,B698)&gt;0,"Referrer","Organic"))</f>
        <v>Referrer</v>
      </c>
      <c r="G698" s="29" t="n">
        <f aca="false">IF(COUNTIFS($B$5:B698,B698,$C$5:C698,C698)=1,1,0)</f>
        <v>0</v>
      </c>
      <c r="H698" s="29" t="n">
        <f aca="false">IF(AND(G698=1,COUNTIFS($B$5:$B$1635,B698,$C$5:$C$1635,"&lt;"&amp;C698)&gt;0),1,0)</f>
        <v>0</v>
      </c>
      <c r="I698" s="29" t="n">
        <f aca="false">IF(AND(D698="Feature Use",COUNTIFS($B$5:B698,B698,$D$5:D698,"Feature Use",$E$5:E698,E698)=1),1,0)</f>
        <v>0</v>
      </c>
      <c r="J698" s="29" t="n">
        <f aca="false">IF(AND(D698="Feature Use",COUNTIFS($B$5:B698,B698,$D$5:D698,"Feature Use",$E$5:E698,E698)=2),1,0)</f>
        <v>1</v>
      </c>
      <c r="K698" s="29" t="n">
        <f aca="false">IF(COUNTIF($B$5:B698,B698)=1,1,0)</f>
        <v>0</v>
      </c>
      <c r="L698" s="29" t="n">
        <f aca="false">IF(AND(C698&gt;=Settings!$B$5-Settings!$B$8+1,C698&lt;=Settings!$B$5,COUNTIFS($B$5:B698,B698,$C$5:C698,"&gt;="&amp;(Settings!$B$5-Settings!$B$8+1),$C$5:C698,"&lt;="&amp;Settings!$B$5)=1),1,0)</f>
        <v>0</v>
      </c>
      <c r="M698" s="29" t="n">
        <f aca="false">IF(AND(C698&gt;=Settings!$B$5-Settings!$B$9+1,C698&lt;=Settings!$B$5,COUNTIFS($B$5:B698,B698,$C$5:C698,"&gt;="&amp;(Settings!$B$5-Settings!$B$9+1),$C$5:C698,"&lt;="&amp;Settings!$B$5)=1),1,0)</f>
        <v>0</v>
      </c>
      <c r="N698" s="29" t="n">
        <f aca="false">IF(AND(D698="Feature Use",COUNTIFS($B$5:B698,B698,$D$5:D698,"Feature Use")=1),1,0)</f>
        <v>0</v>
      </c>
    </row>
    <row r="699" customFormat="false" ht="15" hidden="false" customHeight="false" outlineLevel="0" collapsed="false">
      <c r="A699" s="22" t="s">
        <v>1006</v>
      </c>
      <c r="B699" s="22" t="s">
        <v>183</v>
      </c>
      <c r="C699" s="31" t="n">
        <v>46289</v>
      </c>
      <c r="D699" s="22" t="s">
        <v>297</v>
      </c>
      <c r="E699" s="22" t="s">
        <v>298</v>
      </c>
      <c r="F699" s="29" t="str">
        <f aca="false">IF(COUNTIF(Referral_Data!$C$5:$C$1000,B699)&gt;0,"Referred",IF(COUNTIF(Referral_Data!$B$5:$B$1000,B699)&gt;0,"Referrer","Organic"))</f>
        <v>Referrer</v>
      </c>
      <c r="G699" s="29" t="n">
        <f aca="false">IF(COUNTIFS($B$5:B699,B699,$C$5:C699,C699)=1,1,0)</f>
        <v>1</v>
      </c>
      <c r="H699" s="29" t="n">
        <f aca="false">IF(AND(G699=1,COUNTIFS($B$5:$B$1635,B699,$C$5:$C$1635,"&lt;"&amp;C699)&gt;0),1,0)</f>
        <v>1</v>
      </c>
      <c r="I699" s="29" t="n">
        <f aca="false">IF(AND(D699="Feature Use",COUNTIFS($B$5:B699,B699,$D$5:D699,"Feature Use",$E$5:E699,E699)=1),1,0)</f>
        <v>0</v>
      </c>
      <c r="J699" s="29" t="n">
        <f aca="false">IF(AND(D699="Feature Use",COUNTIFS($B$5:B699,B699,$D$5:D699,"Feature Use",$E$5:E699,E699)=2),1,0)</f>
        <v>0</v>
      </c>
      <c r="K699" s="29" t="n">
        <f aca="false">IF(COUNTIF($B$5:B699,B699)=1,1,0)</f>
        <v>0</v>
      </c>
      <c r="L699" s="29" t="n">
        <f aca="false">IF(AND(C699&gt;=Settings!$B$5-Settings!$B$8+1,C699&lt;=Settings!$B$5,COUNTIFS($B$5:B699,B699,$C$5:C699,"&gt;="&amp;(Settings!$B$5-Settings!$B$8+1),$C$5:C699,"&lt;="&amp;Settings!$B$5)=1),1,0)</f>
        <v>0</v>
      </c>
      <c r="M699" s="29" t="n">
        <f aca="false">IF(AND(C699&gt;=Settings!$B$5-Settings!$B$9+1,C699&lt;=Settings!$B$5,COUNTIFS($B$5:B699,B699,$C$5:C699,"&gt;="&amp;(Settings!$B$5-Settings!$B$9+1),$C$5:C699,"&lt;="&amp;Settings!$B$5)=1),1,0)</f>
        <v>0</v>
      </c>
      <c r="N699" s="29" t="n">
        <f aca="false">IF(AND(D699="Feature Use",COUNTIFS($B$5:B699,B699,$D$5:D699,"Feature Use")=1),1,0)</f>
        <v>0</v>
      </c>
    </row>
    <row r="700" customFormat="false" ht="15" hidden="false" customHeight="false" outlineLevel="0" collapsed="false">
      <c r="A700" s="22" t="s">
        <v>1007</v>
      </c>
      <c r="B700" s="22" t="s">
        <v>183</v>
      </c>
      <c r="C700" s="31" t="n">
        <v>46289</v>
      </c>
      <c r="D700" s="22" t="s">
        <v>300</v>
      </c>
      <c r="E700" s="22" t="s">
        <v>319</v>
      </c>
      <c r="F700" s="29" t="str">
        <f aca="false">IF(COUNTIF(Referral_Data!$C$5:$C$1000,B700)&gt;0,"Referred",IF(COUNTIF(Referral_Data!$B$5:$B$1000,B700)&gt;0,"Referrer","Organic"))</f>
        <v>Referrer</v>
      </c>
      <c r="G700" s="29" t="n">
        <f aca="false">IF(COUNTIFS($B$5:B700,B700,$C$5:C700,C700)=1,1,0)</f>
        <v>0</v>
      </c>
      <c r="H700" s="29" t="n">
        <f aca="false">IF(AND(G700=1,COUNTIFS($B$5:$B$1635,B700,$C$5:$C$1635,"&lt;"&amp;C700)&gt;0),1,0)</f>
        <v>0</v>
      </c>
      <c r="I700" s="29" t="n">
        <f aca="false">IF(AND(D700="Feature Use",COUNTIFS($B$5:B700,B700,$D$5:D700,"Feature Use",$E$5:E700,E700)=1),1,0)</f>
        <v>0</v>
      </c>
      <c r="J700" s="29" t="n">
        <f aca="false">IF(AND(D700="Feature Use",COUNTIFS($B$5:B700,B700,$D$5:D700,"Feature Use",$E$5:E700,E700)=2),1,0)</f>
        <v>0</v>
      </c>
      <c r="K700" s="29" t="n">
        <f aca="false">IF(COUNTIF($B$5:B700,B700)=1,1,0)</f>
        <v>0</v>
      </c>
      <c r="L700" s="29" t="n">
        <f aca="false">IF(AND(C700&gt;=Settings!$B$5-Settings!$B$8+1,C700&lt;=Settings!$B$5,COUNTIFS($B$5:B700,B700,$C$5:C700,"&gt;="&amp;(Settings!$B$5-Settings!$B$8+1),$C$5:C700,"&lt;="&amp;Settings!$B$5)=1),1,0)</f>
        <v>0</v>
      </c>
      <c r="M700" s="29" t="n">
        <f aca="false">IF(AND(C700&gt;=Settings!$B$5-Settings!$B$9+1,C700&lt;=Settings!$B$5,COUNTIFS($B$5:B700,B700,$C$5:C700,"&gt;="&amp;(Settings!$B$5-Settings!$B$9+1),$C$5:C700,"&lt;="&amp;Settings!$B$5)=1),1,0)</f>
        <v>0</v>
      </c>
      <c r="N700" s="29" t="n">
        <f aca="false">IF(AND(D700="Feature Use",COUNTIFS($B$5:B700,B700,$D$5:D700,"Feature Use")=1),1,0)</f>
        <v>0</v>
      </c>
    </row>
    <row r="701" customFormat="false" ht="15" hidden="false" customHeight="false" outlineLevel="0" collapsed="false">
      <c r="A701" s="22" t="s">
        <v>1008</v>
      </c>
      <c r="B701" s="22" t="s">
        <v>183</v>
      </c>
      <c r="C701" s="31" t="n">
        <v>46289</v>
      </c>
      <c r="D701" s="22" t="s">
        <v>300</v>
      </c>
      <c r="E701" s="22" t="s">
        <v>305</v>
      </c>
      <c r="F701" s="29" t="str">
        <f aca="false">IF(COUNTIF(Referral_Data!$C$5:$C$1000,B701)&gt;0,"Referred",IF(COUNTIF(Referral_Data!$B$5:$B$1000,B701)&gt;0,"Referrer","Organic"))</f>
        <v>Referrer</v>
      </c>
      <c r="G701" s="29" t="n">
        <f aca="false">IF(COUNTIFS($B$5:B701,B701,$C$5:C701,C701)=1,1,0)</f>
        <v>0</v>
      </c>
      <c r="H701" s="29" t="n">
        <f aca="false">IF(AND(G701=1,COUNTIFS($B$5:$B$1635,B701,$C$5:$C$1635,"&lt;"&amp;C701)&gt;0),1,0)</f>
        <v>0</v>
      </c>
      <c r="I701" s="29" t="n">
        <f aca="false">IF(AND(D701="Feature Use",COUNTIFS($B$5:B701,B701,$D$5:D701,"Feature Use",$E$5:E701,E701)=1),1,0)</f>
        <v>0</v>
      </c>
      <c r="J701" s="29" t="n">
        <f aca="false">IF(AND(D701="Feature Use",COUNTIFS($B$5:B701,B701,$D$5:D701,"Feature Use",$E$5:E701,E701)=2),1,0)</f>
        <v>1</v>
      </c>
      <c r="K701" s="29" t="n">
        <f aca="false">IF(COUNTIF($B$5:B701,B701)=1,1,0)</f>
        <v>0</v>
      </c>
      <c r="L701" s="29" t="n">
        <f aca="false">IF(AND(C701&gt;=Settings!$B$5-Settings!$B$8+1,C701&lt;=Settings!$B$5,COUNTIFS($B$5:B701,B701,$C$5:C701,"&gt;="&amp;(Settings!$B$5-Settings!$B$8+1),$C$5:C701,"&lt;="&amp;Settings!$B$5)=1),1,0)</f>
        <v>0</v>
      </c>
      <c r="M701" s="29" t="n">
        <f aca="false">IF(AND(C701&gt;=Settings!$B$5-Settings!$B$9+1,C701&lt;=Settings!$B$5,COUNTIFS($B$5:B701,B701,$C$5:C701,"&gt;="&amp;(Settings!$B$5-Settings!$B$9+1),$C$5:C701,"&lt;="&amp;Settings!$B$5)=1),1,0)</f>
        <v>0</v>
      </c>
      <c r="N701" s="29" t="n">
        <f aca="false">IF(AND(D701="Feature Use",COUNTIFS($B$5:B701,B701,$D$5:D701,"Feature Use")=1),1,0)</f>
        <v>0</v>
      </c>
    </row>
    <row r="702" customFormat="false" ht="15" hidden="false" customHeight="false" outlineLevel="0" collapsed="false">
      <c r="A702" s="22" t="s">
        <v>1009</v>
      </c>
      <c r="B702" s="22" t="s">
        <v>183</v>
      </c>
      <c r="C702" s="31" t="n">
        <v>46289</v>
      </c>
      <c r="D702" s="22" t="s">
        <v>308</v>
      </c>
      <c r="E702" s="22" t="s">
        <v>305</v>
      </c>
      <c r="F702" s="29" t="str">
        <f aca="false">IF(COUNTIF(Referral_Data!$C$5:$C$1000,B702)&gt;0,"Referred",IF(COUNTIF(Referral_Data!$B$5:$B$1000,B702)&gt;0,"Referrer","Organic"))</f>
        <v>Referrer</v>
      </c>
      <c r="G702" s="29" t="n">
        <f aca="false">IF(COUNTIFS($B$5:B702,B702,$C$5:C702,C702)=1,1,0)</f>
        <v>0</v>
      </c>
      <c r="H702" s="29" t="n">
        <f aca="false">IF(AND(G702=1,COUNTIFS($B$5:$B$1635,B702,$C$5:$C$1635,"&lt;"&amp;C702)&gt;0),1,0)</f>
        <v>0</v>
      </c>
      <c r="I702" s="29" t="n">
        <f aca="false">IF(AND(D702="Feature Use",COUNTIFS($B$5:B702,B702,$D$5:D702,"Feature Use",$E$5:E702,E702)=1),1,0)</f>
        <v>0</v>
      </c>
      <c r="J702" s="29" t="n">
        <f aca="false">IF(AND(D702="Feature Use",COUNTIFS($B$5:B702,B702,$D$5:D702,"Feature Use",$E$5:E702,E702)=2),1,0)</f>
        <v>0</v>
      </c>
      <c r="K702" s="29" t="n">
        <f aca="false">IF(COUNTIF($B$5:B702,B702)=1,1,0)</f>
        <v>0</v>
      </c>
      <c r="L702" s="29" t="n">
        <f aca="false">IF(AND(C702&gt;=Settings!$B$5-Settings!$B$8+1,C702&lt;=Settings!$B$5,COUNTIFS($B$5:B702,B702,$C$5:C702,"&gt;="&amp;(Settings!$B$5-Settings!$B$8+1),$C$5:C702,"&lt;="&amp;Settings!$B$5)=1),1,0)</f>
        <v>0</v>
      </c>
      <c r="M702" s="29" t="n">
        <f aca="false">IF(AND(C702&gt;=Settings!$B$5-Settings!$B$9+1,C702&lt;=Settings!$B$5,COUNTIFS($B$5:B702,B702,$C$5:C702,"&gt;="&amp;(Settings!$B$5-Settings!$B$9+1),$C$5:C702,"&lt;="&amp;Settings!$B$5)=1),1,0)</f>
        <v>0</v>
      </c>
      <c r="N702" s="29" t="n">
        <f aca="false">IF(AND(D702="Feature Use",COUNTIFS($B$5:B702,B702,$D$5:D702,"Feature Use")=1),1,0)</f>
        <v>0</v>
      </c>
    </row>
    <row r="703" customFormat="false" ht="15" hidden="false" customHeight="false" outlineLevel="0" collapsed="false">
      <c r="A703" s="22" t="s">
        <v>1010</v>
      </c>
      <c r="B703" s="22" t="s">
        <v>183</v>
      </c>
      <c r="C703" s="31" t="n">
        <v>46289</v>
      </c>
      <c r="D703" s="22" t="s">
        <v>308</v>
      </c>
      <c r="E703" s="22" t="s">
        <v>311</v>
      </c>
      <c r="F703" s="29" t="str">
        <f aca="false">IF(COUNTIF(Referral_Data!$C$5:$C$1000,B703)&gt;0,"Referred",IF(COUNTIF(Referral_Data!$B$5:$B$1000,B703)&gt;0,"Referrer","Organic"))</f>
        <v>Referrer</v>
      </c>
      <c r="G703" s="29" t="n">
        <f aca="false">IF(COUNTIFS($B$5:B703,B703,$C$5:C703,C703)=1,1,0)</f>
        <v>0</v>
      </c>
      <c r="H703" s="29" t="n">
        <f aca="false">IF(AND(G703=1,COUNTIFS($B$5:$B$1635,B703,$C$5:$C$1635,"&lt;"&amp;C703)&gt;0),1,0)</f>
        <v>0</v>
      </c>
      <c r="I703" s="29" t="n">
        <f aca="false">IF(AND(D703="Feature Use",COUNTIFS($B$5:B703,B703,$D$5:D703,"Feature Use",$E$5:E703,E703)=1),1,0)</f>
        <v>0</v>
      </c>
      <c r="J703" s="29" t="n">
        <f aca="false">IF(AND(D703="Feature Use",COUNTIFS($B$5:B703,B703,$D$5:D703,"Feature Use",$E$5:E703,E703)=2),1,0)</f>
        <v>0</v>
      </c>
      <c r="K703" s="29" t="n">
        <f aca="false">IF(COUNTIF($B$5:B703,B703)=1,1,0)</f>
        <v>0</v>
      </c>
      <c r="L703" s="29" t="n">
        <f aca="false">IF(AND(C703&gt;=Settings!$B$5-Settings!$B$8+1,C703&lt;=Settings!$B$5,COUNTIFS($B$5:B703,B703,$C$5:C703,"&gt;="&amp;(Settings!$B$5-Settings!$B$8+1),$C$5:C703,"&lt;="&amp;Settings!$B$5)=1),1,0)</f>
        <v>0</v>
      </c>
      <c r="M703" s="29" t="n">
        <f aca="false">IF(AND(C703&gt;=Settings!$B$5-Settings!$B$9+1,C703&lt;=Settings!$B$5,COUNTIFS($B$5:B703,B703,$C$5:C703,"&gt;="&amp;(Settings!$B$5-Settings!$B$9+1),$C$5:C703,"&lt;="&amp;Settings!$B$5)=1),1,0)</f>
        <v>0</v>
      </c>
      <c r="N703" s="29" t="n">
        <f aca="false">IF(AND(D703="Feature Use",COUNTIFS($B$5:B703,B703,$D$5:D703,"Feature Use")=1),1,0)</f>
        <v>0</v>
      </c>
    </row>
    <row r="704" customFormat="false" ht="15" hidden="false" customHeight="false" outlineLevel="0" collapsed="false">
      <c r="A704" s="22" t="s">
        <v>1011</v>
      </c>
      <c r="B704" s="22" t="s">
        <v>296</v>
      </c>
      <c r="C704" s="31" t="n">
        <v>46290</v>
      </c>
      <c r="D704" s="22" t="s">
        <v>297</v>
      </c>
      <c r="E704" s="22" t="s">
        <v>298</v>
      </c>
      <c r="F704" s="29" t="str">
        <f aca="false">IF(COUNTIF(Referral_Data!$C$5:$C$1000,B704)&gt;0,"Referred",IF(COUNTIF(Referral_Data!$B$5:$B$1000,B704)&gt;0,"Referrer","Organic"))</f>
        <v>Organic</v>
      </c>
      <c r="G704" s="29" t="n">
        <f aca="false">IF(COUNTIFS($B$5:B704,B704,$C$5:C704,C704)=1,1,0)</f>
        <v>1</v>
      </c>
      <c r="H704" s="29" t="n">
        <f aca="false">IF(AND(G704=1,COUNTIFS($B$5:$B$1635,B704,$C$5:$C$1635,"&lt;"&amp;C704)&gt;0),1,0)</f>
        <v>1</v>
      </c>
      <c r="I704" s="29" t="n">
        <f aca="false">IF(AND(D704="Feature Use",COUNTIFS($B$5:B704,B704,$D$5:D704,"Feature Use",$E$5:E704,E704)=1),1,0)</f>
        <v>0</v>
      </c>
      <c r="J704" s="29" t="n">
        <f aca="false">IF(AND(D704="Feature Use",COUNTIFS($B$5:B704,B704,$D$5:D704,"Feature Use",$E$5:E704,E704)=2),1,0)</f>
        <v>0</v>
      </c>
      <c r="K704" s="29" t="n">
        <f aca="false">IF(COUNTIF($B$5:B704,B704)=1,1,0)</f>
        <v>0</v>
      </c>
      <c r="L704" s="29" t="n">
        <f aca="false">IF(AND(C704&gt;=Settings!$B$5-Settings!$B$8+1,C704&lt;=Settings!$B$5,COUNTIFS($B$5:B704,B704,$C$5:C704,"&gt;="&amp;(Settings!$B$5-Settings!$B$8+1),$C$5:C704,"&lt;="&amp;Settings!$B$5)=1),1,0)</f>
        <v>0</v>
      </c>
      <c r="M704" s="29" t="n">
        <f aca="false">IF(AND(C704&gt;=Settings!$B$5-Settings!$B$9+1,C704&lt;=Settings!$B$5,COUNTIFS($B$5:B704,B704,$C$5:C704,"&gt;="&amp;(Settings!$B$5-Settings!$B$9+1),$C$5:C704,"&lt;="&amp;Settings!$B$5)=1),1,0)</f>
        <v>0</v>
      </c>
      <c r="N704" s="29" t="n">
        <f aca="false">IF(AND(D704="Feature Use",COUNTIFS($B$5:B704,B704,$D$5:D704,"Feature Use")=1),1,0)</f>
        <v>0</v>
      </c>
    </row>
    <row r="705" customFormat="false" ht="15" hidden="false" customHeight="false" outlineLevel="0" collapsed="false">
      <c r="A705" s="22" t="s">
        <v>1012</v>
      </c>
      <c r="B705" s="22" t="s">
        <v>296</v>
      </c>
      <c r="C705" s="31" t="n">
        <v>46290</v>
      </c>
      <c r="D705" s="22" t="s">
        <v>300</v>
      </c>
      <c r="E705" s="22" t="s">
        <v>305</v>
      </c>
      <c r="F705" s="29" t="str">
        <f aca="false">IF(COUNTIF(Referral_Data!$C$5:$C$1000,B705)&gt;0,"Referred",IF(COUNTIF(Referral_Data!$B$5:$B$1000,B705)&gt;0,"Referrer","Organic"))</f>
        <v>Organic</v>
      </c>
      <c r="G705" s="29" t="n">
        <f aca="false">IF(COUNTIFS($B$5:B705,B705,$C$5:C705,C705)=1,1,0)</f>
        <v>0</v>
      </c>
      <c r="H705" s="29" t="n">
        <f aca="false">IF(AND(G705=1,COUNTIFS($B$5:$B$1635,B705,$C$5:$C$1635,"&lt;"&amp;C705)&gt;0),1,0)</f>
        <v>0</v>
      </c>
      <c r="I705" s="29" t="n">
        <f aca="false">IF(AND(D705="Feature Use",COUNTIFS($B$5:B705,B705,$D$5:D705,"Feature Use",$E$5:E705,E705)=1),1,0)</f>
        <v>0</v>
      </c>
      <c r="J705" s="29" t="n">
        <f aca="false">IF(AND(D705="Feature Use",COUNTIFS($B$5:B705,B705,$D$5:D705,"Feature Use",$E$5:E705,E705)=2),1,0)</f>
        <v>0</v>
      </c>
      <c r="K705" s="29" t="n">
        <f aca="false">IF(COUNTIF($B$5:B705,B705)=1,1,0)</f>
        <v>0</v>
      </c>
      <c r="L705" s="29" t="n">
        <f aca="false">IF(AND(C705&gt;=Settings!$B$5-Settings!$B$8+1,C705&lt;=Settings!$B$5,COUNTIFS($B$5:B705,B705,$C$5:C705,"&gt;="&amp;(Settings!$B$5-Settings!$B$8+1),$C$5:C705,"&lt;="&amp;Settings!$B$5)=1),1,0)</f>
        <v>0</v>
      </c>
      <c r="M705" s="29" t="n">
        <f aca="false">IF(AND(C705&gt;=Settings!$B$5-Settings!$B$9+1,C705&lt;=Settings!$B$5,COUNTIFS($B$5:B705,B705,$C$5:C705,"&gt;="&amp;(Settings!$B$5-Settings!$B$9+1),$C$5:C705,"&lt;="&amp;Settings!$B$5)=1),1,0)</f>
        <v>0</v>
      </c>
      <c r="N705" s="29" t="n">
        <f aca="false">IF(AND(D705="Feature Use",COUNTIFS($B$5:B705,B705,$D$5:D705,"Feature Use")=1),1,0)</f>
        <v>0</v>
      </c>
    </row>
    <row r="706" customFormat="false" ht="15" hidden="false" customHeight="false" outlineLevel="0" collapsed="false">
      <c r="A706" s="22" t="s">
        <v>1013</v>
      </c>
      <c r="B706" s="22" t="s">
        <v>296</v>
      </c>
      <c r="C706" s="31" t="n">
        <v>46290</v>
      </c>
      <c r="D706" s="22" t="s">
        <v>300</v>
      </c>
      <c r="E706" s="22" t="s">
        <v>309</v>
      </c>
      <c r="F706" s="29" t="str">
        <f aca="false">IF(COUNTIF(Referral_Data!$C$5:$C$1000,B706)&gt;0,"Referred",IF(COUNTIF(Referral_Data!$B$5:$B$1000,B706)&gt;0,"Referrer","Organic"))</f>
        <v>Organic</v>
      </c>
      <c r="G706" s="29" t="n">
        <f aca="false">IF(COUNTIFS($B$5:B706,B706,$C$5:C706,C706)=1,1,0)</f>
        <v>0</v>
      </c>
      <c r="H706" s="29" t="n">
        <f aca="false">IF(AND(G706=1,COUNTIFS($B$5:$B$1635,B706,$C$5:$C$1635,"&lt;"&amp;C706)&gt;0),1,0)</f>
        <v>0</v>
      </c>
      <c r="I706" s="29" t="n">
        <f aca="false">IF(AND(D706="Feature Use",COUNTIFS($B$5:B706,B706,$D$5:D706,"Feature Use",$E$5:E706,E706)=1),1,0)</f>
        <v>1</v>
      </c>
      <c r="J706" s="29" t="n">
        <f aca="false">IF(AND(D706="Feature Use",COUNTIFS($B$5:B706,B706,$D$5:D706,"Feature Use",$E$5:E706,E706)=2),1,0)</f>
        <v>0</v>
      </c>
      <c r="K706" s="29" t="n">
        <f aca="false">IF(COUNTIF($B$5:B706,B706)=1,1,0)</f>
        <v>0</v>
      </c>
      <c r="L706" s="29" t="n">
        <f aca="false">IF(AND(C706&gt;=Settings!$B$5-Settings!$B$8+1,C706&lt;=Settings!$B$5,COUNTIFS($B$5:B706,B706,$C$5:C706,"&gt;="&amp;(Settings!$B$5-Settings!$B$8+1),$C$5:C706,"&lt;="&amp;Settings!$B$5)=1),1,0)</f>
        <v>0</v>
      </c>
      <c r="M706" s="29" t="n">
        <f aca="false">IF(AND(C706&gt;=Settings!$B$5-Settings!$B$9+1,C706&lt;=Settings!$B$5,COUNTIFS($B$5:B706,B706,$C$5:C706,"&gt;="&amp;(Settings!$B$5-Settings!$B$9+1),$C$5:C706,"&lt;="&amp;Settings!$B$5)=1),1,0)</f>
        <v>0</v>
      </c>
      <c r="N706" s="29" t="n">
        <f aca="false">IF(AND(D706="Feature Use",COUNTIFS($B$5:B706,B706,$D$5:D706,"Feature Use")=1),1,0)</f>
        <v>0</v>
      </c>
    </row>
    <row r="707" customFormat="false" ht="15" hidden="false" customHeight="false" outlineLevel="0" collapsed="false">
      <c r="A707" s="22" t="s">
        <v>1014</v>
      </c>
      <c r="B707" s="22" t="s">
        <v>329</v>
      </c>
      <c r="C707" s="31" t="n">
        <v>46290</v>
      </c>
      <c r="D707" s="22" t="s">
        <v>297</v>
      </c>
      <c r="E707" s="22" t="s">
        <v>298</v>
      </c>
      <c r="F707" s="29" t="str">
        <f aca="false">IF(COUNTIF(Referral_Data!$C$5:$C$1000,B707)&gt;0,"Referred",IF(COUNTIF(Referral_Data!$B$5:$B$1000,B707)&gt;0,"Referrer","Organic"))</f>
        <v>Organic</v>
      </c>
      <c r="G707" s="29" t="n">
        <f aca="false">IF(COUNTIFS($B$5:B707,B707,$C$5:C707,C707)=1,1,0)</f>
        <v>1</v>
      </c>
      <c r="H707" s="29" t="n">
        <f aca="false">IF(AND(G707=1,COUNTIFS($B$5:$B$1635,B707,$C$5:$C$1635,"&lt;"&amp;C707)&gt;0),1,0)</f>
        <v>1</v>
      </c>
      <c r="I707" s="29" t="n">
        <f aca="false">IF(AND(D707="Feature Use",COUNTIFS($B$5:B707,B707,$D$5:D707,"Feature Use",$E$5:E707,E707)=1),1,0)</f>
        <v>0</v>
      </c>
      <c r="J707" s="29" t="n">
        <f aca="false">IF(AND(D707="Feature Use",COUNTIFS($B$5:B707,B707,$D$5:D707,"Feature Use",$E$5:E707,E707)=2),1,0)</f>
        <v>0</v>
      </c>
      <c r="K707" s="29" t="n">
        <f aca="false">IF(COUNTIF($B$5:B707,B707)=1,1,0)</f>
        <v>0</v>
      </c>
      <c r="L707" s="29" t="n">
        <f aca="false">IF(AND(C707&gt;=Settings!$B$5-Settings!$B$8+1,C707&lt;=Settings!$B$5,COUNTIFS($B$5:B707,B707,$C$5:C707,"&gt;="&amp;(Settings!$B$5-Settings!$B$8+1),$C$5:C707,"&lt;="&amp;Settings!$B$5)=1),1,0)</f>
        <v>0</v>
      </c>
      <c r="M707" s="29" t="n">
        <f aca="false">IF(AND(C707&gt;=Settings!$B$5-Settings!$B$9+1,C707&lt;=Settings!$B$5,COUNTIFS($B$5:B707,B707,$C$5:C707,"&gt;="&amp;(Settings!$B$5-Settings!$B$9+1),$C$5:C707,"&lt;="&amp;Settings!$B$5)=1),1,0)</f>
        <v>0</v>
      </c>
      <c r="N707" s="29" t="n">
        <f aca="false">IF(AND(D707="Feature Use",COUNTIFS($B$5:B707,B707,$D$5:D707,"Feature Use")=1),1,0)</f>
        <v>0</v>
      </c>
    </row>
    <row r="708" customFormat="false" ht="15" hidden="false" customHeight="false" outlineLevel="0" collapsed="false">
      <c r="A708" s="22" t="s">
        <v>1015</v>
      </c>
      <c r="B708" s="22" t="s">
        <v>329</v>
      </c>
      <c r="C708" s="31" t="n">
        <v>46290</v>
      </c>
      <c r="D708" s="22" t="s">
        <v>300</v>
      </c>
      <c r="E708" s="22" t="s">
        <v>311</v>
      </c>
      <c r="F708" s="29" t="str">
        <f aca="false">IF(COUNTIF(Referral_Data!$C$5:$C$1000,B708)&gt;0,"Referred",IF(COUNTIF(Referral_Data!$B$5:$B$1000,B708)&gt;0,"Referrer","Organic"))</f>
        <v>Organic</v>
      </c>
      <c r="G708" s="29" t="n">
        <f aca="false">IF(COUNTIFS($B$5:B708,B708,$C$5:C708,C708)=1,1,0)</f>
        <v>0</v>
      </c>
      <c r="H708" s="29" t="n">
        <f aca="false">IF(AND(G708=1,COUNTIFS($B$5:$B$1635,B708,$C$5:$C$1635,"&lt;"&amp;C708)&gt;0),1,0)</f>
        <v>0</v>
      </c>
      <c r="I708" s="29" t="n">
        <f aca="false">IF(AND(D708="Feature Use",COUNTIFS($B$5:B708,B708,$D$5:D708,"Feature Use",$E$5:E708,E708)=1),1,0)</f>
        <v>0</v>
      </c>
      <c r="J708" s="29" t="n">
        <f aca="false">IF(AND(D708="Feature Use",COUNTIFS($B$5:B708,B708,$D$5:D708,"Feature Use",$E$5:E708,E708)=2),1,0)</f>
        <v>0</v>
      </c>
      <c r="K708" s="29" t="n">
        <f aca="false">IF(COUNTIF($B$5:B708,B708)=1,1,0)</f>
        <v>0</v>
      </c>
      <c r="L708" s="29" t="n">
        <f aca="false">IF(AND(C708&gt;=Settings!$B$5-Settings!$B$8+1,C708&lt;=Settings!$B$5,COUNTIFS($B$5:B708,B708,$C$5:C708,"&gt;="&amp;(Settings!$B$5-Settings!$B$8+1),$C$5:C708,"&lt;="&amp;Settings!$B$5)=1),1,0)</f>
        <v>0</v>
      </c>
      <c r="M708" s="29" t="n">
        <f aca="false">IF(AND(C708&gt;=Settings!$B$5-Settings!$B$9+1,C708&lt;=Settings!$B$5,COUNTIFS($B$5:B708,B708,$C$5:C708,"&gt;="&amp;(Settings!$B$5-Settings!$B$9+1),$C$5:C708,"&lt;="&amp;Settings!$B$5)=1),1,0)</f>
        <v>0</v>
      </c>
      <c r="N708" s="29" t="n">
        <f aca="false">IF(AND(D708="Feature Use",COUNTIFS($B$5:B708,B708,$D$5:D708,"Feature Use")=1),1,0)</f>
        <v>0</v>
      </c>
    </row>
    <row r="709" customFormat="false" ht="15" hidden="false" customHeight="false" outlineLevel="0" collapsed="false">
      <c r="A709" s="22" t="s">
        <v>1016</v>
      </c>
      <c r="B709" s="22" t="s">
        <v>329</v>
      </c>
      <c r="C709" s="31" t="n">
        <v>46290</v>
      </c>
      <c r="D709" s="22" t="s">
        <v>300</v>
      </c>
      <c r="E709" s="22" t="s">
        <v>305</v>
      </c>
      <c r="F709" s="29" t="str">
        <f aca="false">IF(COUNTIF(Referral_Data!$C$5:$C$1000,B709)&gt;0,"Referred",IF(COUNTIF(Referral_Data!$B$5:$B$1000,B709)&gt;0,"Referrer","Organic"))</f>
        <v>Organic</v>
      </c>
      <c r="G709" s="29" t="n">
        <f aca="false">IF(COUNTIFS($B$5:B709,B709,$C$5:C709,C709)=1,1,0)</f>
        <v>0</v>
      </c>
      <c r="H709" s="29" t="n">
        <f aca="false">IF(AND(G709=1,COUNTIFS($B$5:$B$1635,B709,$C$5:$C$1635,"&lt;"&amp;C709)&gt;0),1,0)</f>
        <v>0</v>
      </c>
      <c r="I709" s="29" t="n">
        <f aca="false">IF(AND(D709="Feature Use",COUNTIFS($B$5:B709,B709,$D$5:D709,"Feature Use",$E$5:E709,E709)=1),1,0)</f>
        <v>0</v>
      </c>
      <c r="J709" s="29" t="n">
        <f aca="false">IF(AND(D709="Feature Use",COUNTIFS($B$5:B709,B709,$D$5:D709,"Feature Use",$E$5:E709,E709)=2),1,0)</f>
        <v>0</v>
      </c>
      <c r="K709" s="29" t="n">
        <f aca="false">IF(COUNTIF($B$5:B709,B709)=1,1,0)</f>
        <v>0</v>
      </c>
      <c r="L709" s="29" t="n">
        <f aca="false">IF(AND(C709&gt;=Settings!$B$5-Settings!$B$8+1,C709&lt;=Settings!$B$5,COUNTIFS($B$5:B709,B709,$C$5:C709,"&gt;="&amp;(Settings!$B$5-Settings!$B$8+1),$C$5:C709,"&lt;="&amp;Settings!$B$5)=1),1,0)</f>
        <v>0</v>
      </c>
      <c r="M709" s="29" t="n">
        <f aca="false">IF(AND(C709&gt;=Settings!$B$5-Settings!$B$9+1,C709&lt;=Settings!$B$5,COUNTIFS($B$5:B709,B709,$C$5:C709,"&gt;="&amp;(Settings!$B$5-Settings!$B$9+1),$C$5:C709,"&lt;="&amp;Settings!$B$5)=1),1,0)</f>
        <v>0</v>
      </c>
      <c r="N709" s="29" t="n">
        <f aca="false">IF(AND(D709="Feature Use",COUNTIFS($B$5:B709,B709,$D$5:D709,"Feature Use")=1),1,0)</f>
        <v>0</v>
      </c>
    </row>
    <row r="710" customFormat="false" ht="15" hidden="false" customHeight="false" outlineLevel="0" collapsed="false">
      <c r="A710" s="22" t="s">
        <v>1017</v>
      </c>
      <c r="B710" s="22" t="s">
        <v>303</v>
      </c>
      <c r="C710" s="31" t="n">
        <v>46290</v>
      </c>
      <c r="D710" s="22" t="s">
        <v>297</v>
      </c>
      <c r="E710" s="22" t="s">
        <v>298</v>
      </c>
      <c r="F710" s="29" t="str">
        <f aca="false">IF(COUNTIF(Referral_Data!$C$5:$C$1000,B710)&gt;0,"Referred",IF(COUNTIF(Referral_Data!$B$5:$B$1000,B710)&gt;0,"Referrer","Organic"))</f>
        <v>Organic</v>
      </c>
      <c r="G710" s="29" t="n">
        <f aca="false">IF(COUNTIFS($B$5:B710,B710,$C$5:C710,C710)=1,1,0)</f>
        <v>1</v>
      </c>
      <c r="H710" s="29" t="n">
        <f aca="false">IF(AND(G710=1,COUNTIFS($B$5:$B$1635,B710,$C$5:$C$1635,"&lt;"&amp;C710)&gt;0),1,0)</f>
        <v>1</v>
      </c>
      <c r="I710" s="29" t="n">
        <f aca="false">IF(AND(D710="Feature Use",COUNTIFS($B$5:B710,B710,$D$5:D710,"Feature Use",$E$5:E710,E710)=1),1,0)</f>
        <v>0</v>
      </c>
      <c r="J710" s="29" t="n">
        <f aca="false">IF(AND(D710="Feature Use",COUNTIFS($B$5:B710,B710,$D$5:D710,"Feature Use",$E$5:E710,E710)=2),1,0)</f>
        <v>0</v>
      </c>
      <c r="K710" s="29" t="n">
        <f aca="false">IF(COUNTIF($B$5:B710,B710)=1,1,0)</f>
        <v>0</v>
      </c>
      <c r="L710" s="29" t="n">
        <f aca="false">IF(AND(C710&gt;=Settings!$B$5-Settings!$B$8+1,C710&lt;=Settings!$B$5,COUNTIFS($B$5:B710,B710,$C$5:C710,"&gt;="&amp;(Settings!$B$5-Settings!$B$8+1),$C$5:C710,"&lt;="&amp;Settings!$B$5)=1),1,0)</f>
        <v>0</v>
      </c>
      <c r="M710" s="29" t="n">
        <f aca="false">IF(AND(C710&gt;=Settings!$B$5-Settings!$B$9+1,C710&lt;=Settings!$B$5,COUNTIFS($B$5:B710,B710,$C$5:C710,"&gt;="&amp;(Settings!$B$5-Settings!$B$9+1),$C$5:C710,"&lt;="&amp;Settings!$B$5)=1),1,0)</f>
        <v>0</v>
      </c>
      <c r="N710" s="29" t="n">
        <f aca="false">IF(AND(D710="Feature Use",COUNTIFS($B$5:B710,B710,$D$5:D710,"Feature Use")=1),1,0)</f>
        <v>0</v>
      </c>
    </row>
    <row r="711" customFormat="false" ht="15" hidden="false" customHeight="false" outlineLevel="0" collapsed="false">
      <c r="A711" s="22" t="s">
        <v>1018</v>
      </c>
      <c r="B711" s="22" t="s">
        <v>303</v>
      </c>
      <c r="C711" s="31" t="n">
        <v>46290</v>
      </c>
      <c r="D711" s="22" t="s">
        <v>300</v>
      </c>
      <c r="E711" s="22" t="s">
        <v>301</v>
      </c>
      <c r="F711" s="29" t="str">
        <f aca="false">IF(COUNTIF(Referral_Data!$C$5:$C$1000,B711)&gt;0,"Referred",IF(COUNTIF(Referral_Data!$B$5:$B$1000,B711)&gt;0,"Referrer","Organic"))</f>
        <v>Organic</v>
      </c>
      <c r="G711" s="29" t="n">
        <f aca="false">IF(COUNTIFS($B$5:B711,B711,$C$5:C711,C711)=1,1,0)</f>
        <v>0</v>
      </c>
      <c r="H711" s="29" t="n">
        <f aca="false">IF(AND(G711=1,COUNTIFS($B$5:$B$1635,B711,$C$5:$C$1635,"&lt;"&amp;C711)&gt;0),1,0)</f>
        <v>0</v>
      </c>
      <c r="I711" s="29" t="n">
        <f aca="false">IF(AND(D711="Feature Use",COUNTIFS($B$5:B711,B711,$D$5:D711,"Feature Use",$E$5:E711,E711)=1),1,0)</f>
        <v>0</v>
      </c>
      <c r="J711" s="29" t="n">
        <f aca="false">IF(AND(D711="Feature Use",COUNTIFS($B$5:B711,B711,$D$5:D711,"Feature Use",$E$5:E711,E711)=2),1,0)</f>
        <v>0</v>
      </c>
      <c r="K711" s="29" t="n">
        <f aca="false">IF(COUNTIF($B$5:B711,B711)=1,1,0)</f>
        <v>0</v>
      </c>
      <c r="L711" s="29" t="n">
        <f aca="false">IF(AND(C711&gt;=Settings!$B$5-Settings!$B$8+1,C711&lt;=Settings!$B$5,COUNTIFS($B$5:B711,B711,$C$5:C711,"&gt;="&amp;(Settings!$B$5-Settings!$B$8+1),$C$5:C711,"&lt;="&amp;Settings!$B$5)=1),1,0)</f>
        <v>0</v>
      </c>
      <c r="M711" s="29" t="n">
        <f aca="false">IF(AND(C711&gt;=Settings!$B$5-Settings!$B$9+1,C711&lt;=Settings!$B$5,COUNTIFS($B$5:B711,B711,$C$5:C711,"&gt;="&amp;(Settings!$B$5-Settings!$B$9+1),$C$5:C711,"&lt;="&amp;Settings!$B$5)=1),1,0)</f>
        <v>0</v>
      </c>
      <c r="N711" s="29" t="n">
        <f aca="false">IF(AND(D711="Feature Use",COUNTIFS($B$5:B711,B711,$D$5:D711,"Feature Use")=1),1,0)</f>
        <v>0</v>
      </c>
    </row>
    <row r="712" customFormat="false" ht="15" hidden="false" customHeight="false" outlineLevel="0" collapsed="false">
      <c r="A712" s="22" t="s">
        <v>1019</v>
      </c>
      <c r="B712" s="22" t="s">
        <v>303</v>
      </c>
      <c r="C712" s="31" t="n">
        <v>46290</v>
      </c>
      <c r="D712" s="22" t="s">
        <v>300</v>
      </c>
      <c r="E712" s="22" t="s">
        <v>301</v>
      </c>
      <c r="F712" s="29" t="str">
        <f aca="false">IF(COUNTIF(Referral_Data!$C$5:$C$1000,B712)&gt;0,"Referred",IF(COUNTIF(Referral_Data!$B$5:$B$1000,B712)&gt;0,"Referrer","Organic"))</f>
        <v>Organic</v>
      </c>
      <c r="G712" s="29" t="n">
        <f aca="false">IF(COUNTIFS($B$5:B712,B712,$C$5:C712,C712)=1,1,0)</f>
        <v>0</v>
      </c>
      <c r="H712" s="29" t="n">
        <f aca="false">IF(AND(G712=1,COUNTIFS($B$5:$B$1635,B712,$C$5:$C$1635,"&lt;"&amp;C712)&gt;0),1,0)</f>
        <v>0</v>
      </c>
      <c r="I712" s="29" t="n">
        <f aca="false">IF(AND(D712="Feature Use",COUNTIFS($B$5:B712,B712,$D$5:D712,"Feature Use",$E$5:E712,E712)=1),1,0)</f>
        <v>0</v>
      </c>
      <c r="J712" s="29" t="n">
        <f aca="false">IF(AND(D712="Feature Use",COUNTIFS($B$5:B712,B712,$D$5:D712,"Feature Use",$E$5:E712,E712)=2),1,0)</f>
        <v>0</v>
      </c>
      <c r="K712" s="29" t="n">
        <f aca="false">IF(COUNTIF($B$5:B712,B712)=1,1,0)</f>
        <v>0</v>
      </c>
      <c r="L712" s="29" t="n">
        <f aca="false">IF(AND(C712&gt;=Settings!$B$5-Settings!$B$8+1,C712&lt;=Settings!$B$5,COUNTIFS($B$5:B712,B712,$C$5:C712,"&gt;="&amp;(Settings!$B$5-Settings!$B$8+1),$C$5:C712,"&lt;="&amp;Settings!$B$5)=1),1,0)</f>
        <v>0</v>
      </c>
      <c r="M712" s="29" t="n">
        <f aca="false">IF(AND(C712&gt;=Settings!$B$5-Settings!$B$9+1,C712&lt;=Settings!$B$5,COUNTIFS($B$5:B712,B712,$C$5:C712,"&gt;="&amp;(Settings!$B$5-Settings!$B$9+1),$C$5:C712,"&lt;="&amp;Settings!$B$5)=1),1,0)</f>
        <v>0</v>
      </c>
      <c r="N712" s="29" t="n">
        <f aca="false">IF(AND(D712="Feature Use",COUNTIFS($B$5:B712,B712,$D$5:D712,"Feature Use")=1),1,0)</f>
        <v>0</v>
      </c>
    </row>
    <row r="713" customFormat="false" ht="15" hidden="false" customHeight="false" outlineLevel="0" collapsed="false">
      <c r="A713" s="22" t="s">
        <v>1020</v>
      </c>
      <c r="B713" s="22" t="s">
        <v>168</v>
      </c>
      <c r="C713" s="31" t="n">
        <v>46290</v>
      </c>
      <c r="D713" s="22" t="s">
        <v>297</v>
      </c>
      <c r="E713" s="22" t="s">
        <v>298</v>
      </c>
      <c r="F713" s="29" t="str">
        <f aca="false">IF(COUNTIF(Referral_Data!$C$5:$C$1000,B713)&gt;0,"Referred",IF(COUNTIF(Referral_Data!$B$5:$B$1000,B713)&gt;0,"Referrer","Organic"))</f>
        <v>Referred</v>
      </c>
      <c r="G713" s="29" t="n">
        <f aca="false">IF(COUNTIFS($B$5:B713,B713,$C$5:C713,C713)=1,1,0)</f>
        <v>1</v>
      </c>
      <c r="H713" s="29" t="n">
        <f aca="false">IF(AND(G713=1,COUNTIFS($B$5:$B$1635,B713,$C$5:$C$1635,"&lt;"&amp;C713)&gt;0),1,0)</f>
        <v>1</v>
      </c>
      <c r="I713" s="29" t="n">
        <f aca="false">IF(AND(D713="Feature Use",COUNTIFS($B$5:B713,B713,$D$5:D713,"Feature Use",$E$5:E713,E713)=1),1,0)</f>
        <v>0</v>
      </c>
      <c r="J713" s="29" t="n">
        <f aca="false">IF(AND(D713="Feature Use",COUNTIFS($B$5:B713,B713,$D$5:D713,"Feature Use",$E$5:E713,E713)=2),1,0)</f>
        <v>0</v>
      </c>
      <c r="K713" s="29" t="n">
        <f aca="false">IF(COUNTIF($B$5:B713,B713)=1,1,0)</f>
        <v>0</v>
      </c>
      <c r="L713" s="29" t="n">
        <f aca="false">IF(AND(C713&gt;=Settings!$B$5-Settings!$B$8+1,C713&lt;=Settings!$B$5,COUNTIFS($B$5:B713,B713,$C$5:C713,"&gt;="&amp;(Settings!$B$5-Settings!$B$8+1),$C$5:C713,"&lt;="&amp;Settings!$B$5)=1),1,0)</f>
        <v>0</v>
      </c>
      <c r="M713" s="29" t="n">
        <f aca="false">IF(AND(C713&gt;=Settings!$B$5-Settings!$B$9+1,C713&lt;=Settings!$B$5,COUNTIFS($B$5:B713,B713,$C$5:C713,"&gt;="&amp;(Settings!$B$5-Settings!$B$9+1),$C$5:C713,"&lt;="&amp;Settings!$B$5)=1),1,0)</f>
        <v>0</v>
      </c>
      <c r="N713" s="29" t="n">
        <f aca="false">IF(AND(D713="Feature Use",COUNTIFS($B$5:B713,B713,$D$5:D713,"Feature Use")=1),1,0)</f>
        <v>0</v>
      </c>
    </row>
    <row r="714" customFormat="false" ht="15" hidden="false" customHeight="false" outlineLevel="0" collapsed="false">
      <c r="A714" s="22" t="s">
        <v>1021</v>
      </c>
      <c r="B714" s="22" t="s">
        <v>168</v>
      </c>
      <c r="C714" s="31" t="n">
        <v>46290</v>
      </c>
      <c r="D714" s="22" t="s">
        <v>300</v>
      </c>
      <c r="E714" s="22" t="s">
        <v>305</v>
      </c>
      <c r="F714" s="29" t="str">
        <f aca="false">IF(COUNTIF(Referral_Data!$C$5:$C$1000,B714)&gt;0,"Referred",IF(COUNTIF(Referral_Data!$B$5:$B$1000,B714)&gt;0,"Referrer","Organic"))</f>
        <v>Referred</v>
      </c>
      <c r="G714" s="29" t="n">
        <f aca="false">IF(COUNTIFS($B$5:B714,B714,$C$5:C714,C714)=1,1,0)</f>
        <v>0</v>
      </c>
      <c r="H714" s="29" t="n">
        <f aca="false">IF(AND(G714=1,COUNTIFS($B$5:$B$1635,B714,$C$5:$C$1635,"&lt;"&amp;C714)&gt;0),1,0)</f>
        <v>0</v>
      </c>
      <c r="I714" s="29" t="n">
        <f aca="false">IF(AND(D714="Feature Use",COUNTIFS($B$5:B714,B714,$D$5:D714,"Feature Use",$E$5:E714,E714)=1),1,0)</f>
        <v>0</v>
      </c>
      <c r="J714" s="29" t="n">
        <f aca="false">IF(AND(D714="Feature Use",COUNTIFS($B$5:B714,B714,$D$5:D714,"Feature Use",$E$5:E714,E714)=2),1,0)</f>
        <v>0</v>
      </c>
      <c r="K714" s="29" t="n">
        <f aca="false">IF(COUNTIF($B$5:B714,B714)=1,1,0)</f>
        <v>0</v>
      </c>
      <c r="L714" s="29" t="n">
        <f aca="false">IF(AND(C714&gt;=Settings!$B$5-Settings!$B$8+1,C714&lt;=Settings!$B$5,COUNTIFS($B$5:B714,B714,$C$5:C714,"&gt;="&amp;(Settings!$B$5-Settings!$B$8+1),$C$5:C714,"&lt;="&amp;Settings!$B$5)=1),1,0)</f>
        <v>0</v>
      </c>
      <c r="M714" s="29" t="n">
        <f aca="false">IF(AND(C714&gt;=Settings!$B$5-Settings!$B$9+1,C714&lt;=Settings!$B$5,COUNTIFS($B$5:B714,B714,$C$5:C714,"&gt;="&amp;(Settings!$B$5-Settings!$B$9+1),$C$5:C714,"&lt;="&amp;Settings!$B$5)=1),1,0)</f>
        <v>0</v>
      </c>
      <c r="N714" s="29" t="n">
        <f aca="false">IF(AND(D714="Feature Use",COUNTIFS($B$5:B714,B714,$D$5:D714,"Feature Use")=1),1,0)</f>
        <v>0</v>
      </c>
    </row>
    <row r="715" customFormat="false" ht="15" hidden="false" customHeight="false" outlineLevel="0" collapsed="false">
      <c r="A715" s="22" t="s">
        <v>1022</v>
      </c>
      <c r="B715" s="22" t="s">
        <v>168</v>
      </c>
      <c r="C715" s="31" t="n">
        <v>46290</v>
      </c>
      <c r="D715" s="22" t="s">
        <v>300</v>
      </c>
      <c r="E715" s="22" t="s">
        <v>311</v>
      </c>
      <c r="F715" s="29" t="str">
        <f aca="false">IF(COUNTIF(Referral_Data!$C$5:$C$1000,B715)&gt;0,"Referred",IF(COUNTIF(Referral_Data!$B$5:$B$1000,B715)&gt;0,"Referrer","Organic"))</f>
        <v>Referred</v>
      </c>
      <c r="G715" s="29" t="n">
        <f aca="false">IF(COUNTIFS($B$5:B715,B715,$C$5:C715,C715)=1,1,0)</f>
        <v>0</v>
      </c>
      <c r="H715" s="29" t="n">
        <f aca="false">IF(AND(G715=1,COUNTIFS($B$5:$B$1635,B715,$C$5:$C$1635,"&lt;"&amp;C715)&gt;0),1,0)</f>
        <v>0</v>
      </c>
      <c r="I715" s="29" t="n">
        <f aca="false">IF(AND(D715="Feature Use",COUNTIFS($B$5:B715,B715,$D$5:D715,"Feature Use",$E$5:E715,E715)=1),1,0)</f>
        <v>0</v>
      </c>
      <c r="J715" s="29" t="n">
        <f aca="false">IF(AND(D715="Feature Use",COUNTIFS($B$5:B715,B715,$D$5:D715,"Feature Use",$E$5:E715,E715)=2),1,0)</f>
        <v>0</v>
      </c>
      <c r="K715" s="29" t="n">
        <f aca="false">IF(COUNTIF($B$5:B715,B715)=1,1,0)</f>
        <v>0</v>
      </c>
      <c r="L715" s="29" t="n">
        <f aca="false">IF(AND(C715&gt;=Settings!$B$5-Settings!$B$8+1,C715&lt;=Settings!$B$5,COUNTIFS($B$5:B715,B715,$C$5:C715,"&gt;="&amp;(Settings!$B$5-Settings!$B$8+1),$C$5:C715,"&lt;="&amp;Settings!$B$5)=1),1,0)</f>
        <v>0</v>
      </c>
      <c r="M715" s="29" t="n">
        <f aca="false">IF(AND(C715&gt;=Settings!$B$5-Settings!$B$9+1,C715&lt;=Settings!$B$5,COUNTIFS($B$5:B715,B715,$C$5:C715,"&gt;="&amp;(Settings!$B$5-Settings!$B$9+1),$C$5:C715,"&lt;="&amp;Settings!$B$5)=1),1,0)</f>
        <v>0</v>
      </c>
      <c r="N715" s="29" t="n">
        <f aca="false">IF(AND(D715="Feature Use",COUNTIFS($B$5:B715,B715,$D$5:D715,"Feature Use")=1),1,0)</f>
        <v>0</v>
      </c>
    </row>
    <row r="716" customFormat="false" ht="15" hidden="false" customHeight="false" outlineLevel="0" collapsed="false">
      <c r="A716" s="22" t="s">
        <v>1023</v>
      </c>
      <c r="B716" s="22" t="s">
        <v>168</v>
      </c>
      <c r="C716" s="31" t="n">
        <v>46290</v>
      </c>
      <c r="D716" s="22" t="s">
        <v>308</v>
      </c>
      <c r="E716" s="22" t="s">
        <v>305</v>
      </c>
      <c r="F716" s="29" t="str">
        <f aca="false">IF(COUNTIF(Referral_Data!$C$5:$C$1000,B716)&gt;0,"Referred",IF(COUNTIF(Referral_Data!$B$5:$B$1000,B716)&gt;0,"Referrer","Organic"))</f>
        <v>Referred</v>
      </c>
      <c r="G716" s="29" t="n">
        <f aca="false">IF(COUNTIFS($B$5:B716,B716,$C$5:C716,C716)=1,1,0)</f>
        <v>0</v>
      </c>
      <c r="H716" s="29" t="n">
        <f aca="false">IF(AND(G716=1,COUNTIFS($B$5:$B$1635,B716,$C$5:$C$1635,"&lt;"&amp;C716)&gt;0),1,0)</f>
        <v>0</v>
      </c>
      <c r="I716" s="29" t="n">
        <f aca="false">IF(AND(D716="Feature Use",COUNTIFS($B$5:B716,B716,$D$5:D716,"Feature Use",$E$5:E716,E716)=1),1,0)</f>
        <v>0</v>
      </c>
      <c r="J716" s="29" t="n">
        <f aca="false">IF(AND(D716="Feature Use",COUNTIFS($B$5:B716,B716,$D$5:D716,"Feature Use",$E$5:E716,E716)=2),1,0)</f>
        <v>0</v>
      </c>
      <c r="K716" s="29" t="n">
        <f aca="false">IF(COUNTIF($B$5:B716,B716)=1,1,0)</f>
        <v>0</v>
      </c>
      <c r="L716" s="29" t="n">
        <f aca="false">IF(AND(C716&gt;=Settings!$B$5-Settings!$B$8+1,C716&lt;=Settings!$B$5,COUNTIFS($B$5:B716,B716,$C$5:C716,"&gt;="&amp;(Settings!$B$5-Settings!$B$8+1),$C$5:C716,"&lt;="&amp;Settings!$B$5)=1),1,0)</f>
        <v>0</v>
      </c>
      <c r="M716" s="29" t="n">
        <f aca="false">IF(AND(C716&gt;=Settings!$B$5-Settings!$B$9+1,C716&lt;=Settings!$B$5,COUNTIFS($B$5:B716,B716,$C$5:C716,"&gt;="&amp;(Settings!$B$5-Settings!$B$9+1),$C$5:C716,"&lt;="&amp;Settings!$B$5)=1),1,0)</f>
        <v>0</v>
      </c>
      <c r="N716" s="29" t="n">
        <f aca="false">IF(AND(D716="Feature Use",COUNTIFS($B$5:B716,B716,$D$5:D716,"Feature Use")=1),1,0)</f>
        <v>0</v>
      </c>
    </row>
    <row r="717" customFormat="false" ht="15" hidden="false" customHeight="false" outlineLevel="0" collapsed="false">
      <c r="A717" s="22" t="s">
        <v>1024</v>
      </c>
      <c r="B717" s="22" t="s">
        <v>168</v>
      </c>
      <c r="C717" s="31" t="n">
        <v>46290</v>
      </c>
      <c r="D717" s="22" t="s">
        <v>308</v>
      </c>
      <c r="E717" s="22" t="s">
        <v>311</v>
      </c>
      <c r="F717" s="29" t="str">
        <f aca="false">IF(COUNTIF(Referral_Data!$C$5:$C$1000,B717)&gt;0,"Referred",IF(COUNTIF(Referral_Data!$B$5:$B$1000,B717)&gt;0,"Referrer","Organic"))</f>
        <v>Referred</v>
      </c>
      <c r="G717" s="29" t="n">
        <f aca="false">IF(COUNTIFS($B$5:B717,B717,$C$5:C717,C717)=1,1,0)</f>
        <v>0</v>
      </c>
      <c r="H717" s="29" t="n">
        <f aca="false">IF(AND(G717=1,COUNTIFS($B$5:$B$1635,B717,$C$5:$C$1635,"&lt;"&amp;C717)&gt;0),1,0)</f>
        <v>0</v>
      </c>
      <c r="I717" s="29" t="n">
        <f aca="false">IF(AND(D717="Feature Use",COUNTIFS($B$5:B717,B717,$D$5:D717,"Feature Use",$E$5:E717,E717)=1),1,0)</f>
        <v>0</v>
      </c>
      <c r="J717" s="29" t="n">
        <f aca="false">IF(AND(D717="Feature Use",COUNTIFS($B$5:B717,B717,$D$5:D717,"Feature Use",$E$5:E717,E717)=2),1,0)</f>
        <v>0</v>
      </c>
      <c r="K717" s="29" t="n">
        <f aca="false">IF(COUNTIF($B$5:B717,B717)=1,1,0)</f>
        <v>0</v>
      </c>
      <c r="L717" s="29" t="n">
        <f aca="false">IF(AND(C717&gt;=Settings!$B$5-Settings!$B$8+1,C717&lt;=Settings!$B$5,COUNTIFS($B$5:B717,B717,$C$5:C717,"&gt;="&amp;(Settings!$B$5-Settings!$B$8+1),$C$5:C717,"&lt;="&amp;Settings!$B$5)=1),1,0)</f>
        <v>0</v>
      </c>
      <c r="M717" s="29" t="n">
        <f aca="false">IF(AND(C717&gt;=Settings!$B$5-Settings!$B$9+1,C717&lt;=Settings!$B$5,COUNTIFS($B$5:B717,B717,$C$5:C717,"&gt;="&amp;(Settings!$B$5-Settings!$B$9+1),$C$5:C717,"&lt;="&amp;Settings!$B$5)=1),1,0)</f>
        <v>0</v>
      </c>
      <c r="N717" s="29" t="n">
        <f aca="false">IF(AND(D717="Feature Use",COUNTIFS($B$5:B717,B717,$D$5:D717,"Feature Use")=1),1,0)</f>
        <v>0</v>
      </c>
    </row>
    <row r="718" customFormat="false" ht="15" hidden="false" customHeight="false" outlineLevel="0" collapsed="false">
      <c r="A718" s="22" t="s">
        <v>1025</v>
      </c>
      <c r="B718" s="22" t="s">
        <v>194</v>
      </c>
      <c r="C718" s="31" t="n">
        <v>46290</v>
      </c>
      <c r="D718" s="22" t="s">
        <v>297</v>
      </c>
      <c r="E718" s="22" t="s">
        <v>298</v>
      </c>
      <c r="F718" s="29" t="str">
        <f aca="false">IF(COUNTIF(Referral_Data!$C$5:$C$1000,B718)&gt;0,"Referred",IF(COUNTIF(Referral_Data!$B$5:$B$1000,B718)&gt;0,"Referrer","Organic"))</f>
        <v>Referred</v>
      </c>
      <c r="G718" s="29" t="n">
        <f aca="false">IF(COUNTIFS($B$5:B718,B718,$C$5:C718,C718)=1,1,0)</f>
        <v>1</v>
      </c>
      <c r="H718" s="29" t="n">
        <f aca="false">IF(AND(G718=1,COUNTIFS($B$5:$B$1635,B718,$C$5:$C$1635,"&lt;"&amp;C718)&gt;0),1,0)</f>
        <v>1</v>
      </c>
      <c r="I718" s="29" t="n">
        <f aca="false">IF(AND(D718="Feature Use",COUNTIFS($B$5:B718,B718,$D$5:D718,"Feature Use",$E$5:E718,E718)=1),1,0)</f>
        <v>0</v>
      </c>
      <c r="J718" s="29" t="n">
        <f aca="false">IF(AND(D718="Feature Use",COUNTIFS($B$5:B718,B718,$D$5:D718,"Feature Use",$E$5:E718,E718)=2),1,0)</f>
        <v>0</v>
      </c>
      <c r="K718" s="29" t="n">
        <f aca="false">IF(COUNTIF($B$5:B718,B718)=1,1,0)</f>
        <v>0</v>
      </c>
      <c r="L718" s="29" t="n">
        <f aca="false">IF(AND(C718&gt;=Settings!$B$5-Settings!$B$8+1,C718&lt;=Settings!$B$5,COUNTIFS($B$5:B718,B718,$C$5:C718,"&gt;="&amp;(Settings!$B$5-Settings!$B$8+1),$C$5:C718,"&lt;="&amp;Settings!$B$5)=1),1,0)</f>
        <v>0</v>
      </c>
      <c r="M718" s="29" t="n">
        <f aca="false">IF(AND(C718&gt;=Settings!$B$5-Settings!$B$9+1,C718&lt;=Settings!$B$5,COUNTIFS($B$5:B718,B718,$C$5:C718,"&gt;="&amp;(Settings!$B$5-Settings!$B$9+1),$C$5:C718,"&lt;="&amp;Settings!$B$5)=1),1,0)</f>
        <v>0</v>
      </c>
      <c r="N718" s="29" t="n">
        <f aca="false">IF(AND(D718="Feature Use",COUNTIFS($B$5:B718,B718,$D$5:D718,"Feature Use")=1),1,0)</f>
        <v>0</v>
      </c>
    </row>
    <row r="719" customFormat="false" ht="15" hidden="false" customHeight="false" outlineLevel="0" collapsed="false">
      <c r="A719" s="22" t="s">
        <v>1026</v>
      </c>
      <c r="B719" s="22" t="s">
        <v>194</v>
      </c>
      <c r="C719" s="31" t="n">
        <v>46290</v>
      </c>
      <c r="D719" s="22" t="s">
        <v>300</v>
      </c>
      <c r="E719" s="22" t="s">
        <v>319</v>
      </c>
      <c r="F719" s="29" t="str">
        <f aca="false">IF(COUNTIF(Referral_Data!$C$5:$C$1000,B719)&gt;0,"Referred",IF(COUNTIF(Referral_Data!$B$5:$B$1000,B719)&gt;0,"Referrer","Organic"))</f>
        <v>Referred</v>
      </c>
      <c r="G719" s="29" t="n">
        <f aca="false">IF(COUNTIFS($B$5:B719,B719,$C$5:C719,C719)=1,1,0)</f>
        <v>0</v>
      </c>
      <c r="H719" s="29" t="n">
        <f aca="false">IF(AND(G719=1,COUNTIFS($B$5:$B$1635,B719,$C$5:$C$1635,"&lt;"&amp;C719)&gt;0),1,0)</f>
        <v>0</v>
      </c>
      <c r="I719" s="29" t="n">
        <f aca="false">IF(AND(D719="Feature Use",COUNTIFS($B$5:B719,B719,$D$5:D719,"Feature Use",$E$5:E719,E719)=1),1,0)</f>
        <v>0</v>
      </c>
      <c r="J719" s="29" t="n">
        <f aca="false">IF(AND(D719="Feature Use",COUNTIFS($B$5:B719,B719,$D$5:D719,"Feature Use",$E$5:E719,E719)=2),1,0)</f>
        <v>1</v>
      </c>
      <c r="K719" s="29" t="n">
        <f aca="false">IF(COUNTIF($B$5:B719,B719)=1,1,0)</f>
        <v>0</v>
      </c>
      <c r="L719" s="29" t="n">
        <f aca="false">IF(AND(C719&gt;=Settings!$B$5-Settings!$B$8+1,C719&lt;=Settings!$B$5,COUNTIFS($B$5:B719,B719,$C$5:C719,"&gt;="&amp;(Settings!$B$5-Settings!$B$8+1),$C$5:C719,"&lt;="&amp;Settings!$B$5)=1),1,0)</f>
        <v>0</v>
      </c>
      <c r="M719" s="29" t="n">
        <f aca="false">IF(AND(C719&gt;=Settings!$B$5-Settings!$B$9+1,C719&lt;=Settings!$B$5,COUNTIFS($B$5:B719,B719,$C$5:C719,"&gt;="&amp;(Settings!$B$5-Settings!$B$9+1),$C$5:C719,"&lt;="&amp;Settings!$B$5)=1),1,0)</f>
        <v>0</v>
      </c>
      <c r="N719" s="29" t="n">
        <f aca="false">IF(AND(D719="Feature Use",COUNTIFS($B$5:B719,B719,$D$5:D719,"Feature Use")=1),1,0)</f>
        <v>0</v>
      </c>
    </row>
    <row r="720" customFormat="false" ht="15" hidden="false" customHeight="false" outlineLevel="0" collapsed="false">
      <c r="A720" s="22" t="s">
        <v>1027</v>
      </c>
      <c r="B720" s="22" t="s">
        <v>194</v>
      </c>
      <c r="C720" s="31" t="n">
        <v>46290</v>
      </c>
      <c r="D720" s="22" t="s">
        <v>300</v>
      </c>
      <c r="E720" s="22" t="s">
        <v>319</v>
      </c>
      <c r="F720" s="29" t="str">
        <f aca="false">IF(COUNTIF(Referral_Data!$C$5:$C$1000,B720)&gt;0,"Referred",IF(COUNTIF(Referral_Data!$B$5:$B$1000,B720)&gt;0,"Referrer","Organic"))</f>
        <v>Referred</v>
      </c>
      <c r="G720" s="29" t="n">
        <f aca="false">IF(COUNTIFS($B$5:B720,B720,$C$5:C720,C720)=1,1,0)</f>
        <v>0</v>
      </c>
      <c r="H720" s="29" t="n">
        <f aca="false">IF(AND(G720=1,COUNTIFS($B$5:$B$1635,B720,$C$5:$C$1635,"&lt;"&amp;C720)&gt;0),1,0)</f>
        <v>0</v>
      </c>
      <c r="I720" s="29" t="n">
        <f aca="false">IF(AND(D720="Feature Use",COUNTIFS($B$5:B720,B720,$D$5:D720,"Feature Use",$E$5:E720,E720)=1),1,0)</f>
        <v>0</v>
      </c>
      <c r="J720" s="29" t="n">
        <f aca="false">IF(AND(D720="Feature Use",COUNTIFS($B$5:B720,B720,$D$5:D720,"Feature Use",$E$5:E720,E720)=2),1,0)</f>
        <v>0</v>
      </c>
      <c r="K720" s="29" t="n">
        <f aca="false">IF(COUNTIF($B$5:B720,B720)=1,1,0)</f>
        <v>0</v>
      </c>
      <c r="L720" s="29" t="n">
        <f aca="false">IF(AND(C720&gt;=Settings!$B$5-Settings!$B$8+1,C720&lt;=Settings!$B$5,COUNTIFS($B$5:B720,B720,$C$5:C720,"&gt;="&amp;(Settings!$B$5-Settings!$B$8+1),$C$5:C720,"&lt;="&amp;Settings!$B$5)=1),1,0)</f>
        <v>0</v>
      </c>
      <c r="M720" s="29" t="n">
        <f aca="false">IF(AND(C720&gt;=Settings!$B$5-Settings!$B$9+1,C720&lt;=Settings!$B$5,COUNTIFS($B$5:B720,B720,$C$5:C720,"&gt;="&amp;(Settings!$B$5-Settings!$B$9+1),$C$5:C720,"&lt;="&amp;Settings!$B$5)=1),1,0)</f>
        <v>0</v>
      </c>
      <c r="N720" s="29" t="n">
        <f aca="false">IF(AND(D720="Feature Use",COUNTIFS($B$5:B720,B720,$D$5:D720,"Feature Use")=1),1,0)</f>
        <v>0</v>
      </c>
    </row>
    <row r="721" customFormat="false" ht="15" hidden="false" customHeight="false" outlineLevel="0" collapsed="false">
      <c r="A721" s="22" t="s">
        <v>1028</v>
      </c>
      <c r="B721" s="22" t="s">
        <v>213</v>
      </c>
      <c r="C721" s="31" t="n">
        <v>46290</v>
      </c>
      <c r="D721" s="22" t="s">
        <v>297</v>
      </c>
      <c r="E721" s="22" t="s">
        <v>298</v>
      </c>
      <c r="F721" s="29" t="str">
        <f aca="false">IF(COUNTIF(Referral_Data!$C$5:$C$1000,B721)&gt;0,"Referred",IF(COUNTIF(Referral_Data!$B$5:$B$1000,B721)&gt;0,"Referrer","Organic"))</f>
        <v>Referred</v>
      </c>
      <c r="G721" s="29" t="n">
        <f aca="false">IF(COUNTIFS($B$5:B721,B721,$C$5:C721,C721)=1,1,0)</f>
        <v>1</v>
      </c>
      <c r="H721" s="29" t="n">
        <f aca="false">IF(AND(G721=1,COUNTIFS($B$5:$B$1635,B721,$C$5:$C$1635,"&lt;"&amp;C721)&gt;0),1,0)</f>
        <v>1</v>
      </c>
      <c r="I721" s="29" t="n">
        <f aca="false">IF(AND(D721="Feature Use",COUNTIFS($B$5:B721,B721,$D$5:D721,"Feature Use",$E$5:E721,E721)=1),1,0)</f>
        <v>0</v>
      </c>
      <c r="J721" s="29" t="n">
        <f aca="false">IF(AND(D721="Feature Use",COUNTIFS($B$5:B721,B721,$D$5:D721,"Feature Use",$E$5:E721,E721)=2),1,0)</f>
        <v>0</v>
      </c>
      <c r="K721" s="29" t="n">
        <f aca="false">IF(COUNTIF($B$5:B721,B721)=1,1,0)</f>
        <v>0</v>
      </c>
      <c r="L721" s="29" t="n">
        <f aca="false">IF(AND(C721&gt;=Settings!$B$5-Settings!$B$8+1,C721&lt;=Settings!$B$5,COUNTIFS($B$5:B721,B721,$C$5:C721,"&gt;="&amp;(Settings!$B$5-Settings!$B$8+1),$C$5:C721,"&lt;="&amp;Settings!$B$5)=1),1,0)</f>
        <v>0</v>
      </c>
      <c r="M721" s="29" t="n">
        <f aca="false">IF(AND(C721&gt;=Settings!$B$5-Settings!$B$9+1,C721&lt;=Settings!$B$5,COUNTIFS($B$5:B721,B721,$C$5:C721,"&gt;="&amp;(Settings!$B$5-Settings!$B$9+1),$C$5:C721,"&lt;="&amp;Settings!$B$5)=1),1,0)</f>
        <v>0</v>
      </c>
      <c r="N721" s="29" t="n">
        <f aca="false">IF(AND(D721="Feature Use",COUNTIFS($B$5:B721,B721,$D$5:D721,"Feature Use")=1),1,0)</f>
        <v>0</v>
      </c>
    </row>
    <row r="722" customFormat="false" ht="15" hidden="false" customHeight="false" outlineLevel="0" collapsed="false">
      <c r="A722" s="22" t="s">
        <v>1029</v>
      </c>
      <c r="B722" s="22" t="s">
        <v>213</v>
      </c>
      <c r="C722" s="31" t="n">
        <v>46290</v>
      </c>
      <c r="D722" s="22" t="s">
        <v>300</v>
      </c>
      <c r="E722" s="22" t="s">
        <v>305</v>
      </c>
      <c r="F722" s="29" t="str">
        <f aca="false">IF(COUNTIF(Referral_Data!$C$5:$C$1000,B722)&gt;0,"Referred",IF(COUNTIF(Referral_Data!$B$5:$B$1000,B722)&gt;0,"Referrer","Organic"))</f>
        <v>Referred</v>
      </c>
      <c r="G722" s="29" t="n">
        <f aca="false">IF(COUNTIFS($B$5:B722,B722,$C$5:C722,C722)=1,1,0)</f>
        <v>0</v>
      </c>
      <c r="H722" s="29" t="n">
        <f aca="false">IF(AND(G722=1,COUNTIFS($B$5:$B$1635,B722,$C$5:$C$1635,"&lt;"&amp;C722)&gt;0),1,0)</f>
        <v>0</v>
      </c>
      <c r="I722" s="29" t="n">
        <f aca="false">IF(AND(D722="Feature Use",COUNTIFS($B$5:B722,B722,$D$5:D722,"Feature Use",$E$5:E722,E722)=1),1,0)</f>
        <v>0</v>
      </c>
      <c r="J722" s="29" t="n">
        <f aca="false">IF(AND(D722="Feature Use",COUNTIFS($B$5:B722,B722,$D$5:D722,"Feature Use",$E$5:E722,E722)=2),1,0)</f>
        <v>0</v>
      </c>
      <c r="K722" s="29" t="n">
        <f aca="false">IF(COUNTIF($B$5:B722,B722)=1,1,0)</f>
        <v>0</v>
      </c>
      <c r="L722" s="29" t="n">
        <f aca="false">IF(AND(C722&gt;=Settings!$B$5-Settings!$B$8+1,C722&lt;=Settings!$B$5,COUNTIFS($B$5:B722,B722,$C$5:C722,"&gt;="&amp;(Settings!$B$5-Settings!$B$8+1),$C$5:C722,"&lt;="&amp;Settings!$B$5)=1),1,0)</f>
        <v>0</v>
      </c>
      <c r="M722" s="29" t="n">
        <f aca="false">IF(AND(C722&gt;=Settings!$B$5-Settings!$B$9+1,C722&lt;=Settings!$B$5,COUNTIFS($B$5:B722,B722,$C$5:C722,"&gt;="&amp;(Settings!$B$5-Settings!$B$9+1),$C$5:C722,"&lt;="&amp;Settings!$B$5)=1),1,0)</f>
        <v>0</v>
      </c>
      <c r="N722" s="29" t="n">
        <f aca="false">IF(AND(D722="Feature Use",COUNTIFS($B$5:B722,B722,$D$5:D722,"Feature Use")=1),1,0)</f>
        <v>0</v>
      </c>
    </row>
    <row r="723" customFormat="false" ht="15" hidden="false" customHeight="false" outlineLevel="0" collapsed="false">
      <c r="A723" s="22" t="s">
        <v>1030</v>
      </c>
      <c r="B723" s="22" t="s">
        <v>220</v>
      </c>
      <c r="C723" s="31" t="n">
        <v>46290</v>
      </c>
      <c r="D723" s="22" t="s">
        <v>297</v>
      </c>
      <c r="E723" s="22" t="s">
        <v>298</v>
      </c>
      <c r="F723" s="29" t="str">
        <f aca="false">IF(COUNTIF(Referral_Data!$C$5:$C$1000,B723)&gt;0,"Referred",IF(COUNTIF(Referral_Data!$B$5:$B$1000,B723)&gt;0,"Referrer","Organic"))</f>
        <v>Referred</v>
      </c>
      <c r="G723" s="29" t="n">
        <f aca="false">IF(COUNTIFS($B$5:B723,B723,$C$5:C723,C723)=1,1,0)</f>
        <v>1</v>
      </c>
      <c r="H723" s="29" t="n">
        <f aca="false">IF(AND(G723=1,COUNTIFS($B$5:$B$1635,B723,$C$5:$C$1635,"&lt;"&amp;C723)&gt;0),1,0)</f>
        <v>1</v>
      </c>
      <c r="I723" s="29" t="n">
        <f aca="false">IF(AND(D723="Feature Use",COUNTIFS($B$5:B723,B723,$D$5:D723,"Feature Use",$E$5:E723,E723)=1),1,0)</f>
        <v>0</v>
      </c>
      <c r="J723" s="29" t="n">
        <f aca="false">IF(AND(D723="Feature Use",COUNTIFS($B$5:B723,B723,$D$5:D723,"Feature Use",$E$5:E723,E723)=2),1,0)</f>
        <v>0</v>
      </c>
      <c r="K723" s="29" t="n">
        <f aca="false">IF(COUNTIF($B$5:B723,B723)=1,1,0)</f>
        <v>0</v>
      </c>
      <c r="L723" s="29" t="n">
        <f aca="false">IF(AND(C723&gt;=Settings!$B$5-Settings!$B$8+1,C723&lt;=Settings!$B$5,COUNTIFS($B$5:B723,B723,$C$5:C723,"&gt;="&amp;(Settings!$B$5-Settings!$B$8+1),$C$5:C723,"&lt;="&amp;Settings!$B$5)=1),1,0)</f>
        <v>0</v>
      </c>
      <c r="M723" s="29" t="n">
        <f aca="false">IF(AND(C723&gt;=Settings!$B$5-Settings!$B$9+1,C723&lt;=Settings!$B$5,COUNTIFS($B$5:B723,B723,$C$5:C723,"&gt;="&amp;(Settings!$B$5-Settings!$B$9+1),$C$5:C723,"&lt;="&amp;Settings!$B$5)=1),1,0)</f>
        <v>0</v>
      </c>
      <c r="N723" s="29" t="n">
        <f aca="false">IF(AND(D723="Feature Use",COUNTIFS($B$5:B723,B723,$D$5:D723,"Feature Use")=1),1,0)</f>
        <v>0</v>
      </c>
    </row>
    <row r="724" customFormat="false" ht="15" hidden="false" customHeight="false" outlineLevel="0" collapsed="false">
      <c r="A724" s="22" t="s">
        <v>1031</v>
      </c>
      <c r="B724" s="22" t="s">
        <v>220</v>
      </c>
      <c r="C724" s="31" t="n">
        <v>46290</v>
      </c>
      <c r="D724" s="22" t="s">
        <v>300</v>
      </c>
      <c r="E724" s="22" t="s">
        <v>301</v>
      </c>
      <c r="F724" s="29" t="str">
        <f aca="false">IF(COUNTIF(Referral_Data!$C$5:$C$1000,B724)&gt;0,"Referred",IF(COUNTIF(Referral_Data!$B$5:$B$1000,B724)&gt;0,"Referrer","Organic"))</f>
        <v>Referred</v>
      </c>
      <c r="G724" s="29" t="n">
        <f aca="false">IF(COUNTIFS($B$5:B724,B724,$C$5:C724,C724)=1,1,0)</f>
        <v>0</v>
      </c>
      <c r="H724" s="29" t="n">
        <f aca="false">IF(AND(G724=1,COUNTIFS($B$5:$B$1635,B724,$C$5:$C$1635,"&lt;"&amp;C724)&gt;0),1,0)</f>
        <v>0</v>
      </c>
      <c r="I724" s="29" t="n">
        <f aca="false">IF(AND(D724="Feature Use",COUNTIFS($B$5:B724,B724,$D$5:D724,"Feature Use",$E$5:E724,E724)=1),1,0)</f>
        <v>1</v>
      </c>
      <c r="J724" s="29" t="n">
        <f aca="false">IF(AND(D724="Feature Use",COUNTIFS($B$5:B724,B724,$D$5:D724,"Feature Use",$E$5:E724,E724)=2),1,0)</f>
        <v>0</v>
      </c>
      <c r="K724" s="29" t="n">
        <f aca="false">IF(COUNTIF($B$5:B724,B724)=1,1,0)</f>
        <v>0</v>
      </c>
      <c r="L724" s="29" t="n">
        <f aca="false">IF(AND(C724&gt;=Settings!$B$5-Settings!$B$8+1,C724&lt;=Settings!$B$5,COUNTIFS($B$5:B724,B724,$C$5:C724,"&gt;="&amp;(Settings!$B$5-Settings!$B$8+1),$C$5:C724,"&lt;="&amp;Settings!$B$5)=1),1,0)</f>
        <v>0</v>
      </c>
      <c r="M724" s="29" t="n">
        <f aca="false">IF(AND(C724&gt;=Settings!$B$5-Settings!$B$9+1,C724&lt;=Settings!$B$5,COUNTIFS($B$5:B724,B724,$C$5:C724,"&gt;="&amp;(Settings!$B$5-Settings!$B$9+1),$C$5:C724,"&lt;="&amp;Settings!$B$5)=1),1,0)</f>
        <v>0</v>
      </c>
      <c r="N724" s="29" t="n">
        <f aca="false">IF(AND(D724="Feature Use",COUNTIFS($B$5:B724,B724,$D$5:D724,"Feature Use")=1),1,0)</f>
        <v>0</v>
      </c>
    </row>
    <row r="725" customFormat="false" ht="15" hidden="false" customHeight="false" outlineLevel="0" collapsed="false">
      <c r="A725" s="22" t="s">
        <v>1032</v>
      </c>
      <c r="B725" s="22" t="s">
        <v>234</v>
      </c>
      <c r="C725" s="31" t="n">
        <v>46290</v>
      </c>
      <c r="D725" s="22" t="s">
        <v>297</v>
      </c>
      <c r="E725" s="22" t="s">
        <v>298</v>
      </c>
      <c r="F725" s="29" t="str">
        <f aca="false">IF(COUNTIF(Referral_Data!$C$5:$C$1000,B725)&gt;0,"Referred",IF(COUNTIF(Referral_Data!$B$5:$B$1000,B725)&gt;0,"Referrer","Organic"))</f>
        <v>Referred</v>
      </c>
      <c r="G725" s="29" t="n">
        <f aca="false">IF(COUNTIFS($B$5:B725,B725,$C$5:C725,C725)=1,1,0)</f>
        <v>1</v>
      </c>
      <c r="H725" s="29" t="n">
        <f aca="false">IF(AND(G725=1,COUNTIFS($B$5:$B$1635,B725,$C$5:$C$1635,"&lt;"&amp;C725)&gt;0),1,0)</f>
        <v>1</v>
      </c>
      <c r="I725" s="29" t="n">
        <f aca="false">IF(AND(D725="Feature Use",COUNTIFS($B$5:B725,B725,$D$5:D725,"Feature Use",$E$5:E725,E725)=1),1,0)</f>
        <v>0</v>
      </c>
      <c r="J725" s="29" t="n">
        <f aca="false">IF(AND(D725="Feature Use",COUNTIFS($B$5:B725,B725,$D$5:D725,"Feature Use",$E$5:E725,E725)=2),1,0)</f>
        <v>0</v>
      </c>
      <c r="K725" s="29" t="n">
        <f aca="false">IF(COUNTIF($B$5:B725,B725)=1,1,0)</f>
        <v>0</v>
      </c>
      <c r="L725" s="29" t="n">
        <f aca="false">IF(AND(C725&gt;=Settings!$B$5-Settings!$B$8+1,C725&lt;=Settings!$B$5,COUNTIFS($B$5:B725,B725,$C$5:C725,"&gt;="&amp;(Settings!$B$5-Settings!$B$8+1),$C$5:C725,"&lt;="&amp;Settings!$B$5)=1),1,0)</f>
        <v>0</v>
      </c>
      <c r="M725" s="29" t="n">
        <f aca="false">IF(AND(C725&gt;=Settings!$B$5-Settings!$B$9+1,C725&lt;=Settings!$B$5,COUNTIFS($B$5:B725,B725,$C$5:C725,"&gt;="&amp;(Settings!$B$5-Settings!$B$9+1),$C$5:C725,"&lt;="&amp;Settings!$B$5)=1),1,0)</f>
        <v>0</v>
      </c>
      <c r="N725" s="29" t="n">
        <f aca="false">IF(AND(D725="Feature Use",COUNTIFS($B$5:B725,B725,$D$5:D725,"Feature Use")=1),1,0)</f>
        <v>0</v>
      </c>
    </row>
    <row r="726" customFormat="false" ht="15" hidden="false" customHeight="false" outlineLevel="0" collapsed="false">
      <c r="A726" s="22" t="s">
        <v>1033</v>
      </c>
      <c r="B726" s="22" t="s">
        <v>234</v>
      </c>
      <c r="C726" s="31" t="n">
        <v>46290</v>
      </c>
      <c r="D726" s="22" t="s">
        <v>300</v>
      </c>
      <c r="E726" s="22" t="s">
        <v>305</v>
      </c>
      <c r="F726" s="29" t="str">
        <f aca="false">IF(COUNTIF(Referral_Data!$C$5:$C$1000,B726)&gt;0,"Referred",IF(COUNTIF(Referral_Data!$B$5:$B$1000,B726)&gt;0,"Referrer","Organic"))</f>
        <v>Referred</v>
      </c>
      <c r="G726" s="29" t="n">
        <f aca="false">IF(COUNTIFS($B$5:B726,B726,$C$5:C726,C726)=1,1,0)</f>
        <v>0</v>
      </c>
      <c r="H726" s="29" t="n">
        <f aca="false">IF(AND(G726=1,COUNTIFS($B$5:$B$1635,B726,$C$5:$C$1635,"&lt;"&amp;C726)&gt;0),1,0)</f>
        <v>0</v>
      </c>
      <c r="I726" s="29" t="n">
        <f aca="false">IF(AND(D726="Feature Use",COUNTIFS($B$5:B726,B726,$D$5:D726,"Feature Use",$E$5:E726,E726)=1),1,0)</f>
        <v>0</v>
      </c>
      <c r="J726" s="29" t="n">
        <f aca="false">IF(AND(D726="Feature Use",COUNTIFS($B$5:B726,B726,$D$5:D726,"Feature Use",$E$5:E726,E726)=2),1,0)</f>
        <v>0</v>
      </c>
      <c r="K726" s="29" t="n">
        <f aca="false">IF(COUNTIF($B$5:B726,B726)=1,1,0)</f>
        <v>0</v>
      </c>
      <c r="L726" s="29" t="n">
        <f aca="false">IF(AND(C726&gt;=Settings!$B$5-Settings!$B$8+1,C726&lt;=Settings!$B$5,COUNTIFS($B$5:B726,B726,$C$5:C726,"&gt;="&amp;(Settings!$B$5-Settings!$B$8+1),$C$5:C726,"&lt;="&amp;Settings!$B$5)=1),1,0)</f>
        <v>0</v>
      </c>
      <c r="M726" s="29" t="n">
        <f aca="false">IF(AND(C726&gt;=Settings!$B$5-Settings!$B$9+1,C726&lt;=Settings!$B$5,COUNTIFS($B$5:B726,B726,$C$5:C726,"&gt;="&amp;(Settings!$B$5-Settings!$B$9+1),$C$5:C726,"&lt;="&amp;Settings!$B$5)=1),1,0)</f>
        <v>0</v>
      </c>
      <c r="N726" s="29" t="n">
        <f aca="false">IF(AND(D726="Feature Use",COUNTIFS($B$5:B726,B726,$D$5:D726,"Feature Use")=1),1,0)</f>
        <v>0</v>
      </c>
    </row>
    <row r="727" customFormat="false" ht="15" hidden="false" customHeight="false" outlineLevel="0" collapsed="false">
      <c r="A727" s="22" t="s">
        <v>1034</v>
      </c>
      <c r="B727" s="22" t="s">
        <v>234</v>
      </c>
      <c r="C727" s="31" t="n">
        <v>46290</v>
      </c>
      <c r="D727" s="22" t="s">
        <v>300</v>
      </c>
      <c r="E727" s="22" t="s">
        <v>309</v>
      </c>
      <c r="F727" s="29" t="str">
        <f aca="false">IF(COUNTIF(Referral_Data!$C$5:$C$1000,B727)&gt;0,"Referred",IF(COUNTIF(Referral_Data!$B$5:$B$1000,B727)&gt;0,"Referrer","Organic"))</f>
        <v>Referred</v>
      </c>
      <c r="G727" s="29" t="n">
        <f aca="false">IF(COUNTIFS($B$5:B727,B727,$C$5:C727,C727)=1,1,0)</f>
        <v>0</v>
      </c>
      <c r="H727" s="29" t="n">
        <f aca="false">IF(AND(G727=1,COUNTIFS($B$5:$B$1635,B727,$C$5:$C$1635,"&lt;"&amp;C727)&gt;0),1,0)</f>
        <v>0</v>
      </c>
      <c r="I727" s="29" t="n">
        <f aca="false">IF(AND(D727="Feature Use",COUNTIFS($B$5:B727,B727,$D$5:D727,"Feature Use",$E$5:E727,E727)=1),1,0)</f>
        <v>1</v>
      </c>
      <c r="J727" s="29" t="n">
        <f aca="false">IF(AND(D727="Feature Use",COUNTIFS($B$5:B727,B727,$D$5:D727,"Feature Use",$E$5:E727,E727)=2),1,0)</f>
        <v>0</v>
      </c>
      <c r="K727" s="29" t="n">
        <f aca="false">IF(COUNTIF($B$5:B727,B727)=1,1,0)</f>
        <v>0</v>
      </c>
      <c r="L727" s="29" t="n">
        <f aca="false">IF(AND(C727&gt;=Settings!$B$5-Settings!$B$8+1,C727&lt;=Settings!$B$5,COUNTIFS($B$5:B727,B727,$C$5:C727,"&gt;="&amp;(Settings!$B$5-Settings!$B$8+1),$C$5:C727,"&lt;="&amp;Settings!$B$5)=1),1,0)</f>
        <v>0</v>
      </c>
      <c r="M727" s="29" t="n">
        <f aca="false">IF(AND(C727&gt;=Settings!$B$5-Settings!$B$9+1,C727&lt;=Settings!$B$5,COUNTIFS($B$5:B727,B727,$C$5:C727,"&gt;="&amp;(Settings!$B$5-Settings!$B$9+1),$C$5:C727,"&lt;="&amp;Settings!$B$5)=1),1,0)</f>
        <v>0</v>
      </c>
      <c r="N727" s="29" t="n">
        <f aca="false">IF(AND(D727="Feature Use",COUNTIFS($B$5:B727,B727,$D$5:D727,"Feature Use")=1),1,0)</f>
        <v>0</v>
      </c>
    </row>
    <row r="728" customFormat="false" ht="15" hidden="false" customHeight="false" outlineLevel="0" collapsed="false">
      <c r="A728" s="22" t="s">
        <v>1035</v>
      </c>
      <c r="B728" s="22" t="s">
        <v>263</v>
      </c>
      <c r="C728" s="31" t="n">
        <v>46290</v>
      </c>
      <c r="D728" s="22" t="s">
        <v>297</v>
      </c>
      <c r="E728" s="22" t="s">
        <v>298</v>
      </c>
      <c r="F728" s="29" t="str">
        <f aca="false">IF(COUNTIF(Referral_Data!$C$5:$C$1000,B728)&gt;0,"Referred",IF(COUNTIF(Referral_Data!$B$5:$B$1000,B728)&gt;0,"Referrer","Organic"))</f>
        <v>Referred</v>
      </c>
      <c r="G728" s="29" t="n">
        <f aca="false">IF(COUNTIFS($B$5:B728,B728,$C$5:C728,C728)=1,1,0)</f>
        <v>1</v>
      </c>
      <c r="H728" s="29" t="n">
        <f aca="false">IF(AND(G728=1,COUNTIFS($B$5:$B$1635,B728,$C$5:$C$1635,"&lt;"&amp;C728)&gt;0),1,0)</f>
        <v>1</v>
      </c>
      <c r="I728" s="29" t="n">
        <f aca="false">IF(AND(D728="Feature Use",COUNTIFS($B$5:B728,B728,$D$5:D728,"Feature Use",$E$5:E728,E728)=1),1,0)</f>
        <v>0</v>
      </c>
      <c r="J728" s="29" t="n">
        <f aca="false">IF(AND(D728="Feature Use",COUNTIFS($B$5:B728,B728,$D$5:D728,"Feature Use",$E$5:E728,E728)=2),1,0)</f>
        <v>0</v>
      </c>
      <c r="K728" s="29" t="n">
        <f aca="false">IF(COUNTIF($B$5:B728,B728)=1,1,0)</f>
        <v>0</v>
      </c>
      <c r="L728" s="29" t="n">
        <f aca="false">IF(AND(C728&gt;=Settings!$B$5-Settings!$B$8+1,C728&lt;=Settings!$B$5,COUNTIFS($B$5:B728,B728,$C$5:C728,"&gt;="&amp;(Settings!$B$5-Settings!$B$8+1),$C$5:C728,"&lt;="&amp;Settings!$B$5)=1),1,0)</f>
        <v>0</v>
      </c>
      <c r="M728" s="29" t="n">
        <f aca="false">IF(AND(C728&gt;=Settings!$B$5-Settings!$B$9+1,C728&lt;=Settings!$B$5,COUNTIFS($B$5:B728,B728,$C$5:C728,"&gt;="&amp;(Settings!$B$5-Settings!$B$9+1),$C$5:C728,"&lt;="&amp;Settings!$B$5)=1),1,0)</f>
        <v>0</v>
      </c>
      <c r="N728" s="29" t="n">
        <f aca="false">IF(AND(D728="Feature Use",COUNTIFS($B$5:B728,B728,$D$5:D728,"Feature Use")=1),1,0)</f>
        <v>0</v>
      </c>
    </row>
    <row r="729" customFormat="false" ht="15" hidden="false" customHeight="false" outlineLevel="0" collapsed="false">
      <c r="A729" s="22" t="s">
        <v>1036</v>
      </c>
      <c r="B729" s="22" t="s">
        <v>263</v>
      </c>
      <c r="C729" s="31" t="n">
        <v>46290</v>
      </c>
      <c r="D729" s="22" t="s">
        <v>300</v>
      </c>
      <c r="E729" s="22" t="s">
        <v>309</v>
      </c>
      <c r="F729" s="29" t="str">
        <f aca="false">IF(COUNTIF(Referral_Data!$C$5:$C$1000,B729)&gt;0,"Referred",IF(COUNTIF(Referral_Data!$B$5:$B$1000,B729)&gt;0,"Referrer","Organic"))</f>
        <v>Referred</v>
      </c>
      <c r="G729" s="29" t="n">
        <f aca="false">IF(COUNTIFS($B$5:B729,B729,$C$5:C729,C729)=1,1,0)</f>
        <v>0</v>
      </c>
      <c r="H729" s="29" t="n">
        <f aca="false">IF(AND(G729=1,COUNTIFS($B$5:$B$1635,B729,$C$5:$C$1635,"&lt;"&amp;C729)&gt;0),1,0)</f>
        <v>0</v>
      </c>
      <c r="I729" s="29" t="n">
        <f aca="false">IF(AND(D729="Feature Use",COUNTIFS($B$5:B729,B729,$D$5:D729,"Feature Use",$E$5:E729,E729)=1),1,0)</f>
        <v>1</v>
      </c>
      <c r="J729" s="29" t="n">
        <f aca="false">IF(AND(D729="Feature Use",COUNTIFS($B$5:B729,B729,$D$5:D729,"Feature Use",$E$5:E729,E729)=2),1,0)</f>
        <v>0</v>
      </c>
      <c r="K729" s="29" t="n">
        <f aca="false">IF(COUNTIF($B$5:B729,B729)=1,1,0)</f>
        <v>0</v>
      </c>
      <c r="L729" s="29" t="n">
        <f aca="false">IF(AND(C729&gt;=Settings!$B$5-Settings!$B$8+1,C729&lt;=Settings!$B$5,COUNTIFS($B$5:B729,B729,$C$5:C729,"&gt;="&amp;(Settings!$B$5-Settings!$B$8+1),$C$5:C729,"&lt;="&amp;Settings!$B$5)=1),1,0)</f>
        <v>0</v>
      </c>
      <c r="M729" s="29" t="n">
        <f aca="false">IF(AND(C729&gt;=Settings!$B$5-Settings!$B$9+1,C729&lt;=Settings!$B$5,COUNTIFS($B$5:B729,B729,$C$5:C729,"&gt;="&amp;(Settings!$B$5-Settings!$B$9+1),$C$5:C729,"&lt;="&amp;Settings!$B$5)=1),1,0)</f>
        <v>0</v>
      </c>
      <c r="N729" s="29" t="n">
        <f aca="false">IF(AND(D729="Feature Use",COUNTIFS($B$5:B729,B729,$D$5:D729,"Feature Use")=1),1,0)</f>
        <v>0</v>
      </c>
    </row>
    <row r="730" customFormat="false" ht="15" hidden="false" customHeight="false" outlineLevel="0" collapsed="false">
      <c r="A730" s="22" t="s">
        <v>1037</v>
      </c>
      <c r="B730" s="22" t="s">
        <v>263</v>
      </c>
      <c r="C730" s="31" t="n">
        <v>46290</v>
      </c>
      <c r="D730" s="22" t="s">
        <v>300</v>
      </c>
      <c r="E730" s="22" t="s">
        <v>305</v>
      </c>
      <c r="F730" s="29" t="str">
        <f aca="false">IF(COUNTIF(Referral_Data!$C$5:$C$1000,B730)&gt;0,"Referred",IF(COUNTIF(Referral_Data!$B$5:$B$1000,B730)&gt;0,"Referrer","Organic"))</f>
        <v>Referred</v>
      </c>
      <c r="G730" s="29" t="n">
        <f aca="false">IF(COUNTIFS($B$5:B730,B730,$C$5:C730,C730)=1,1,0)</f>
        <v>0</v>
      </c>
      <c r="H730" s="29" t="n">
        <f aca="false">IF(AND(G730=1,COUNTIFS($B$5:$B$1635,B730,$C$5:$C$1635,"&lt;"&amp;C730)&gt;0),1,0)</f>
        <v>0</v>
      </c>
      <c r="I730" s="29" t="n">
        <f aca="false">IF(AND(D730="Feature Use",COUNTIFS($B$5:B730,B730,$D$5:D730,"Feature Use",$E$5:E730,E730)=1),1,0)</f>
        <v>0</v>
      </c>
      <c r="J730" s="29" t="n">
        <f aca="false">IF(AND(D730="Feature Use",COUNTIFS($B$5:B730,B730,$D$5:D730,"Feature Use",$E$5:E730,E730)=2),1,0)</f>
        <v>1</v>
      </c>
      <c r="K730" s="29" t="n">
        <f aca="false">IF(COUNTIF($B$5:B730,B730)=1,1,0)</f>
        <v>0</v>
      </c>
      <c r="L730" s="29" t="n">
        <f aca="false">IF(AND(C730&gt;=Settings!$B$5-Settings!$B$8+1,C730&lt;=Settings!$B$5,COUNTIFS($B$5:B730,B730,$C$5:C730,"&gt;="&amp;(Settings!$B$5-Settings!$B$8+1),$C$5:C730,"&lt;="&amp;Settings!$B$5)=1),1,0)</f>
        <v>0</v>
      </c>
      <c r="M730" s="29" t="n">
        <f aca="false">IF(AND(C730&gt;=Settings!$B$5-Settings!$B$9+1,C730&lt;=Settings!$B$5,COUNTIFS($B$5:B730,B730,$C$5:C730,"&gt;="&amp;(Settings!$B$5-Settings!$B$9+1),$C$5:C730,"&lt;="&amp;Settings!$B$5)=1),1,0)</f>
        <v>0</v>
      </c>
      <c r="N730" s="29" t="n">
        <f aca="false">IF(AND(D730="Feature Use",COUNTIFS($B$5:B730,B730,$D$5:D730,"Feature Use")=1),1,0)</f>
        <v>0</v>
      </c>
    </row>
    <row r="731" customFormat="false" ht="15" hidden="false" customHeight="false" outlineLevel="0" collapsed="false">
      <c r="A731" s="22" t="s">
        <v>1038</v>
      </c>
      <c r="B731" s="22" t="s">
        <v>167</v>
      </c>
      <c r="C731" s="31" t="n">
        <v>46290</v>
      </c>
      <c r="D731" s="22" t="s">
        <v>297</v>
      </c>
      <c r="E731" s="22" t="s">
        <v>298</v>
      </c>
      <c r="F731" s="29" t="str">
        <f aca="false">IF(COUNTIF(Referral_Data!$C$5:$C$1000,B731)&gt;0,"Referred",IF(COUNTIF(Referral_Data!$B$5:$B$1000,B731)&gt;0,"Referrer","Organic"))</f>
        <v>Referrer</v>
      </c>
      <c r="G731" s="29" t="n">
        <f aca="false">IF(COUNTIFS($B$5:B731,B731,$C$5:C731,C731)=1,1,0)</f>
        <v>1</v>
      </c>
      <c r="H731" s="29" t="n">
        <f aca="false">IF(AND(G731=1,COUNTIFS($B$5:$B$1635,B731,$C$5:$C$1635,"&lt;"&amp;C731)&gt;0),1,0)</f>
        <v>1</v>
      </c>
      <c r="I731" s="29" t="n">
        <f aca="false">IF(AND(D731="Feature Use",COUNTIFS($B$5:B731,B731,$D$5:D731,"Feature Use",$E$5:E731,E731)=1),1,0)</f>
        <v>0</v>
      </c>
      <c r="J731" s="29" t="n">
        <f aca="false">IF(AND(D731="Feature Use",COUNTIFS($B$5:B731,B731,$D$5:D731,"Feature Use",$E$5:E731,E731)=2),1,0)</f>
        <v>0</v>
      </c>
      <c r="K731" s="29" t="n">
        <f aca="false">IF(COUNTIF($B$5:B731,B731)=1,1,0)</f>
        <v>0</v>
      </c>
      <c r="L731" s="29" t="n">
        <f aca="false">IF(AND(C731&gt;=Settings!$B$5-Settings!$B$8+1,C731&lt;=Settings!$B$5,COUNTIFS($B$5:B731,B731,$C$5:C731,"&gt;="&amp;(Settings!$B$5-Settings!$B$8+1),$C$5:C731,"&lt;="&amp;Settings!$B$5)=1),1,0)</f>
        <v>0</v>
      </c>
      <c r="M731" s="29" t="n">
        <f aca="false">IF(AND(C731&gt;=Settings!$B$5-Settings!$B$9+1,C731&lt;=Settings!$B$5,COUNTIFS($B$5:B731,B731,$C$5:C731,"&gt;="&amp;(Settings!$B$5-Settings!$B$9+1),$C$5:C731,"&lt;="&amp;Settings!$B$5)=1),1,0)</f>
        <v>0</v>
      </c>
      <c r="N731" s="29" t="n">
        <f aca="false">IF(AND(D731="Feature Use",COUNTIFS($B$5:B731,B731,$D$5:D731,"Feature Use")=1),1,0)</f>
        <v>0</v>
      </c>
    </row>
    <row r="732" customFormat="false" ht="15" hidden="false" customHeight="false" outlineLevel="0" collapsed="false">
      <c r="A732" s="22" t="s">
        <v>1039</v>
      </c>
      <c r="B732" s="22" t="s">
        <v>167</v>
      </c>
      <c r="C732" s="31" t="n">
        <v>46290</v>
      </c>
      <c r="D732" s="22" t="s">
        <v>300</v>
      </c>
      <c r="E732" s="22" t="s">
        <v>301</v>
      </c>
      <c r="F732" s="29" t="str">
        <f aca="false">IF(COUNTIF(Referral_Data!$C$5:$C$1000,B732)&gt;0,"Referred",IF(COUNTIF(Referral_Data!$B$5:$B$1000,B732)&gt;0,"Referrer","Organic"))</f>
        <v>Referrer</v>
      </c>
      <c r="G732" s="29" t="n">
        <f aca="false">IF(COUNTIFS($B$5:B732,B732,$C$5:C732,C732)=1,1,0)</f>
        <v>0</v>
      </c>
      <c r="H732" s="29" t="n">
        <f aca="false">IF(AND(G732=1,COUNTIFS($B$5:$B$1635,B732,$C$5:$C$1635,"&lt;"&amp;C732)&gt;0),1,0)</f>
        <v>0</v>
      </c>
      <c r="I732" s="29" t="n">
        <f aca="false">IF(AND(D732="Feature Use",COUNTIFS($B$5:B732,B732,$D$5:D732,"Feature Use",$E$5:E732,E732)=1),1,0)</f>
        <v>0</v>
      </c>
      <c r="J732" s="29" t="n">
        <f aca="false">IF(AND(D732="Feature Use",COUNTIFS($B$5:B732,B732,$D$5:D732,"Feature Use",$E$5:E732,E732)=2),1,0)</f>
        <v>0</v>
      </c>
      <c r="K732" s="29" t="n">
        <f aca="false">IF(COUNTIF($B$5:B732,B732)=1,1,0)</f>
        <v>0</v>
      </c>
      <c r="L732" s="29" t="n">
        <f aca="false">IF(AND(C732&gt;=Settings!$B$5-Settings!$B$8+1,C732&lt;=Settings!$B$5,COUNTIFS($B$5:B732,B732,$C$5:C732,"&gt;="&amp;(Settings!$B$5-Settings!$B$8+1),$C$5:C732,"&lt;="&amp;Settings!$B$5)=1),1,0)</f>
        <v>0</v>
      </c>
      <c r="M732" s="29" t="n">
        <f aca="false">IF(AND(C732&gt;=Settings!$B$5-Settings!$B$9+1,C732&lt;=Settings!$B$5,COUNTIFS($B$5:B732,B732,$C$5:C732,"&gt;="&amp;(Settings!$B$5-Settings!$B$9+1),$C$5:C732,"&lt;="&amp;Settings!$B$5)=1),1,0)</f>
        <v>0</v>
      </c>
      <c r="N732" s="29" t="n">
        <f aca="false">IF(AND(D732="Feature Use",COUNTIFS($B$5:B732,B732,$D$5:D732,"Feature Use")=1),1,0)</f>
        <v>0</v>
      </c>
    </row>
    <row r="733" customFormat="false" ht="15" hidden="false" customHeight="false" outlineLevel="0" collapsed="false">
      <c r="A733" s="22" t="s">
        <v>1040</v>
      </c>
      <c r="B733" s="22" t="s">
        <v>167</v>
      </c>
      <c r="C733" s="31" t="n">
        <v>46290</v>
      </c>
      <c r="D733" s="22" t="s">
        <v>300</v>
      </c>
      <c r="E733" s="22" t="s">
        <v>301</v>
      </c>
      <c r="F733" s="29" t="str">
        <f aca="false">IF(COUNTIF(Referral_Data!$C$5:$C$1000,B733)&gt;0,"Referred",IF(COUNTIF(Referral_Data!$B$5:$B$1000,B733)&gt;0,"Referrer","Organic"))</f>
        <v>Referrer</v>
      </c>
      <c r="G733" s="29" t="n">
        <f aca="false">IF(COUNTIFS($B$5:B733,B733,$C$5:C733,C733)=1,1,0)</f>
        <v>0</v>
      </c>
      <c r="H733" s="29" t="n">
        <f aca="false">IF(AND(G733=1,COUNTIFS($B$5:$B$1635,B733,$C$5:$C$1635,"&lt;"&amp;C733)&gt;0),1,0)</f>
        <v>0</v>
      </c>
      <c r="I733" s="29" t="n">
        <f aca="false">IF(AND(D733="Feature Use",COUNTIFS($B$5:B733,B733,$D$5:D733,"Feature Use",$E$5:E733,E733)=1),1,0)</f>
        <v>0</v>
      </c>
      <c r="J733" s="29" t="n">
        <f aca="false">IF(AND(D733="Feature Use",COUNTIFS($B$5:B733,B733,$D$5:D733,"Feature Use",$E$5:E733,E733)=2),1,0)</f>
        <v>0</v>
      </c>
      <c r="K733" s="29" t="n">
        <f aca="false">IF(COUNTIF($B$5:B733,B733)=1,1,0)</f>
        <v>0</v>
      </c>
      <c r="L733" s="29" t="n">
        <f aca="false">IF(AND(C733&gt;=Settings!$B$5-Settings!$B$8+1,C733&lt;=Settings!$B$5,COUNTIFS($B$5:B733,B733,$C$5:C733,"&gt;="&amp;(Settings!$B$5-Settings!$B$8+1),$C$5:C733,"&lt;="&amp;Settings!$B$5)=1),1,0)</f>
        <v>0</v>
      </c>
      <c r="M733" s="29" t="n">
        <f aca="false">IF(AND(C733&gt;=Settings!$B$5-Settings!$B$9+1,C733&lt;=Settings!$B$5,COUNTIFS($B$5:B733,B733,$C$5:C733,"&gt;="&amp;(Settings!$B$5-Settings!$B$9+1),$C$5:C733,"&lt;="&amp;Settings!$B$5)=1),1,0)</f>
        <v>0</v>
      </c>
      <c r="N733" s="29" t="n">
        <f aca="false">IF(AND(D733="Feature Use",COUNTIFS($B$5:B733,B733,$D$5:D733,"Feature Use")=1),1,0)</f>
        <v>0</v>
      </c>
    </row>
    <row r="734" customFormat="false" ht="15" hidden="false" customHeight="false" outlineLevel="0" collapsed="false">
      <c r="A734" s="22" t="s">
        <v>1041</v>
      </c>
      <c r="B734" s="22" t="s">
        <v>167</v>
      </c>
      <c r="C734" s="31" t="n">
        <v>46290</v>
      </c>
      <c r="D734" s="22" t="s">
        <v>308</v>
      </c>
      <c r="E734" s="22" t="s">
        <v>305</v>
      </c>
      <c r="F734" s="29" t="str">
        <f aca="false">IF(COUNTIF(Referral_Data!$C$5:$C$1000,B734)&gt;0,"Referred",IF(COUNTIF(Referral_Data!$B$5:$B$1000,B734)&gt;0,"Referrer","Organic"))</f>
        <v>Referrer</v>
      </c>
      <c r="G734" s="29" t="n">
        <f aca="false">IF(COUNTIFS($B$5:B734,B734,$C$5:C734,C734)=1,1,0)</f>
        <v>0</v>
      </c>
      <c r="H734" s="29" t="n">
        <f aca="false">IF(AND(G734=1,COUNTIFS($B$5:$B$1635,B734,$C$5:$C$1635,"&lt;"&amp;C734)&gt;0),1,0)</f>
        <v>0</v>
      </c>
      <c r="I734" s="29" t="n">
        <f aca="false">IF(AND(D734="Feature Use",COUNTIFS($B$5:B734,B734,$D$5:D734,"Feature Use",$E$5:E734,E734)=1),1,0)</f>
        <v>0</v>
      </c>
      <c r="J734" s="29" t="n">
        <f aca="false">IF(AND(D734="Feature Use",COUNTIFS($B$5:B734,B734,$D$5:D734,"Feature Use",$E$5:E734,E734)=2),1,0)</f>
        <v>0</v>
      </c>
      <c r="K734" s="29" t="n">
        <f aca="false">IF(COUNTIF($B$5:B734,B734)=1,1,0)</f>
        <v>0</v>
      </c>
      <c r="L734" s="29" t="n">
        <f aca="false">IF(AND(C734&gt;=Settings!$B$5-Settings!$B$8+1,C734&lt;=Settings!$B$5,COUNTIFS($B$5:B734,B734,$C$5:C734,"&gt;="&amp;(Settings!$B$5-Settings!$B$8+1),$C$5:C734,"&lt;="&amp;Settings!$B$5)=1),1,0)</f>
        <v>0</v>
      </c>
      <c r="M734" s="29" t="n">
        <f aca="false">IF(AND(C734&gt;=Settings!$B$5-Settings!$B$9+1,C734&lt;=Settings!$B$5,COUNTIFS($B$5:B734,B734,$C$5:C734,"&gt;="&amp;(Settings!$B$5-Settings!$B$9+1),$C$5:C734,"&lt;="&amp;Settings!$B$5)=1),1,0)</f>
        <v>0</v>
      </c>
      <c r="N734" s="29" t="n">
        <f aca="false">IF(AND(D734="Feature Use",COUNTIFS($B$5:B734,B734,$D$5:D734,"Feature Use")=1),1,0)</f>
        <v>0</v>
      </c>
    </row>
    <row r="735" customFormat="false" ht="15" hidden="false" customHeight="false" outlineLevel="0" collapsed="false">
      <c r="A735" s="22" t="s">
        <v>1042</v>
      </c>
      <c r="B735" s="22" t="s">
        <v>196</v>
      </c>
      <c r="C735" s="31" t="n">
        <v>46290</v>
      </c>
      <c r="D735" s="22" t="s">
        <v>297</v>
      </c>
      <c r="E735" s="22" t="s">
        <v>298</v>
      </c>
      <c r="F735" s="29" t="str">
        <f aca="false">IF(COUNTIF(Referral_Data!$C$5:$C$1000,B735)&gt;0,"Referred",IF(COUNTIF(Referral_Data!$B$5:$B$1000,B735)&gt;0,"Referrer","Organic"))</f>
        <v>Referrer</v>
      </c>
      <c r="G735" s="29" t="n">
        <f aca="false">IF(COUNTIFS($B$5:B735,B735,$C$5:C735,C735)=1,1,0)</f>
        <v>1</v>
      </c>
      <c r="H735" s="29" t="n">
        <f aca="false">IF(AND(G735=1,COUNTIFS($B$5:$B$1635,B735,$C$5:$C$1635,"&lt;"&amp;C735)&gt;0),1,0)</f>
        <v>1</v>
      </c>
      <c r="I735" s="29" t="n">
        <f aca="false">IF(AND(D735="Feature Use",COUNTIFS($B$5:B735,B735,$D$5:D735,"Feature Use",$E$5:E735,E735)=1),1,0)</f>
        <v>0</v>
      </c>
      <c r="J735" s="29" t="n">
        <f aca="false">IF(AND(D735="Feature Use",COUNTIFS($B$5:B735,B735,$D$5:D735,"Feature Use",$E$5:E735,E735)=2),1,0)</f>
        <v>0</v>
      </c>
      <c r="K735" s="29" t="n">
        <f aca="false">IF(COUNTIF($B$5:B735,B735)=1,1,0)</f>
        <v>0</v>
      </c>
      <c r="L735" s="29" t="n">
        <f aca="false">IF(AND(C735&gt;=Settings!$B$5-Settings!$B$8+1,C735&lt;=Settings!$B$5,COUNTIFS($B$5:B735,B735,$C$5:C735,"&gt;="&amp;(Settings!$B$5-Settings!$B$8+1),$C$5:C735,"&lt;="&amp;Settings!$B$5)=1),1,0)</f>
        <v>0</v>
      </c>
      <c r="M735" s="29" t="n">
        <f aca="false">IF(AND(C735&gt;=Settings!$B$5-Settings!$B$9+1,C735&lt;=Settings!$B$5,COUNTIFS($B$5:B735,B735,$C$5:C735,"&gt;="&amp;(Settings!$B$5-Settings!$B$9+1),$C$5:C735,"&lt;="&amp;Settings!$B$5)=1),1,0)</f>
        <v>0</v>
      </c>
      <c r="N735" s="29" t="n">
        <f aca="false">IF(AND(D735="Feature Use",COUNTIFS($B$5:B735,B735,$D$5:D735,"Feature Use")=1),1,0)</f>
        <v>0</v>
      </c>
    </row>
    <row r="736" customFormat="false" ht="15" hidden="false" customHeight="false" outlineLevel="0" collapsed="false">
      <c r="A736" s="22" t="s">
        <v>1043</v>
      </c>
      <c r="B736" s="22" t="s">
        <v>196</v>
      </c>
      <c r="C736" s="31" t="n">
        <v>46290</v>
      </c>
      <c r="D736" s="22" t="s">
        <v>300</v>
      </c>
      <c r="E736" s="22" t="s">
        <v>305</v>
      </c>
      <c r="F736" s="29" t="str">
        <f aca="false">IF(COUNTIF(Referral_Data!$C$5:$C$1000,B736)&gt;0,"Referred",IF(COUNTIF(Referral_Data!$B$5:$B$1000,B736)&gt;0,"Referrer","Organic"))</f>
        <v>Referrer</v>
      </c>
      <c r="G736" s="29" t="n">
        <f aca="false">IF(COUNTIFS($B$5:B736,B736,$C$5:C736,C736)=1,1,0)</f>
        <v>0</v>
      </c>
      <c r="H736" s="29" t="n">
        <f aca="false">IF(AND(G736=1,COUNTIFS($B$5:$B$1635,B736,$C$5:$C$1635,"&lt;"&amp;C736)&gt;0),1,0)</f>
        <v>0</v>
      </c>
      <c r="I736" s="29" t="n">
        <f aca="false">IF(AND(D736="Feature Use",COUNTIFS($B$5:B736,B736,$D$5:D736,"Feature Use",$E$5:E736,E736)=1),1,0)</f>
        <v>0</v>
      </c>
      <c r="J736" s="29" t="n">
        <f aca="false">IF(AND(D736="Feature Use",COUNTIFS($B$5:B736,B736,$D$5:D736,"Feature Use",$E$5:E736,E736)=2),1,0)</f>
        <v>0</v>
      </c>
      <c r="K736" s="29" t="n">
        <f aca="false">IF(COUNTIF($B$5:B736,B736)=1,1,0)</f>
        <v>0</v>
      </c>
      <c r="L736" s="29" t="n">
        <f aca="false">IF(AND(C736&gt;=Settings!$B$5-Settings!$B$8+1,C736&lt;=Settings!$B$5,COUNTIFS($B$5:B736,B736,$C$5:C736,"&gt;="&amp;(Settings!$B$5-Settings!$B$8+1),$C$5:C736,"&lt;="&amp;Settings!$B$5)=1),1,0)</f>
        <v>0</v>
      </c>
      <c r="M736" s="29" t="n">
        <f aca="false">IF(AND(C736&gt;=Settings!$B$5-Settings!$B$9+1,C736&lt;=Settings!$B$5,COUNTIFS($B$5:B736,B736,$C$5:C736,"&gt;="&amp;(Settings!$B$5-Settings!$B$9+1),$C$5:C736,"&lt;="&amp;Settings!$B$5)=1),1,0)</f>
        <v>0</v>
      </c>
      <c r="N736" s="29" t="n">
        <f aca="false">IF(AND(D736="Feature Use",COUNTIFS($B$5:B736,B736,$D$5:D736,"Feature Use")=1),1,0)</f>
        <v>0</v>
      </c>
    </row>
    <row r="737" customFormat="false" ht="15" hidden="false" customHeight="false" outlineLevel="0" collapsed="false">
      <c r="A737" s="22" t="s">
        <v>1044</v>
      </c>
      <c r="B737" s="22" t="s">
        <v>203</v>
      </c>
      <c r="C737" s="31" t="n">
        <v>46290</v>
      </c>
      <c r="D737" s="22" t="s">
        <v>297</v>
      </c>
      <c r="E737" s="22" t="s">
        <v>298</v>
      </c>
      <c r="F737" s="29" t="str">
        <f aca="false">IF(COUNTIF(Referral_Data!$C$5:$C$1000,B737)&gt;0,"Referred",IF(COUNTIF(Referral_Data!$B$5:$B$1000,B737)&gt;0,"Referrer","Organic"))</f>
        <v>Referrer</v>
      </c>
      <c r="G737" s="29" t="n">
        <f aca="false">IF(COUNTIFS($B$5:B737,B737,$C$5:C737,C737)=1,1,0)</f>
        <v>1</v>
      </c>
      <c r="H737" s="29" t="n">
        <f aca="false">IF(AND(G737=1,COUNTIFS($B$5:$B$1635,B737,$C$5:$C$1635,"&lt;"&amp;C737)&gt;0),1,0)</f>
        <v>1</v>
      </c>
      <c r="I737" s="29" t="n">
        <f aca="false">IF(AND(D737="Feature Use",COUNTIFS($B$5:B737,B737,$D$5:D737,"Feature Use",$E$5:E737,E737)=1),1,0)</f>
        <v>0</v>
      </c>
      <c r="J737" s="29" t="n">
        <f aca="false">IF(AND(D737="Feature Use",COUNTIFS($B$5:B737,B737,$D$5:D737,"Feature Use",$E$5:E737,E737)=2),1,0)</f>
        <v>0</v>
      </c>
      <c r="K737" s="29" t="n">
        <f aca="false">IF(COUNTIF($B$5:B737,B737)=1,1,0)</f>
        <v>0</v>
      </c>
      <c r="L737" s="29" t="n">
        <f aca="false">IF(AND(C737&gt;=Settings!$B$5-Settings!$B$8+1,C737&lt;=Settings!$B$5,COUNTIFS($B$5:B737,B737,$C$5:C737,"&gt;="&amp;(Settings!$B$5-Settings!$B$8+1),$C$5:C737,"&lt;="&amp;Settings!$B$5)=1),1,0)</f>
        <v>0</v>
      </c>
      <c r="M737" s="29" t="n">
        <f aca="false">IF(AND(C737&gt;=Settings!$B$5-Settings!$B$9+1,C737&lt;=Settings!$B$5,COUNTIFS($B$5:B737,B737,$C$5:C737,"&gt;="&amp;(Settings!$B$5-Settings!$B$9+1),$C$5:C737,"&lt;="&amp;Settings!$B$5)=1),1,0)</f>
        <v>0</v>
      </c>
      <c r="N737" s="29" t="n">
        <f aca="false">IF(AND(D737="Feature Use",COUNTIFS($B$5:B737,B737,$D$5:D737,"Feature Use")=1),1,0)</f>
        <v>0</v>
      </c>
    </row>
    <row r="738" customFormat="false" ht="15" hidden="false" customHeight="false" outlineLevel="0" collapsed="false">
      <c r="A738" s="22" t="s">
        <v>1045</v>
      </c>
      <c r="B738" s="22" t="s">
        <v>203</v>
      </c>
      <c r="C738" s="31" t="n">
        <v>46290</v>
      </c>
      <c r="D738" s="22" t="s">
        <v>300</v>
      </c>
      <c r="E738" s="22" t="s">
        <v>305</v>
      </c>
      <c r="F738" s="29" t="str">
        <f aca="false">IF(COUNTIF(Referral_Data!$C$5:$C$1000,B738)&gt;0,"Referred",IF(COUNTIF(Referral_Data!$B$5:$B$1000,B738)&gt;0,"Referrer","Organic"))</f>
        <v>Referrer</v>
      </c>
      <c r="G738" s="29" t="n">
        <f aca="false">IF(COUNTIFS($B$5:B738,B738,$C$5:C738,C738)=1,1,0)</f>
        <v>0</v>
      </c>
      <c r="H738" s="29" t="n">
        <f aca="false">IF(AND(G738=1,COUNTIFS($B$5:$B$1635,B738,$C$5:$C$1635,"&lt;"&amp;C738)&gt;0),1,0)</f>
        <v>0</v>
      </c>
      <c r="I738" s="29" t="n">
        <f aca="false">IF(AND(D738="Feature Use",COUNTIFS($B$5:B738,B738,$D$5:D738,"Feature Use",$E$5:E738,E738)=1),1,0)</f>
        <v>0</v>
      </c>
      <c r="J738" s="29" t="n">
        <f aca="false">IF(AND(D738="Feature Use",COUNTIFS($B$5:B738,B738,$D$5:D738,"Feature Use",$E$5:E738,E738)=2),1,0)</f>
        <v>0</v>
      </c>
      <c r="K738" s="29" t="n">
        <f aca="false">IF(COUNTIF($B$5:B738,B738)=1,1,0)</f>
        <v>0</v>
      </c>
      <c r="L738" s="29" t="n">
        <f aca="false">IF(AND(C738&gt;=Settings!$B$5-Settings!$B$8+1,C738&lt;=Settings!$B$5,COUNTIFS($B$5:B738,B738,$C$5:C738,"&gt;="&amp;(Settings!$B$5-Settings!$B$8+1),$C$5:C738,"&lt;="&amp;Settings!$B$5)=1),1,0)</f>
        <v>0</v>
      </c>
      <c r="M738" s="29" t="n">
        <f aca="false">IF(AND(C738&gt;=Settings!$B$5-Settings!$B$9+1,C738&lt;=Settings!$B$5,COUNTIFS($B$5:B738,B738,$C$5:C738,"&gt;="&amp;(Settings!$B$5-Settings!$B$9+1),$C$5:C738,"&lt;="&amp;Settings!$B$5)=1),1,0)</f>
        <v>0</v>
      </c>
      <c r="N738" s="29" t="n">
        <f aca="false">IF(AND(D738="Feature Use",COUNTIFS($B$5:B738,B738,$D$5:D738,"Feature Use")=1),1,0)</f>
        <v>0</v>
      </c>
    </row>
    <row r="739" customFormat="false" ht="15" hidden="false" customHeight="false" outlineLevel="0" collapsed="false">
      <c r="A739" s="22" t="s">
        <v>1046</v>
      </c>
      <c r="B739" s="22" t="s">
        <v>203</v>
      </c>
      <c r="C739" s="31" t="n">
        <v>46290</v>
      </c>
      <c r="D739" s="22" t="s">
        <v>300</v>
      </c>
      <c r="E739" s="22" t="s">
        <v>305</v>
      </c>
      <c r="F739" s="29" t="str">
        <f aca="false">IF(COUNTIF(Referral_Data!$C$5:$C$1000,B739)&gt;0,"Referred",IF(COUNTIF(Referral_Data!$B$5:$B$1000,B739)&gt;0,"Referrer","Organic"))</f>
        <v>Referrer</v>
      </c>
      <c r="G739" s="29" t="n">
        <f aca="false">IF(COUNTIFS($B$5:B739,B739,$C$5:C739,C739)=1,1,0)</f>
        <v>0</v>
      </c>
      <c r="H739" s="29" t="n">
        <f aca="false">IF(AND(G739=1,COUNTIFS($B$5:$B$1635,B739,$C$5:$C$1635,"&lt;"&amp;C739)&gt;0),1,0)</f>
        <v>0</v>
      </c>
      <c r="I739" s="29" t="n">
        <f aca="false">IF(AND(D739="Feature Use",COUNTIFS($B$5:B739,B739,$D$5:D739,"Feature Use",$E$5:E739,E739)=1),1,0)</f>
        <v>0</v>
      </c>
      <c r="J739" s="29" t="n">
        <f aca="false">IF(AND(D739="Feature Use",COUNTIFS($B$5:B739,B739,$D$5:D739,"Feature Use",$E$5:E739,E739)=2),1,0)</f>
        <v>0</v>
      </c>
      <c r="K739" s="29" t="n">
        <f aca="false">IF(COUNTIF($B$5:B739,B739)=1,1,0)</f>
        <v>0</v>
      </c>
      <c r="L739" s="29" t="n">
        <f aca="false">IF(AND(C739&gt;=Settings!$B$5-Settings!$B$8+1,C739&lt;=Settings!$B$5,COUNTIFS($B$5:B739,B739,$C$5:C739,"&gt;="&amp;(Settings!$B$5-Settings!$B$8+1),$C$5:C739,"&lt;="&amp;Settings!$B$5)=1),1,0)</f>
        <v>0</v>
      </c>
      <c r="M739" s="29" t="n">
        <f aca="false">IF(AND(C739&gt;=Settings!$B$5-Settings!$B$9+1,C739&lt;=Settings!$B$5,COUNTIFS($B$5:B739,B739,$C$5:C739,"&gt;="&amp;(Settings!$B$5-Settings!$B$9+1),$C$5:C739,"&lt;="&amp;Settings!$B$5)=1),1,0)</f>
        <v>0</v>
      </c>
      <c r="N739" s="29" t="n">
        <f aca="false">IF(AND(D739="Feature Use",COUNTIFS($B$5:B739,B739,$D$5:D739,"Feature Use")=1),1,0)</f>
        <v>0</v>
      </c>
    </row>
    <row r="740" customFormat="false" ht="15" hidden="false" customHeight="false" outlineLevel="0" collapsed="false">
      <c r="A740" s="22" t="s">
        <v>1047</v>
      </c>
      <c r="B740" s="22" t="s">
        <v>203</v>
      </c>
      <c r="C740" s="31" t="n">
        <v>46290</v>
      </c>
      <c r="D740" s="22" t="s">
        <v>308</v>
      </c>
      <c r="E740" s="22" t="s">
        <v>309</v>
      </c>
      <c r="F740" s="29" t="str">
        <f aca="false">IF(COUNTIF(Referral_Data!$C$5:$C$1000,B740)&gt;0,"Referred",IF(COUNTIF(Referral_Data!$B$5:$B$1000,B740)&gt;0,"Referrer","Organic"))</f>
        <v>Referrer</v>
      </c>
      <c r="G740" s="29" t="n">
        <f aca="false">IF(COUNTIFS($B$5:B740,B740,$C$5:C740,C740)=1,1,0)</f>
        <v>0</v>
      </c>
      <c r="H740" s="29" t="n">
        <f aca="false">IF(AND(G740=1,COUNTIFS($B$5:$B$1635,B740,$C$5:$C$1635,"&lt;"&amp;C740)&gt;0),1,0)</f>
        <v>0</v>
      </c>
      <c r="I740" s="29" t="n">
        <f aca="false">IF(AND(D740="Feature Use",COUNTIFS($B$5:B740,B740,$D$5:D740,"Feature Use",$E$5:E740,E740)=1),1,0)</f>
        <v>0</v>
      </c>
      <c r="J740" s="29" t="n">
        <f aca="false">IF(AND(D740="Feature Use",COUNTIFS($B$5:B740,B740,$D$5:D740,"Feature Use",$E$5:E740,E740)=2),1,0)</f>
        <v>0</v>
      </c>
      <c r="K740" s="29" t="n">
        <f aca="false">IF(COUNTIF($B$5:B740,B740)=1,1,0)</f>
        <v>0</v>
      </c>
      <c r="L740" s="29" t="n">
        <f aca="false">IF(AND(C740&gt;=Settings!$B$5-Settings!$B$8+1,C740&lt;=Settings!$B$5,COUNTIFS($B$5:B740,B740,$C$5:C740,"&gt;="&amp;(Settings!$B$5-Settings!$B$8+1),$C$5:C740,"&lt;="&amp;Settings!$B$5)=1),1,0)</f>
        <v>0</v>
      </c>
      <c r="M740" s="29" t="n">
        <f aca="false">IF(AND(C740&gt;=Settings!$B$5-Settings!$B$9+1,C740&lt;=Settings!$B$5,COUNTIFS($B$5:B740,B740,$C$5:C740,"&gt;="&amp;(Settings!$B$5-Settings!$B$9+1),$C$5:C740,"&lt;="&amp;Settings!$B$5)=1),1,0)</f>
        <v>0</v>
      </c>
      <c r="N740" s="29" t="n">
        <f aca="false">IF(AND(D740="Feature Use",COUNTIFS($B$5:B740,B740,$D$5:D740,"Feature Use")=1),1,0)</f>
        <v>0</v>
      </c>
    </row>
    <row r="741" customFormat="false" ht="15" hidden="false" customHeight="false" outlineLevel="0" collapsed="false">
      <c r="A741" s="22" t="s">
        <v>1048</v>
      </c>
      <c r="B741" s="22" t="s">
        <v>203</v>
      </c>
      <c r="C741" s="31" t="n">
        <v>46290</v>
      </c>
      <c r="D741" s="22" t="s">
        <v>308</v>
      </c>
      <c r="E741" s="22" t="s">
        <v>311</v>
      </c>
      <c r="F741" s="29" t="str">
        <f aca="false">IF(COUNTIF(Referral_Data!$C$5:$C$1000,B741)&gt;0,"Referred",IF(COUNTIF(Referral_Data!$B$5:$B$1000,B741)&gt;0,"Referrer","Organic"))</f>
        <v>Referrer</v>
      </c>
      <c r="G741" s="29" t="n">
        <f aca="false">IF(COUNTIFS($B$5:B741,B741,$C$5:C741,C741)=1,1,0)</f>
        <v>0</v>
      </c>
      <c r="H741" s="29" t="n">
        <f aca="false">IF(AND(G741=1,COUNTIFS($B$5:$B$1635,B741,$C$5:$C$1635,"&lt;"&amp;C741)&gt;0),1,0)</f>
        <v>0</v>
      </c>
      <c r="I741" s="29" t="n">
        <f aca="false">IF(AND(D741="Feature Use",COUNTIFS($B$5:B741,B741,$D$5:D741,"Feature Use",$E$5:E741,E741)=1),1,0)</f>
        <v>0</v>
      </c>
      <c r="J741" s="29" t="n">
        <f aca="false">IF(AND(D741="Feature Use",COUNTIFS($B$5:B741,B741,$D$5:D741,"Feature Use",$E$5:E741,E741)=2),1,0)</f>
        <v>0</v>
      </c>
      <c r="K741" s="29" t="n">
        <f aca="false">IF(COUNTIF($B$5:B741,B741)=1,1,0)</f>
        <v>0</v>
      </c>
      <c r="L741" s="29" t="n">
        <f aca="false">IF(AND(C741&gt;=Settings!$B$5-Settings!$B$8+1,C741&lt;=Settings!$B$5,COUNTIFS($B$5:B741,B741,$C$5:C741,"&gt;="&amp;(Settings!$B$5-Settings!$B$8+1),$C$5:C741,"&lt;="&amp;Settings!$B$5)=1),1,0)</f>
        <v>0</v>
      </c>
      <c r="M741" s="29" t="n">
        <f aca="false">IF(AND(C741&gt;=Settings!$B$5-Settings!$B$9+1,C741&lt;=Settings!$B$5,COUNTIFS($B$5:B741,B741,$C$5:C741,"&gt;="&amp;(Settings!$B$5-Settings!$B$9+1),$C$5:C741,"&lt;="&amp;Settings!$B$5)=1),1,0)</f>
        <v>0</v>
      </c>
      <c r="N741" s="29" t="n">
        <f aca="false">IF(AND(D741="Feature Use",COUNTIFS($B$5:B741,B741,$D$5:D741,"Feature Use")=1),1,0)</f>
        <v>0</v>
      </c>
    </row>
    <row r="742" customFormat="false" ht="15" hidden="false" customHeight="false" outlineLevel="0" collapsed="false">
      <c r="A742" s="22" t="s">
        <v>1049</v>
      </c>
      <c r="B742" s="22" t="s">
        <v>178</v>
      </c>
      <c r="C742" s="31" t="n">
        <v>46290</v>
      </c>
      <c r="D742" s="22" t="s">
        <v>297</v>
      </c>
      <c r="E742" s="22" t="s">
        <v>298</v>
      </c>
      <c r="F742" s="29" t="str">
        <f aca="false">IF(COUNTIF(Referral_Data!$C$5:$C$1000,B742)&gt;0,"Referred",IF(COUNTIF(Referral_Data!$B$5:$B$1000,B742)&gt;0,"Referrer","Organic"))</f>
        <v>Referrer</v>
      </c>
      <c r="G742" s="29" t="n">
        <f aca="false">IF(COUNTIFS($B$5:B742,B742,$C$5:C742,C742)=1,1,0)</f>
        <v>1</v>
      </c>
      <c r="H742" s="29" t="n">
        <f aca="false">IF(AND(G742=1,COUNTIFS($B$5:$B$1635,B742,$C$5:$C$1635,"&lt;"&amp;C742)&gt;0),1,0)</f>
        <v>1</v>
      </c>
      <c r="I742" s="29" t="n">
        <f aca="false">IF(AND(D742="Feature Use",COUNTIFS($B$5:B742,B742,$D$5:D742,"Feature Use",$E$5:E742,E742)=1),1,0)</f>
        <v>0</v>
      </c>
      <c r="J742" s="29" t="n">
        <f aca="false">IF(AND(D742="Feature Use",COUNTIFS($B$5:B742,B742,$D$5:D742,"Feature Use",$E$5:E742,E742)=2),1,0)</f>
        <v>0</v>
      </c>
      <c r="K742" s="29" t="n">
        <f aca="false">IF(COUNTIF($B$5:B742,B742)=1,1,0)</f>
        <v>0</v>
      </c>
      <c r="L742" s="29" t="n">
        <f aca="false">IF(AND(C742&gt;=Settings!$B$5-Settings!$B$8+1,C742&lt;=Settings!$B$5,COUNTIFS($B$5:B742,B742,$C$5:C742,"&gt;="&amp;(Settings!$B$5-Settings!$B$8+1),$C$5:C742,"&lt;="&amp;Settings!$B$5)=1),1,0)</f>
        <v>0</v>
      </c>
      <c r="M742" s="29" t="n">
        <f aca="false">IF(AND(C742&gt;=Settings!$B$5-Settings!$B$9+1,C742&lt;=Settings!$B$5,COUNTIFS($B$5:B742,B742,$C$5:C742,"&gt;="&amp;(Settings!$B$5-Settings!$B$9+1),$C$5:C742,"&lt;="&amp;Settings!$B$5)=1),1,0)</f>
        <v>0</v>
      </c>
      <c r="N742" s="29" t="n">
        <f aca="false">IF(AND(D742="Feature Use",COUNTIFS($B$5:B742,B742,$D$5:D742,"Feature Use")=1),1,0)</f>
        <v>0</v>
      </c>
    </row>
    <row r="743" customFormat="false" ht="15" hidden="false" customHeight="false" outlineLevel="0" collapsed="false">
      <c r="A743" s="22" t="s">
        <v>1050</v>
      </c>
      <c r="B743" s="22" t="s">
        <v>178</v>
      </c>
      <c r="C743" s="31" t="n">
        <v>46290</v>
      </c>
      <c r="D743" s="22" t="s">
        <v>300</v>
      </c>
      <c r="E743" s="22" t="s">
        <v>305</v>
      </c>
      <c r="F743" s="29" t="str">
        <f aca="false">IF(COUNTIF(Referral_Data!$C$5:$C$1000,B743)&gt;0,"Referred",IF(COUNTIF(Referral_Data!$B$5:$B$1000,B743)&gt;0,"Referrer","Organic"))</f>
        <v>Referrer</v>
      </c>
      <c r="G743" s="29" t="n">
        <f aca="false">IF(COUNTIFS($B$5:B743,B743,$C$5:C743,C743)=1,1,0)</f>
        <v>0</v>
      </c>
      <c r="H743" s="29" t="n">
        <f aca="false">IF(AND(G743=1,COUNTIFS($B$5:$B$1635,B743,$C$5:$C$1635,"&lt;"&amp;C743)&gt;0),1,0)</f>
        <v>0</v>
      </c>
      <c r="I743" s="29" t="n">
        <f aca="false">IF(AND(D743="Feature Use",COUNTIFS($B$5:B743,B743,$D$5:D743,"Feature Use",$E$5:E743,E743)=1),1,0)</f>
        <v>0</v>
      </c>
      <c r="J743" s="29" t="n">
        <f aca="false">IF(AND(D743="Feature Use",COUNTIFS($B$5:B743,B743,$D$5:D743,"Feature Use",$E$5:E743,E743)=2),1,0)</f>
        <v>0</v>
      </c>
      <c r="K743" s="29" t="n">
        <f aca="false">IF(COUNTIF($B$5:B743,B743)=1,1,0)</f>
        <v>0</v>
      </c>
      <c r="L743" s="29" t="n">
        <f aca="false">IF(AND(C743&gt;=Settings!$B$5-Settings!$B$8+1,C743&lt;=Settings!$B$5,COUNTIFS($B$5:B743,B743,$C$5:C743,"&gt;="&amp;(Settings!$B$5-Settings!$B$8+1),$C$5:C743,"&lt;="&amp;Settings!$B$5)=1),1,0)</f>
        <v>0</v>
      </c>
      <c r="M743" s="29" t="n">
        <f aca="false">IF(AND(C743&gt;=Settings!$B$5-Settings!$B$9+1,C743&lt;=Settings!$B$5,COUNTIFS($B$5:B743,B743,$C$5:C743,"&gt;="&amp;(Settings!$B$5-Settings!$B$9+1),$C$5:C743,"&lt;="&amp;Settings!$B$5)=1),1,0)</f>
        <v>0</v>
      </c>
      <c r="N743" s="29" t="n">
        <f aca="false">IF(AND(D743="Feature Use",COUNTIFS($B$5:B743,B743,$D$5:D743,"Feature Use")=1),1,0)</f>
        <v>0</v>
      </c>
    </row>
    <row r="744" customFormat="false" ht="15" hidden="false" customHeight="false" outlineLevel="0" collapsed="false">
      <c r="A744" s="22" t="s">
        <v>1051</v>
      </c>
      <c r="B744" s="22" t="s">
        <v>175</v>
      </c>
      <c r="C744" s="31" t="n">
        <v>46290</v>
      </c>
      <c r="D744" s="22" t="s">
        <v>297</v>
      </c>
      <c r="E744" s="22" t="s">
        <v>298</v>
      </c>
      <c r="F744" s="29" t="str">
        <f aca="false">IF(COUNTIF(Referral_Data!$C$5:$C$1000,B744)&gt;0,"Referred",IF(COUNTIF(Referral_Data!$B$5:$B$1000,B744)&gt;0,"Referrer","Organic"))</f>
        <v>Referrer</v>
      </c>
      <c r="G744" s="29" t="n">
        <f aca="false">IF(COUNTIFS($B$5:B744,B744,$C$5:C744,C744)=1,1,0)</f>
        <v>1</v>
      </c>
      <c r="H744" s="29" t="n">
        <f aca="false">IF(AND(G744=1,COUNTIFS($B$5:$B$1635,B744,$C$5:$C$1635,"&lt;"&amp;C744)&gt;0),1,0)</f>
        <v>1</v>
      </c>
      <c r="I744" s="29" t="n">
        <f aca="false">IF(AND(D744="Feature Use",COUNTIFS($B$5:B744,B744,$D$5:D744,"Feature Use",$E$5:E744,E744)=1),1,0)</f>
        <v>0</v>
      </c>
      <c r="J744" s="29" t="n">
        <f aca="false">IF(AND(D744="Feature Use",COUNTIFS($B$5:B744,B744,$D$5:D744,"Feature Use",$E$5:E744,E744)=2),1,0)</f>
        <v>0</v>
      </c>
      <c r="K744" s="29" t="n">
        <f aca="false">IF(COUNTIF($B$5:B744,B744)=1,1,0)</f>
        <v>0</v>
      </c>
      <c r="L744" s="29" t="n">
        <f aca="false">IF(AND(C744&gt;=Settings!$B$5-Settings!$B$8+1,C744&lt;=Settings!$B$5,COUNTIFS($B$5:B744,B744,$C$5:C744,"&gt;="&amp;(Settings!$B$5-Settings!$B$8+1),$C$5:C744,"&lt;="&amp;Settings!$B$5)=1),1,0)</f>
        <v>0</v>
      </c>
      <c r="M744" s="29" t="n">
        <f aca="false">IF(AND(C744&gt;=Settings!$B$5-Settings!$B$9+1,C744&lt;=Settings!$B$5,COUNTIFS($B$5:B744,B744,$C$5:C744,"&gt;="&amp;(Settings!$B$5-Settings!$B$9+1),$C$5:C744,"&lt;="&amp;Settings!$B$5)=1),1,0)</f>
        <v>0</v>
      </c>
      <c r="N744" s="29" t="n">
        <f aca="false">IF(AND(D744="Feature Use",COUNTIFS($B$5:B744,B744,$D$5:D744,"Feature Use")=1),1,0)</f>
        <v>0</v>
      </c>
    </row>
    <row r="745" customFormat="false" ht="15" hidden="false" customHeight="false" outlineLevel="0" collapsed="false">
      <c r="A745" s="22" t="s">
        <v>1052</v>
      </c>
      <c r="B745" s="22" t="s">
        <v>175</v>
      </c>
      <c r="C745" s="31" t="n">
        <v>46290</v>
      </c>
      <c r="D745" s="22" t="s">
        <v>300</v>
      </c>
      <c r="E745" s="22" t="s">
        <v>305</v>
      </c>
      <c r="F745" s="29" t="str">
        <f aca="false">IF(COUNTIF(Referral_Data!$C$5:$C$1000,B745)&gt;0,"Referred",IF(COUNTIF(Referral_Data!$B$5:$B$1000,B745)&gt;0,"Referrer","Organic"))</f>
        <v>Referrer</v>
      </c>
      <c r="G745" s="29" t="n">
        <f aca="false">IF(COUNTIFS($B$5:B745,B745,$C$5:C745,C745)=1,1,0)</f>
        <v>0</v>
      </c>
      <c r="H745" s="29" t="n">
        <f aca="false">IF(AND(G745=1,COUNTIFS($B$5:$B$1635,B745,$C$5:$C$1635,"&lt;"&amp;C745)&gt;0),1,0)</f>
        <v>0</v>
      </c>
      <c r="I745" s="29" t="n">
        <f aca="false">IF(AND(D745="Feature Use",COUNTIFS($B$5:B745,B745,$D$5:D745,"Feature Use",$E$5:E745,E745)=1),1,0)</f>
        <v>0</v>
      </c>
      <c r="J745" s="29" t="n">
        <f aca="false">IF(AND(D745="Feature Use",COUNTIFS($B$5:B745,B745,$D$5:D745,"Feature Use",$E$5:E745,E745)=2),1,0)</f>
        <v>0</v>
      </c>
      <c r="K745" s="29" t="n">
        <f aca="false">IF(COUNTIF($B$5:B745,B745)=1,1,0)</f>
        <v>0</v>
      </c>
      <c r="L745" s="29" t="n">
        <f aca="false">IF(AND(C745&gt;=Settings!$B$5-Settings!$B$8+1,C745&lt;=Settings!$B$5,COUNTIFS($B$5:B745,B745,$C$5:C745,"&gt;="&amp;(Settings!$B$5-Settings!$B$8+1),$C$5:C745,"&lt;="&amp;Settings!$B$5)=1),1,0)</f>
        <v>0</v>
      </c>
      <c r="M745" s="29" t="n">
        <f aca="false">IF(AND(C745&gt;=Settings!$B$5-Settings!$B$9+1,C745&lt;=Settings!$B$5,COUNTIFS($B$5:B745,B745,$C$5:C745,"&gt;="&amp;(Settings!$B$5-Settings!$B$9+1),$C$5:C745,"&lt;="&amp;Settings!$B$5)=1),1,0)</f>
        <v>0</v>
      </c>
      <c r="N745" s="29" t="n">
        <f aca="false">IF(AND(D745="Feature Use",COUNTIFS($B$5:B745,B745,$D$5:D745,"Feature Use")=1),1,0)</f>
        <v>0</v>
      </c>
    </row>
    <row r="746" customFormat="false" ht="15" hidden="false" customHeight="false" outlineLevel="0" collapsed="false">
      <c r="A746" s="22" t="s">
        <v>1053</v>
      </c>
      <c r="B746" s="22" t="s">
        <v>168</v>
      </c>
      <c r="C746" s="31" t="n">
        <v>46291</v>
      </c>
      <c r="D746" s="22" t="s">
        <v>297</v>
      </c>
      <c r="E746" s="22" t="s">
        <v>298</v>
      </c>
      <c r="F746" s="29" t="str">
        <f aca="false">IF(COUNTIF(Referral_Data!$C$5:$C$1000,B746)&gt;0,"Referred",IF(COUNTIF(Referral_Data!$B$5:$B$1000,B746)&gt;0,"Referrer","Organic"))</f>
        <v>Referred</v>
      </c>
      <c r="G746" s="29" t="n">
        <f aca="false">IF(COUNTIFS($B$5:B746,B746,$C$5:C746,C746)=1,1,0)</f>
        <v>1</v>
      </c>
      <c r="H746" s="29" t="n">
        <f aca="false">IF(AND(G746=1,COUNTIFS($B$5:$B$1635,B746,$C$5:$C$1635,"&lt;"&amp;C746)&gt;0),1,0)</f>
        <v>1</v>
      </c>
      <c r="I746" s="29" t="n">
        <f aca="false">IF(AND(D746="Feature Use",COUNTIFS($B$5:B746,B746,$D$5:D746,"Feature Use",$E$5:E746,E746)=1),1,0)</f>
        <v>0</v>
      </c>
      <c r="J746" s="29" t="n">
        <f aca="false">IF(AND(D746="Feature Use",COUNTIFS($B$5:B746,B746,$D$5:D746,"Feature Use",$E$5:E746,E746)=2),1,0)</f>
        <v>0</v>
      </c>
      <c r="K746" s="29" t="n">
        <f aca="false">IF(COUNTIF($B$5:B746,B746)=1,1,0)</f>
        <v>0</v>
      </c>
      <c r="L746" s="29" t="n">
        <f aca="false">IF(AND(C746&gt;=Settings!$B$5-Settings!$B$8+1,C746&lt;=Settings!$B$5,COUNTIFS($B$5:B746,B746,$C$5:C746,"&gt;="&amp;(Settings!$B$5-Settings!$B$8+1),$C$5:C746,"&lt;="&amp;Settings!$B$5)=1),1,0)</f>
        <v>0</v>
      </c>
      <c r="M746" s="29" t="n">
        <f aca="false">IF(AND(C746&gt;=Settings!$B$5-Settings!$B$9+1,C746&lt;=Settings!$B$5,COUNTIFS($B$5:B746,B746,$C$5:C746,"&gt;="&amp;(Settings!$B$5-Settings!$B$9+1),$C$5:C746,"&lt;="&amp;Settings!$B$5)=1),1,0)</f>
        <v>0</v>
      </c>
      <c r="N746" s="29" t="n">
        <f aca="false">IF(AND(D746="Feature Use",COUNTIFS($B$5:B746,B746,$D$5:D746,"Feature Use")=1),1,0)</f>
        <v>0</v>
      </c>
    </row>
    <row r="747" customFormat="false" ht="15" hidden="false" customHeight="false" outlineLevel="0" collapsed="false">
      <c r="A747" s="22" t="s">
        <v>1054</v>
      </c>
      <c r="B747" s="22" t="s">
        <v>168</v>
      </c>
      <c r="C747" s="31" t="n">
        <v>46291</v>
      </c>
      <c r="D747" s="22" t="s">
        <v>300</v>
      </c>
      <c r="E747" s="22" t="s">
        <v>305</v>
      </c>
      <c r="F747" s="29" t="str">
        <f aca="false">IF(COUNTIF(Referral_Data!$C$5:$C$1000,B747)&gt;0,"Referred",IF(COUNTIF(Referral_Data!$B$5:$B$1000,B747)&gt;0,"Referrer","Organic"))</f>
        <v>Referred</v>
      </c>
      <c r="G747" s="29" t="n">
        <f aca="false">IF(COUNTIFS($B$5:B747,B747,$C$5:C747,C747)=1,1,0)</f>
        <v>0</v>
      </c>
      <c r="H747" s="29" t="n">
        <f aca="false">IF(AND(G747=1,COUNTIFS($B$5:$B$1635,B747,$C$5:$C$1635,"&lt;"&amp;C747)&gt;0),1,0)</f>
        <v>0</v>
      </c>
      <c r="I747" s="29" t="n">
        <f aca="false">IF(AND(D747="Feature Use",COUNTIFS($B$5:B747,B747,$D$5:D747,"Feature Use",$E$5:E747,E747)=1),1,0)</f>
        <v>0</v>
      </c>
      <c r="J747" s="29" t="n">
        <f aca="false">IF(AND(D747="Feature Use",COUNTIFS($B$5:B747,B747,$D$5:D747,"Feature Use",$E$5:E747,E747)=2),1,0)</f>
        <v>0</v>
      </c>
      <c r="K747" s="29" t="n">
        <f aca="false">IF(COUNTIF($B$5:B747,B747)=1,1,0)</f>
        <v>0</v>
      </c>
      <c r="L747" s="29" t="n">
        <f aca="false">IF(AND(C747&gt;=Settings!$B$5-Settings!$B$8+1,C747&lt;=Settings!$B$5,COUNTIFS($B$5:B747,B747,$C$5:C747,"&gt;="&amp;(Settings!$B$5-Settings!$B$8+1),$C$5:C747,"&lt;="&amp;Settings!$B$5)=1),1,0)</f>
        <v>0</v>
      </c>
      <c r="M747" s="29" t="n">
        <f aca="false">IF(AND(C747&gt;=Settings!$B$5-Settings!$B$9+1,C747&lt;=Settings!$B$5,COUNTIFS($B$5:B747,B747,$C$5:C747,"&gt;="&amp;(Settings!$B$5-Settings!$B$9+1),$C$5:C747,"&lt;="&amp;Settings!$B$5)=1),1,0)</f>
        <v>0</v>
      </c>
      <c r="N747" s="29" t="n">
        <f aca="false">IF(AND(D747="Feature Use",COUNTIFS($B$5:B747,B747,$D$5:D747,"Feature Use")=1),1,0)</f>
        <v>0</v>
      </c>
    </row>
    <row r="748" customFormat="false" ht="15" hidden="false" customHeight="false" outlineLevel="0" collapsed="false">
      <c r="A748" s="22" t="s">
        <v>1055</v>
      </c>
      <c r="B748" s="22" t="s">
        <v>168</v>
      </c>
      <c r="C748" s="31" t="n">
        <v>46291</v>
      </c>
      <c r="D748" s="22" t="s">
        <v>300</v>
      </c>
      <c r="E748" s="22" t="s">
        <v>309</v>
      </c>
      <c r="F748" s="29" t="str">
        <f aca="false">IF(COUNTIF(Referral_Data!$C$5:$C$1000,B748)&gt;0,"Referred",IF(COUNTIF(Referral_Data!$B$5:$B$1000,B748)&gt;0,"Referrer","Organic"))</f>
        <v>Referred</v>
      </c>
      <c r="G748" s="29" t="n">
        <f aca="false">IF(COUNTIFS($B$5:B748,B748,$C$5:C748,C748)=1,1,0)</f>
        <v>0</v>
      </c>
      <c r="H748" s="29" t="n">
        <f aca="false">IF(AND(G748=1,COUNTIFS($B$5:$B$1635,B748,$C$5:$C$1635,"&lt;"&amp;C748)&gt;0),1,0)</f>
        <v>0</v>
      </c>
      <c r="I748" s="29" t="n">
        <f aca="false">IF(AND(D748="Feature Use",COUNTIFS($B$5:B748,B748,$D$5:D748,"Feature Use",$E$5:E748,E748)=1),1,0)</f>
        <v>0</v>
      </c>
      <c r="J748" s="29" t="n">
        <f aca="false">IF(AND(D748="Feature Use",COUNTIFS($B$5:B748,B748,$D$5:D748,"Feature Use",$E$5:E748,E748)=2),1,0)</f>
        <v>1</v>
      </c>
      <c r="K748" s="29" t="n">
        <f aca="false">IF(COUNTIF($B$5:B748,B748)=1,1,0)</f>
        <v>0</v>
      </c>
      <c r="L748" s="29" t="n">
        <f aca="false">IF(AND(C748&gt;=Settings!$B$5-Settings!$B$8+1,C748&lt;=Settings!$B$5,COUNTIFS($B$5:B748,B748,$C$5:C748,"&gt;="&amp;(Settings!$B$5-Settings!$B$8+1),$C$5:C748,"&lt;="&amp;Settings!$B$5)=1),1,0)</f>
        <v>0</v>
      </c>
      <c r="M748" s="29" t="n">
        <f aca="false">IF(AND(C748&gt;=Settings!$B$5-Settings!$B$9+1,C748&lt;=Settings!$B$5,COUNTIFS($B$5:B748,B748,$C$5:C748,"&gt;="&amp;(Settings!$B$5-Settings!$B$9+1),$C$5:C748,"&lt;="&amp;Settings!$B$5)=1),1,0)</f>
        <v>0</v>
      </c>
      <c r="N748" s="29" t="n">
        <f aca="false">IF(AND(D748="Feature Use",COUNTIFS($B$5:B748,B748,$D$5:D748,"Feature Use")=1),1,0)</f>
        <v>0</v>
      </c>
    </row>
    <row r="749" customFormat="false" ht="15" hidden="false" customHeight="false" outlineLevel="0" collapsed="false">
      <c r="A749" s="22" t="s">
        <v>1056</v>
      </c>
      <c r="B749" s="22" t="s">
        <v>168</v>
      </c>
      <c r="C749" s="31" t="n">
        <v>46291</v>
      </c>
      <c r="D749" s="22" t="s">
        <v>308</v>
      </c>
      <c r="E749" s="22" t="s">
        <v>311</v>
      </c>
      <c r="F749" s="29" t="str">
        <f aca="false">IF(COUNTIF(Referral_Data!$C$5:$C$1000,B749)&gt;0,"Referred",IF(COUNTIF(Referral_Data!$B$5:$B$1000,B749)&gt;0,"Referrer","Organic"))</f>
        <v>Referred</v>
      </c>
      <c r="G749" s="29" t="n">
        <f aca="false">IF(COUNTIFS($B$5:B749,B749,$C$5:C749,C749)=1,1,0)</f>
        <v>0</v>
      </c>
      <c r="H749" s="29" t="n">
        <f aca="false">IF(AND(G749=1,COUNTIFS($B$5:$B$1635,B749,$C$5:$C$1635,"&lt;"&amp;C749)&gt;0),1,0)</f>
        <v>0</v>
      </c>
      <c r="I749" s="29" t="n">
        <f aca="false">IF(AND(D749="Feature Use",COUNTIFS($B$5:B749,B749,$D$5:D749,"Feature Use",$E$5:E749,E749)=1),1,0)</f>
        <v>0</v>
      </c>
      <c r="J749" s="29" t="n">
        <f aca="false">IF(AND(D749="Feature Use",COUNTIFS($B$5:B749,B749,$D$5:D749,"Feature Use",$E$5:E749,E749)=2),1,0)</f>
        <v>0</v>
      </c>
      <c r="K749" s="29" t="n">
        <f aca="false">IF(COUNTIF($B$5:B749,B749)=1,1,0)</f>
        <v>0</v>
      </c>
      <c r="L749" s="29" t="n">
        <f aca="false">IF(AND(C749&gt;=Settings!$B$5-Settings!$B$8+1,C749&lt;=Settings!$B$5,COUNTIFS($B$5:B749,B749,$C$5:C749,"&gt;="&amp;(Settings!$B$5-Settings!$B$8+1),$C$5:C749,"&lt;="&amp;Settings!$B$5)=1),1,0)</f>
        <v>0</v>
      </c>
      <c r="M749" s="29" t="n">
        <f aca="false">IF(AND(C749&gt;=Settings!$B$5-Settings!$B$9+1,C749&lt;=Settings!$B$5,COUNTIFS($B$5:B749,B749,$C$5:C749,"&gt;="&amp;(Settings!$B$5-Settings!$B$9+1),$C$5:C749,"&lt;="&amp;Settings!$B$5)=1),1,0)</f>
        <v>0</v>
      </c>
      <c r="N749" s="29" t="n">
        <f aca="false">IF(AND(D749="Feature Use",COUNTIFS($B$5:B749,B749,$D$5:D749,"Feature Use")=1),1,0)</f>
        <v>0</v>
      </c>
    </row>
    <row r="750" customFormat="false" ht="15" hidden="false" customHeight="false" outlineLevel="0" collapsed="false">
      <c r="A750" s="22" t="s">
        <v>1057</v>
      </c>
      <c r="B750" s="22" t="s">
        <v>176</v>
      </c>
      <c r="C750" s="31" t="n">
        <v>46291</v>
      </c>
      <c r="D750" s="22" t="s">
        <v>297</v>
      </c>
      <c r="E750" s="22" t="s">
        <v>298</v>
      </c>
      <c r="F750" s="29" t="str">
        <f aca="false">IF(COUNTIF(Referral_Data!$C$5:$C$1000,B750)&gt;0,"Referred",IF(COUNTIF(Referral_Data!$B$5:$B$1000,B750)&gt;0,"Referrer","Organic"))</f>
        <v>Referred</v>
      </c>
      <c r="G750" s="29" t="n">
        <f aca="false">IF(COUNTIFS($B$5:B750,B750,$C$5:C750,C750)=1,1,0)</f>
        <v>1</v>
      </c>
      <c r="H750" s="29" t="n">
        <f aca="false">IF(AND(G750=1,COUNTIFS($B$5:$B$1635,B750,$C$5:$C$1635,"&lt;"&amp;C750)&gt;0),1,0)</f>
        <v>0</v>
      </c>
      <c r="I750" s="29" t="n">
        <f aca="false">IF(AND(D750="Feature Use",COUNTIFS($B$5:B750,B750,$D$5:D750,"Feature Use",$E$5:E750,E750)=1),1,0)</f>
        <v>0</v>
      </c>
      <c r="J750" s="29" t="n">
        <f aca="false">IF(AND(D750="Feature Use",COUNTIFS($B$5:B750,B750,$D$5:D750,"Feature Use",$E$5:E750,E750)=2),1,0)</f>
        <v>0</v>
      </c>
      <c r="K750" s="29" t="n">
        <f aca="false">IF(COUNTIF($B$5:B750,B750)=1,1,0)</f>
        <v>1</v>
      </c>
      <c r="L750" s="29" t="n">
        <f aca="false">IF(AND(C750&gt;=Settings!$B$5-Settings!$B$8+1,C750&lt;=Settings!$B$5,COUNTIFS($B$5:B750,B750,$C$5:C750,"&gt;="&amp;(Settings!$B$5-Settings!$B$8+1),$C$5:C750,"&lt;="&amp;Settings!$B$5)=1),1,0)</f>
        <v>0</v>
      </c>
      <c r="M750" s="29" t="n">
        <f aca="false">IF(AND(C750&gt;=Settings!$B$5-Settings!$B$9+1,C750&lt;=Settings!$B$5,COUNTIFS($B$5:B750,B750,$C$5:C750,"&gt;="&amp;(Settings!$B$5-Settings!$B$9+1),$C$5:C750,"&lt;="&amp;Settings!$B$5)=1),1,0)</f>
        <v>1</v>
      </c>
      <c r="N750" s="29" t="n">
        <f aca="false">IF(AND(D750="Feature Use",COUNTIFS($B$5:B750,B750,$D$5:D750,"Feature Use")=1),1,0)</f>
        <v>0</v>
      </c>
    </row>
    <row r="751" customFormat="false" ht="15" hidden="false" customHeight="false" outlineLevel="0" collapsed="false">
      <c r="A751" s="22" t="s">
        <v>1058</v>
      </c>
      <c r="B751" s="22" t="s">
        <v>176</v>
      </c>
      <c r="C751" s="31" t="n">
        <v>46291</v>
      </c>
      <c r="D751" s="22" t="s">
        <v>300</v>
      </c>
      <c r="E751" s="22" t="s">
        <v>305</v>
      </c>
      <c r="F751" s="29" t="str">
        <f aca="false">IF(COUNTIF(Referral_Data!$C$5:$C$1000,B751)&gt;0,"Referred",IF(COUNTIF(Referral_Data!$B$5:$B$1000,B751)&gt;0,"Referrer","Organic"))</f>
        <v>Referred</v>
      </c>
      <c r="G751" s="29" t="n">
        <f aca="false">IF(COUNTIFS($B$5:B751,B751,$C$5:C751,C751)=1,1,0)</f>
        <v>0</v>
      </c>
      <c r="H751" s="29" t="n">
        <f aca="false">IF(AND(G751=1,COUNTIFS($B$5:$B$1635,B751,$C$5:$C$1635,"&lt;"&amp;C751)&gt;0),1,0)</f>
        <v>0</v>
      </c>
      <c r="I751" s="29" t="n">
        <f aca="false">IF(AND(D751="Feature Use",COUNTIFS($B$5:B751,B751,$D$5:D751,"Feature Use",$E$5:E751,E751)=1),1,0)</f>
        <v>1</v>
      </c>
      <c r="J751" s="29" t="n">
        <f aca="false">IF(AND(D751="Feature Use",COUNTIFS($B$5:B751,B751,$D$5:D751,"Feature Use",$E$5:E751,E751)=2),1,0)</f>
        <v>0</v>
      </c>
      <c r="K751" s="29" t="n">
        <f aca="false">IF(COUNTIF($B$5:B751,B751)=1,1,0)</f>
        <v>0</v>
      </c>
      <c r="L751" s="29" t="n">
        <f aca="false">IF(AND(C751&gt;=Settings!$B$5-Settings!$B$8+1,C751&lt;=Settings!$B$5,COUNTIFS($B$5:B751,B751,$C$5:C751,"&gt;="&amp;(Settings!$B$5-Settings!$B$8+1),$C$5:C751,"&lt;="&amp;Settings!$B$5)=1),1,0)</f>
        <v>0</v>
      </c>
      <c r="M751" s="29" t="n">
        <f aca="false">IF(AND(C751&gt;=Settings!$B$5-Settings!$B$9+1,C751&lt;=Settings!$B$5,COUNTIFS($B$5:B751,B751,$C$5:C751,"&gt;="&amp;(Settings!$B$5-Settings!$B$9+1),$C$5:C751,"&lt;="&amp;Settings!$B$5)=1),1,0)</f>
        <v>0</v>
      </c>
      <c r="N751" s="29" t="n">
        <f aca="false">IF(AND(D751="Feature Use",COUNTIFS($B$5:B751,B751,$D$5:D751,"Feature Use")=1),1,0)</f>
        <v>1</v>
      </c>
    </row>
    <row r="752" customFormat="false" ht="15" hidden="false" customHeight="false" outlineLevel="0" collapsed="false">
      <c r="A752" s="22" t="s">
        <v>1059</v>
      </c>
      <c r="B752" s="22" t="s">
        <v>176</v>
      </c>
      <c r="C752" s="31" t="n">
        <v>46291</v>
      </c>
      <c r="D752" s="22" t="s">
        <v>300</v>
      </c>
      <c r="E752" s="22" t="s">
        <v>305</v>
      </c>
      <c r="F752" s="29" t="str">
        <f aca="false">IF(COUNTIF(Referral_Data!$C$5:$C$1000,B752)&gt;0,"Referred",IF(COUNTIF(Referral_Data!$B$5:$B$1000,B752)&gt;0,"Referrer","Organic"))</f>
        <v>Referred</v>
      </c>
      <c r="G752" s="29" t="n">
        <f aca="false">IF(COUNTIFS($B$5:B752,B752,$C$5:C752,C752)=1,1,0)</f>
        <v>0</v>
      </c>
      <c r="H752" s="29" t="n">
        <f aca="false">IF(AND(G752=1,COUNTIFS($B$5:$B$1635,B752,$C$5:$C$1635,"&lt;"&amp;C752)&gt;0),1,0)</f>
        <v>0</v>
      </c>
      <c r="I752" s="29" t="n">
        <f aca="false">IF(AND(D752="Feature Use",COUNTIFS($B$5:B752,B752,$D$5:D752,"Feature Use",$E$5:E752,E752)=1),1,0)</f>
        <v>0</v>
      </c>
      <c r="J752" s="29" t="n">
        <f aca="false">IF(AND(D752="Feature Use",COUNTIFS($B$5:B752,B752,$D$5:D752,"Feature Use",$E$5:E752,E752)=2),1,0)</f>
        <v>1</v>
      </c>
      <c r="K752" s="29" t="n">
        <f aca="false">IF(COUNTIF($B$5:B752,B752)=1,1,0)</f>
        <v>0</v>
      </c>
      <c r="L752" s="29" t="n">
        <f aca="false">IF(AND(C752&gt;=Settings!$B$5-Settings!$B$8+1,C752&lt;=Settings!$B$5,COUNTIFS($B$5:B752,B752,$C$5:C752,"&gt;="&amp;(Settings!$B$5-Settings!$B$8+1),$C$5:C752,"&lt;="&amp;Settings!$B$5)=1),1,0)</f>
        <v>0</v>
      </c>
      <c r="M752" s="29" t="n">
        <f aca="false">IF(AND(C752&gt;=Settings!$B$5-Settings!$B$9+1,C752&lt;=Settings!$B$5,COUNTIFS($B$5:B752,B752,$C$5:C752,"&gt;="&amp;(Settings!$B$5-Settings!$B$9+1),$C$5:C752,"&lt;="&amp;Settings!$B$5)=1),1,0)</f>
        <v>0</v>
      </c>
      <c r="N752" s="29" t="n">
        <f aca="false">IF(AND(D752="Feature Use",COUNTIFS($B$5:B752,B752,$D$5:D752,"Feature Use")=1),1,0)</f>
        <v>0</v>
      </c>
    </row>
    <row r="753" customFormat="false" ht="15" hidden="false" customHeight="false" outlineLevel="0" collapsed="false">
      <c r="A753" s="22" t="s">
        <v>1060</v>
      </c>
      <c r="B753" s="22" t="s">
        <v>188</v>
      </c>
      <c r="C753" s="31" t="n">
        <v>46291</v>
      </c>
      <c r="D753" s="22" t="s">
        <v>297</v>
      </c>
      <c r="E753" s="22" t="s">
        <v>298</v>
      </c>
      <c r="F753" s="29" t="str">
        <f aca="false">IF(COUNTIF(Referral_Data!$C$5:$C$1000,B753)&gt;0,"Referred",IF(COUNTIF(Referral_Data!$B$5:$B$1000,B753)&gt;0,"Referrer","Organic"))</f>
        <v>Referred</v>
      </c>
      <c r="G753" s="29" t="n">
        <f aca="false">IF(COUNTIFS($B$5:B753,B753,$C$5:C753,C753)=1,1,0)</f>
        <v>1</v>
      </c>
      <c r="H753" s="29" t="n">
        <f aca="false">IF(AND(G753=1,COUNTIFS($B$5:$B$1635,B753,$C$5:$C$1635,"&lt;"&amp;C753)&gt;0),1,0)</f>
        <v>1</v>
      </c>
      <c r="I753" s="29" t="n">
        <f aca="false">IF(AND(D753="Feature Use",COUNTIFS($B$5:B753,B753,$D$5:D753,"Feature Use",$E$5:E753,E753)=1),1,0)</f>
        <v>0</v>
      </c>
      <c r="J753" s="29" t="n">
        <f aca="false">IF(AND(D753="Feature Use",COUNTIFS($B$5:B753,B753,$D$5:D753,"Feature Use",$E$5:E753,E753)=2),1,0)</f>
        <v>0</v>
      </c>
      <c r="K753" s="29" t="n">
        <f aca="false">IF(COUNTIF($B$5:B753,B753)=1,1,0)</f>
        <v>0</v>
      </c>
      <c r="L753" s="29" t="n">
        <f aca="false">IF(AND(C753&gt;=Settings!$B$5-Settings!$B$8+1,C753&lt;=Settings!$B$5,COUNTIFS($B$5:B753,B753,$C$5:C753,"&gt;="&amp;(Settings!$B$5-Settings!$B$8+1),$C$5:C753,"&lt;="&amp;Settings!$B$5)=1),1,0)</f>
        <v>0</v>
      </c>
      <c r="M753" s="29" t="n">
        <f aca="false">IF(AND(C753&gt;=Settings!$B$5-Settings!$B$9+1,C753&lt;=Settings!$B$5,COUNTIFS($B$5:B753,B753,$C$5:C753,"&gt;="&amp;(Settings!$B$5-Settings!$B$9+1),$C$5:C753,"&lt;="&amp;Settings!$B$5)=1),1,0)</f>
        <v>1</v>
      </c>
      <c r="N753" s="29" t="n">
        <f aca="false">IF(AND(D753="Feature Use",COUNTIFS($B$5:B753,B753,$D$5:D753,"Feature Use")=1),1,0)</f>
        <v>0</v>
      </c>
    </row>
    <row r="754" customFormat="false" ht="15" hidden="false" customHeight="false" outlineLevel="0" collapsed="false">
      <c r="A754" s="22" t="s">
        <v>1061</v>
      </c>
      <c r="B754" s="22" t="s">
        <v>188</v>
      </c>
      <c r="C754" s="31" t="n">
        <v>46291</v>
      </c>
      <c r="D754" s="22" t="s">
        <v>300</v>
      </c>
      <c r="E754" s="22" t="s">
        <v>305</v>
      </c>
      <c r="F754" s="29" t="str">
        <f aca="false">IF(COUNTIF(Referral_Data!$C$5:$C$1000,B754)&gt;0,"Referred",IF(COUNTIF(Referral_Data!$B$5:$B$1000,B754)&gt;0,"Referrer","Organic"))</f>
        <v>Referred</v>
      </c>
      <c r="G754" s="29" t="n">
        <f aca="false">IF(COUNTIFS($B$5:B754,B754,$C$5:C754,C754)=1,1,0)</f>
        <v>0</v>
      </c>
      <c r="H754" s="29" t="n">
        <f aca="false">IF(AND(G754=1,COUNTIFS($B$5:$B$1635,B754,$C$5:$C$1635,"&lt;"&amp;C754)&gt;0),1,0)</f>
        <v>0</v>
      </c>
      <c r="I754" s="29" t="n">
        <f aca="false">IF(AND(D754="Feature Use",COUNTIFS($B$5:B754,B754,$D$5:D754,"Feature Use",$E$5:E754,E754)=1),1,0)</f>
        <v>1</v>
      </c>
      <c r="J754" s="29" t="n">
        <f aca="false">IF(AND(D754="Feature Use",COUNTIFS($B$5:B754,B754,$D$5:D754,"Feature Use",$E$5:E754,E754)=2),1,0)</f>
        <v>0</v>
      </c>
      <c r="K754" s="29" t="n">
        <f aca="false">IF(COUNTIF($B$5:B754,B754)=1,1,0)</f>
        <v>0</v>
      </c>
      <c r="L754" s="29" t="n">
        <f aca="false">IF(AND(C754&gt;=Settings!$B$5-Settings!$B$8+1,C754&lt;=Settings!$B$5,COUNTIFS($B$5:B754,B754,$C$5:C754,"&gt;="&amp;(Settings!$B$5-Settings!$B$8+1),$C$5:C754,"&lt;="&amp;Settings!$B$5)=1),1,0)</f>
        <v>0</v>
      </c>
      <c r="M754" s="29" t="n">
        <f aca="false">IF(AND(C754&gt;=Settings!$B$5-Settings!$B$9+1,C754&lt;=Settings!$B$5,COUNTIFS($B$5:B754,B754,$C$5:C754,"&gt;="&amp;(Settings!$B$5-Settings!$B$9+1),$C$5:C754,"&lt;="&amp;Settings!$B$5)=1),1,0)</f>
        <v>0</v>
      </c>
      <c r="N754" s="29" t="n">
        <f aca="false">IF(AND(D754="Feature Use",COUNTIFS($B$5:B754,B754,$D$5:D754,"Feature Use")=1),1,0)</f>
        <v>0</v>
      </c>
    </row>
    <row r="755" customFormat="false" ht="15" hidden="false" customHeight="false" outlineLevel="0" collapsed="false">
      <c r="A755" s="22" t="s">
        <v>1062</v>
      </c>
      <c r="B755" s="22" t="s">
        <v>188</v>
      </c>
      <c r="C755" s="31" t="n">
        <v>46291</v>
      </c>
      <c r="D755" s="22" t="s">
        <v>300</v>
      </c>
      <c r="E755" s="22" t="s">
        <v>305</v>
      </c>
      <c r="F755" s="29" t="str">
        <f aca="false">IF(COUNTIF(Referral_Data!$C$5:$C$1000,B755)&gt;0,"Referred",IF(COUNTIF(Referral_Data!$B$5:$B$1000,B755)&gt;0,"Referrer","Organic"))</f>
        <v>Referred</v>
      </c>
      <c r="G755" s="29" t="n">
        <f aca="false">IF(COUNTIFS($B$5:B755,B755,$C$5:C755,C755)=1,1,0)</f>
        <v>0</v>
      </c>
      <c r="H755" s="29" t="n">
        <f aca="false">IF(AND(G755=1,COUNTIFS($B$5:$B$1635,B755,$C$5:$C$1635,"&lt;"&amp;C755)&gt;0),1,0)</f>
        <v>0</v>
      </c>
      <c r="I755" s="29" t="n">
        <f aca="false">IF(AND(D755="Feature Use",COUNTIFS($B$5:B755,B755,$D$5:D755,"Feature Use",$E$5:E755,E755)=1),1,0)</f>
        <v>0</v>
      </c>
      <c r="J755" s="29" t="n">
        <f aca="false">IF(AND(D755="Feature Use",COUNTIFS($B$5:B755,B755,$D$5:D755,"Feature Use",$E$5:E755,E755)=2),1,0)</f>
        <v>1</v>
      </c>
      <c r="K755" s="29" t="n">
        <f aca="false">IF(COUNTIF($B$5:B755,B755)=1,1,0)</f>
        <v>0</v>
      </c>
      <c r="L755" s="29" t="n">
        <f aca="false">IF(AND(C755&gt;=Settings!$B$5-Settings!$B$8+1,C755&lt;=Settings!$B$5,COUNTIFS($B$5:B755,B755,$C$5:C755,"&gt;="&amp;(Settings!$B$5-Settings!$B$8+1),$C$5:C755,"&lt;="&amp;Settings!$B$5)=1),1,0)</f>
        <v>0</v>
      </c>
      <c r="M755" s="29" t="n">
        <f aca="false">IF(AND(C755&gt;=Settings!$B$5-Settings!$B$9+1,C755&lt;=Settings!$B$5,COUNTIFS($B$5:B755,B755,$C$5:C755,"&gt;="&amp;(Settings!$B$5-Settings!$B$9+1),$C$5:C755,"&lt;="&amp;Settings!$B$5)=1),1,0)</f>
        <v>0</v>
      </c>
      <c r="N755" s="29" t="n">
        <f aca="false">IF(AND(D755="Feature Use",COUNTIFS($B$5:B755,B755,$D$5:D755,"Feature Use")=1),1,0)</f>
        <v>0</v>
      </c>
    </row>
    <row r="756" customFormat="false" ht="15" hidden="false" customHeight="false" outlineLevel="0" collapsed="false">
      <c r="A756" s="22" t="s">
        <v>1063</v>
      </c>
      <c r="B756" s="22" t="s">
        <v>204</v>
      </c>
      <c r="C756" s="31" t="n">
        <v>46291</v>
      </c>
      <c r="D756" s="22" t="s">
        <v>297</v>
      </c>
      <c r="E756" s="22" t="s">
        <v>298</v>
      </c>
      <c r="F756" s="29" t="str">
        <f aca="false">IF(COUNTIF(Referral_Data!$C$5:$C$1000,B756)&gt;0,"Referred",IF(COUNTIF(Referral_Data!$B$5:$B$1000,B756)&gt;0,"Referrer","Organic"))</f>
        <v>Referred</v>
      </c>
      <c r="G756" s="29" t="n">
        <f aca="false">IF(COUNTIFS($B$5:B756,B756,$C$5:C756,C756)=1,1,0)</f>
        <v>1</v>
      </c>
      <c r="H756" s="29" t="n">
        <f aca="false">IF(AND(G756=1,COUNTIFS($B$5:$B$1635,B756,$C$5:$C$1635,"&lt;"&amp;C756)&gt;0),1,0)</f>
        <v>1</v>
      </c>
      <c r="I756" s="29" t="n">
        <f aca="false">IF(AND(D756="Feature Use",COUNTIFS($B$5:B756,B756,$D$5:D756,"Feature Use",$E$5:E756,E756)=1),1,0)</f>
        <v>0</v>
      </c>
      <c r="J756" s="29" t="n">
        <f aca="false">IF(AND(D756="Feature Use",COUNTIFS($B$5:B756,B756,$D$5:D756,"Feature Use",$E$5:E756,E756)=2),1,0)</f>
        <v>0</v>
      </c>
      <c r="K756" s="29" t="n">
        <f aca="false">IF(COUNTIF($B$5:B756,B756)=1,1,0)</f>
        <v>0</v>
      </c>
      <c r="L756" s="29" t="n">
        <f aca="false">IF(AND(C756&gt;=Settings!$B$5-Settings!$B$8+1,C756&lt;=Settings!$B$5,COUNTIFS($B$5:B756,B756,$C$5:C756,"&gt;="&amp;(Settings!$B$5-Settings!$B$8+1),$C$5:C756,"&lt;="&amp;Settings!$B$5)=1),1,0)</f>
        <v>0</v>
      </c>
      <c r="M756" s="29" t="n">
        <f aca="false">IF(AND(C756&gt;=Settings!$B$5-Settings!$B$9+1,C756&lt;=Settings!$B$5,COUNTIFS($B$5:B756,B756,$C$5:C756,"&gt;="&amp;(Settings!$B$5-Settings!$B$9+1),$C$5:C756,"&lt;="&amp;Settings!$B$5)=1),1,0)</f>
        <v>0</v>
      </c>
      <c r="N756" s="29" t="n">
        <f aca="false">IF(AND(D756="Feature Use",COUNTIFS($B$5:B756,B756,$D$5:D756,"Feature Use")=1),1,0)</f>
        <v>0</v>
      </c>
    </row>
    <row r="757" customFormat="false" ht="15" hidden="false" customHeight="false" outlineLevel="0" collapsed="false">
      <c r="A757" s="22" t="s">
        <v>1064</v>
      </c>
      <c r="B757" s="22" t="s">
        <v>204</v>
      </c>
      <c r="C757" s="31" t="n">
        <v>46291</v>
      </c>
      <c r="D757" s="22" t="s">
        <v>300</v>
      </c>
      <c r="E757" s="22" t="s">
        <v>305</v>
      </c>
      <c r="F757" s="29" t="str">
        <f aca="false">IF(COUNTIF(Referral_Data!$C$5:$C$1000,B757)&gt;0,"Referred",IF(COUNTIF(Referral_Data!$B$5:$B$1000,B757)&gt;0,"Referrer","Organic"))</f>
        <v>Referred</v>
      </c>
      <c r="G757" s="29" t="n">
        <f aca="false">IF(COUNTIFS($B$5:B757,B757,$C$5:C757,C757)=1,1,0)</f>
        <v>0</v>
      </c>
      <c r="H757" s="29" t="n">
        <f aca="false">IF(AND(G757=1,COUNTIFS($B$5:$B$1635,B757,$C$5:$C$1635,"&lt;"&amp;C757)&gt;0),1,0)</f>
        <v>0</v>
      </c>
      <c r="I757" s="29" t="n">
        <f aca="false">IF(AND(D757="Feature Use",COUNTIFS($B$5:B757,B757,$D$5:D757,"Feature Use",$E$5:E757,E757)=1),1,0)</f>
        <v>0</v>
      </c>
      <c r="J757" s="29" t="n">
        <f aca="false">IF(AND(D757="Feature Use",COUNTIFS($B$5:B757,B757,$D$5:D757,"Feature Use",$E$5:E757,E757)=2),1,0)</f>
        <v>0</v>
      </c>
      <c r="K757" s="29" t="n">
        <f aca="false">IF(COUNTIF($B$5:B757,B757)=1,1,0)</f>
        <v>0</v>
      </c>
      <c r="L757" s="29" t="n">
        <f aca="false">IF(AND(C757&gt;=Settings!$B$5-Settings!$B$8+1,C757&lt;=Settings!$B$5,COUNTIFS($B$5:B757,B757,$C$5:C757,"&gt;="&amp;(Settings!$B$5-Settings!$B$8+1),$C$5:C757,"&lt;="&amp;Settings!$B$5)=1),1,0)</f>
        <v>0</v>
      </c>
      <c r="M757" s="29" t="n">
        <f aca="false">IF(AND(C757&gt;=Settings!$B$5-Settings!$B$9+1,C757&lt;=Settings!$B$5,COUNTIFS($B$5:B757,B757,$C$5:C757,"&gt;="&amp;(Settings!$B$5-Settings!$B$9+1),$C$5:C757,"&lt;="&amp;Settings!$B$5)=1),1,0)</f>
        <v>0</v>
      </c>
      <c r="N757" s="29" t="n">
        <f aca="false">IF(AND(D757="Feature Use",COUNTIFS($B$5:B757,B757,$D$5:D757,"Feature Use")=1),1,0)</f>
        <v>0</v>
      </c>
    </row>
    <row r="758" customFormat="false" ht="15" hidden="false" customHeight="false" outlineLevel="0" collapsed="false">
      <c r="A758" s="22" t="s">
        <v>1065</v>
      </c>
      <c r="B758" s="22" t="s">
        <v>204</v>
      </c>
      <c r="C758" s="31" t="n">
        <v>46291</v>
      </c>
      <c r="D758" s="22" t="s">
        <v>300</v>
      </c>
      <c r="E758" s="22" t="s">
        <v>311</v>
      </c>
      <c r="F758" s="29" t="str">
        <f aca="false">IF(COUNTIF(Referral_Data!$C$5:$C$1000,B758)&gt;0,"Referred",IF(COUNTIF(Referral_Data!$B$5:$B$1000,B758)&gt;0,"Referrer","Organic"))</f>
        <v>Referred</v>
      </c>
      <c r="G758" s="29" t="n">
        <f aca="false">IF(COUNTIFS($B$5:B758,B758,$C$5:C758,C758)=1,1,0)</f>
        <v>0</v>
      </c>
      <c r="H758" s="29" t="n">
        <f aca="false">IF(AND(G758=1,COUNTIFS($B$5:$B$1635,B758,$C$5:$C$1635,"&lt;"&amp;C758)&gt;0),1,0)</f>
        <v>0</v>
      </c>
      <c r="I758" s="29" t="n">
        <f aca="false">IF(AND(D758="Feature Use",COUNTIFS($B$5:B758,B758,$D$5:D758,"Feature Use",$E$5:E758,E758)=1),1,0)</f>
        <v>1</v>
      </c>
      <c r="J758" s="29" t="n">
        <f aca="false">IF(AND(D758="Feature Use",COUNTIFS($B$5:B758,B758,$D$5:D758,"Feature Use",$E$5:E758,E758)=2),1,0)</f>
        <v>0</v>
      </c>
      <c r="K758" s="29" t="n">
        <f aca="false">IF(COUNTIF($B$5:B758,B758)=1,1,0)</f>
        <v>0</v>
      </c>
      <c r="L758" s="29" t="n">
        <f aca="false">IF(AND(C758&gt;=Settings!$B$5-Settings!$B$8+1,C758&lt;=Settings!$B$5,COUNTIFS($B$5:B758,B758,$C$5:C758,"&gt;="&amp;(Settings!$B$5-Settings!$B$8+1),$C$5:C758,"&lt;="&amp;Settings!$B$5)=1),1,0)</f>
        <v>0</v>
      </c>
      <c r="M758" s="29" t="n">
        <f aca="false">IF(AND(C758&gt;=Settings!$B$5-Settings!$B$9+1,C758&lt;=Settings!$B$5,COUNTIFS($B$5:B758,B758,$C$5:C758,"&gt;="&amp;(Settings!$B$5-Settings!$B$9+1),$C$5:C758,"&lt;="&amp;Settings!$B$5)=1),1,0)</f>
        <v>0</v>
      </c>
      <c r="N758" s="29" t="n">
        <f aca="false">IF(AND(D758="Feature Use",COUNTIFS($B$5:B758,B758,$D$5:D758,"Feature Use")=1),1,0)</f>
        <v>0</v>
      </c>
    </row>
    <row r="759" customFormat="false" ht="15" hidden="false" customHeight="false" outlineLevel="0" collapsed="false">
      <c r="A759" s="22" t="s">
        <v>1066</v>
      </c>
      <c r="B759" s="22" t="s">
        <v>213</v>
      </c>
      <c r="C759" s="31" t="n">
        <v>46291</v>
      </c>
      <c r="D759" s="22" t="s">
        <v>297</v>
      </c>
      <c r="E759" s="22" t="s">
        <v>298</v>
      </c>
      <c r="F759" s="29" t="str">
        <f aca="false">IF(COUNTIF(Referral_Data!$C$5:$C$1000,B759)&gt;0,"Referred",IF(COUNTIF(Referral_Data!$B$5:$B$1000,B759)&gt;0,"Referrer","Organic"))</f>
        <v>Referred</v>
      </c>
      <c r="G759" s="29" t="n">
        <f aca="false">IF(COUNTIFS($B$5:B759,B759,$C$5:C759,C759)=1,1,0)</f>
        <v>1</v>
      </c>
      <c r="H759" s="29" t="n">
        <f aca="false">IF(AND(G759=1,COUNTIFS($B$5:$B$1635,B759,$C$5:$C$1635,"&lt;"&amp;C759)&gt;0),1,0)</f>
        <v>1</v>
      </c>
      <c r="I759" s="29" t="n">
        <f aca="false">IF(AND(D759="Feature Use",COUNTIFS($B$5:B759,B759,$D$5:D759,"Feature Use",$E$5:E759,E759)=1),1,0)</f>
        <v>0</v>
      </c>
      <c r="J759" s="29" t="n">
        <f aca="false">IF(AND(D759="Feature Use",COUNTIFS($B$5:B759,B759,$D$5:D759,"Feature Use",$E$5:E759,E759)=2),1,0)</f>
        <v>0</v>
      </c>
      <c r="K759" s="29" t="n">
        <f aca="false">IF(COUNTIF($B$5:B759,B759)=1,1,0)</f>
        <v>0</v>
      </c>
      <c r="L759" s="29" t="n">
        <f aca="false">IF(AND(C759&gt;=Settings!$B$5-Settings!$B$8+1,C759&lt;=Settings!$B$5,COUNTIFS($B$5:B759,B759,$C$5:C759,"&gt;="&amp;(Settings!$B$5-Settings!$B$8+1),$C$5:C759,"&lt;="&amp;Settings!$B$5)=1),1,0)</f>
        <v>0</v>
      </c>
      <c r="M759" s="29" t="n">
        <f aca="false">IF(AND(C759&gt;=Settings!$B$5-Settings!$B$9+1,C759&lt;=Settings!$B$5,COUNTIFS($B$5:B759,B759,$C$5:C759,"&gt;="&amp;(Settings!$B$5-Settings!$B$9+1),$C$5:C759,"&lt;="&amp;Settings!$B$5)=1),1,0)</f>
        <v>0</v>
      </c>
      <c r="N759" s="29" t="n">
        <f aca="false">IF(AND(D759="Feature Use",COUNTIFS($B$5:B759,B759,$D$5:D759,"Feature Use")=1),1,0)</f>
        <v>0</v>
      </c>
    </row>
    <row r="760" customFormat="false" ht="15" hidden="false" customHeight="false" outlineLevel="0" collapsed="false">
      <c r="A760" s="22" t="s">
        <v>1067</v>
      </c>
      <c r="B760" s="22" t="s">
        <v>213</v>
      </c>
      <c r="C760" s="31" t="n">
        <v>46291</v>
      </c>
      <c r="D760" s="22" t="s">
        <v>300</v>
      </c>
      <c r="E760" s="22" t="s">
        <v>305</v>
      </c>
      <c r="F760" s="29" t="str">
        <f aca="false">IF(COUNTIF(Referral_Data!$C$5:$C$1000,B760)&gt;0,"Referred",IF(COUNTIF(Referral_Data!$B$5:$B$1000,B760)&gt;0,"Referrer","Organic"))</f>
        <v>Referred</v>
      </c>
      <c r="G760" s="29" t="n">
        <f aca="false">IF(COUNTIFS($B$5:B760,B760,$C$5:C760,C760)=1,1,0)</f>
        <v>0</v>
      </c>
      <c r="H760" s="29" t="n">
        <f aca="false">IF(AND(G760=1,COUNTIFS($B$5:$B$1635,B760,$C$5:$C$1635,"&lt;"&amp;C760)&gt;0),1,0)</f>
        <v>0</v>
      </c>
      <c r="I760" s="29" t="n">
        <f aca="false">IF(AND(D760="Feature Use",COUNTIFS($B$5:B760,B760,$D$5:D760,"Feature Use",$E$5:E760,E760)=1),1,0)</f>
        <v>0</v>
      </c>
      <c r="J760" s="29" t="n">
        <f aca="false">IF(AND(D760="Feature Use",COUNTIFS($B$5:B760,B760,$D$5:D760,"Feature Use",$E$5:E760,E760)=2),1,0)</f>
        <v>0</v>
      </c>
      <c r="K760" s="29" t="n">
        <f aca="false">IF(COUNTIF($B$5:B760,B760)=1,1,0)</f>
        <v>0</v>
      </c>
      <c r="L760" s="29" t="n">
        <f aca="false">IF(AND(C760&gt;=Settings!$B$5-Settings!$B$8+1,C760&lt;=Settings!$B$5,COUNTIFS($B$5:B760,B760,$C$5:C760,"&gt;="&amp;(Settings!$B$5-Settings!$B$8+1),$C$5:C760,"&lt;="&amp;Settings!$B$5)=1),1,0)</f>
        <v>0</v>
      </c>
      <c r="M760" s="29" t="n">
        <f aca="false">IF(AND(C760&gt;=Settings!$B$5-Settings!$B$9+1,C760&lt;=Settings!$B$5,COUNTIFS($B$5:B760,B760,$C$5:C760,"&gt;="&amp;(Settings!$B$5-Settings!$B$9+1),$C$5:C760,"&lt;="&amp;Settings!$B$5)=1),1,0)</f>
        <v>0</v>
      </c>
      <c r="N760" s="29" t="n">
        <f aca="false">IF(AND(D760="Feature Use",COUNTIFS($B$5:B760,B760,$D$5:D760,"Feature Use")=1),1,0)</f>
        <v>0</v>
      </c>
    </row>
    <row r="761" customFormat="false" ht="15" hidden="false" customHeight="false" outlineLevel="0" collapsed="false">
      <c r="A761" s="22" t="s">
        <v>1068</v>
      </c>
      <c r="B761" s="22" t="s">
        <v>213</v>
      </c>
      <c r="C761" s="31" t="n">
        <v>46291</v>
      </c>
      <c r="D761" s="22" t="s">
        <v>300</v>
      </c>
      <c r="E761" s="22" t="s">
        <v>301</v>
      </c>
      <c r="F761" s="29" t="str">
        <f aca="false">IF(COUNTIF(Referral_Data!$C$5:$C$1000,B761)&gt;0,"Referred",IF(COUNTIF(Referral_Data!$B$5:$B$1000,B761)&gt;0,"Referrer","Organic"))</f>
        <v>Referred</v>
      </c>
      <c r="G761" s="29" t="n">
        <f aca="false">IF(COUNTIFS($B$5:B761,B761,$C$5:C761,C761)=1,1,0)</f>
        <v>0</v>
      </c>
      <c r="H761" s="29" t="n">
        <f aca="false">IF(AND(G761=1,COUNTIFS($B$5:$B$1635,B761,$C$5:$C$1635,"&lt;"&amp;C761)&gt;0),1,0)</f>
        <v>0</v>
      </c>
      <c r="I761" s="29" t="n">
        <f aca="false">IF(AND(D761="Feature Use",COUNTIFS($B$5:B761,B761,$D$5:D761,"Feature Use",$E$5:E761,E761)=1),1,0)</f>
        <v>0</v>
      </c>
      <c r="J761" s="29" t="n">
        <f aca="false">IF(AND(D761="Feature Use",COUNTIFS($B$5:B761,B761,$D$5:D761,"Feature Use",$E$5:E761,E761)=2),1,0)</f>
        <v>0</v>
      </c>
      <c r="K761" s="29" t="n">
        <f aca="false">IF(COUNTIF($B$5:B761,B761)=1,1,0)</f>
        <v>0</v>
      </c>
      <c r="L761" s="29" t="n">
        <f aca="false">IF(AND(C761&gt;=Settings!$B$5-Settings!$B$8+1,C761&lt;=Settings!$B$5,COUNTIFS($B$5:B761,B761,$C$5:C761,"&gt;="&amp;(Settings!$B$5-Settings!$B$8+1),$C$5:C761,"&lt;="&amp;Settings!$B$5)=1),1,0)</f>
        <v>0</v>
      </c>
      <c r="M761" s="29" t="n">
        <f aca="false">IF(AND(C761&gt;=Settings!$B$5-Settings!$B$9+1,C761&lt;=Settings!$B$5,COUNTIFS($B$5:B761,B761,$C$5:C761,"&gt;="&amp;(Settings!$B$5-Settings!$B$9+1),$C$5:C761,"&lt;="&amp;Settings!$B$5)=1),1,0)</f>
        <v>0</v>
      </c>
      <c r="N761" s="29" t="n">
        <f aca="false">IF(AND(D761="Feature Use",COUNTIFS($B$5:B761,B761,$D$5:D761,"Feature Use")=1),1,0)</f>
        <v>0</v>
      </c>
    </row>
    <row r="762" customFormat="false" ht="15" hidden="false" customHeight="false" outlineLevel="0" collapsed="false">
      <c r="A762" s="22" t="s">
        <v>1069</v>
      </c>
      <c r="B762" s="22" t="s">
        <v>220</v>
      </c>
      <c r="C762" s="31" t="n">
        <v>46291</v>
      </c>
      <c r="D762" s="22" t="s">
        <v>297</v>
      </c>
      <c r="E762" s="22" t="s">
        <v>298</v>
      </c>
      <c r="F762" s="29" t="str">
        <f aca="false">IF(COUNTIF(Referral_Data!$C$5:$C$1000,B762)&gt;0,"Referred",IF(COUNTIF(Referral_Data!$B$5:$B$1000,B762)&gt;0,"Referrer","Organic"))</f>
        <v>Referred</v>
      </c>
      <c r="G762" s="29" t="n">
        <f aca="false">IF(COUNTIFS($B$5:B762,B762,$C$5:C762,C762)=1,1,0)</f>
        <v>1</v>
      </c>
      <c r="H762" s="29" t="n">
        <f aca="false">IF(AND(G762=1,COUNTIFS($B$5:$B$1635,B762,$C$5:$C$1635,"&lt;"&amp;C762)&gt;0),1,0)</f>
        <v>1</v>
      </c>
      <c r="I762" s="29" t="n">
        <f aca="false">IF(AND(D762="Feature Use",COUNTIFS($B$5:B762,B762,$D$5:D762,"Feature Use",$E$5:E762,E762)=1),1,0)</f>
        <v>0</v>
      </c>
      <c r="J762" s="29" t="n">
        <f aca="false">IF(AND(D762="Feature Use",COUNTIFS($B$5:B762,B762,$D$5:D762,"Feature Use",$E$5:E762,E762)=2),1,0)</f>
        <v>0</v>
      </c>
      <c r="K762" s="29" t="n">
        <f aca="false">IF(COUNTIF($B$5:B762,B762)=1,1,0)</f>
        <v>0</v>
      </c>
      <c r="L762" s="29" t="n">
        <f aca="false">IF(AND(C762&gt;=Settings!$B$5-Settings!$B$8+1,C762&lt;=Settings!$B$5,COUNTIFS($B$5:B762,B762,$C$5:C762,"&gt;="&amp;(Settings!$B$5-Settings!$B$8+1),$C$5:C762,"&lt;="&amp;Settings!$B$5)=1),1,0)</f>
        <v>0</v>
      </c>
      <c r="M762" s="29" t="n">
        <f aca="false">IF(AND(C762&gt;=Settings!$B$5-Settings!$B$9+1,C762&lt;=Settings!$B$5,COUNTIFS($B$5:B762,B762,$C$5:C762,"&gt;="&amp;(Settings!$B$5-Settings!$B$9+1),$C$5:C762,"&lt;="&amp;Settings!$B$5)=1),1,0)</f>
        <v>0</v>
      </c>
      <c r="N762" s="29" t="n">
        <f aca="false">IF(AND(D762="Feature Use",COUNTIFS($B$5:B762,B762,$D$5:D762,"Feature Use")=1),1,0)</f>
        <v>0</v>
      </c>
    </row>
    <row r="763" customFormat="false" ht="15" hidden="false" customHeight="false" outlineLevel="0" collapsed="false">
      <c r="A763" s="22" t="s">
        <v>1070</v>
      </c>
      <c r="B763" s="22" t="s">
        <v>220</v>
      </c>
      <c r="C763" s="31" t="n">
        <v>46291</v>
      </c>
      <c r="D763" s="22" t="s">
        <v>300</v>
      </c>
      <c r="E763" s="22" t="s">
        <v>309</v>
      </c>
      <c r="F763" s="29" t="str">
        <f aca="false">IF(COUNTIF(Referral_Data!$C$5:$C$1000,B763)&gt;0,"Referred",IF(COUNTIF(Referral_Data!$B$5:$B$1000,B763)&gt;0,"Referrer","Organic"))</f>
        <v>Referred</v>
      </c>
      <c r="G763" s="29" t="n">
        <f aca="false">IF(COUNTIFS($B$5:B763,B763,$C$5:C763,C763)=1,1,0)</f>
        <v>0</v>
      </c>
      <c r="H763" s="29" t="n">
        <f aca="false">IF(AND(G763=1,COUNTIFS($B$5:$B$1635,B763,$C$5:$C$1635,"&lt;"&amp;C763)&gt;0),1,0)</f>
        <v>0</v>
      </c>
      <c r="I763" s="29" t="n">
        <f aca="false">IF(AND(D763="Feature Use",COUNTIFS($B$5:B763,B763,$D$5:D763,"Feature Use",$E$5:E763,E763)=1),1,0)</f>
        <v>1</v>
      </c>
      <c r="J763" s="29" t="n">
        <f aca="false">IF(AND(D763="Feature Use",COUNTIFS($B$5:B763,B763,$D$5:D763,"Feature Use",$E$5:E763,E763)=2),1,0)</f>
        <v>0</v>
      </c>
      <c r="K763" s="29" t="n">
        <f aca="false">IF(COUNTIF($B$5:B763,B763)=1,1,0)</f>
        <v>0</v>
      </c>
      <c r="L763" s="29" t="n">
        <f aca="false">IF(AND(C763&gt;=Settings!$B$5-Settings!$B$8+1,C763&lt;=Settings!$B$5,COUNTIFS($B$5:B763,B763,$C$5:C763,"&gt;="&amp;(Settings!$B$5-Settings!$B$8+1),$C$5:C763,"&lt;="&amp;Settings!$B$5)=1),1,0)</f>
        <v>0</v>
      </c>
      <c r="M763" s="29" t="n">
        <f aca="false">IF(AND(C763&gt;=Settings!$B$5-Settings!$B$9+1,C763&lt;=Settings!$B$5,COUNTIFS($B$5:B763,B763,$C$5:C763,"&gt;="&amp;(Settings!$B$5-Settings!$B$9+1),$C$5:C763,"&lt;="&amp;Settings!$B$5)=1),1,0)</f>
        <v>0</v>
      </c>
      <c r="N763" s="29" t="n">
        <f aca="false">IF(AND(D763="Feature Use",COUNTIFS($B$5:B763,B763,$D$5:D763,"Feature Use")=1),1,0)</f>
        <v>0</v>
      </c>
    </row>
    <row r="764" customFormat="false" ht="15" hidden="false" customHeight="false" outlineLevel="0" collapsed="false">
      <c r="A764" s="22" t="s">
        <v>1071</v>
      </c>
      <c r="B764" s="22" t="s">
        <v>220</v>
      </c>
      <c r="C764" s="31" t="n">
        <v>46291</v>
      </c>
      <c r="D764" s="22" t="s">
        <v>300</v>
      </c>
      <c r="E764" s="22" t="s">
        <v>301</v>
      </c>
      <c r="F764" s="29" t="str">
        <f aca="false">IF(COUNTIF(Referral_Data!$C$5:$C$1000,B764)&gt;0,"Referred",IF(COUNTIF(Referral_Data!$B$5:$B$1000,B764)&gt;0,"Referrer","Organic"))</f>
        <v>Referred</v>
      </c>
      <c r="G764" s="29" t="n">
        <f aca="false">IF(COUNTIFS($B$5:B764,B764,$C$5:C764,C764)=1,1,0)</f>
        <v>0</v>
      </c>
      <c r="H764" s="29" t="n">
        <f aca="false">IF(AND(G764=1,COUNTIFS($B$5:$B$1635,B764,$C$5:$C$1635,"&lt;"&amp;C764)&gt;0),1,0)</f>
        <v>0</v>
      </c>
      <c r="I764" s="29" t="n">
        <f aca="false">IF(AND(D764="Feature Use",COUNTIFS($B$5:B764,B764,$D$5:D764,"Feature Use",$E$5:E764,E764)=1),1,0)</f>
        <v>0</v>
      </c>
      <c r="J764" s="29" t="n">
        <f aca="false">IF(AND(D764="Feature Use",COUNTIFS($B$5:B764,B764,$D$5:D764,"Feature Use",$E$5:E764,E764)=2),1,0)</f>
        <v>1</v>
      </c>
      <c r="K764" s="29" t="n">
        <f aca="false">IF(COUNTIF($B$5:B764,B764)=1,1,0)</f>
        <v>0</v>
      </c>
      <c r="L764" s="29" t="n">
        <f aca="false">IF(AND(C764&gt;=Settings!$B$5-Settings!$B$8+1,C764&lt;=Settings!$B$5,COUNTIFS($B$5:B764,B764,$C$5:C764,"&gt;="&amp;(Settings!$B$5-Settings!$B$8+1),$C$5:C764,"&lt;="&amp;Settings!$B$5)=1),1,0)</f>
        <v>0</v>
      </c>
      <c r="M764" s="29" t="n">
        <f aca="false">IF(AND(C764&gt;=Settings!$B$5-Settings!$B$9+1,C764&lt;=Settings!$B$5,COUNTIFS($B$5:B764,B764,$C$5:C764,"&gt;="&amp;(Settings!$B$5-Settings!$B$9+1),$C$5:C764,"&lt;="&amp;Settings!$B$5)=1),1,0)</f>
        <v>0</v>
      </c>
      <c r="N764" s="29" t="n">
        <f aca="false">IF(AND(D764="Feature Use",COUNTIFS($B$5:B764,B764,$D$5:D764,"Feature Use")=1),1,0)</f>
        <v>0</v>
      </c>
    </row>
    <row r="765" customFormat="false" ht="15" hidden="false" customHeight="false" outlineLevel="0" collapsed="false">
      <c r="A765" s="22" t="s">
        <v>1072</v>
      </c>
      <c r="B765" s="22" t="s">
        <v>220</v>
      </c>
      <c r="C765" s="31" t="n">
        <v>46291</v>
      </c>
      <c r="D765" s="22" t="s">
        <v>308</v>
      </c>
      <c r="E765" s="22" t="s">
        <v>319</v>
      </c>
      <c r="F765" s="29" t="str">
        <f aca="false">IF(COUNTIF(Referral_Data!$C$5:$C$1000,B765)&gt;0,"Referred",IF(COUNTIF(Referral_Data!$B$5:$B$1000,B765)&gt;0,"Referrer","Organic"))</f>
        <v>Referred</v>
      </c>
      <c r="G765" s="29" t="n">
        <f aca="false">IF(COUNTIFS($B$5:B765,B765,$C$5:C765,C765)=1,1,0)</f>
        <v>0</v>
      </c>
      <c r="H765" s="29" t="n">
        <f aca="false">IF(AND(G765=1,COUNTIFS($B$5:$B$1635,B765,$C$5:$C$1635,"&lt;"&amp;C765)&gt;0),1,0)</f>
        <v>0</v>
      </c>
      <c r="I765" s="29" t="n">
        <f aca="false">IF(AND(D765="Feature Use",COUNTIFS($B$5:B765,B765,$D$5:D765,"Feature Use",$E$5:E765,E765)=1),1,0)</f>
        <v>0</v>
      </c>
      <c r="J765" s="29" t="n">
        <f aca="false">IF(AND(D765="Feature Use",COUNTIFS($B$5:B765,B765,$D$5:D765,"Feature Use",$E$5:E765,E765)=2),1,0)</f>
        <v>0</v>
      </c>
      <c r="K765" s="29" t="n">
        <f aca="false">IF(COUNTIF($B$5:B765,B765)=1,1,0)</f>
        <v>0</v>
      </c>
      <c r="L765" s="29" t="n">
        <f aca="false">IF(AND(C765&gt;=Settings!$B$5-Settings!$B$8+1,C765&lt;=Settings!$B$5,COUNTIFS($B$5:B765,B765,$C$5:C765,"&gt;="&amp;(Settings!$B$5-Settings!$B$8+1),$C$5:C765,"&lt;="&amp;Settings!$B$5)=1),1,0)</f>
        <v>0</v>
      </c>
      <c r="M765" s="29" t="n">
        <f aca="false">IF(AND(C765&gt;=Settings!$B$5-Settings!$B$9+1,C765&lt;=Settings!$B$5,COUNTIFS($B$5:B765,B765,$C$5:C765,"&gt;="&amp;(Settings!$B$5-Settings!$B$9+1),$C$5:C765,"&lt;="&amp;Settings!$B$5)=1),1,0)</f>
        <v>0</v>
      </c>
      <c r="N765" s="29" t="n">
        <f aca="false">IF(AND(D765="Feature Use",COUNTIFS($B$5:B765,B765,$D$5:D765,"Feature Use")=1),1,0)</f>
        <v>0</v>
      </c>
    </row>
    <row r="766" customFormat="false" ht="15" hidden="false" customHeight="false" outlineLevel="0" collapsed="false">
      <c r="A766" s="22" t="s">
        <v>1073</v>
      </c>
      <c r="B766" s="22" t="s">
        <v>220</v>
      </c>
      <c r="C766" s="31" t="n">
        <v>46291</v>
      </c>
      <c r="D766" s="22" t="s">
        <v>308</v>
      </c>
      <c r="E766" s="22" t="s">
        <v>301</v>
      </c>
      <c r="F766" s="29" t="str">
        <f aca="false">IF(COUNTIF(Referral_Data!$C$5:$C$1000,B766)&gt;0,"Referred",IF(COUNTIF(Referral_Data!$B$5:$B$1000,B766)&gt;0,"Referrer","Organic"))</f>
        <v>Referred</v>
      </c>
      <c r="G766" s="29" t="n">
        <f aca="false">IF(COUNTIFS($B$5:B766,B766,$C$5:C766,C766)=1,1,0)</f>
        <v>0</v>
      </c>
      <c r="H766" s="29" t="n">
        <f aca="false">IF(AND(G766=1,COUNTIFS($B$5:$B$1635,B766,$C$5:$C$1635,"&lt;"&amp;C766)&gt;0),1,0)</f>
        <v>0</v>
      </c>
      <c r="I766" s="29" t="n">
        <f aca="false">IF(AND(D766="Feature Use",COUNTIFS($B$5:B766,B766,$D$5:D766,"Feature Use",$E$5:E766,E766)=1),1,0)</f>
        <v>0</v>
      </c>
      <c r="J766" s="29" t="n">
        <f aca="false">IF(AND(D766="Feature Use",COUNTIFS($B$5:B766,B766,$D$5:D766,"Feature Use",$E$5:E766,E766)=2),1,0)</f>
        <v>0</v>
      </c>
      <c r="K766" s="29" t="n">
        <f aca="false">IF(COUNTIF($B$5:B766,B766)=1,1,0)</f>
        <v>0</v>
      </c>
      <c r="L766" s="29" t="n">
        <f aca="false">IF(AND(C766&gt;=Settings!$B$5-Settings!$B$8+1,C766&lt;=Settings!$B$5,COUNTIFS($B$5:B766,B766,$C$5:C766,"&gt;="&amp;(Settings!$B$5-Settings!$B$8+1),$C$5:C766,"&lt;="&amp;Settings!$B$5)=1),1,0)</f>
        <v>0</v>
      </c>
      <c r="M766" s="29" t="n">
        <f aca="false">IF(AND(C766&gt;=Settings!$B$5-Settings!$B$9+1,C766&lt;=Settings!$B$5,COUNTIFS($B$5:B766,B766,$C$5:C766,"&gt;="&amp;(Settings!$B$5-Settings!$B$9+1),$C$5:C766,"&lt;="&amp;Settings!$B$5)=1),1,0)</f>
        <v>0</v>
      </c>
      <c r="N766" s="29" t="n">
        <f aca="false">IF(AND(D766="Feature Use",COUNTIFS($B$5:B766,B766,$D$5:D766,"Feature Use")=1),1,0)</f>
        <v>0</v>
      </c>
    </row>
    <row r="767" customFormat="false" ht="15" hidden="false" customHeight="false" outlineLevel="0" collapsed="false">
      <c r="A767" s="22" t="s">
        <v>1074</v>
      </c>
      <c r="B767" s="22" t="s">
        <v>234</v>
      </c>
      <c r="C767" s="31" t="n">
        <v>46291</v>
      </c>
      <c r="D767" s="22" t="s">
        <v>297</v>
      </c>
      <c r="E767" s="22" t="s">
        <v>298</v>
      </c>
      <c r="F767" s="29" t="str">
        <f aca="false">IF(COUNTIF(Referral_Data!$C$5:$C$1000,B767)&gt;0,"Referred",IF(COUNTIF(Referral_Data!$B$5:$B$1000,B767)&gt;0,"Referrer","Organic"))</f>
        <v>Referred</v>
      </c>
      <c r="G767" s="29" t="n">
        <f aca="false">IF(COUNTIFS($B$5:B767,B767,$C$5:C767,C767)=1,1,0)</f>
        <v>1</v>
      </c>
      <c r="H767" s="29" t="n">
        <f aca="false">IF(AND(G767=1,COUNTIFS($B$5:$B$1635,B767,$C$5:$C$1635,"&lt;"&amp;C767)&gt;0),1,0)</f>
        <v>1</v>
      </c>
      <c r="I767" s="29" t="n">
        <f aca="false">IF(AND(D767="Feature Use",COUNTIFS($B$5:B767,B767,$D$5:D767,"Feature Use",$E$5:E767,E767)=1),1,0)</f>
        <v>0</v>
      </c>
      <c r="J767" s="29" t="n">
        <f aca="false">IF(AND(D767="Feature Use",COUNTIFS($B$5:B767,B767,$D$5:D767,"Feature Use",$E$5:E767,E767)=2),1,0)</f>
        <v>0</v>
      </c>
      <c r="K767" s="29" t="n">
        <f aca="false">IF(COUNTIF($B$5:B767,B767)=1,1,0)</f>
        <v>0</v>
      </c>
      <c r="L767" s="29" t="n">
        <f aca="false">IF(AND(C767&gt;=Settings!$B$5-Settings!$B$8+1,C767&lt;=Settings!$B$5,COUNTIFS($B$5:B767,B767,$C$5:C767,"&gt;="&amp;(Settings!$B$5-Settings!$B$8+1),$C$5:C767,"&lt;="&amp;Settings!$B$5)=1),1,0)</f>
        <v>0</v>
      </c>
      <c r="M767" s="29" t="n">
        <f aca="false">IF(AND(C767&gt;=Settings!$B$5-Settings!$B$9+1,C767&lt;=Settings!$B$5,COUNTIFS($B$5:B767,B767,$C$5:C767,"&gt;="&amp;(Settings!$B$5-Settings!$B$9+1),$C$5:C767,"&lt;="&amp;Settings!$B$5)=1),1,0)</f>
        <v>0</v>
      </c>
      <c r="N767" s="29" t="n">
        <f aca="false">IF(AND(D767="Feature Use",COUNTIFS($B$5:B767,B767,$D$5:D767,"Feature Use")=1),1,0)</f>
        <v>0</v>
      </c>
    </row>
    <row r="768" customFormat="false" ht="15" hidden="false" customHeight="false" outlineLevel="0" collapsed="false">
      <c r="A768" s="22" t="s">
        <v>1075</v>
      </c>
      <c r="B768" s="22" t="s">
        <v>234</v>
      </c>
      <c r="C768" s="31" t="n">
        <v>46291</v>
      </c>
      <c r="D768" s="22" t="s">
        <v>300</v>
      </c>
      <c r="E768" s="22" t="s">
        <v>319</v>
      </c>
      <c r="F768" s="29" t="str">
        <f aca="false">IF(COUNTIF(Referral_Data!$C$5:$C$1000,B768)&gt;0,"Referred",IF(COUNTIF(Referral_Data!$B$5:$B$1000,B768)&gt;0,"Referrer","Organic"))</f>
        <v>Referred</v>
      </c>
      <c r="G768" s="29" t="n">
        <f aca="false">IF(COUNTIFS($B$5:B768,B768,$C$5:C768,C768)=1,1,0)</f>
        <v>0</v>
      </c>
      <c r="H768" s="29" t="n">
        <f aca="false">IF(AND(G768=1,COUNTIFS($B$5:$B$1635,B768,$C$5:$C$1635,"&lt;"&amp;C768)&gt;0),1,0)</f>
        <v>0</v>
      </c>
      <c r="I768" s="29" t="n">
        <f aca="false">IF(AND(D768="Feature Use",COUNTIFS($B$5:B768,B768,$D$5:D768,"Feature Use",$E$5:E768,E768)=1),1,0)</f>
        <v>0</v>
      </c>
      <c r="J768" s="29" t="n">
        <f aca="false">IF(AND(D768="Feature Use",COUNTIFS($B$5:B768,B768,$D$5:D768,"Feature Use",$E$5:E768,E768)=2),1,0)</f>
        <v>0</v>
      </c>
      <c r="K768" s="29" t="n">
        <f aca="false">IF(COUNTIF($B$5:B768,B768)=1,1,0)</f>
        <v>0</v>
      </c>
      <c r="L768" s="29" t="n">
        <f aca="false">IF(AND(C768&gt;=Settings!$B$5-Settings!$B$8+1,C768&lt;=Settings!$B$5,COUNTIFS($B$5:B768,B768,$C$5:C768,"&gt;="&amp;(Settings!$B$5-Settings!$B$8+1),$C$5:C768,"&lt;="&amp;Settings!$B$5)=1),1,0)</f>
        <v>0</v>
      </c>
      <c r="M768" s="29" t="n">
        <f aca="false">IF(AND(C768&gt;=Settings!$B$5-Settings!$B$9+1,C768&lt;=Settings!$B$5,COUNTIFS($B$5:B768,B768,$C$5:C768,"&gt;="&amp;(Settings!$B$5-Settings!$B$9+1),$C$5:C768,"&lt;="&amp;Settings!$B$5)=1),1,0)</f>
        <v>0</v>
      </c>
      <c r="N768" s="29" t="n">
        <f aca="false">IF(AND(D768="Feature Use",COUNTIFS($B$5:B768,B768,$D$5:D768,"Feature Use")=1),1,0)</f>
        <v>0</v>
      </c>
    </row>
    <row r="769" customFormat="false" ht="15" hidden="false" customHeight="false" outlineLevel="0" collapsed="false">
      <c r="A769" s="22" t="s">
        <v>1076</v>
      </c>
      <c r="B769" s="22" t="s">
        <v>241</v>
      </c>
      <c r="C769" s="31" t="n">
        <v>46291</v>
      </c>
      <c r="D769" s="22" t="s">
        <v>297</v>
      </c>
      <c r="E769" s="22" t="s">
        <v>298</v>
      </c>
      <c r="F769" s="29" t="str">
        <f aca="false">IF(COUNTIF(Referral_Data!$C$5:$C$1000,B769)&gt;0,"Referred",IF(COUNTIF(Referral_Data!$B$5:$B$1000,B769)&gt;0,"Referrer","Organic"))</f>
        <v>Referred</v>
      </c>
      <c r="G769" s="29" t="n">
        <f aca="false">IF(COUNTIFS($B$5:B769,B769,$C$5:C769,C769)=1,1,0)</f>
        <v>1</v>
      </c>
      <c r="H769" s="29" t="n">
        <f aca="false">IF(AND(G769=1,COUNTIFS($B$5:$B$1635,B769,$C$5:$C$1635,"&lt;"&amp;C769)&gt;0),1,0)</f>
        <v>1</v>
      </c>
      <c r="I769" s="29" t="n">
        <f aca="false">IF(AND(D769="Feature Use",COUNTIFS($B$5:B769,B769,$D$5:D769,"Feature Use",$E$5:E769,E769)=1),1,0)</f>
        <v>0</v>
      </c>
      <c r="J769" s="29" t="n">
        <f aca="false">IF(AND(D769="Feature Use",COUNTIFS($B$5:B769,B769,$D$5:D769,"Feature Use",$E$5:E769,E769)=2),1,0)</f>
        <v>0</v>
      </c>
      <c r="K769" s="29" t="n">
        <f aca="false">IF(COUNTIF($B$5:B769,B769)=1,1,0)</f>
        <v>0</v>
      </c>
      <c r="L769" s="29" t="n">
        <f aca="false">IF(AND(C769&gt;=Settings!$B$5-Settings!$B$8+1,C769&lt;=Settings!$B$5,COUNTIFS($B$5:B769,B769,$C$5:C769,"&gt;="&amp;(Settings!$B$5-Settings!$B$8+1),$C$5:C769,"&lt;="&amp;Settings!$B$5)=1),1,0)</f>
        <v>0</v>
      </c>
      <c r="M769" s="29" t="n">
        <f aca="false">IF(AND(C769&gt;=Settings!$B$5-Settings!$B$9+1,C769&lt;=Settings!$B$5,COUNTIFS($B$5:B769,B769,$C$5:C769,"&gt;="&amp;(Settings!$B$5-Settings!$B$9+1),$C$5:C769,"&lt;="&amp;Settings!$B$5)=1),1,0)</f>
        <v>0</v>
      </c>
      <c r="N769" s="29" t="n">
        <f aca="false">IF(AND(D769="Feature Use",COUNTIFS($B$5:B769,B769,$D$5:D769,"Feature Use")=1),1,0)</f>
        <v>0</v>
      </c>
    </row>
    <row r="770" customFormat="false" ht="15" hidden="false" customHeight="false" outlineLevel="0" collapsed="false">
      <c r="A770" s="22" t="s">
        <v>1077</v>
      </c>
      <c r="B770" s="22" t="s">
        <v>241</v>
      </c>
      <c r="C770" s="31" t="n">
        <v>46291</v>
      </c>
      <c r="D770" s="22" t="s">
        <v>300</v>
      </c>
      <c r="E770" s="22" t="s">
        <v>319</v>
      </c>
      <c r="F770" s="29" t="str">
        <f aca="false">IF(COUNTIF(Referral_Data!$C$5:$C$1000,B770)&gt;0,"Referred",IF(COUNTIF(Referral_Data!$B$5:$B$1000,B770)&gt;0,"Referrer","Organic"))</f>
        <v>Referred</v>
      </c>
      <c r="G770" s="29" t="n">
        <f aca="false">IF(COUNTIFS($B$5:B770,B770,$C$5:C770,C770)=1,1,0)</f>
        <v>0</v>
      </c>
      <c r="H770" s="29" t="n">
        <f aca="false">IF(AND(G770=1,COUNTIFS($B$5:$B$1635,B770,$C$5:$C$1635,"&lt;"&amp;C770)&gt;0),1,0)</f>
        <v>0</v>
      </c>
      <c r="I770" s="29" t="n">
        <f aca="false">IF(AND(D770="Feature Use",COUNTIFS($B$5:B770,B770,$D$5:D770,"Feature Use",$E$5:E770,E770)=1),1,0)</f>
        <v>0</v>
      </c>
      <c r="J770" s="29" t="n">
        <f aca="false">IF(AND(D770="Feature Use",COUNTIFS($B$5:B770,B770,$D$5:D770,"Feature Use",$E$5:E770,E770)=2),1,0)</f>
        <v>1</v>
      </c>
      <c r="K770" s="29" t="n">
        <f aca="false">IF(COUNTIF($B$5:B770,B770)=1,1,0)</f>
        <v>0</v>
      </c>
      <c r="L770" s="29" t="n">
        <f aca="false">IF(AND(C770&gt;=Settings!$B$5-Settings!$B$8+1,C770&lt;=Settings!$B$5,COUNTIFS($B$5:B770,B770,$C$5:C770,"&gt;="&amp;(Settings!$B$5-Settings!$B$8+1),$C$5:C770,"&lt;="&amp;Settings!$B$5)=1),1,0)</f>
        <v>0</v>
      </c>
      <c r="M770" s="29" t="n">
        <f aca="false">IF(AND(C770&gt;=Settings!$B$5-Settings!$B$9+1,C770&lt;=Settings!$B$5,COUNTIFS($B$5:B770,B770,$C$5:C770,"&gt;="&amp;(Settings!$B$5-Settings!$B$9+1),$C$5:C770,"&lt;="&amp;Settings!$B$5)=1),1,0)</f>
        <v>0</v>
      </c>
      <c r="N770" s="29" t="n">
        <f aca="false">IF(AND(D770="Feature Use",COUNTIFS($B$5:B770,B770,$D$5:D770,"Feature Use")=1),1,0)</f>
        <v>0</v>
      </c>
    </row>
    <row r="771" customFormat="false" ht="15" hidden="false" customHeight="false" outlineLevel="0" collapsed="false">
      <c r="A771" s="22" t="s">
        <v>1078</v>
      </c>
      <c r="B771" s="22" t="s">
        <v>241</v>
      </c>
      <c r="C771" s="31" t="n">
        <v>46291</v>
      </c>
      <c r="D771" s="22" t="s">
        <v>300</v>
      </c>
      <c r="E771" s="22" t="s">
        <v>309</v>
      </c>
      <c r="F771" s="29" t="str">
        <f aca="false">IF(COUNTIF(Referral_Data!$C$5:$C$1000,B771)&gt;0,"Referred",IF(COUNTIF(Referral_Data!$B$5:$B$1000,B771)&gt;0,"Referrer","Organic"))</f>
        <v>Referred</v>
      </c>
      <c r="G771" s="29" t="n">
        <f aca="false">IF(COUNTIFS($B$5:B771,B771,$C$5:C771,C771)=1,1,0)</f>
        <v>0</v>
      </c>
      <c r="H771" s="29" t="n">
        <f aca="false">IF(AND(G771=1,COUNTIFS($B$5:$B$1635,B771,$C$5:$C$1635,"&lt;"&amp;C771)&gt;0),1,0)</f>
        <v>0</v>
      </c>
      <c r="I771" s="29" t="n">
        <f aca="false">IF(AND(D771="Feature Use",COUNTIFS($B$5:B771,B771,$D$5:D771,"Feature Use",$E$5:E771,E771)=1),1,0)</f>
        <v>1</v>
      </c>
      <c r="J771" s="29" t="n">
        <f aca="false">IF(AND(D771="Feature Use",COUNTIFS($B$5:B771,B771,$D$5:D771,"Feature Use",$E$5:E771,E771)=2),1,0)</f>
        <v>0</v>
      </c>
      <c r="K771" s="29" t="n">
        <f aca="false">IF(COUNTIF($B$5:B771,B771)=1,1,0)</f>
        <v>0</v>
      </c>
      <c r="L771" s="29" t="n">
        <f aca="false">IF(AND(C771&gt;=Settings!$B$5-Settings!$B$8+1,C771&lt;=Settings!$B$5,COUNTIFS($B$5:B771,B771,$C$5:C771,"&gt;="&amp;(Settings!$B$5-Settings!$B$8+1),$C$5:C771,"&lt;="&amp;Settings!$B$5)=1),1,0)</f>
        <v>0</v>
      </c>
      <c r="M771" s="29" t="n">
        <f aca="false">IF(AND(C771&gt;=Settings!$B$5-Settings!$B$9+1,C771&lt;=Settings!$B$5,COUNTIFS($B$5:B771,B771,$C$5:C771,"&gt;="&amp;(Settings!$B$5-Settings!$B$9+1),$C$5:C771,"&lt;="&amp;Settings!$B$5)=1),1,0)</f>
        <v>0</v>
      </c>
      <c r="N771" s="29" t="n">
        <f aca="false">IF(AND(D771="Feature Use",COUNTIFS($B$5:B771,B771,$D$5:D771,"Feature Use")=1),1,0)</f>
        <v>0</v>
      </c>
    </row>
    <row r="772" customFormat="false" ht="15" hidden="false" customHeight="false" outlineLevel="0" collapsed="false">
      <c r="A772" s="22" t="s">
        <v>1079</v>
      </c>
      <c r="B772" s="22" t="s">
        <v>252</v>
      </c>
      <c r="C772" s="31" t="n">
        <v>46291</v>
      </c>
      <c r="D772" s="22" t="s">
        <v>297</v>
      </c>
      <c r="E772" s="22" t="s">
        <v>298</v>
      </c>
      <c r="F772" s="29" t="str">
        <f aca="false">IF(COUNTIF(Referral_Data!$C$5:$C$1000,B772)&gt;0,"Referred",IF(COUNTIF(Referral_Data!$B$5:$B$1000,B772)&gt;0,"Referrer","Organic"))</f>
        <v>Referred</v>
      </c>
      <c r="G772" s="29" t="n">
        <f aca="false">IF(COUNTIFS($B$5:B772,B772,$C$5:C772,C772)=1,1,0)</f>
        <v>1</v>
      </c>
      <c r="H772" s="29" t="n">
        <f aca="false">IF(AND(G772=1,COUNTIFS($B$5:$B$1635,B772,$C$5:$C$1635,"&lt;"&amp;C772)&gt;0),1,0)</f>
        <v>1</v>
      </c>
      <c r="I772" s="29" t="n">
        <f aca="false">IF(AND(D772="Feature Use",COUNTIFS($B$5:B772,B772,$D$5:D772,"Feature Use",$E$5:E772,E772)=1),1,0)</f>
        <v>0</v>
      </c>
      <c r="J772" s="29" t="n">
        <f aca="false">IF(AND(D772="Feature Use",COUNTIFS($B$5:B772,B772,$D$5:D772,"Feature Use",$E$5:E772,E772)=2),1,0)</f>
        <v>0</v>
      </c>
      <c r="K772" s="29" t="n">
        <f aca="false">IF(COUNTIF($B$5:B772,B772)=1,1,0)</f>
        <v>0</v>
      </c>
      <c r="L772" s="29" t="n">
        <f aca="false">IF(AND(C772&gt;=Settings!$B$5-Settings!$B$8+1,C772&lt;=Settings!$B$5,COUNTIFS($B$5:B772,B772,$C$5:C772,"&gt;="&amp;(Settings!$B$5-Settings!$B$8+1),$C$5:C772,"&lt;="&amp;Settings!$B$5)=1),1,0)</f>
        <v>0</v>
      </c>
      <c r="M772" s="29" t="n">
        <f aca="false">IF(AND(C772&gt;=Settings!$B$5-Settings!$B$9+1,C772&lt;=Settings!$B$5,COUNTIFS($B$5:B772,B772,$C$5:C772,"&gt;="&amp;(Settings!$B$5-Settings!$B$9+1),$C$5:C772,"&lt;="&amp;Settings!$B$5)=1),1,0)</f>
        <v>0</v>
      </c>
      <c r="N772" s="29" t="n">
        <f aca="false">IF(AND(D772="Feature Use",COUNTIFS($B$5:B772,B772,$D$5:D772,"Feature Use")=1),1,0)</f>
        <v>0</v>
      </c>
    </row>
    <row r="773" customFormat="false" ht="15" hidden="false" customHeight="false" outlineLevel="0" collapsed="false">
      <c r="A773" s="22" t="s">
        <v>1080</v>
      </c>
      <c r="B773" s="22" t="s">
        <v>252</v>
      </c>
      <c r="C773" s="31" t="n">
        <v>46291</v>
      </c>
      <c r="D773" s="22" t="s">
        <v>300</v>
      </c>
      <c r="E773" s="22" t="s">
        <v>311</v>
      </c>
      <c r="F773" s="29" t="str">
        <f aca="false">IF(COUNTIF(Referral_Data!$C$5:$C$1000,B773)&gt;0,"Referred",IF(COUNTIF(Referral_Data!$B$5:$B$1000,B773)&gt;0,"Referrer","Organic"))</f>
        <v>Referred</v>
      </c>
      <c r="G773" s="29" t="n">
        <f aca="false">IF(COUNTIFS($B$5:B773,B773,$C$5:C773,C773)=1,1,0)</f>
        <v>0</v>
      </c>
      <c r="H773" s="29" t="n">
        <f aca="false">IF(AND(G773=1,COUNTIFS($B$5:$B$1635,B773,$C$5:$C$1635,"&lt;"&amp;C773)&gt;0),1,0)</f>
        <v>0</v>
      </c>
      <c r="I773" s="29" t="n">
        <f aca="false">IF(AND(D773="Feature Use",COUNTIFS($B$5:B773,B773,$D$5:D773,"Feature Use",$E$5:E773,E773)=1),1,0)</f>
        <v>0</v>
      </c>
      <c r="J773" s="29" t="n">
        <f aca="false">IF(AND(D773="Feature Use",COUNTIFS($B$5:B773,B773,$D$5:D773,"Feature Use",$E$5:E773,E773)=2),1,0)</f>
        <v>0</v>
      </c>
      <c r="K773" s="29" t="n">
        <f aca="false">IF(COUNTIF($B$5:B773,B773)=1,1,0)</f>
        <v>0</v>
      </c>
      <c r="L773" s="29" t="n">
        <f aca="false">IF(AND(C773&gt;=Settings!$B$5-Settings!$B$8+1,C773&lt;=Settings!$B$5,COUNTIFS($B$5:B773,B773,$C$5:C773,"&gt;="&amp;(Settings!$B$5-Settings!$B$8+1),$C$5:C773,"&lt;="&amp;Settings!$B$5)=1),1,0)</f>
        <v>0</v>
      </c>
      <c r="M773" s="29" t="n">
        <f aca="false">IF(AND(C773&gt;=Settings!$B$5-Settings!$B$9+1,C773&lt;=Settings!$B$5,COUNTIFS($B$5:B773,B773,$C$5:C773,"&gt;="&amp;(Settings!$B$5-Settings!$B$9+1),$C$5:C773,"&lt;="&amp;Settings!$B$5)=1),1,0)</f>
        <v>0</v>
      </c>
      <c r="N773" s="29" t="n">
        <f aca="false">IF(AND(D773="Feature Use",COUNTIFS($B$5:B773,B773,$D$5:D773,"Feature Use")=1),1,0)</f>
        <v>0</v>
      </c>
    </row>
    <row r="774" customFormat="false" ht="15" hidden="false" customHeight="false" outlineLevel="0" collapsed="false">
      <c r="A774" s="22" t="s">
        <v>1081</v>
      </c>
      <c r="B774" s="22" t="s">
        <v>252</v>
      </c>
      <c r="C774" s="31" t="n">
        <v>46291</v>
      </c>
      <c r="D774" s="22" t="s">
        <v>300</v>
      </c>
      <c r="E774" s="22" t="s">
        <v>305</v>
      </c>
      <c r="F774" s="29" t="str">
        <f aca="false">IF(COUNTIF(Referral_Data!$C$5:$C$1000,B774)&gt;0,"Referred",IF(COUNTIF(Referral_Data!$B$5:$B$1000,B774)&gt;0,"Referrer","Organic"))</f>
        <v>Referred</v>
      </c>
      <c r="G774" s="29" t="n">
        <f aca="false">IF(COUNTIFS($B$5:B774,B774,$C$5:C774,C774)=1,1,0)</f>
        <v>0</v>
      </c>
      <c r="H774" s="29" t="n">
        <f aca="false">IF(AND(G774=1,COUNTIFS($B$5:$B$1635,B774,$C$5:$C$1635,"&lt;"&amp;C774)&gt;0),1,0)</f>
        <v>0</v>
      </c>
      <c r="I774" s="29" t="n">
        <f aca="false">IF(AND(D774="Feature Use",COUNTIFS($B$5:B774,B774,$D$5:D774,"Feature Use",$E$5:E774,E774)=1),1,0)</f>
        <v>0</v>
      </c>
      <c r="J774" s="29" t="n">
        <f aca="false">IF(AND(D774="Feature Use",COUNTIFS($B$5:B774,B774,$D$5:D774,"Feature Use",$E$5:E774,E774)=2),1,0)</f>
        <v>1</v>
      </c>
      <c r="K774" s="29" t="n">
        <f aca="false">IF(COUNTIF($B$5:B774,B774)=1,1,0)</f>
        <v>0</v>
      </c>
      <c r="L774" s="29" t="n">
        <f aca="false">IF(AND(C774&gt;=Settings!$B$5-Settings!$B$8+1,C774&lt;=Settings!$B$5,COUNTIFS($B$5:B774,B774,$C$5:C774,"&gt;="&amp;(Settings!$B$5-Settings!$B$8+1),$C$5:C774,"&lt;="&amp;Settings!$B$5)=1),1,0)</f>
        <v>0</v>
      </c>
      <c r="M774" s="29" t="n">
        <f aca="false">IF(AND(C774&gt;=Settings!$B$5-Settings!$B$9+1,C774&lt;=Settings!$B$5,COUNTIFS($B$5:B774,B774,$C$5:C774,"&gt;="&amp;(Settings!$B$5-Settings!$B$9+1),$C$5:C774,"&lt;="&amp;Settings!$B$5)=1),1,0)</f>
        <v>0</v>
      </c>
      <c r="N774" s="29" t="n">
        <f aca="false">IF(AND(D774="Feature Use",COUNTIFS($B$5:B774,B774,$D$5:D774,"Feature Use")=1),1,0)</f>
        <v>0</v>
      </c>
    </row>
    <row r="775" customFormat="false" ht="15" hidden="false" customHeight="false" outlineLevel="0" collapsed="false">
      <c r="A775" s="22" t="s">
        <v>1082</v>
      </c>
      <c r="B775" s="22" t="s">
        <v>263</v>
      </c>
      <c r="C775" s="31" t="n">
        <v>46291</v>
      </c>
      <c r="D775" s="22" t="s">
        <v>297</v>
      </c>
      <c r="E775" s="22" t="s">
        <v>298</v>
      </c>
      <c r="F775" s="29" t="str">
        <f aca="false">IF(COUNTIF(Referral_Data!$C$5:$C$1000,B775)&gt;0,"Referred",IF(COUNTIF(Referral_Data!$B$5:$B$1000,B775)&gt;0,"Referrer","Organic"))</f>
        <v>Referred</v>
      </c>
      <c r="G775" s="29" t="n">
        <f aca="false">IF(COUNTIFS($B$5:B775,B775,$C$5:C775,C775)=1,1,0)</f>
        <v>1</v>
      </c>
      <c r="H775" s="29" t="n">
        <f aca="false">IF(AND(G775=1,COUNTIFS($B$5:$B$1635,B775,$C$5:$C$1635,"&lt;"&amp;C775)&gt;0),1,0)</f>
        <v>1</v>
      </c>
      <c r="I775" s="29" t="n">
        <f aca="false">IF(AND(D775="Feature Use",COUNTIFS($B$5:B775,B775,$D$5:D775,"Feature Use",$E$5:E775,E775)=1),1,0)</f>
        <v>0</v>
      </c>
      <c r="J775" s="29" t="n">
        <f aca="false">IF(AND(D775="Feature Use",COUNTIFS($B$5:B775,B775,$D$5:D775,"Feature Use",$E$5:E775,E775)=2),1,0)</f>
        <v>0</v>
      </c>
      <c r="K775" s="29" t="n">
        <f aca="false">IF(COUNTIF($B$5:B775,B775)=1,1,0)</f>
        <v>0</v>
      </c>
      <c r="L775" s="29" t="n">
        <f aca="false">IF(AND(C775&gt;=Settings!$B$5-Settings!$B$8+1,C775&lt;=Settings!$B$5,COUNTIFS($B$5:B775,B775,$C$5:C775,"&gt;="&amp;(Settings!$B$5-Settings!$B$8+1),$C$5:C775,"&lt;="&amp;Settings!$B$5)=1),1,0)</f>
        <v>0</v>
      </c>
      <c r="M775" s="29" t="n">
        <f aca="false">IF(AND(C775&gt;=Settings!$B$5-Settings!$B$9+1,C775&lt;=Settings!$B$5,COUNTIFS($B$5:B775,B775,$C$5:C775,"&gt;="&amp;(Settings!$B$5-Settings!$B$9+1),$C$5:C775,"&lt;="&amp;Settings!$B$5)=1),1,0)</f>
        <v>0</v>
      </c>
      <c r="N775" s="29" t="n">
        <f aca="false">IF(AND(D775="Feature Use",COUNTIFS($B$5:B775,B775,$D$5:D775,"Feature Use")=1),1,0)</f>
        <v>0</v>
      </c>
    </row>
    <row r="776" customFormat="false" ht="15" hidden="false" customHeight="false" outlineLevel="0" collapsed="false">
      <c r="A776" s="22" t="s">
        <v>1083</v>
      </c>
      <c r="B776" s="22" t="s">
        <v>263</v>
      </c>
      <c r="C776" s="31" t="n">
        <v>46291</v>
      </c>
      <c r="D776" s="22" t="s">
        <v>300</v>
      </c>
      <c r="E776" s="22" t="s">
        <v>305</v>
      </c>
      <c r="F776" s="29" t="str">
        <f aca="false">IF(COUNTIF(Referral_Data!$C$5:$C$1000,B776)&gt;0,"Referred",IF(COUNTIF(Referral_Data!$B$5:$B$1000,B776)&gt;0,"Referrer","Organic"))</f>
        <v>Referred</v>
      </c>
      <c r="G776" s="29" t="n">
        <f aca="false">IF(COUNTIFS($B$5:B776,B776,$C$5:C776,C776)=1,1,0)</f>
        <v>0</v>
      </c>
      <c r="H776" s="29" t="n">
        <f aca="false">IF(AND(G776=1,COUNTIFS($B$5:$B$1635,B776,$C$5:$C$1635,"&lt;"&amp;C776)&gt;0),1,0)</f>
        <v>0</v>
      </c>
      <c r="I776" s="29" t="n">
        <f aca="false">IF(AND(D776="Feature Use",COUNTIFS($B$5:B776,B776,$D$5:D776,"Feature Use",$E$5:E776,E776)=1),1,0)</f>
        <v>0</v>
      </c>
      <c r="J776" s="29" t="n">
        <f aca="false">IF(AND(D776="Feature Use",COUNTIFS($B$5:B776,B776,$D$5:D776,"Feature Use",$E$5:E776,E776)=2),1,0)</f>
        <v>0</v>
      </c>
      <c r="K776" s="29" t="n">
        <f aca="false">IF(COUNTIF($B$5:B776,B776)=1,1,0)</f>
        <v>0</v>
      </c>
      <c r="L776" s="29" t="n">
        <f aca="false">IF(AND(C776&gt;=Settings!$B$5-Settings!$B$8+1,C776&lt;=Settings!$B$5,COUNTIFS($B$5:B776,B776,$C$5:C776,"&gt;="&amp;(Settings!$B$5-Settings!$B$8+1),$C$5:C776,"&lt;="&amp;Settings!$B$5)=1),1,0)</f>
        <v>0</v>
      </c>
      <c r="M776" s="29" t="n">
        <f aca="false">IF(AND(C776&gt;=Settings!$B$5-Settings!$B$9+1,C776&lt;=Settings!$B$5,COUNTIFS($B$5:B776,B776,$C$5:C776,"&gt;="&amp;(Settings!$B$5-Settings!$B$9+1),$C$5:C776,"&lt;="&amp;Settings!$B$5)=1),1,0)</f>
        <v>0</v>
      </c>
      <c r="N776" s="29" t="n">
        <f aca="false">IF(AND(D776="Feature Use",COUNTIFS($B$5:B776,B776,$D$5:D776,"Feature Use")=1),1,0)</f>
        <v>0</v>
      </c>
    </row>
    <row r="777" customFormat="false" ht="15" hidden="false" customHeight="false" outlineLevel="0" collapsed="false">
      <c r="A777" s="22" t="s">
        <v>1084</v>
      </c>
      <c r="B777" s="22" t="s">
        <v>263</v>
      </c>
      <c r="C777" s="31" t="n">
        <v>46291</v>
      </c>
      <c r="D777" s="22" t="s">
        <v>308</v>
      </c>
      <c r="E777" s="22" t="s">
        <v>311</v>
      </c>
      <c r="F777" s="29" t="str">
        <f aca="false">IF(COUNTIF(Referral_Data!$C$5:$C$1000,B777)&gt;0,"Referred",IF(COUNTIF(Referral_Data!$B$5:$B$1000,B777)&gt;0,"Referrer","Organic"))</f>
        <v>Referred</v>
      </c>
      <c r="G777" s="29" t="n">
        <f aca="false">IF(COUNTIFS($B$5:B777,B777,$C$5:C777,C777)=1,1,0)</f>
        <v>0</v>
      </c>
      <c r="H777" s="29" t="n">
        <f aca="false">IF(AND(G777=1,COUNTIFS($B$5:$B$1635,B777,$C$5:$C$1635,"&lt;"&amp;C777)&gt;0),1,0)</f>
        <v>0</v>
      </c>
      <c r="I777" s="29" t="n">
        <f aca="false">IF(AND(D777="Feature Use",COUNTIFS($B$5:B777,B777,$D$5:D777,"Feature Use",$E$5:E777,E777)=1),1,0)</f>
        <v>0</v>
      </c>
      <c r="J777" s="29" t="n">
        <f aca="false">IF(AND(D777="Feature Use",COUNTIFS($B$5:B777,B777,$D$5:D777,"Feature Use",$E$5:E777,E777)=2),1,0)</f>
        <v>0</v>
      </c>
      <c r="K777" s="29" t="n">
        <f aca="false">IF(COUNTIF($B$5:B777,B777)=1,1,0)</f>
        <v>0</v>
      </c>
      <c r="L777" s="29" t="n">
        <f aca="false">IF(AND(C777&gt;=Settings!$B$5-Settings!$B$8+1,C777&lt;=Settings!$B$5,COUNTIFS($B$5:B777,B777,$C$5:C777,"&gt;="&amp;(Settings!$B$5-Settings!$B$8+1),$C$5:C777,"&lt;="&amp;Settings!$B$5)=1),1,0)</f>
        <v>0</v>
      </c>
      <c r="M777" s="29" t="n">
        <f aca="false">IF(AND(C777&gt;=Settings!$B$5-Settings!$B$9+1,C777&lt;=Settings!$B$5,COUNTIFS($B$5:B777,B777,$C$5:C777,"&gt;="&amp;(Settings!$B$5-Settings!$B$9+1),$C$5:C777,"&lt;="&amp;Settings!$B$5)=1),1,0)</f>
        <v>0</v>
      </c>
      <c r="N777" s="29" t="n">
        <f aca="false">IF(AND(D777="Feature Use",COUNTIFS($B$5:B777,B777,$D$5:D777,"Feature Use")=1),1,0)</f>
        <v>0</v>
      </c>
    </row>
    <row r="778" customFormat="false" ht="15" hidden="false" customHeight="false" outlineLevel="0" collapsed="false">
      <c r="A778" s="22" t="s">
        <v>1085</v>
      </c>
      <c r="B778" s="22" t="s">
        <v>263</v>
      </c>
      <c r="C778" s="31" t="n">
        <v>46291</v>
      </c>
      <c r="D778" s="22" t="s">
        <v>308</v>
      </c>
      <c r="E778" s="22" t="s">
        <v>309</v>
      </c>
      <c r="F778" s="29" t="str">
        <f aca="false">IF(COUNTIF(Referral_Data!$C$5:$C$1000,B778)&gt;0,"Referred",IF(COUNTIF(Referral_Data!$B$5:$B$1000,B778)&gt;0,"Referrer","Organic"))</f>
        <v>Referred</v>
      </c>
      <c r="G778" s="29" t="n">
        <f aca="false">IF(COUNTIFS($B$5:B778,B778,$C$5:C778,C778)=1,1,0)</f>
        <v>0</v>
      </c>
      <c r="H778" s="29" t="n">
        <f aca="false">IF(AND(G778=1,COUNTIFS($B$5:$B$1635,B778,$C$5:$C$1635,"&lt;"&amp;C778)&gt;0),1,0)</f>
        <v>0</v>
      </c>
      <c r="I778" s="29" t="n">
        <f aca="false">IF(AND(D778="Feature Use",COUNTIFS($B$5:B778,B778,$D$5:D778,"Feature Use",$E$5:E778,E778)=1),1,0)</f>
        <v>0</v>
      </c>
      <c r="J778" s="29" t="n">
        <f aca="false">IF(AND(D778="Feature Use",COUNTIFS($B$5:B778,B778,$D$5:D778,"Feature Use",$E$5:E778,E778)=2),1,0)</f>
        <v>0</v>
      </c>
      <c r="K778" s="29" t="n">
        <f aca="false">IF(COUNTIF($B$5:B778,B778)=1,1,0)</f>
        <v>0</v>
      </c>
      <c r="L778" s="29" t="n">
        <f aca="false">IF(AND(C778&gt;=Settings!$B$5-Settings!$B$8+1,C778&lt;=Settings!$B$5,COUNTIFS($B$5:B778,B778,$C$5:C778,"&gt;="&amp;(Settings!$B$5-Settings!$B$8+1),$C$5:C778,"&lt;="&amp;Settings!$B$5)=1),1,0)</f>
        <v>0</v>
      </c>
      <c r="M778" s="29" t="n">
        <f aca="false">IF(AND(C778&gt;=Settings!$B$5-Settings!$B$9+1,C778&lt;=Settings!$B$5,COUNTIFS($B$5:B778,B778,$C$5:C778,"&gt;="&amp;(Settings!$B$5-Settings!$B$9+1),$C$5:C778,"&lt;="&amp;Settings!$B$5)=1),1,0)</f>
        <v>0</v>
      </c>
      <c r="N778" s="29" t="n">
        <f aca="false">IF(AND(D778="Feature Use",COUNTIFS($B$5:B778,B778,$D$5:D778,"Feature Use")=1),1,0)</f>
        <v>0</v>
      </c>
    </row>
    <row r="779" customFormat="false" ht="15" hidden="false" customHeight="false" outlineLevel="0" collapsed="false">
      <c r="A779" s="22" t="s">
        <v>1086</v>
      </c>
      <c r="B779" s="22" t="s">
        <v>196</v>
      </c>
      <c r="C779" s="31" t="n">
        <v>46291</v>
      </c>
      <c r="D779" s="22" t="s">
        <v>297</v>
      </c>
      <c r="E779" s="22" t="s">
        <v>298</v>
      </c>
      <c r="F779" s="29" t="str">
        <f aca="false">IF(COUNTIF(Referral_Data!$C$5:$C$1000,B779)&gt;0,"Referred",IF(COUNTIF(Referral_Data!$B$5:$B$1000,B779)&gt;0,"Referrer","Organic"))</f>
        <v>Referrer</v>
      </c>
      <c r="G779" s="29" t="n">
        <f aca="false">IF(COUNTIFS($B$5:B779,B779,$C$5:C779,C779)=1,1,0)</f>
        <v>1</v>
      </c>
      <c r="H779" s="29" t="n">
        <f aca="false">IF(AND(G779=1,COUNTIFS($B$5:$B$1635,B779,$C$5:$C$1635,"&lt;"&amp;C779)&gt;0),1,0)</f>
        <v>1</v>
      </c>
      <c r="I779" s="29" t="n">
        <f aca="false">IF(AND(D779="Feature Use",COUNTIFS($B$5:B779,B779,$D$5:D779,"Feature Use",$E$5:E779,E779)=1),1,0)</f>
        <v>0</v>
      </c>
      <c r="J779" s="29" t="n">
        <f aca="false">IF(AND(D779="Feature Use",COUNTIFS($B$5:B779,B779,$D$5:D779,"Feature Use",$E$5:E779,E779)=2),1,0)</f>
        <v>0</v>
      </c>
      <c r="K779" s="29" t="n">
        <f aca="false">IF(COUNTIF($B$5:B779,B779)=1,1,0)</f>
        <v>0</v>
      </c>
      <c r="L779" s="29" t="n">
        <f aca="false">IF(AND(C779&gt;=Settings!$B$5-Settings!$B$8+1,C779&lt;=Settings!$B$5,COUNTIFS($B$5:B779,B779,$C$5:C779,"&gt;="&amp;(Settings!$B$5-Settings!$B$8+1),$C$5:C779,"&lt;="&amp;Settings!$B$5)=1),1,0)</f>
        <v>0</v>
      </c>
      <c r="M779" s="29" t="n">
        <f aca="false">IF(AND(C779&gt;=Settings!$B$5-Settings!$B$9+1,C779&lt;=Settings!$B$5,COUNTIFS($B$5:B779,B779,$C$5:C779,"&gt;="&amp;(Settings!$B$5-Settings!$B$9+1),$C$5:C779,"&lt;="&amp;Settings!$B$5)=1),1,0)</f>
        <v>0</v>
      </c>
      <c r="N779" s="29" t="n">
        <f aca="false">IF(AND(D779="Feature Use",COUNTIFS($B$5:B779,B779,$D$5:D779,"Feature Use")=1),1,0)</f>
        <v>0</v>
      </c>
    </row>
    <row r="780" customFormat="false" ht="15" hidden="false" customHeight="false" outlineLevel="0" collapsed="false">
      <c r="A780" s="22" t="s">
        <v>1087</v>
      </c>
      <c r="B780" s="22" t="s">
        <v>196</v>
      </c>
      <c r="C780" s="31" t="n">
        <v>46291</v>
      </c>
      <c r="D780" s="22" t="s">
        <v>300</v>
      </c>
      <c r="E780" s="22" t="s">
        <v>311</v>
      </c>
      <c r="F780" s="29" t="str">
        <f aca="false">IF(COUNTIF(Referral_Data!$C$5:$C$1000,B780)&gt;0,"Referred",IF(COUNTIF(Referral_Data!$B$5:$B$1000,B780)&gt;0,"Referrer","Organic"))</f>
        <v>Referrer</v>
      </c>
      <c r="G780" s="29" t="n">
        <f aca="false">IF(COUNTIFS($B$5:B780,B780,$C$5:C780,C780)=1,1,0)</f>
        <v>0</v>
      </c>
      <c r="H780" s="29" t="n">
        <f aca="false">IF(AND(G780=1,COUNTIFS($B$5:$B$1635,B780,$C$5:$C$1635,"&lt;"&amp;C780)&gt;0),1,0)</f>
        <v>0</v>
      </c>
      <c r="I780" s="29" t="n">
        <f aca="false">IF(AND(D780="Feature Use",COUNTIFS($B$5:B780,B780,$D$5:D780,"Feature Use",$E$5:E780,E780)=1),1,0)</f>
        <v>0</v>
      </c>
      <c r="J780" s="29" t="n">
        <f aca="false">IF(AND(D780="Feature Use",COUNTIFS($B$5:B780,B780,$D$5:D780,"Feature Use",$E$5:E780,E780)=2),1,0)</f>
        <v>0</v>
      </c>
      <c r="K780" s="29" t="n">
        <f aca="false">IF(COUNTIF($B$5:B780,B780)=1,1,0)</f>
        <v>0</v>
      </c>
      <c r="L780" s="29" t="n">
        <f aca="false">IF(AND(C780&gt;=Settings!$B$5-Settings!$B$8+1,C780&lt;=Settings!$B$5,COUNTIFS($B$5:B780,B780,$C$5:C780,"&gt;="&amp;(Settings!$B$5-Settings!$B$8+1),$C$5:C780,"&lt;="&amp;Settings!$B$5)=1),1,0)</f>
        <v>0</v>
      </c>
      <c r="M780" s="29" t="n">
        <f aca="false">IF(AND(C780&gt;=Settings!$B$5-Settings!$B$9+1,C780&lt;=Settings!$B$5,COUNTIFS($B$5:B780,B780,$C$5:C780,"&gt;="&amp;(Settings!$B$5-Settings!$B$9+1),$C$5:C780,"&lt;="&amp;Settings!$B$5)=1),1,0)</f>
        <v>0</v>
      </c>
      <c r="N780" s="29" t="n">
        <f aca="false">IF(AND(D780="Feature Use",COUNTIFS($B$5:B780,B780,$D$5:D780,"Feature Use")=1),1,0)</f>
        <v>0</v>
      </c>
    </row>
    <row r="781" customFormat="false" ht="15" hidden="false" customHeight="false" outlineLevel="0" collapsed="false">
      <c r="A781" s="22" t="s">
        <v>1088</v>
      </c>
      <c r="B781" s="22" t="s">
        <v>196</v>
      </c>
      <c r="C781" s="31" t="n">
        <v>46291</v>
      </c>
      <c r="D781" s="22" t="s">
        <v>300</v>
      </c>
      <c r="E781" s="22" t="s">
        <v>309</v>
      </c>
      <c r="F781" s="29" t="str">
        <f aca="false">IF(COUNTIF(Referral_Data!$C$5:$C$1000,B781)&gt;0,"Referred",IF(COUNTIF(Referral_Data!$B$5:$B$1000,B781)&gt;0,"Referrer","Organic"))</f>
        <v>Referrer</v>
      </c>
      <c r="G781" s="29" t="n">
        <f aca="false">IF(COUNTIFS($B$5:B781,B781,$C$5:C781,C781)=1,1,0)</f>
        <v>0</v>
      </c>
      <c r="H781" s="29" t="n">
        <f aca="false">IF(AND(G781=1,COUNTIFS($B$5:$B$1635,B781,$C$5:$C$1635,"&lt;"&amp;C781)&gt;0),1,0)</f>
        <v>0</v>
      </c>
      <c r="I781" s="29" t="n">
        <f aca="false">IF(AND(D781="Feature Use",COUNTIFS($B$5:B781,B781,$D$5:D781,"Feature Use",$E$5:E781,E781)=1),1,0)</f>
        <v>1</v>
      </c>
      <c r="J781" s="29" t="n">
        <f aca="false">IF(AND(D781="Feature Use",COUNTIFS($B$5:B781,B781,$D$5:D781,"Feature Use",$E$5:E781,E781)=2),1,0)</f>
        <v>0</v>
      </c>
      <c r="K781" s="29" t="n">
        <f aca="false">IF(COUNTIF($B$5:B781,B781)=1,1,0)</f>
        <v>0</v>
      </c>
      <c r="L781" s="29" t="n">
        <f aca="false">IF(AND(C781&gt;=Settings!$B$5-Settings!$B$8+1,C781&lt;=Settings!$B$5,COUNTIFS($B$5:B781,B781,$C$5:C781,"&gt;="&amp;(Settings!$B$5-Settings!$B$8+1),$C$5:C781,"&lt;="&amp;Settings!$B$5)=1),1,0)</f>
        <v>0</v>
      </c>
      <c r="M781" s="29" t="n">
        <f aca="false">IF(AND(C781&gt;=Settings!$B$5-Settings!$B$9+1,C781&lt;=Settings!$B$5,COUNTIFS($B$5:B781,B781,$C$5:C781,"&gt;="&amp;(Settings!$B$5-Settings!$B$9+1),$C$5:C781,"&lt;="&amp;Settings!$B$5)=1),1,0)</f>
        <v>0</v>
      </c>
      <c r="N781" s="29" t="n">
        <f aca="false">IF(AND(D781="Feature Use",COUNTIFS($B$5:B781,B781,$D$5:D781,"Feature Use")=1),1,0)</f>
        <v>0</v>
      </c>
    </row>
    <row r="782" customFormat="false" ht="15" hidden="false" customHeight="false" outlineLevel="0" collapsed="false">
      <c r="A782" s="22" t="s">
        <v>1089</v>
      </c>
      <c r="B782" s="22" t="s">
        <v>196</v>
      </c>
      <c r="C782" s="31" t="n">
        <v>46291</v>
      </c>
      <c r="D782" s="22" t="s">
        <v>308</v>
      </c>
      <c r="E782" s="22" t="s">
        <v>319</v>
      </c>
      <c r="F782" s="29" t="str">
        <f aca="false">IF(COUNTIF(Referral_Data!$C$5:$C$1000,B782)&gt;0,"Referred",IF(COUNTIF(Referral_Data!$B$5:$B$1000,B782)&gt;0,"Referrer","Organic"))</f>
        <v>Referrer</v>
      </c>
      <c r="G782" s="29" t="n">
        <f aca="false">IF(COUNTIFS($B$5:B782,B782,$C$5:C782,C782)=1,1,0)</f>
        <v>0</v>
      </c>
      <c r="H782" s="29" t="n">
        <f aca="false">IF(AND(G782=1,COUNTIFS($B$5:$B$1635,B782,$C$5:$C$1635,"&lt;"&amp;C782)&gt;0),1,0)</f>
        <v>0</v>
      </c>
      <c r="I782" s="29" t="n">
        <f aca="false">IF(AND(D782="Feature Use",COUNTIFS($B$5:B782,B782,$D$5:D782,"Feature Use",$E$5:E782,E782)=1),1,0)</f>
        <v>0</v>
      </c>
      <c r="J782" s="29" t="n">
        <f aca="false">IF(AND(D782="Feature Use",COUNTIFS($B$5:B782,B782,$D$5:D782,"Feature Use",$E$5:E782,E782)=2),1,0)</f>
        <v>0</v>
      </c>
      <c r="K782" s="29" t="n">
        <f aca="false">IF(COUNTIF($B$5:B782,B782)=1,1,0)</f>
        <v>0</v>
      </c>
      <c r="L782" s="29" t="n">
        <f aca="false">IF(AND(C782&gt;=Settings!$B$5-Settings!$B$8+1,C782&lt;=Settings!$B$5,COUNTIFS($B$5:B782,B782,$C$5:C782,"&gt;="&amp;(Settings!$B$5-Settings!$B$8+1),$C$5:C782,"&lt;="&amp;Settings!$B$5)=1),1,0)</f>
        <v>0</v>
      </c>
      <c r="M782" s="29" t="n">
        <f aca="false">IF(AND(C782&gt;=Settings!$B$5-Settings!$B$9+1,C782&lt;=Settings!$B$5,COUNTIFS($B$5:B782,B782,$C$5:C782,"&gt;="&amp;(Settings!$B$5-Settings!$B$9+1),$C$5:C782,"&lt;="&amp;Settings!$B$5)=1),1,0)</f>
        <v>0</v>
      </c>
      <c r="N782" s="29" t="n">
        <f aca="false">IF(AND(D782="Feature Use",COUNTIFS($B$5:B782,B782,$D$5:D782,"Feature Use")=1),1,0)</f>
        <v>0</v>
      </c>
    </row>
    <row r="783" customFormat="false" ht="15" hidden="false" customHeight="false" outlineLevel="0" collapsed="false">
      <c r="A783" s="22" t="s">
        <v>1090</v>
      </c>
      <c r="B783" s="22" t="s">
        <v>173</v>
      </c>
      <c r="C783" s="31" t="n">
        <v>46291</v>
      </c>
      <c r="D783" s="22" t="s">
        <v>297</v>
      </c>
      <c r="E783" s="22" t="s">
        <v>298</v>
      </c>
      <c r="F783" s="29" t="str">
        <f aca="false">IF(COUNTIF(Referral_Data!$C$5:$C$1000,B783)&gt;0,"Referred",IF(COUNTIF(Referral_Data!$B$5:$B$1000,B783)&gt;0,"Referrer","Organic"))</f>
        <v>Referrer</v>
      </c>
      <c r="G783" s="29" t="n">
        <f aca="false">IF(COUNTIFS($B$5:B783,B783,$C$5:C783,C783)=1,1,0)</f>
        <v>1</v>
      </c>
      <c r="H783" s="29" t="n">
        <f aca="false">IF(AND(G783=1,COUNTIFS($B$5:$B$1635,B783,$C$5:$C$1635,"&lt;"&amp;C783)&gt;0),1,0)</f>
        <v>1</v>
      </c>
      <c r="I783" s="29" t="n">
        <f aca="false">IF(AND(D783="Feature Use",COUNTIFS($B$5:B783,B783,$D$5:D783,"Feature Use",$E$5:E783,E783)=1),1,0)</f>
        <v>0</v>
      </c>
      <c r="J783" s="29" t="n">
        <f aca="false">IF(AND(D783="Feature Use",COUNTIFS($B$5:B783,B783,$D$5:D783,"Feature Use",$E$5:E783,E783)=2),1,0)</f>
        <v>0</v>
      </c>
      <c r="K783" s="29" t="n">
        <f aca="false">IF(COUNTIF($B$5:B783,B783)=1,1,0)</f>
        <v>0</v>
      </c>
      <c r="L783" s="29" t="n">
        <f aca="false">IF(AND(C783&gt;=Settings!$B$5-Settings!$B$8+1,C783&lt;=Settings!$B$5,COUNTIFS($B$5:B783,B783,$C$5:C783,"&gt;="&amp;(Settings!$B$5-Settings!$B$8+1),$C$5:C783,"&lt;="&amp;Settings!$B$5)=1),1,0)</f>
        <v>0</v>
      </c>
      <c r="M783" s="29" t="n">
        <f aca="false">IF(AND(C783&gt;=Settings!$B$5-Settings!$B$9+1,C783&lt;=Settings!$B$5,COUNTIFS($B$5:B783,B783,$C$5:C783,"&gt;="&amp;(Settings!$B$5-Settings!$B$9+1),$C$5:C783,"&lt;="&amp;Settings!$B$5)=1),1,0)</f>
        <v>0</v>
      </c>
      <c r="N783" s="29" t="n">
        <f aca="false">IF(AND(D783="Feature Use",COUNTIFS($B$5:B783,B783,$D$5:D783,"Feature Use")=1),1,0)</f>
        <v>0</v>
      </c>
    </row>
    <row r="784" customFormat="false" ht="15" hidden="false" customHeight="false" outlineLevel="0" collapsed="false">
      <c r="A784" s="22" t="s">
        <v>1091</v>
      </c>
      <c r="B784" s="22" t="s">
        <v>173</v>
      </c>
      <c r="C784" s="31" t="n">
        <v>46291</v>
      </c>
      <c r="D784" s="22" t="s">
        <v>300</v>
      </c>
      <c r="E784" s="22" t="s">
        <v>301</v>
      </c>
      <c r="F784" s="29" t="str">
        <f aca="false">IF(COUNTIF(Referral_Data!$C$5:$C$1000,B784)&gt;0,"Referred",IF(COUNTIF(Referral_Data!$B$5:$B$1000,B784)&gt;0,"Referrer","Organic"))</f>
        <v>Referrer</v>
      </c>
      <c r="G784" s="29" t="n">
        <f aca="false">IF(COUNTIFS($B$5:B784,B784,$C$5:C784,C784)=1,1,0)</f>
        <v>0</v>
      </c>
      <c r="H784" s="29" t="n">
        <f aca="false">IF(AND(G784=1,COUNTIFS($B$5:$B$1635,B784,$C$5:$C$1635,"&lt;"&amp;C784)&gt;0),1,0)</f>
        <v>0</v>
      </c>
      <c r="I784" s="29" t="n">
        <f aca="false">IF(AND(D784="Feature Use",COUNTIFS($B$5:B784,B784,$D$5:D784,"Feature Use",$E$5:E784,E784)=1),1,0)</f>
        <v>0</v>
      </c>
      <c r="J784" s="29" t="n">
        <f aca="false">IF(AND(D784="Feature Use",COUNTIFS($B$5:B784,B784,$D$5:D784,"Feature Use",$E$5:E784,E784)=2),1,0)</f>
        <v>0</v>
      </c>
      <c r="K784" s="29" t="n">
        <f aca="false">IF(COUNTIF($B$5:B784,B784)=1,1,0)</f>
        <v>0</v>
      </c>
      <c r="L784" s="29" t="n">
        <f aca="false">IF(AND(C784&gt;=Settings!$B$5-Settings!$B$8+1,C784&lt;=Settings!$B$5,COUNTIFS($B$5:B784,B784,$C$5:C784,"&gt;="&amp;(Settings!$B$5-Settings!$B$8+1),$C$5:C784,"&lt;="&amp;Settings!$B$5)=1),1,0)</f>
        <v>0</v>
      </c>
      <c r="M784" s="29" t="n">
        <f aca="false">IF(AND(C784&gt;=Settings!$B$5-Settings!$B$9+1,C784&lt;=Settings!$B$5,COUNTIFS($B$5:B784,B784,$C$5:C784,"&gt;="&amp;(Settings!$B$5-Settings!$B$9+1),$C$5:C784,"&lt;="&amp;Settings!$B$5)=1),1,0)</f>
        <v>0</v>
      </c>
      <c r="N784" s="29" t="n">
        <f aca="false">IF(AND(D784="Feature Use",COUNTIFS($B$5:B784,B784,$D$5:D784,"Feature Use")=1),1,0)</f>
        <v>0</v>
      </c>
    </row>
    <row r="785" customFormat="false" ht="15" hidden="false" customHeight="false" outlineLevel="0" collapsed="false">
      <c r="A785" s="22" t="s">
        <v>1092</v>
      </c>
      <c r="B785" s="22" t="s">
        <v>173</v>
      </c>
      <c r="C785" s="31" t="n">
        <v>46291</v>
      </c>
      <c r="D785" s="22" t="s">
        <v>308</v>
      </c>
      <c r="E785" s="22" t="s">
        <v>319</v>
      </c>
      <c r="F785" s="29" t="str">
        <f aca="false">IF(COUNTIF(Referral_Data!$C$5:$C$1000,B785)&gt;0,"Referred",IF(COUNTIF(Referral_Data!$B$5:$B$1000,B785)&gt;0,"Referrer","Organic"))</f>
        <v>Referrer</v>
      </c>
      <c r="G785" s="29" t="n">
        <f aca="false">IF(COUNTIFS($B$5:B785,B785,$C$5:C785,C785)=1,1,0)</f>
        <v>0</v>
      </c>
      <c r="H785" s="29" t="n">
        <f aca="false">IF(AND(G785=1,COUNTIFS($B$5:$B$1635,B785,$C$5:$C$1635,"&lt;"&amp;C785)&gt;0),1,0)</f>
        <v>0</v>
      </c>
      <c r="I785" s="29" t="n">
        <f aca="false">IF(AND(D785="Feature Use",COUNTIFS($B$5:B785,B785,$D$5:D785,"Feature Use",$E$5:E785,E785)=1),1,0)</f>
        <v>0</v>
      </c>
      <c r="J785" s="29" t="n">
        <f aca="false">IF(AND(D785="Feature Use",COUNTIFS($B$5:B785,B785,$D$5:D785,"Feature Use",$E$5:E785,E785)=2),1,0)</f>
        <v>0</v>
      </c>
      <c r="K785" s="29" t="n">
        <f aca="false">IF(COUNTIF($B$5:B785,B785)=1,1,0)</f>
        <v>0</v>
      </c>
      <c r="L785" s="29" t="n">
        <f aca="false">IF(AND(C785&gt;=Settings!$B$5-Settings!$B$8+1,C785&lt;=Settings!$B$5,COUNTIFS($B$5:B785,B785,$C$5:C785,"&gt;="&amp;(Settings!$B$5-Settings!$B$8+1),$C$5:C785,"&lt;="&amp;Settings!$B$5)=1),1,0)</f>
        <v>0</v>
      </c>
      <c r="M785" s="29" t="n">
        <f aca="false">IF(AND(C785&gt;=Settings!$B$5-Settings!$B$9+1,C785&lt;=Settings!$B$5,COUNTIFS($B$5:B785,B785,$C$5:C785,"&gt;="&amp;(Settings!$B$5-Settings!$B$9+1),$C$5:C785,"&lt;="&amp;Settings!$B$5)=1),1,0)</f>
        <v>0</v>
      </c>
      <c r="N785" s="29" t="n">
        <f aca="false">IF(AND(D785="Feature Use",COUNTIFS($B$5:B785,B785,$D$5:D785,"Feature Use")=1),1,0)</f>
        <v>0</v>
      </c>
    </row>
    <row r="786" customFormat="false" ht="15" hidden="false" customHeight="false" outlineLevel="0" collapsed="false">
      <c r="A786" s="22" t="s">
        <v>1093</v>
      </c>
      <c r="B786" s="22" t="s">
        <v>203</v>
      </c>
      <c r="C786" s="31" t="n">
        <v>46291</v>
      </c>
      <c r="D786" s="22" t="s">
        <v>297</v>
      </c>
      <c r="E786" s="22" t="s">
        <v>298</v>
      </c>
      <c r="F786" s="29" t="str">
        <f aca="false">IF(COUNTIF(Referral_Data!$C$5:$C$1000,B786)&gt;0,"Referred",IF(COUNTIF(Referral_Data!$B$5:$B$1000,B786)&gt;0,"Referrer","Organic"))</f>
        <v>Referrer</v>
      </c>
      <c r="G786" s="29" t="n">
        <f aca="false">IF(COUNTIFS($B$5:B786,B786,$C$5:C786,C786)=1,1,0)</f>
        <v>1</v>
      </c>
      <c r="H786" s="29" t="n">
        <f aca="false">IF(AND(G786=1,COUNTIFS($B$5:$B$1635,B786,$C$5:$C$1635,"&lt;"&amp;C786)&gt;0),1,0)</f>
        <v>1</v>
      </c>
      <c r="I786" s="29" t="n">
        <f aca="false">IF(AND(D786="Feature Use",COUNTIFS($B$5:B786,B786,$D$5:D786,"Feature Use",$E$5:E786,E786)=1),1,0)</f>
        <v>0</v>
      </c>
      <c r="J786" s="29" t="n">
        <f aca="false">IF(AND(D786="Feature Use",COUNTIFS($B$5:B786,B786,$D$5:D786,"Feature Use",$E$5:E786,E786)=2),1,0)</f>
        <v>0</v>
      </c>
      <c r="K786" s="29" t="n">
        <f aca="false">IF(COUNTIF($B$5:B786,B786)=1,1,0)</f>
        <v>0</v>
      </c>
      <c r="L786" s="29" t="n">
        <f aca="false">IF(AND(C786&gt;=Settings!$B$5-Settings!$B$8+1,C786&lt;=Settings!$B$5,COUNTIFS($B$5:B786,B786,$C$5:C786,"&gt;="&amp;(Settings!$B$5-Settings!$B$8+1),$C$5:C786,"&lt;="&amp;Settings!$B$5)=1),1,0)</f>
        <v>0</v>
      </c>
      <c r="M786" s="29" t="n">
        <f aca="false">IF(AND(C786&gt;=Settings!$B$5-Settings!$B$9+1,C786&lt;=Settings!$B$5,COUNTIFS($B$5:B786,B786,$C$5:C786,"&gt;="&amp;(Settings!$B$5-Settings!$B$9+1),$C$5:C786,"&lt;="&amp;Settings!$B$5)=1),1,0)</f>
        <v>0</v>
      </c>
      <c r="N786" s="29" t="n">
        <f aca="false">IF(AND(D786="Feature Use",COUNTIFS($B$5:B786,B786,$D$5:D786,"Feature Use")=1),1,0)</f>
        <v>0</v>
      </c>
    </row>
    <row r="787" customFormat="false" ht="15" hidden="false" customHeight="false" outlineLevel="0" collapsed="false">
      <c r="A787" s="22" t="s">
        <v>1094</v>
      </c>
      <c r="B787" s="22" t="s">
        <v>203</v>
      </c>
      <c r="C787" s="31" t="n">
        <v>46291</v>
      </c>
      <c r="D787" s="22" t="s">
        <v>300</v>
      </c>
      <c r="E787" s="22" t="s">
        <v>311</v>
      </c>
      <c r="F787" s="29" t="str">
        <f aca="false">IF(COUNTIF(Referral_Data!$C$5:$C$1000,B787)&gt;0,"Referred",IF(COUNTIF(Referral_Data!$B$5:$B$1000,B787)&gt;0,"Referrer","Organic"))</f>
        <v>Referrer</v>
      </c>
      <c r="G787" s="29" t="n">
        <f aca="false">IF(COUNTIFS($B$5:B787,B787,$C$5:C787,C787)=1,1,0)</f>
        <v>0</v>
      </c>
      <c r="H787" s="29" t="n">
        <f aca="false">IF(AND(G787=1,COUNTIFS($B$5:$B$1635,B787,$C$5:$C$1635,"&lt;"&amp;C787)&gt;0),1,0)</f>
        <v>0</v>
      </c>
      <c r="I787" s="29" t="n">
        <f aca="false">IF(AND(D787="Feature Use",COUNTIFS($B$5:B787,B787,$D$5:D787,"Feature Use",$E$5:E787,E787)=1),1,0)</f>
        <v>0</v>
      </c>
      <c r="J787" s="29" t="n">
        <f aca="false">IF(AND(D787="Feature Use",COUNTIFS($B$5:B787,B787,$D$5:D787,"Feature Use",$E$5:E787,E787)=2),1,0)</f>
        <v>0</v>
      </c>
      <c r="K787" s="29" t="n">
        <f aca="false">IF(COUNTIF($B$5:B787,B787)=1,1,0)</f>
        <v>0</v>
      </c>
      <c r="L787" s="29" t="n">
        <f aca="false">IF(AND(C787&gt;=Settings!$B$5-Settings!$B$8+1,C787&lt;=Settings!$B$5,COUNTIFS($B$5:B787,B787,$C$5:C787,"&gt;="&amp;(Settings!$B$5-Settings!$B$8+1),$C$5:C787,"&lt;="&amp;Settings!$B$5)=1),1,0)</f>
        <v>0</v>
      </c>
      <c r="M787" s="29" t="n">
        <f aca="false">IF(AND(C787&gt;=Settings!$B$5-Settings!$B$9+1,C787&lt;=Settings!$B$5,COUNTIFS($B$5:B787,B787,$C$5:C787,"&gt;="&amp;(Settings!$B$5-Settings!$B$9+1),$C$5:C787,"&lt;="&amp;Settings!$B$5)=1),1,0)</f>
        <v>0</v>
      </c>
      <c r="N787" s="29" t="n">
        <f aca="false">IF(AND(D787="Feature Use",COUNTIFS($B$5:B787,B787,$D$5:D787,"Feature Use")=1),1,0)</f>
        <v>0</v>
      </c>
    </row>
    <row r="788" customFormat="false" ht="15" hidden="false" customHeight="false" outlineLevel="0" collapsed="false">
      <c r="A788" s="22" t="s">
        <v>1095</v>
      </c>
      <c r="B788" s="22" t="s">
        <v>203</v>
      </c>
      <c r="C788" s="31" t="n">
        <v>46291</v>
      </c>
      <c r="D788" s="22" t="s">
        <v>300</v>
      </c>
      <c r="E788" s="22" t="s">
        <v>301</v>
      </c>
      <c r="F788" s="29" t="str">
        <f aca="false">IF(COUNTIF(Referral_Data!$C$5:$C$1000,B788)&gt;0,"Referred",IF(COUNTIF(Referral_Data!$B$5:$B$1000,B788)&gt;0,"Referrer","Organic"))</f>
        <v>Referrer</v>
      </c>
      <c r="G788" s="29" t="n">
        <f aca="false">IF(COUNTIFS($B$5:B788,B788,$C$5:C788,C788)=1,1,0)</f>
        <v>0</v>
      </c>
      <c r="H788" s="29" t="n">
        <f aca="false">IF(AND(G788=1,COUNTIFS($B$5:$B$1635,B788,$C$5:$C$1635,"&lt;"&amp;C788)&gt;0),1,0)</f>
        <v>0</v>
      </c>
      <c r="I788" s="29" t="n">
        <f aca="false">IF(AND(D788="Feature Use",COUNTIFS($B$5:B788,B788,$D$5:D788,"Feature Use",$E$5:E788,E788)=1),1,0)</f>
        <v>0</v>
      </c>
      <c r="J788" s="29" t="n">
        <f aca="false">IF(AND(D788="Feature Use",COUNTIFS($B$5:B788,B788,$D$5:D788,"Feature Use",$E$5:E788,E788)=2),1,0)</f>
        <v>0</v>
      </c>
      <c r="K788" s="29" t="n">
        <f aca="false">IF(COUNTIF($B$5:B788,B788)=1,1,0)</f>
        <v>0</v>
      </c>
      <c r="L788" s="29" t="n">
        <f aca="false">IF(AND(C788&gt;=Settings!$B$5-Settings!$B$8+1,C788&lt;=Settings!$B$5,COUNTIFS($B$5:B788,B788,$C$5:C788,"&gt;="&amp;(Settings!$B$5-Settings!$B$8+1),$C$5:C788,"&lt;="&amp;Settings!$B$5)=1),1,0)</f>
        <v>0</v>
      </c>
      <c r="M788" s="29" t="n">
        <f aca="false">IF(AND(C788&gt;=Settings!$B$5-Settings!$B$9+1,C788&lt;=Settings!$B$5,COUNTIFS($B$5:B788,B788,$C$5:C788,"&gt;="&amp;(Settings!$B$5-Settings!$B$9+1),$C$5:C788,"&lt;="&amp;Settings!$B$5)=1),1,0)</f>
        <v>0</v>
      </c>
      <c r="N788" s="29" t="n">
        <f aca="false">IF(AND(D788="Feature Use",COUNTIFS($B$5:B788,B788,$D$5:D788,"Feature Use")=1),1,0)</f>
        <v>0</v>
      </c>
    </row>
    <row r="789" customFormat="false" ht="15" hidden="false" customHeight="false" outlineLevel="0" collapsed="false">
      <c r="A789" s="22" t="s">
        <v>1096</v>
      </c>
      <c r="B789" s="22" t="s">
        <v>203</v>
      </c>
      <c r="C789" s="31" t="n">
        <v>46291</v>
      </c>
      <c r="D789" s="22" t="s">
        <v>308</v>
      </c>
      <c r="E789" s="22" t="s">
        <v>305</v>
      </c>
      <c r="F789" s="29" t="str">
        <f aca="false">IF(COUNTIF(Referral_Data!$C$5:$C$1000,B789)&gt;0,"Referred",IF(COUNTIF(Referral_Data!$B$5:$B$1000,B789)&gt;0,"Referrer","Organic"))</f>
        <v>Referrer</v>
      </c>
      <c r="G789" s="29" t="n">
        <f aca="false">IF(COUNTIFS($B$5:B789,B789,$C$5:C789,C789)=1,1,0)</f>
        <v>0</v>
      </c>
      <c r="H789" s="29" t="n">
        <f aca="false">IF(AND(G789=1,COUNTIFS($B$5:$B$1635,B789,$C$5:$C$1635,"&lt;"&amp;C789)&gt;0),1,0)</f>
        <v>0</v>
      </c>
      <c r="I789" s="29" t="n">
        <f aca="false">IF(AND(D789="Feature Use",COUNTIFS($B$5:B789,B789,$D$5:D789,"Feature Use",$E$5:E789,E789)=1),1,0)</f>
        <v>0</v>
      </c>
      <c r="J789" s="29" t="n">
        <f aca="false">IF(AND(D789="Feature Use",COUNTIFS($B$5:B789,B789,$D$5:D789,"Feature Use",$E$5:E789,E789)=2),1,0)</f>
        <v>0</v>
      </c>
      <c r="K789" s="29" t="n">
        <f aca="false">IF(COUNTIF($B$5:B789,B789)=1,1,0)</f>
        <v>0</v>
      </c>
      <c r="L789" s="29" t="n">
        <f aca="false">IF(AND(C789&gt;=Settings!$B$5-Settings!$B$8+1,C789&lt;=Settings!$B$5,COUNTIFS($B$5:B789,B789,$C$5:C789,"&gt;="&amp;(Settings!$B$5-Settings!$B$8+1),$C$5:C789,"&lt;="&amp;Settings!$B$5)=1),1,0)</f>
        <v>0</v>
      </c>
      <c r="M789" s="29" t="n">
        <f aca="false">IF(AND(C789&gt;=Settings!$B$5-Settings!$B$9+1,C789&lt;=Settings!$B$5,COUNTIFS($B$5:B789,B789,$C$5:C789,"&gt;="&amp;(Settings!$B$5-Settings!$B$9+1),$C$5:C789,"&lt;="&amp;Settings!$B$5)=1),1,0)</f>
        <v>0</v>
      </c>
      <c r="N789" s="29" t="n">
        <f aca="false">IF(AND(D789="Feature Use",COUNTIFS($B$5:B789,B789,$D$5:D789,"Feature Use")=1),1,0)</f>
        <v>0</v>
      </c>
    </row>
    <row r="790" customFormat="false" ht="15" hidden="false" customHeight="false" outlineLevel="0" collapsed="false">
      <c r="A790" s="22" t="s">
        <v>1097</v>
      </c>
      <c r="B790" s="22" t="s">
        <v>203</v>
      </c>
      <c r="C790" s="31" t="n">
        <v>46291</v>
      </c>
      <c r="D790" s="22" t="s">
        <v>308</v>
      </c>
      <c r="E790" s="22" t="s">
        <v>301</v>
      </c>
      <c r="F790" s="29" t="str">
        <f aca="false">IF(COUNTIF(Referral_Data!$C$5:$C$1000,B790)&gt;0,"Referred",IF(COUNTIF(Referral_Data!$B$5:$B$1000,B790)&gt;0,"Referrer","Organic"))</f>
        <v>Referrer</v>
      </c>
      <c r="G790" s="29" t="n">
        <f aca="false">IF(COUNTIFS($B$5:B790,B790,$C$5:C790,C790)=1,1,0)</f>
        <v>0</v>
      </c>
      <c r="H790" s="29" t="n">
        <f aca="false">IF(AND(G790=1,COUNTIFS($B$5:$B$1635,B790,$C$5:$C$1635,"&lt;"&amp;C790)&gt;0),1,0)</f>
        <v>0</v>
      </c>
      <c r="I790" s="29" t="n">
        <f aca="false">IF(AND(D790="Feature Use",COUNTIFS($B$5:B790,B790,$D$5:D790,"Feature Use",$E$5:E790,E790)=1),1,0)</f>
        <v>0</v>
      </c>
      <c r="J790" s="29" t="n">
        <f aca="false">IF(AND(D790="Feature Use",COUNTIFS($B$5:B790,B790,$D$5:D790,"Feature Use",$E$5:E790,E790)=2),1,0)</f>
        <v>0</v>
      </c>
      <c r="K790" s="29" t="n">
        <f aca="false">IF(COUNTIF($B$5:B790,B790)=1,1,0)</f>
        <v>0</v>
      </c>
      <c r="L790" s="29" t="n">
        <f aca="false">IF(AND(C790&gt;=Settings!$B$5-Settings!$B$8+1,C790&lt;=Settings!$B$5,COUNTIFS($B$5:B790,B790,$C$5:C790,"&gt;="&amp;(Settings!$B$5-Settings!$B$8+1),$C$5:C790,"&lt;="&amp;Settings!$B$5)=1),1,0)</f>
        <v>0</v>
      </c>
      <c r="M790" s="29" t="n">
        <f aca="false">IF(AND(C790&gt;=Settings!$B$5-Settings!$B$9+1,C790&lt;=Settings!$B$5,COUNTIFS($B$5:B790,B790,$C$5:C790,"&gt;="&amp;(Settings!$B$5-Settings!$B$9+1),$C$5:C790,"&lt;="&amp;Settings!$B$5)=1),1,0)</f>
        <v>0</v>
      </c>
      <c r="N790" s="29" t="n">
        <f aca="false">IF(AND(D790="Feature Use",COUNTIFS($B$5:B790,B790,$D$5:D790,"Feature Use")=1),1,0)</f>
        <v>0</v>
      </c>
    </row>
    <row r="791" customFormat="false" ht="15" hidden="false" customHeight="false" outlineLevel="0" collapsed="false">
      <c r="A791" s="22" t="s">
        <v>1098</v>
      </c>
      <c r="B791" s="22" t="s">
        <v>175</v>
      </c>
      <c r="C791" s="31" t="n">
        <v>46291</v>
      </c>
      <c r="D791" s="22" t="s">
        <v>297</v>
      </c>
      <c r="E791" s="22" t="s">
        <v>298</v>
      </c>
      <c r="F791" s="29" t="str">
        <f aca="false">IF(COUNTIF(Referral_Data!$C$5:$C$1000,B791)&gt;0,"Referred",IF(COUNTIF(Referral_Data!$B$5:$B$1000,B791)&gt;0,"Referrer","Organic"))</f>
        <v>Referrer</v>
      </c>
      <c r="G791" s="29" t="n">
        <f aca="false">IF(COUNTIFS($B$5:B791,B791,$C$5:C791,C791)=1,1,0)</f>
        <v>1</v>
      </c>
      <c r="H791" s="29" t="n">
        <f aca="false">IF(AND(G791=1,COUNTIFS($B$5:$B$1635,B791,$C$5:$C$1635,"&lt;"&amp;C791)&gt;0),1,0)</f>
        <v>1</v>
      </c>
      <c r="I791" s="29" t="n">
        <f aca="false">IF(AND(D791="Feature Use",COUNTIFS($B$5:B791,B791,$D$5:D791,"Feature Use",$E$5:E791,E791)=1),1,0)</f>
        <v>0</v>
      </c>
      <c r="J791" s="29" t="n">
        <f aca="false">IF(AND(D791="Feature Use",COUNTIFS($B$5:B791,B791,$D$5:D791,"Feature Use",$E$5:E791,E791)=2),1,0)</f>
        <v>0</v>
      </c>
      <c r="K791" s="29" t="n">
        <f aca="false">IF(COUNTIF($B$5:B791,B791)=1,1,0)</f>
        <v>0</v>
      </c>
      <c r="L791" s="29" t="n">
        <f aca="false">IF(AND(C791&gt;=Settings!$B$5-Settings!$B$8+1,C791&lt;=Settings!$B$5,COUNTIFS($B$5:B791,B791,$C$5:C791,"&gt;="&amp;(Settings!$B$5-Settings!$B$8+1),$C$5:C791,"&lt;="&amp;Settings!$B$5)=1),1,0)</f>
        <v>0</v>
      </c>
      <c r="M791" s="29" t="n">
        <f aca="false">IF(AND(C791&gt;=Settings!$B$5-Settings!$B$9+1,C791&lt;=Settings!$B$5,COUNTIFS($B$5:B791,B791,$C$5:C791,"&gt;="&amp;(Settings!$B$5-Settings!$B$9+1),$C$5:C791,"&lt;="&amp;Settings!$B$5)=1),1,0)</f>
        <v>0</v>
      </c>
      <c r="N791" s="29" t="n">
        <f aca="false">IF(AND(D791="Feature Use",COUNTIFS($B$5:B791,B791,$D$5:D791,"Feature Use")=1),1,0)</f>
        <v>0</v>
      </c>
    </row>
    <row r="792" customFormat="false" ht="15" hidden="false" customHeight="false" outlineLevel="0" collapsed="false">
      <c r="A792" s="22" t="s">
        <v>1099</v>
      </c>
      <c r="B792" s="22" t="s">
        <v>175</v>
      </c>
      <c r="C792" s="31" t="n">
        <v>46291</v>
      </c>
      <c r="D792" s="22" t="s">
        <v>300</v>
      </c>
      <c r="E792" s="22" t="s">
        <v>301</v>
      </c>
      <c r="F792" s="29" t="str">
        <f aca="false">IF(COUNTIF(Referral_Data!$C$5:$C$1000,B792)&gt;0,"Referred",IF(COUNTIF(Referral_Data!$B$5:$B$1000,B792)&gt;0,"Referrer","Organic"))</f>
        <v>Referrer</v>
      </c>
      <c r="G792" s="29" t="n">
        <f aca="false">IF(COUNTIFS($B$5:B792,B792,$C$5:C792,C792)=1,1,0)</f>
        <v>0</v>
      </c>
      <c r="H792" s="29" t="n">
        <f aca="false">IF(AND(G792=1,COUNTIFS($B$5:$B$1635,B792,$C$5:$C$1635,"&lt;"&amp;C792)&gt;0),1,0)</f>
        <v>0</v>
      </c>
      <c r="I792" s="29" t="n">
        <f aca="false">IF(AND(D792="Feature Use",COUNTIFS($B$5:B792,B792,$D$5:D792,"Feature Use",$E$5:E792,E792)=1),1,0)</f>
        <v>1</v>
      </c>
      <c r="J792" s="29" t="n">
        <f aca="false">IF(AND(D792="Feature Use",COUNTIFS($B$5:B792,B792,$D$5:D792,"Feature Use",$E$5:E792,E792)=2),1,0)</f>
        <v>0</v>
      </c>
      <c r="K792" s="29" t="n">
        <f aca="false">IF(COUNTIF($B$5:B792,B792)=1,1,0)</f>
        <v>0</v>
      </c>
      <c r="L792" s="29" t="n">
        <f aca="false">IF(AND(C792&gt;=Settings!$B$5-Settings!$B$8+1,C792&lt;=Settings!$B$5,COUNTIFS($B$5:B792,B792,$C$5:C792,"&gt;="&amp;(Settings!$B$5-Settings!$B$8+1),$C$5:C792,"&lt;="&amp;Settings!$B$5)=1),1,0)</f>
        <v>0</v>
      </c>
      <c r="M792" s="29" t="n">
        <f aca="false">IF(AND(C792&gt;=Settings!$B$5-Settings!$B$9+1,C792&lt;=Settings!$B$5,COUNTIFS($B$5:B792,B792,$C$5:C792,"&gt;="&amp;(Settings!$B$5-Settings!$B$9+1),$C$5:C792,"&lt;="&amp;Settings!$B$5)=1),1,0)</f>
        <v>0</v>
      </c>
      <c r="N792" s="29" t="n">
        <f aca="false">IF(AND(D792="Feature Use",COUNTIFS($B$5:B792,B792,$D$5:D792,"Feature Use")=1),1,0)</f>
        <v>0</v>
      </c>
    </row>
    <row r="793" customFormat="false" ht="15" hidden="false" customHeight="false" outlineLevel="0" collapsed="false">
      <c r="A793" s="22" t="s">
        <v>1100</v>
      </c>
      <c r="B793" s="22" t="s">
        <v>175</v>
      </c>
      <c r="C793" s="31" t="n">
        <v>46291</v>
      </c>
      <c r="D793" s="22" t="s">
        <v>300</v>
      </c>
      <c r="E793" s="22" t="s">
        <v>305</v>
      </c>
      <c r="F793" s="29" t="str">
        <f aca="false">IF(COUNTIF(Referral_Data!$C$5:$C$1000,B793)&gt;0,"Referred",IF(COUNTIF(Referral_Data!$B$5:$B$1000,B793)&gt;0,"Referrer","Organic"))</f>
        <v>Referrer</v>
      </c>
      <c r="G793" s="29" t="n">
        <f aca="false">IF(COUNTIFS($B$5:B793,B793,$C$5:C793,C793)=1,1,0)</f>
        <v>0</v>
      </c>
      <c r="H793" s="29" t="n">
        <f aca="false">IF(AND(G793=1,COUNTIFS($B$5:$B$1635,B793,$C$5:$C$1635,"&lt;"&amp;C793)&gt;0),1,0)</f>
        <v>0</v>
      </c>
      <c r="I793" s="29" t="n">
        <f aca="false">IF(AND(D793="Feature Use",COUNTIFS($B$5:B793,B793,$D$5:D793,"Feature Use",$E$5:E793,E793)=1),1,0)</f>
        <v>0</v>
      </c>
      <c r="J793" s="29" t="n">
        <f aca="false">IF(AND(D793="Feature Use",COUNTIFS($B$5:B793,B793,$D$5:D793,"Feature Use",$E$5:E793,E793)=2),1,0)</f>
        <v>0</v>
      </c>
      <c r="K793" s="29" t="n">
        <f aca="false">IF(COUNTIF($B$5:B793,B793)=1,1,0)</f>
        <v>0</v>
      </c>
      <c r="L793" s="29" t="n">
        <f aca="false">IF(AND(C793&gt;=Settings!$B$5-Settings!$B$8+1,C793&lt;=Settings!$B$5,COUNTIFS($B$5:B793,B793,$C$5:C793,"&gt;="&amp;(Settings!$B$5-Settings!$B$8+1),$C$5:C793,"&lt;="&amp;Settings!$B$5)=1),1,0)</f>
        <v>0</v>
      </c>
      <c r="M793" s="29" t="n">
        <f aca="false">IF(AND(C793&gt;=Settings!$B$5-Settings!$B$9+1,C793&lt;=Settings!$B$5,COUNTIFS($B$5:B793,B793,$C$5:C793,"&gt;="&amp;(Settings!$B$5-Settings!$B$9+1),$C$5:C793,"&lt;="&amp;Settings!$B$5)=1),1,0)</f>
        <v>0</v>
      </c>
      <c r="N793" s="29" t="n">
        <f aca="false">IF(AND(D793="Feature Use",COUNTIFS($B$5:B793,B793,$D$5:D793,"Feature Use")=1),1,0)</f>
        <v>0</v>
      </c>
    </row>
    <row r="794" customFormat="false" ht="15" hidden="false" customHeight="false" outlineLevel="0" collapsed="false">
      <c r="A794" s="22" t="s">
        <v>1101</v>
      </c>
      <c r="B794" s="22" t="s">
        <v>427</v>
      </c>
      <c r="C794" s="31" t="n">
        <v>46292</v>
      </c>
      <c r="D794" s="22" t="s">
        <v>297</v>
      </c>
      <c r="E794" s="22" t="s">
        <v>298</v>
      </c>
      <c r="F794" s="29" t="str">
        <f aca="false">IF(COUNTIF(Referral_Data!$C$5:$C$1000,B794)&gt;0,"Referred",IF(COUNTIF(Referral_Data!$B$5:$B$1000,B794)&gt;0,"Referrer","Organic"))</f>
        <v>Organic</v>
      </c>
      <c r="G794" s="29" t="n">
        <f aca="false">IF(COUNTIFS($B$5:B794,B794,$C$5:C794,C794)=1,1,0)</f>
        <v>1</v>
      </c>
      <c r="H794" s="29" t="n">
        <f aca="false">IF(AND(G794=1,COUNTIFS($B$5:$B$1635,B794,$C$5:$C$1635,"&lt;"&amp;C794)&gt;0),1,0)</f>
        <v>1</v>
      </c>
      <c r="I794" s="29" t="n">
        <f aca="false">IF(AND(D794="Feature Use",COUNTIFS($B$5:B794,B794,$D$5:D794,"Feature Use",$E$5:E794,E794)=1),1,0)</f>
        <v>0</v>
      </c>
      <c r="J794" s="29" t="n">
        <f aca="false">IF(AND(D794="Feature Use",COUNTIFS($B$5:B794,B794,$D$5:D794,"Feature Use",$E$5:E794,E794)=2),1,0)</f>
        <v>0</v>
      </c>
      <c r="K794" s="29" t="n">
        <f aca="false">IF(COUNTIF($B$5:B794,B794)=1,1,0)</f>
        <v>0</v>
      </c>
      <c r="L794" s="29" t="n">
        <f aca="false">IF(AND(C794&gt;=Settings!$B$5-Settings!$B$8+1,C794&lt;=Settings!$B$5,COUNTIFS($B$5:B794,B794,$C$5:C794,"&gt;="&amp;(Settings!$B$5-Settings!$B$8+1),$C$5:C794,"&lt;="&amp;Settings!$B$5)=1),1,0)</f>
        <v>0</v>
      </c>
      <c r="M794" s="29" t="n">
        <f aca="false">IF(AND(C794&gt;=Settings!$B$5-Settings!$B$9+1,C794&lt;=Settings!$B$5,COUNTIFS($B$5:B794,B794,$C$5:C794,"&gt;="&amp;(Settings!$B$5-Settings!$B$9+1),$C$5:C794,"&lt;="&amp;Settings!$B$5)=1),1,0)</f>
        <v>0</v>
      </c>
      <c r="N794" s="29" t="n">
        <f aca="false">IF(AND(D794="Feature Use",COUNTIFS($B$5:B794,B794,$D$5:D794,"Feature Use")=1),1,0)</f>
        <v>0</v>
      </c>
    </row>
    <row r="795" customFormat="false" ht="15" hidden="false" customHeight="false" outlineLevel="0" collapsed="false">
      <c r="A795" s="22" t="s">
        <v>1102</v>
      </c>
      <c r="B795" s="22" t="s">
        <v>427</v>
      </c>
      <c r="C795" s="31" t="n">
        <v>46292</v>
      </c>
      <c r="D795" s="22" t="s">
        <v>300</v>
      </c>
      <c r="E795" s="22" t="s">
        <v>319</v>
      </c>
      <c r="F795" s="29" t="str">
        <f aca="false">IF(COUNTIF(Referral_Data!$C$5:$C$1000,B795)&gt;0,"Referred",IF(COUNTIF(Referral_Data!$B$5:$B$1000,B795)&gt;0,"Referrer","Organic"))</f>
        <v>Organic</v>
      </c>
      <c r="G795" s="29" t="n">
        <f aca="false">IF(COUNTIFS($B$5:B795,B795,$C$5:C795,C795)=1,1,0)</f>
        <v>0</v>
      </c>
      <c r="H795" s="29" t="n">
        <f aca="false">IF(AND(G795=1,COUNTIFS($B$5:$B$1635,B795,$C$5:$C$1635,"&lt;"&amp;C795)&gt;0),1,0)</f>
        <v>0</v>
      </c>
      <c r="I795" s="29" t="n">
        <f aca="false">IF(AND(D795="Feature Use",COUNTIFS($B$5:B795,B795,$D$5:D795,"Feature Use",$E$5:E795,E795)=1),1,0)</f>
        <v>0</v>
      </c>
      <c r="J795" s="29" t="n">
        <f aca="false">IF(AND(D795="Feature Use",COUNTIFS($B$5:B795,B795,$D$5:D795,"Feature Use",$E$5:E795,E795)=2),1,0)</f>
        <v>1</v>
      </c>
      <c r="K795" s="29" t="n">
        <f aca="false">IF(COUNTIF($B$5:B795,B795)=1,1,0)</f>
        <v>0</v>
      </c>
      <c r="L795" s="29" t="n">
        <f aca="false">IF(AND(C795&gt;=Settings!$B$5-Settings!$B$8+1,C795&lt;=Settings!$B$5,COUNTIFS($B$5:B795,B795,$C$5:C795,"&gt;="&amp;(Settings!$B$5-Settings!$B$8+1),$C$5:C795,"&lt;="&amp;Settings!$B$5)=1),1,0)</f>
        <v>0</v>
      </c>
      <c r="M795" s="29" t="n">
        <f aca="false">IF(AND(C795&gt;=Settings!$B$5-Settings!$B$9+1,C795&lt;=Settings!$B$5,COUNTIFS($B$5:B795,B795,$C$5:C795,"&gt;="&amp;(Settings!$B$5-Settings!$B$9+1),$C$5:C795,"&lt;="&amp;Settings!$B$5)=1),1,0)</f>
        <v>0</v>
      </c>
      <c r="N795" s="29" t="n">
        <f aca="false">IF(AND(D795="Feature Use",COUNTIFS($B$5:B795,B795,$D$5:D795,"Feature Use")=1),1,0)</f>
        <v>0</v>
      </c>
    </row>
    <row r="796" customFormat="false" ht="15" hidden="false" customHeight="false" outlineLevel="0" collapsed="false">
      <c r="A796" s="22" t="s">
        <v>1103</v>
      </c>
      <c r="B796" s="22" t="s">
        <v>427</v>
      </c>
      <c r="C796" s="31" t="n">
        <v>46292</v>
      </c>
      <c r="D796" s="22" t="s">
        <v>300</v>
      </c>
      <c r="E796" s="22" t="s">
        <v>309</v>
      </c>
      <c r="F796" s="29" t="str">
        <f aca="false">IF(COUNTIF(Referral_Data!$C$5:$C$1000,B796)&gt;0,"Referred",IF(COUNTIF(Referral_Data!$B$5:$B$1000,B796)&gt;0,"Referrer","Organic"))</f>
        <v>Organic</v>
      </c>
      <c r="G796" s="29" t="n">
        <f aca="false">IF(COUNTIFS($B$5:B796,B796,$C$5:C796,C796)=1,1,0)</f>
        <v>0</v>
      </c>
      <c r="H796" s="29" t="n">
        <f aca="false">IF(AND(G796=1,COUNTIFS($B$5:$B$1635,B796,$C$5:$C$1635,"&lt;"&amp;C796)&gt;0),1,0)</f>
        <v>0</v>
      </c>
      <c r="I796" s="29" t="n">
        <f aca="false">IF(AND(D796="Feature Use",COUNTIFS($B$5:B796,B796,$D$5:D796,"Feature Use",$E$5:E796,E796)=1),1,0)</f>
        <v>1</v>
      </c>
      <c r="J796" s="29" t="n">
        <f aca="false">IF(AND(D796="Feature Use",COUNTIFS($B$5:B796,B796,$D$5:D796,"Feature Use",$E$5:E796,E796)=2),1,0)</f>
        <v>0</v>
      </c>
      <c r="K796" s="29" t="n">
        <f aca="false">IF(COUNTIF($B$5:B796,B796)=1,1,0)</f>
        <v>0</v>
      </c>
      <c r="L796" s="29" t="n">
        <f aca="false">IF(AND(C796&gt;=Settings!$B$5-Settings!$B$8+1,C796&lt;=Settings!$B$5,COUNTIFS($B$5:B796,B796,$C$5:C796,"&gt;="&amp;(Settings!$B$5-Settings!$B$8+1),$C$5:C796,"&lt;="&amp;Settings!$B$5)=1),1,0)</f>
        <v>0</v>
      </c>
      <c r="M796" s="29" t="n">
        <f aca="false">IF(AND(C796&gt;=Settings!$B$5-Settings!$B$9+1,C796&lt;=Settings!$B$5,COUNTIFS($B$5:B796,B796,$C$5:C796,"&gt;="&amp;(Settings!$B$5-Settings!$B$9+1),$C$5:C796,"&lt;="&amp;Settings!$B$5)=1),1,0)</f>
        <v>0</v>
      </c>
      <c r="N796" s="29" t="n">
        <f aca="false">IF(AND(D796="Feature Use",COUNTIFS($B$5:B796,B796,$D$5:D796,"Feature Use")=1),1,0)</f>
        <v>0</v>
      </c>
    </row>
    <row r="797" customFormat="false" ht="15" hidden="false" customHeight="false" outlineLevel="0" collapsed="false">
      <c r="A797" s="22" t="s">
        <v>1104</v>
      </c>
      <c r="B797" s="22" t="s">
        <v>333</v>
      </c>
      <c r="C797" s="31" t="n">
        <v>46292</v>
      </c>
      <c r="D797" s="22" t="s">
        <v>297</v>
      </c>
      <c r="E797" s="22" t="s">
        <v>298</v>
      </c>
      <c r="F797" s="29" t="str">
        <f aca="false">IF(COUNTIF(Referral_Data!$C$5:$C$1000,B797)&gt;0,"Referred",IF(COUNTIF(Referral_Data!$B$5:$B$1000,B797)&gt;0,"Referrer","Organic"))</f>
        <v>Organic</v>
      </c>
      <c r="G797" s="29" t="n">
        <f aca="false">IF(COUNTIFS($B$5:B797,B797,$C$5:C797,C797)=1,1,0)</f>
        <v>1</v>
      </c>
      <c r="H797" s="29" t="n">
        <f aca="false">IF(AND(G797=1,COUNTIFS($B$5:$B$1635,B797,$C$5:$C$1635,"&lt;"&amp;C797)&gt;0),1,0)</f>
        <v>1</v>
      </c>
      <c r="I797" s="29" t="n">
        <f aca="false">IF(AND(D797="Feature Use",COUNTIFS($B$5:B797,B797,$D$5:D797,"Feature Use",$E$5:E797,E797)=1),1,0)</f>
        <v>0</v>
      </c>
      <c r="J797" s="29" t="n">
        <f aca="false">IF(AND(D797="Feature Use",COUNTIFS($B$5:B797,B797,$D$5:D797,"Feature Use",$E$5:E797,E797)=2),1,0)</f>
        <v>0</v>
      </c>
      <c r="K797" s="29" t="n">
        <f aca="false">IF(COUNTIF($B$5:B797,B797)=1,1,0)</f>
        <v>0</v>
      </c>
      <c r="L797" s="29" t="n">
        <f aca="false">IF(AND(C797&gt;=Settings!$B$5-Settings!$B$8+1,C797&lt;=Settings!$B$5,COUNTIFS($B$5:B797,B797,$C$5:C797,"&gt;="&amp;(Settings!$B$5-Settings!$B$8+1),$C$5:C797,"&lt;="&amp;Settings!$B$5)=1),1,0)</f>
        <v>0</v>
      </c>
      <c r="M797" s="29" t="n">
        <f aca="false">IF(AND(C797&gt;=Settings!$B$5-Settings!$B$9+1,C797&lt;=Settings!$B$5,COUNTIFS($B$5:B797,B797,$C$5:C797,"&gt;="&amp;(Settings!$B$5-Settings!$B$9+1),$C$5:C797,"&lt;="&amp;Settings!$B$5)=1),1,0)</f>
        <v>0</v>
      </c>
      <c r="N797" s="29" t="n">
        <f aca="false">IF(AND(D797="Feature Use",COUNTIFS($B$5:B797,B797,$D$5:D797,"Feature Use")=1),1,0)</f>
        <v>0</v>
      </c>
    </row>
    <row r="798" customFormat="false" ht="15" hidden="false" customHeight="false" outlineLevel="0" collapsed="false">
      <c r="A798" s="22" t="s">
        <v>1105</v>
      </c>
      <c r="B798" s="22" t="s">
        <v>333</v>
      </c>
      <c r="C798" s="31" t="n">
        <v>46292</v>
      </c>
      <c r="D798" s="22" t="s">
        <v>300</v>
      </c>
      <c r="E798" s="22" t="s">
        <v>309</v>
      </c>
      <c r="F798" s="29" t="str">
        <f aca="false">IF(COUNTIF(Referral_Data!$C$5:$C$1000,B798)&gt;0,"Referred",IF(COUNTIF(Referral_Data!$B$5:$B$1000,B798)&gt;0,"Referrer","Organic"))</f>
        <v>Organic</v>
      </c>
      <c r="G798" s="29" t="n">
        <f aca="false">IF(COUNTIFS($B$5:B798,B798,$C$5:C798,C798)=1,1,0)</f>
        <v>0</v>
      </c>
      <c r="H798" s="29" t="n">
        <f aca="false">IF(AND(G798=1,COUNTIFS($B$5:$B$1635,B798,$C$5:$C$1635,"&lt;"&amp;C798)&gt;0),1,0)</f>
        <v>0</v>
      </c>
      <c r="I798" s="29" t="n">
        <f aca="false">IF(AND(D798="Feature Use",COUNTIFS($B$5:B798,B798,$D$5:D798,"Feature Use",$E$5:E798,E798)=1),1,0)</f>
        <v>0</v>
      </c>
      <c r="J798" s="29" t="n">
        <f aca="false">IF(AND(D798="Feature Use",COUNTIFS($B$5:B798,B798,$D$5:D798,"Feature Use",$E$5:E798,E798)=2),1,0)</f>
        <v>1</v>
      </c>
      <c r="K798" s="29" t="n">
        <f aca="false">IF(COUNTIF($B$5:B798,B798)=1,1,0)</f>
        <v>0</v>
      </c>
      <c r="L798" s="29" t="n">
        <f aca="false">IF(AND(C798&gt;=Settings!$B$5-Settings!$B$8+1,C798&lt;=Settings!$B$5,COUNTIFS($B$5:B798,B798,$C$5:C798,"&gt;="&amp;(Settings!$B$5-Settings!$B$8+1),$C$5:C798,"&lt;="&amp;Settings!$B$5)=1),1,0)</f>
        <v>0</v>
      </c>
      <c r="M798" s="29" t="n">
        <f aca="false">IF(AND(C798&gt;=Settings!$B$5-Settings!$B$9+1,C798&lt;=Settings!$B$5,COUNTIFS($B$5:B798,B798,$C$5:C798,"&gt;="&amp;(Settings!$B$5-Settings!$B$9+1),$C$5:C798,"&lt;="&amp;Settings!$B$5)=1),1,0)</f>
        <v>0</v>
      </c>
      <c r="N798" s="29" t="n">
        <f aca="false">IF(AND(D798="Feature Use",COUNTIFS($B$5:B798,B798,$D$5:D798,"Feature Use")=1),1,0)</f>
        <v>0</v>
      </c>
    </row>
    <row r="799" customFormat="false" ht="15" hidden="false" customHeight="false" outlineLevel="0" collapsed="false">
      <c r="A799" s="22" t="s">
        <v>1106</v>
      </c>
      <c r="B799" s="22" t="s">
        <v>530</v>
      </c>
      <c r="C799" s="31" t="n">
        <v>46292</v>
      </c>
      <c r="D799" s="22" t="s">
        <v>297</v>
      </c>
      <c r="E799" s="22" t="s">
        <v>298</v>
      </c>
      <c r="F799" s="29" t="str">
        <f aca="false">IF(COUNTIF(Referral_Data!$C$5:$C$1000,B799)&gt;0,"Referred",IF(COUNTIF(Referral_Data!$B$5:$B$1000,B799)&gt;0,"Referrer","Organic"))</f>
        <v>Organic</v>
      </c>
      <c r="G799" s="29" t="n">
        <f aca="false">IF(COUNTIFS($B$5:B799,B799,$C$5:C799,C799)=1,1,0)</f>
        <v>1</v>
      </c>
      <c r="H799" s="29" t="n">
        <f aca="false">IF(AND(G799=1,COUNTIFS($B$5:$B$1635,B799,$C$5:$C$1635,"&lt;"&amp;C799)&gt;0),1,0)</f>
        <v>1</v>
      </c>
      <c r="I799" s="29" t="n">
        <f aca="false">IF(AND(D799="Feature Use",COUNTIFS($B$5:B799,B799,$D$5:D799,"Feature Use",$E$5:E799,E799)=1),1,0)</f>
        <v>0</v>
      </c>
      <c r="J799" s="29" t="n">
        <f aca="false">IF(AND(D799="Feature Use",COUNTIFS($B$5:B799,B799,$D$5:D799,"Feature Use",$E$5:E799,E799)=2),1,0)</f>
        <v>0</v>
      </c>
      <c r="K799" s="29" t="n">
        <f aca="false">IF(COUNTIF($B$5:B799,B799)=1,1,0)</f>
        <v>0</v>
      </c>
      <c r="L799" s="29" t="n">
        <f aca="false">IF(AND(C799&gt;=Settings!$B$5-Settings!$B$8+1,C799&lt;=Settings!$B$5,COUNTIFS($B$5:B799,B799,$C$5:C799,"&gt;="&amp;(Settings!$B$5-Settings!$B$8+1),$C$5:C799,"&lt;="&amp;Settings!$B$5)=1),1,0)</f>
        <v>0</v>
      </c>
      <c r="M799" s="29" t="n">
        <f aca="false">IF(AND(C799&gt;=Settings!$B$5-Settings!$B$9+1,C799&lt;=Settings!$B$5,COUNTIFS($B$5:B799,B799,$C$5:C799,"&gt;="&amp;(Settings!$B$5-Settings!$B$9+1),$C$5:C799,"&lt;="&amp;Settings!$B$5)=1),1,0)</f>
        <v>0</v>
      </c>
      <c r="N799" s="29" t="n">
        <f aca="false">IF(AND(D799="Feature Use",COUNTIFS($B$5:B799,B799,$D$5:D799,"Feature Use")=1),1,0)</f>
        <v>0</v>
      </c>
    </row>
    <row r="800" customFormat="false" ht="15" hidden="false" customHeight="false" outlineLevel="0" collapsed="false">
      <c r="A800" s="22" t="s">
        <v>1107</v>
      </c>
      <c r="B800" s="22" t="s">
        <v>530</v>
      </c>
      <c r="C800" s="31" t="n">
        <v>46292</v>
      </c>
      <c r="D800" s="22" t="s">
        <v>300</v>
      </c>
      <c r="E800" s="22" t="s">
        <v>305</v>
      </c>
      <c r="F800" s="29" t="str">
        <f aca="false">IF(COUNTIF(Referral_Data!$C$5:$C$1000,B800)&gt;0,"Referred",IF(COUNTIF(Referral_Data!$B$5:$B$1000,B800)&gt;0,"Referrer","Organic"))</f>
        <v>Organic</v>
      </c>
      <c r="G800" s="29" t="n">
        <f aca="false">IF(COUNTIFS($B$5:B800,B800,$C$5:C800,C800)=1,1,0)</f>
        <v>0</v>
      </c>
      <c r="H800" s="29" t="n">
        <f aca="false">IF(AND(G800=1,COUNTIFS($B$5:$B$1635,B800,$C$5:$C$1635,"&lt;"&amp;C800)&gt;0),1,0)</f>
        <v>0</v>
      </c>
      <c r="I800" s="29" t="n">
        <f aca="false">IF(AND(D800="Feature Use",COUNTIFS($B$5:B800,B800,$D$5:D800,"Feature Use",$E$5:E800,E800)=1),1,0)</f>
        <v>0</v>
      </c>
      <c r="J800" s="29" t="n">
        <f aca="false">IF(AND(D800="Feature Use",COUNTIFS($B$5:B800,B800,$D$5:D800,"Feature Use",$E$5:E800,E800)=2),1,0)</f>
        <v>0</v>
      </c>
      <c r="K800" s="29" t="n">
        <f aca="false">IF(COUNTIF($B$5:B800,B800)=1,1,0)</f>
        <v>0</v>
      </c>
      <c r="L800" s="29" t="n">
        <f aca="false">IF(AND(C800&gt;=Settings!$B$5-Settings!$B$8+1,C800&lt;=Settings!$B$5,COUNTIFS($B$5:B800,B800,$C$5:C800,"&gt;="&amp;(Settings!$B$5-Settings!$B$8+1),$C$5:C800,"&lt;="&amp;Settings!$B$5)=1),1,0)</f>
        <v>0</v>
      </c>
      <c r="M800" s="29" t="n">
        <f aca="false">IF(AND(C800&gt;=Settings!$B$5-Settings!$B$9+1,C800&lt;=Settings!$B$5,COUNTIFS($B$5:B800,B800,$C$5:C800,"&gt;="&amp;(Settings!$B$5-Settings!$B$9+1),$C$5:C800,"&lt;="&amp;Settings!$B$5)=1),1,0)</f>
        <v>0</v>
      </c>
      <c r="N800" s="29" t="n">
        <f aca="false">IF(AND(D800="Feature Use",COUNTIFS($B$5:B800,B800,$D$5:D800,"Feature Use")=1),1,0)</f>
        <v>0</v>
      </c>
    </row>
    <row r="801" customFormat="false" ht="15" hidden="false" customHeight="false" outlineLevel="0" collapsed="false">
      <c r="A801" s="22" t="s">
        <v>1108</v>
      </c>
      <c r="B801" s="22" t="s">
        <v>530</v>
      </c>
      <c r="C801" s="31" t="n">
        <v>46292</v>
      </c>
      <c r="D801" s="22" t="s">
        <v>308</v>
      </c>
      <c r="E801" s="22" t="s">
        <v>305</v>
      </c>
      <c r="F801" s="29" t="str">
        <f aca="false">IF(COUNTIF(Referral_Data!$C$5:$C$1000,B801)&gt;0,"Referred",IF(COUNTIF(Referral_Data!$B$5:$B$1000,B801)&gt;0,"Referrer","Organic"))</f>
        <v>Organic</v>
      </c>
      <c r="G801" s="29" t="n">
        <f aca="false">IF(COUNTIFS($B$5:B801,B801,$C$5:C801,C801)=1,1,0)</f>
        <v>0</v>
      </c>
      <c r="H801" s="29" t="n">
        <f aca="false">IF(AND(G801=1,COUNTIFS($B$5:$B$1635,B801,$C$5:$C$1635,"&lt;"&amp;C801)&gt;0),1,0)</f>
        <v>0</v>
      </c>
      <c r="I801" s="29" t="n">
        <f aca="false">IF(AND(D801="Feature Use",COUNTIFS($B$5:B801,B801,$D$5:D801,"Feature Use",$E$5:E801,E801)=1),1,0)</f>
        <v>0</v>
      </c>
      <c r="J801" s="29" t="n">
        <f aca="false">IF(AND(D801="Feature Use",COUNTIFS($B$5:B801,B801,$D$5:D801,"Feature Use",$E$5:E801,E801)=2),1,0)</f>
        <v>0</v>
      </c>
      <c r="K801" s="29" t="n">
        <f aca="false">IF(COUNTIF($B$5:B801,B801)=1,1,0)</f>
        <v>0</v>
      </c>
      <c r="L801" s="29" t="n">
        <f aca="false">IF(AND(C801&gt;=Settings!$B$5-Settings!$B$8+1,C801&lt;=Settings!$B$5,COUNTIFS($B$5:B801,B801,$C$5:C801,"&gt;="&amp;(Settings!$B$5-Settings!$B$8+1),$C$5:C801,"&lt;="&amp;Settings!$B$5)=1),1,0)</f>
        <v>0</v>
      </c>
      <c r="M801" s="29" t="n">
        <f aca="false">IF(AND(C801&gt;=Settings!$B$5-Settings!$B$9+1,C801&lt;=Settings!$B$5,COUNTIFS($B$5:B801,B801,$C$5:C801,"&gt;="&amp;(Settings!$B$5-Settings!$B$9+1),$C$5:C801,"&lt;="&amp;Settings!$B$5)=1),1,0)</f>
        <v>0</v>
      </c>
      <c r="N801" s="29" t="n">
        <f aca="false">IF(AND(D801="Feature Use",COUNTIFS($B$5:B801,B801,$D$5:D801,"Feature Use")=1),1,0)</f>
        <v>0</v>
      </c>
    </row>
    <row r="802" customFormat="false" ht="15" hidden="false" customHeight="false" outlineLevel="0" collapsed="false">
      <c r="A802" s="22" t="s">
        <v>1109</v>
      </c>
      <c r="B802" s="22" t="s">
        <v>530</v>
      </c>
      <c r="C802" s="31" t="n">
        <v>46292</v>
      </c>
      <c r="D802" s="22" t="s">
        <v>308</v>
      </c>
      <c r="E802" s="22" t="s">
        <v>311</v>
      </c>
      <c r="F802" s="29" t="str">
        <f aca="false">IF(COUNTIF(Referral_Data!$C$5:$C$1000,B802)&gt;0,"Referred",IF(COUNTIF(Referral_Data!$B$5:$B$1000,B802)&gt;0,"Referrer","Organic"))</f>
        <v>Organic</v>
      </c>
      <c r="G802" s="29" t="n">
        <f aca="false">IF(COUNTIFS($B$5:B802,B802,$C$5:C802,C802)=1,1,0)</f>
        <v>0</v>
      </c>
      <c r="H802" s="29" t="n">
        <f aca="false">IF(AND(G802=1,COUNTIFS($B$5:$B$1635,B802,$C$5:$C$1635,"&lt;"&amp;C802)&gt;0),1,0)</f>
        <v>0</v>
      </c>
      <c r="I802" s="29" t="n">
        <f aca="false">IF(AND(D802="Feature Use",COUNTIFS($B$5:B802,B802,$D$5:D802,"Feature Use",$E$5:E802,E802)=1),1,0)</f>
        <v>0</v>
      </c>
      <c r="J802" s="29" t="n">
        <f aca="false">IF(AND(D802="Feature Use",COUNTIFS($B$5:B802,B802,$D$5:D802,"Feature Use",$E$5:E802,E802)=2),1,0)</f>
        <v>0</v>
      </c>
      <c r="K802" s="29" t="n">
        <f aca="false">IF(COUNTIF($B$5:B802,B802)=1,1,0)</f>
        <v>0</v>
      </c>
      <c r="L802" s="29" t="n">
        <f aca="false">IF(AND(C802&gt;=Settings!$B$5-Settings!$B$8+1,C802&lt;=Settings!$B$5,COUNTIFS($B$5:B802,B802,$C$5:C802,"&gt;="&amp;(Settings!$B$5-Settings!$B$8+1),$C$5:C802,"&lt;="&amp;Settings!$B$5)=1),1,0)</f>
        <v>0</v>
      </c>
      <c r="M802" s="29" t="n">
        <f aca="false">IF(AND(C802&gt;=Settings!$B$5-Settings!$B$9+1,C802&lt;=Settings!$B$5,COUNTIFS($B$5:B802,B802,$C$5:C802,"&gt;="&amp;(Settings!$B$5-Settings!$B$9+1),$C$5:C802,"&lt;="&amp;Settings!$B$5)=1),1,0)</f>
        <v>0</v>
      </c>
      <c r="N802" s="29" t="n">
        <f aca="false">IF(AND(D802="Feature Use",COUNTIFS($B$5:B802,B802,$D$5:D802,"Feature Use")=1),1,0)</f>
        <v>0</v>
      </c>
    </row>
    <row r="803" customFormat="false" ht="15" hidden="false" customHeight="false" outlineLevel="0" collapsed="false">
      <c r="A803" s="22" t="s">
        <v>1110</v>
      </c>
      <c r="B803" s="22" t="s">
        <v>313</v>
      </c>
      <c r="C803" s="31" t="n">
        <v>46292</v>
      </c>
      <c r="D803" s="22" t="s">
        <v>297</v>
      </c>
      <c r="E803" s="22" t="s">
        <v>298</v>
      </c>
      <c r="F803" s="29" t="str">
        <f aca="false">IF(COUNTIF(Referral_Data!$C$5:$C$1000,B803)&gt;0,"Referred",IF(COUNTIF(Referral_Data!$B$5:$B$1000,B803)&gt;0,"Referrer","Organic"))</f>
        <v>Organic</v>
      </c>
      <c r="G803" s="29" t="n">
        <f aca="false">IF(COUNTIFS($B$5:B803,B803,$C$5:C803,C803)=1,1,0)</f>
        <v>1</v>
      </c>
      <c r="H803" s="29" t="n">
        <f aca="false">IF(AND(G803=1,COUNTIFS($B$5:$B$1635,B803,$C$5:$C$1635,"&lt;"&amp;C803)&gt;0),1,0)</f>
        <v>1</v>
      </c>
      <c r="I803" s="29" t="n">
        <f aca="false">IF(AND(D803="Feature Use",COUNTIFS($B$5:B803,B803,$D$5:D803,"Feature Use",$E$5:E803,E803)=1),1,0)</f>
        <v>0</v>
      </c>
      <c r="J803" s="29" t="n">
        <f aca="false">IF(AND(D803="Feature Use",COUNTIFS($B$5:B803,B803,$D$5:D803,"Feature Use",$E$5:E803,E803)=2),1,0)</f>
        <v>0</v>
      </c>
      <c r="K803" s="29" t="n">
        <f aca="false">IF(COUNTIF($B$5:B803,B803)=1,1,0)</f>
        <v>0</v>
      </c>
      <c r="L803" s="29" t="n">
        <f aca="false">IF(AND(C803&gt;=Settings!$B$5-Settings!$B$8+1,C803&lt;=Settings!$B$5,COUNTIFS($B$5:B803,B803,$C$5:C803,"&gt;="&amp;(Settings!$B$5-Settings!$B$8+1),$C$5:C803,"&lt;="&amp;Settings!$B$5)=1),1,0)</f>
        <v>0</v>
      </c>
      <c r="M803" s="29" t="n">
        <f aca="false">IF(AND(C803&gt;=Settings!$B$5-Settings!$B$9+1,C803&lt;=Settings!$B$5,COUNTIFS($B$5:B803,B803,$C$5:C803,"&gt;="&amp;(Settings!$B$5-Settings!$B$9+1),$C$5:C803,"&lt;="&amp;Settings!$B$5)=1),1,0)</f>
        <v>0</v>
      </c>
      <c r="N803" s="29" t="n">
        <f aca="false">IF(AND(D803="Feature Use",COUNTIFS($B$5:B803,B803,$D$5:D803,"Feature Use")=1),1,0)</f>
        <v>0</v>
      </c>
    </row>
    <row r="804" customFormat="false" ht="15" hidden="false" customHeight="false" outlineLevel="0" collapsed="false">
      <c r="A804" s="22" t="s">
        <v>1111</v>
      </c>
      <c r="B804" s="22" t="s">
        <v>313</v>
      </c>
      <c r="C804" s="31" t="n">
        <v>46292</v>
      </c>
      <c r="D804" s="22" t="s">
        <v>300</v>
      </c>
      <c r="E804" s="22" t="s">
        <v>311</v>
      </c>
      <c r="F804" s="29" t="str">
        <f aca="false">IF(COUNTIF(Referral_Data!$C$5:$C$1000,B804)&gt;0,"Referred",IF(COUNTIF(Referral_Data!$B$5:$B$1000,B804)&gt;0,"Referrer","Organic"))</f>
        <v>Organic</v>
      </c>
      <c r="G804" s="29" t="n">
        <f aca="false">IF(COUNTIFS($B$5:B804,B804,$C$5:C804,C804)=1,1,0)</f>
        <v>0</v>
      </c>
      <c r="H804" s="29" t="n">
        <f aca="false">IF(AND(G804=1,COUNTIFS($B$5:$B$1635,B804,$C$5:$C$1635,"&lt;"&amp;C804)&gt;0),1,0)</f>
        <v>0</v>
      </c>
      <c r="I804" s="29" t="n">
        <f aca="false">IF(AND(D804="Feature Use",COUNTIFS($B$5:B804,B804,$D$5:D804,"Feature Use",$E$5:E804,E804)=1),1,0)</f>
        <v>0</v>
      </c>
      <c r="J804" s="29" t="n">
        <f aca="false">IF(AND(D804="Feature Use",COUNTIFS($B$5:B804,B804,$D$5:D804,"Feature Use",$E$5:E804,E804)=2),1,0)</f>
        <v>0</v>
      </c>
      <c r="K804" s="29" t="n">
        <f aca="false">IF(COUNTIF($B$5:B804,B804)=1,1,0)</f>
        <v>0</v>
      </c>
      <c r="L804" s="29" t="n">
        <f aca="false">IF(AND(C804&gt;=Settings!$B$5-Settings!$B$8+1,C804&lt;=Settings!$B$5,COUNTIFS($B$5:B804,B804,$C$5:C804,"&gt;="&amp;(Settings!$B$5-Settings!$B$8+1),$C$5:C804,"&lt;="&amp;Settings!$B$5)=1),1,0)</f>
        <v>0</v>
      </c>
      <c r="M804" s="29" t="n">
        <f aca="false">IF(AND(C804&gt;=Settings!$B$5-Settings!$B$9+1,C804&lt;=Settings!$B$5,COUNTIFS($B$5:B804,B804,$C$5:C804,"&gt;="&amp;(Settings!$B$5-Settings!$B$9+1),$C$5:C804,"&lt;="&amp;Settings!$B$5)=1),1,0)</f>
        <v>0</v>
      </c>
      <c r="N804" s="29" t="n">
        <f aca="false">IF(AND(D804="Feature Use",COUNTIFS($B$5:B804,B804,$D$5:D804,"Feature Use")=1),1,0)</f>
        <v>0</v>
      </c>
    </row>
    <row r="805" customFormat="false" ht="15" hidden="false" customHeight="false" outlineLevel="0" collapsed="false">
      <c r="A805" s="22" t="s">
        <v>1112</v>
      </c>
      <c r="B805" s="22" t="s">
        <v>176</v>
      </c>
      <c r="C805" s="31" t="n">
        <v>46292</v>
      </c>
      <c r="D805" s="22" t="s">
        <v>297</v>
      </c>
      <c r="E805" s="22" t="s">
        <v>298</v>
      </c>
      <c r="F805" s="29" t="str">
        <f aca="false">IF(COUNTIF(Referral_Data!$C$5:$C$1000,B805)&gt;0,"Referred",IF(COUNTIF(Referral_Data!$B$5:$B$1000,B805)&gt;0,"Referrer","Organic"))</f>
        <v>Referred</v>
      </c>
      <c r="G805" s="29" t="n">
        <f aca="false">IF(COUNTIFS($B$5:B805,B805,$C$5:C805,C805)=1,1,0)</f>
        <v>1</v>
      </c>
      <c r="H805" s="29" t="n">
        <f aca="false">IF(AND(G805=1,COUNTIFS($B$5:$B$1635,B805,$C$5:$C$1635,"&lt;"&amp;C805)&gt;0),1,0)</f>
        <v>1</v>
      </c>
      <c r="I805" s="29" t="n">
        <f aca="false">IF(AND(D805="Feature Use",COUNTIFS($B$5:B805,B805,$D$5:D805,"Feature Use",$E$5:E805,E805)=1),1,0)</f>
        <v>0</v>
      </c>
      <c r="J805" s="29" t="n">
        <f aca="false">IF(AND(D805="Feature Use",COUNTIFS($B$5:B805,B805,$D$5:D805,"Feature Use",$E$5:E805,E805)=2),1,0)</f>
        <v>0</v>
      </c>
      <c r="K805" s="29" t="n">
        <f aca="false">IF(COUNTIF($B$5:B805,B805)=1,1,0)</f>
        <v>0</v>
      </c>
      <c r="L805" s="29" t="n">
        <f aca="false">IF(AND(C805&gt;=Settings!$B$5-Settings!$B$8+1,C805&lt;=Settings!$B$5,COUNTIFS($B$5:B805,B805,$C$5:C805,"&gt;="&amp;(Settings!$B$5-Settings!$B$8+1),$C$5:C805,"&lt;="&amp;Settings!$B$5)=1),1,0)</f>
        <v>0</v>
      </c>
      <c r="M805" s="29" t="n">
        <f aca="false">IF(AND(C805&gt;=Settings!$B$5-Settings!$B$9+1,C805&lt;=Settings!$B$5,COUNTIFS($B$5:B805,B805,$C$5:C805,"&gt;="&amp;(Settings!$B$5-Settings!$B$9+1),$C$5:C805,"&lt;="&amp;Settings!$B$5)=1),1,0)</f>
        <v>0</v>
      </c>
      <c r="N805" s="29" t="n">
        <f aca="false">IF(AND(D805="Feature Use",COUNTIFS($B$5:B805,B805,$D$5:D805,"Feature Use")=1),1,0)</f>
        <v>0</v>
      </c>
    </row>
    <row r="806" customFormat="false" ht="15" hidden="false" customHeight="false" outlineLevel="0" collapsed="false">
      <c r="A806" s="22" t="s">
        <v>1113</v>
      </c>
      <c r="B806" s="22" t="s">
        <v>176</v>
      </c>
      <c r="C806" s="31" t="n">
        <v>46292</v>
      </c>
      <c r="D806" s="22" t="s">
        <v>300</v>
      </c>
      <c r="E806" s="22" t="s">
        <v>301</v>
      </c>
      <c r="F806" s="29" t="str">
        <f aca="false">IF(COUNTIF(Referral_Data!$C$5:$C$1000,B806)&gt;0,"Referred",IF(COUNTIF(Referral_Data!$B$5:$B$1000,B806)&gt;0,"Referrer","Organic"))</f>
        <v>Referred</v>
      </c>
      <c r="G806" s="29" t="n">
        <f aca="false">IF(COUNTIFS($B$5:B806,B806,$C$5:C806,C806)=1,1,0)</f>
        <v>0</v>
      </c>
      <c r="H806" s="29" t="n">
        <f aca="false">IF(AND(G806=1,COUNTIFS($B$5:$B$1635,B806,$C$5:$C$1635,"&lt;"&amp;C806)&gt;0),1,0)</f>
        <v>0</v>
      </c>
      <c r="I806" s="29" t="n">
        <f aca="false">IF(AND(D806="Feature Use",COUNTIFS($B$5:B806,B806,$D$5:D806,"Feature Use",$E$5:E806,E806)=1),1,0)</f>
        <v>1</v>
      </c>
      <c r="J806" s="29" t="n">
        <f aca="false">IF(AND(D806="Feature Use",COUNTIFS($B$5:B806,B806,$D$5:D806,"Feature Use",$E$5:E806,E806)=2),1,0)</f>
        <v>0</v>
      </c>
      <c r="K806" s="29" t="n">
        <f aca="false">IF(COUNTIF($B$5:B806,B806)=1,1,0)</f>
        <v>0</v>
      </c>
      <c r="L806" s="29" t="n">
        <f aca="false">IF(AND(C806&gt;=Settings!$B$5-Settings!$B$8+1,C806&lt;=Settings!$B$5,COUNTIFS($B$5:B806,B806,$C$5:C806,"&gt;="&amp;(Settings!$B$5-Settings!$B$8+1),$C$5:C806,"&lt;="&amp;Settings!$B$5)=1),1,0)</f>
        <v>0</v>
      </c>
      <c r="M806" s="29" t="n">
        <f aca="false">IF(AND(C806&gt;=Settings!$B$5-Settings!$B$9+1,C806&lt;=Settings!$B$5,COUNTIFS($B$5:B806,B806,$C$5:C806,"&gt;="&amp;(Settings!$B$5-Settings!$B$9+1),$C$5:C806,"&lt;="&amp;Settings!$B$5)=1),1,0)</f>
        <v>0</v>
      </c>
      <c r="N806" s="29" t="n">
        <f aca="false">IF(AND(D806="Feature Use",COUNTIFS($B$5:B806,B806,$D$5:D806,"Feature Use")=1),1,0)</f>
        <v>0</v>
      </c>
    </row>
    <row r="807" customFormat="false" ht="15" hidden="false" customHeight="false" outlineLevel="0" collapsed="false">
      <c r="A807" s="22" t="s">
        <v>1114</v>
      </c>
      <c r="B807" s="22" t="s">
        <v>176</v>
      </c>
      <c r="C807" s="31" t="n">
        <v>46292</v>
      </c>
      <c r="D807" s="22" t="s">
        <v>308</v>
      </c>
      <c r="E807" s="22" t="s">
        <v>305</v>
      </c>
      <c r="F807" s="29" t="str">
        <f aca="false">IF(COUNTIF(Referral_Data!$C$5:$C$1000,B807)&gt;0,"Referred",IF(COUNTIF(Referral_Data!$B$5:$B$1000,B807)&gt;0,"Referrer","Organic"))</f>
        <v>Referred</v>
      </c>
      <c r="G807" s="29" t="n">
        <f aca="false">IF(COUNTIFS($B$5:B807,B807,$C$5:C807,C807)=1,1,0)</f>
        <v>0</v>
      </c>
      <c r="H807" s="29" t="n">
        <f aca="false">IF(AND(G807=1,COUNTIFS($B$5:$B$1635,B807,$C$5:$C$1635,"&lt;"&amp;C807)&gt;0),1,0)</f>
        <v>0</v>
      </c>
      <c r="I807" s="29" t="n">
        <f aca="false">IF(AND(D807="Feature Use",COUNTIFS($B$5:B807,B807,$D$5:D807,"Feature Use",$E$5:E807,E807)=1),1,0)</f>
        <v>0</v>
      </c>
      <c r="J807" s="29" t="n">
        <f aca="false">IF(AND(D807="Feature Use",COUNTIFS($B$5:B807,B807,$D$5:D807,"Feature Use",$E$5:E807,E807)=2),1,0)</f>
        <v>0</v>
      </c>
      <c r="K807" s="29" t="n">
        <f aca="false">IF(COUNTIF($B$5:B807,B807)=1,1,0)</f>
        <v>0</v>
      </c>
      <c r="L807" s="29" t="n">
        <f aca="false">IF(AND(C807&gt;=Settings!$B$5-Settings!$B$8+1,C807&lt;=Settings!$B$5,COUNTIFS($B$5:B807,B807,$C$5:C807,"&gt;="&amp;(Settings!$B$5-Settings!$B$8+1),$C$5:C807,"&lt;="&amp;Settings!$B$5)=1),1,0)</f>
        <v>0</v>
      </c>
      <c r="M807" s="29" t="n">
        <f aca="false">IF(AND(C807&gt;=Settings!$B$5-Settings!$B$9+1,C807&lt;=Settings!$B$5,COUNTIFS($B$5:B807,B807,$C$5:C807,"&gt;="&amp;(Settings!$B$5-Settings!$B$9+1),$C$5:C807,"&lt;="&amp;Settings!$B$5)=1),1,0)</f>
        <v>0</v>
      </c>
      <c r="N807" s="29" t="n">
        <f aca="false">IF(AND(D807="Feature Use",COUNTIFS($B$5:B807,B807,$D$5:D807,"Feature Use")=1),1,0)</f>
        <v>0</v>
      </c>
    </row>
    <row r="808" customFormat="false" ht="15" hidden="false" customHeight="false" outlineLevel="0" collapsed="false">
      <c r="A808" s="22" t="s">
        <v>1115</v>
      </c>
      <c r="B808" s="22" t="s">
        <v>176</v>
      </c>
      <c r="C808" s="31" t="n">
        <v>46292</v>
      </c>
      <c r="D808" s="22" t="s">
        <v>308</v>
      </c>
      <c r="E808" s="22" t="s">
        <v>311</v>
      </c>
      <c r="F808" s="29" t="str">
        <f aca="false">IF(COUNTIF(Referral_Data!$C$5:$C$1000,B808)&gt;0,"Referred",IF(COUNTIF(Referral_Data!$B$5:$B$1000,B808)&gt;0,"Referrer","Organic"))</f>
        <v>Referred</v>
      </c>
      <c r="G808" s="29" t="n">
        <f aca="false">IF(COUNTIFS($B$5:B808,B808,$C$5:C808,C808)=1,1,0)</f>
        <v>0</v>
      </c>
      <c r="H808" s="29" t="n">
        <f aca="false">IF(AND(G808=1,COUNTIFS($B$5:$B$1635,B808,$C$5:$C$1635,"&lt;"&amp;C808)&gt;0),1,0)</f>
        <v>0</v>
      </c>
      <c r="I808" s="29" t="n">
        <f aca="false">IF(AND(D808="Feature Use",COUNTIFS($B$5:B808,B808,$D$5:D808,"Feature Use",$E$5:E808,E808)=1),1,0)</f>
        <v>0</v>
      </c>
      <c r="J808" s="29" t="n">
        <f aca="false">IF(AND(D808="Feature Use",COUNTIFS($B$5:B808,B808,$D$5:D808,"Feature Use",$E$5:E808,E808)=2),1,0)</f>
        <v>0</v>
      </c>
      <c r="K808" s="29" t="n">
        <f aca="false">IF(COUNTIF($B$5:B808,B808)=1,1,0)</f>
        <v>0</v>
      </c>
      <c r="L808" s="29" t="n">
        <f aca="false">IF(AND(C808&gt;=Settings!$B$5-Settings!$B$8+1,C808&lt;=Settings!$B$5,COUNTIFS($B$5:B808,B808,$C$5:C808,"&gt;="&amp;(Settings!$B$5-Settings!$B$8+1),$C$5:C808,"&lt;="&amp;Settings!$B$5)=1),1,0)</f>
        <v>0</v>
      </c>
      <c r="M808" s="29" t="n">
        <f aca="false">IF(AND(C808&gt;=Settings!$B$5-Settings!$B$9+1,C808&lt;=Settings!$B$5,COUNTIFS($B$5:B808,B808,$C$5:C808,"&gt;="&amp;(Settings!$B$5-Settings!$B$9+1),$C$5:C808,"&lt;="&amp;Settings!$B$5)=1),1,0)</f>
        <v>0</v>
      </c>
      <c r="N808" s="29" t="n">
        <f aca="false">IF(AND(D808="Feature Use",COUNTIFS($B$5:B808,B808,$D$5:D808,"Feature Use")=1),1,0)</f>
        <v>0</v>
      </c>
    </row>
    <row r="809" customFormat="false" ht="15" hidden="false" customHeight="false" outlineLevel="0" collapsed="false">
      <c r="A809" s="22" t="s">
        <v>1116</v>
      </c>
      <c r="B809" s="22" t="s">
        <v>184</v>
      </c>
      <c r="C809" s="31" t="n">
        <v>46292</v>
      </c>
      <c r="D809" s="22" t="s">
        <v>297</v>
      </c>
      <c r="E809" s="22" t="s">
        <v>298</v>
      </c>
      <c r="F809" s="29" t="str">
        <f aca="false">IF(COUNTIF(Referral_Data!$C$5:$C$1000,B809)&gt;0,"Referred",IF(COUNTIF(Referral_Data!$B$5:$B$1000,B809)&gt;0,"Referrer","Organic"))</f>
        <v>Referred</v>
      </c>
      <c r="G809" s="29" t="n">
        <f aca="false">IF(COUNTIFS($B$5:B809,B809,$C$5:C809,C809)=1,1,0)</f>
        <v>1</v>
      </c>
      <c r="H809" s="29" t="n">
        <f aca="false">IF(AND(G809=1,COUNTIFS($B$5:$B$1635,B809,$C$5:$C$1635,"&lt;"&amp;C809)&gt;0),1,0)</f>
        <v>1</v>
      </c>
      <c r="I809" s="29" t="n">
        <f aca="false">IF(AND(D809="Feature Use",COUNTIFS($B$5:B809,B809,$D$5:D809,"Feature Use",$E$5:E809,E809)=1),1,0)</f>
        <v>0</v>
      </c>
      <c r="J809" s="29" t="n">
        <f aca="false">IF(AND(D809="Feature Use",COUNTIFS($B$5:B809,B809,$D$5:D809,"Feature Use",$E$5:E809,E809)=2),1,0)</f>
        <v>0</v>
      </c>
      <c r="K809" s="29" t="n">
        <f aca="false">IF(COUNTIF($B$5:B809,B809)=1,1,0)</f>
        <v>0</v>
      </c>
      <c r="L809" s="29" t="n">
        <f aca="false">IF(AND(C809&gt;=Settings!$B$5-Settings!$B$8+1,C809&lt;=Settings!$B$5,COUNTIFS($B$5:B809,B809,$C$5:C809,"&gt;="&amp;(Settings!$B$5-Settings!$B$8+1),$C$5:C809,"&lt;="&amp;Settings!$B$5)=1),1,0)</f>
        <v>0</v>
      </c>
      <c r="M809" s="29" t="n">
        <f aca="false">IF(AND(C809&gt;=Settings!$B$5-Settings!$B$9+1,C809&lt;=Settings!$B$5,COUNTIFS($B$5:B809,B809,$C$5:C809,"&gt;="&amp;(Settings!$B$5-Settings!$B$9+1),$C$5:C809,"&lt;="&amp;Settings!$B$5)=1),1,0)</f>
        <v>0</v>
      </c>
      <c r="N809" s="29" t="n">
        <f aca="false">IF(AND(D809="Feature Use",COUNTIFS($B$5:B809,B809,$D$5:D809,"Feature Use")=1),1,0)</f>
        <v>0</v>
      </c>
    </row>
    <row r="810" customFormat="false" ht="15" hidden="false" customHeight="false" outlineLevel="0" collapsed="false">
      <c r="A810" s="22" t="s">
        <v>1117</v>
      </c>
      <c r="B810" s="22" t="s">
        <v>184</v>
      </c>
      <c r="C810" s="31" t="n">
        <v>46292</v>
      </c>
      <c r="D810" s="22" t="s">
        <v>300</v>
      </c>
      <c r="E810" s="22" t="s">
        <v>305</v>
      </c>
      <c r="F810" s="29" t="str">
        <f aca="false">IF(COUNTIF(Referral_Data!$C$5:$C$1000,B810)&gt;0,"Referred",IF(COUNTIF(Referral_Data!$B$5:$B$1000,B810)&gt;0,"Referrer","Organic"))</f>
        <v>Referred</v>
      </c>
      <c r="G810" s="29" t="n">
        <f aca="false">IF(COUNTIFS($B$5:B810,B810,$C$5:C810,C810)=1,1,0)</f>
        <v>0</v>
      </c>
      <c r="H810" s="29" t="n">
        <f aca="false">IF(AND(G810=1,COUNTIFS($B$5:$B$1635,B810,$C$5:$C$1635,"&lt;"&amp;C810)&gt;0),1,0)</f>
        <v>0</v>
      </c>
      <c r="I810" s="29" t="n">
        <f aca="false">IF(AND(D810="Feature Use",COUNTIFS($B$5:B810,B810,$D$5:D810,"Feature Use",$E$5:E810,E810)=1),1,0)</f>
        <v>0</v>
      </c>
      <c r="J810" s="29" t="n">
        <f aca="false">IF(AND(D810="Feature Use",COUNTIFS($B$5:B810,B810,$D$5:D810,"Feature Use",$E$5:E810,E810)=2),1,0)</f>
        <v>0</v>
      </c>
      <c r="K810" s="29" t="n">
        <f aca="false">IF(COUNTIF($B$5:B810,B810)=1,1,0)</f>
        <v>0</v>
      </c>
      <c r="L810" s="29" t="n">
        <f aca="false">IF(AND(C810&gt;=Settings!$B$5-Settings!$B$8+1,C810&lt;=Settings!$B$5,COUNTIFS($B$5:B810,B810,$C$5:C810,"&gt;="&amp;(Settings!$B$5-Settings!$B$8+1),$C$5:C810,"&lt;="&amp;Settings!$B$5)=1),1,0)</f>
        <v>0</v>
      </c>
      <c r="M810" s="29" t="n">
        <f aca="false">IF(AND(C810&gt;=Settings!$B$5-Settings!$B$9+1,C810&lt;=Settings!$B$5,COUNTIFS($B$5:B810,B810,$C$5:C810,"&gt;="&amp;(Settings!$B$5-Settings!$B$9+1),$C$5:C810,"&lt;="&amp;Settings!$B$5)=1),1,0)</f>
        <v>0</v>
      </c>
      <c r="N810" s="29" t="n">
        <f aca="false">IF(AND(D810="Feature Use",COUNTIFS($B$5:B810,B810,$D$5:D810,"Feature Use")=1),1,0)</f>
        <v>0</v>
      </c>
    </row>
    <row r="811" customFormat="false" ht="15" hidden="false" customHeight="false" outlineLevel="0" collapsed="false">
      <c r="A811" s="22" t="s">
        <v>1118</v>
      </c>
      <c r="B811" s="22" t="s">
        <v>184</v>
      </c>
      <c r="C811" s="31" t="n">
        <v>46292</v>
      </c>
      <c r="D811" s="22" t="s">
        <v>300</v>
      </c>
      <c r="E811" s="22" t="s">
        <v>305</v>
      </c>
      <c r="F811" s="29" t="str">
        <f aca="false">IF(COUNTIF(Referral_Data!$C$5:$C$1000,B811)&gt;0,"Referred",IF(COUNTIF(Referral_Data!$B$5:$B$1000,B811)&gt;0,"Referrer","Organic"))</f>
        <v>Referred</v>
      </c>
      <c r="G811" s="29" t="n">
        <f aca="false">IF(COUNTIFS($B$5:B811,B811,$C$5:C811,C811)=1,1,0)</f>
        <v>0</v>
      </c>
      <c r="H811" s="29" t="n">
        <f aca="false">IF(AND(G811=1,COUNTIFS($B$5:$B$1635,B811,$C$5:$C$1635,"&lt;"&amp;C811)&gt;0),1,0)</f>
        <v>0</v>
      </c>
      <c r="I811" s="29" t="n">
        <f aca="false">IF(AND(D811="Feature Use",COUNTIFS($B$5:B811,B811,$D$5:D811,"Feature Use",$E$5:E811,E811)=1),1,0)</f>
        <v>0</v>
      </c>
      <c r="J811" s="29" t="n">
        <f aca="false">IF(AND(D811="Feature Use",COUNTIFS($B$5:B811,B811,$D$5:D811,"Feature Use",$E$5:E811,E811)=2),1,0)</f>
        <v>0</v>
      </c>
      <c r="K811" s="29" t="n">
        <f aca="false">IF(COUNTIF($B$5:B811,B811)=1,1,0)</f>
        <v>0</v>
      </c>
      <c r="L811" s="29" t="n">
        <f aca="false">IF(AND(C811&gt;=Settings!$B$5-Settings!$B$8+1,C811&lt;=Settings!$B$5,COUNTIFS($B$5:B811,B811,$C$5:C811,"&gt;="&amp;(Settings!$B$5-Settings!$B$8+1),$C$5:C811,"&lt;="&amp;Settings!$B$5)=1),1,0)</f>
        <v>0</v>
      </c>
      <c r="M811" s="29" t="n">
        <f aca="false">IF(AND(C811&gt;=Settings!$B$5-Settings!$B$9+1,C811&lt;=Settings!$B$5,COUNTIFS($B$5:B811,B811,$C$5:C811,"&gt;="&amp;(Settings!$B$5-Settings!$B$9+1),$C$5:C811,"&lt;="&amp;Settings!$B$5)=1),1,0)</f>
        <v>0</v>
      </c>
      <c r="N811" s="29" t="n">
        <f aca="false">IF(AND(D811="Feature Use",COUNTIFS($B$5:B811,B811,$D$5:D811,"Feature Use")=1),1,0)</f>
        <v>0</v>
      </c>
    </row>
    <row r="812" customFormat="false" ht="15" hidden="false" customHeight="false" outlineLevel="0" collapsed="false">
      <c r="A812" s="22" t="s">
        <v>1119</v>
      </c>
      <c r="B812" s="22" t="s">
        <v>184</v>
      </c>
      <c r="C812" s="31" t="n">
        <v>46292</v>
      </c>
      <c r="D812" s="22" t="s">
        <v>308</v>
      </c>
      <c r="E812" s="22" t="s">
        <v>319</v>
      </c>
      <c r="F812" s="29" t="str">
        <f aca="false">IF(COUNTIF(Referral_Data!$C$5:$C$1000,B812)&gt;0,"Referred",IF(COUNTIF(Referral_Data!$B$5:$B$1000,B812)&gt;0,"Referrer","Organic"))</f>
        <v>Referred</v>
      </c>
      <c r="G812" s="29" t="n">
        <f aca="false">IF(COUNTIFS($B$5:B812,B812,$C$5:C812,C812)=1,1,0)</f>
        <v>0</v>
      </c>
      <c r="H812" s="29" t="n">
        <f aca="false">IF(AND(G812=1,COUNTIFS($B$5:$B$1635,B812,$C$5:$C$1635,"&lt;"&amp;C812)&gt;0),1,0)</f>
        <v>0</v>
      </c>
      <c r="I812" s="29" t="n">
        <f aca="false">IF(AND(D812="Feature Use",COUNTIFS($B$5:B812,B812,$D$5:D812,"Feature Use",$E$5:E812,E812)=1),1,0)</f>
        <v>0</v>
      </c>
      <c r="J812" s="29" t="n">
        <f aca="false">IF(AND(D812="Feature Use",COUNTIFS($B$5:B812,B812,$D$5:D812,"Feature Use",$E$5:E812,E812)=2),1,0)</f>
        <v>0</v>
      </c>
      <c r="K812" s="29" t="n">
        <f aca="false">IF(COUNTIF($B$5:B812,B812)=1,1,0)</f>
        <v>0</v>
      </c>
      <c r="L812" s="29" t="n">
        <f aca="false">IF(AND(C812&gt;=Settings!$B$5-Settings!$B$8+1,C812&lt;=Settings!$B$5,COUNTIFS($B$5:B812,B812,$C$5:C812,"&gt;="&amp;(Settings!$B$5-Settings!$B$8+1),$C$5:C812,"&lt;="&amp;Settings!$B$5)=1),1,0)</f>
        <v>0</v>
      </c>
      <c r="M812" s="29" t="n">
        <f aca="false">IF(AND(C812&gt;=Settings!$B$5-Settings!$B$9+1,C812&lt;=Settings!$B$5,COUNTIFS($B$5:B812,B812,$C$5:C812,"&gt;="&amp;(Settings!$B$5-Settings!$B$9+1),$C$5:C812,"&lt;="&amp;Settings!$B$5)=1),1,0)</f>
        <v>0</v>
      </c>
      <c r="N812" s="29" t="n">
        <f aca="false">IF(AND(D812="Feature Use",COUNTIFS($B$5:B812,B812,$D$5:D812,"Feature Use")=1),1,0)</f>
        <v>0</v>
      </c>
    </row>
    <row r="813" customFormat="false" ht="15" hidden="false" customHeight="false" outlineLevel="0" collapsed="false">
      <c r="A813" s="22" t="s">
        <v>1120</v>
      </c>
      <c r="B813" s="22" t="s">
        <v>192</v>
      </c>
      <c r="C813" s="31" t="n">
        <v>46292</v>
      </c>
      <c r="D813" s="22" t="s">
        <v>297</v>
      </c>
      <c r="E813" s="22" t="s">
        <v>298</v>
      </c>
      <c r="F813" s="29" t="str">
        <f aca="false">IF(COUNTIF(Referral_Data!$C$5:$C$1000,B813)&gt;0,"Referred",IF(COUNTIF(Referral_Data!$B$5:$B$1000,B813)&gt;0,"Referrer","Organic"))</f>
        <v>Referred</v>
      </c>
      <c r="G813" s="29" t="n">
        <f aca="false">IF(COUNTIFS($B$5:B813,B813,$C$5:C813,C813)=1,1,0)</f>
        <v>1</v>
      </c>
      <c r="H813" s="29" t="n">
        <f aca="false">IF(AND(G813=1,COUNTIFS($B$5:$B$1635,B813,$C$5:$C$1635,"&lt;"&amp;C813)&gt;0),1,0)</f>
        <v>1</v>
      </c>
      <c r="I813" s="29" t="n">
        <f aca="false">IF(AND(D813="Feature Use",COUNTIFS($B$5:B813,B813,$D$5:D813,"Feature Use",$E$5:E813,E813)=1),1,0)</f>
        <v>0</v>
      </c>
      <c r="J813" s="29" t="n">
        <f aca="false">IF(AND(D813="Feature Use",COUNTIFS($B$5:B813,B813,$D$5:D813,"Feature Use",$E$5:E813,E813)=2),1,0)</f>
        <v>0</v>
      </c>
      <c r="K813" s="29" t="n">
        <f aca="false">IF(COUNTIF($B$5:B813,B813)=1,1,0)</f>
        <v>0</v>
      </c>
      <c r="L813" s="29" t="n">
        <f aca="false">IF(AND(C813&gt;=Settings!$B$5-Settings!$B$8+1,C813&lt;=Settings!$B$5,COUNTIFS($B$5:B813,B813,$C$5:C813,"&gt;="&amp;(Settings!$B$5-Settings!$B$8+1),$C$5:C813,"&lt;="&amp;Settings!$B$5)=1),1,0)</f>
        <v>0</v>
      </c>
      <c r="M813" s="29" t="n">
        <f aca="false">IF(AND(C813&gt;=Settings!$B$5-Settings!$B$9+1,C813&lt;=Settings!$B$5,COUNTIFS($B$5:B813,B813,$C$5:C813,"&gt;="&amp;(Settings!$B$5-Settings!$B$9+1),$C$5:C813,"&lt;="&amp;Settings!$B$5)=1),1,0)</f>
        <v>0</v>
      </c>
      <c r="N813" s="29" t="n">
        <f aca="false">IF(AND(D813="Feature Use",COUNTIFS($B$5:B813,B813,$D$5:D813,"Feature Use")=1),1,0)</f>
        <v>0</v>
      </c>
    </row>
    <row r="814" customFormat="false" ht="15" hidden="false" customHeight="false" outlineLevel="0" collapsed="false">
      <c r="A814" s="22" t="s">
        <v>1121</v>
      </c>
      <c r="B814" s="22" t="s">
        <v>192</v>
      </c>
      <c r="C814" s="31" t="n">
        <v>46292</v>
      </c>
      <c r="D814" s="22" t="s">
        <v>300</v>
      </c>
      <c r="E814" s="22" t="s">
        <v>301</v>
      </c>
      <c r="F814" s="29" t="str">
        <f aca="false">IF(COUNTIF(Referral_Data!$C$5:$C$1000,B814)&gt;0,"Referred",IF(COUNTIF(Referral_Data!$B$5:$B$1000,B814)&gt;0,"Referrer","Organic"))</f>
        <v>Referred</v>
      </c>
      <c r="G814" s="29" t="n">
        <f aca="false">IF(COUNTIFS($B$5:B814,B814,$C$5:C814,C814)=1,1,0)</f>
        <v>0</v>
      </c>
      <c r="H814" s="29" t="n">
        <f aca="false">IF(AND(G814=1,COUNTIFS($B$5:$B$1635,B814,$C$5:$C$1635,"&lt;"&amp;C814)&gt;0),1,0)</f>
        <v>0</v>
      </c>
      <c r="I814" s="29" t="n">
        <f aca="false">IF(AND(D814="Feature Use",COUNTIFS($B$5:B814,B814,$D$5:D814,"Feature Use",$E$5:E814,E814)=1),1,0)</f>
        <v>0</v>
      </c>
      <c r="J814" s="29" t="n">
        <f aca="false">IF(AND(D814="Feature Use",COUNTIFS($B$5:B814,B814,$D$5:D814,"Feature Use",$E$5:E814,E814)=2),1,0)</f>
        <v>0</v>
      </c>
      <c r="K814" s="29" t="n">
        <f aca="false">IF(COUNTIF($B$5:B814,B814)=1,1,0)</f>
        <v>0</v>
      </c>
      <c r="L814" s="29" t="n">
        <f aca="false">IF(AND(C814&gt;=Settings!$B$5-Settings!$B$8+1,C814&lt;=Settings!$B$5,COUNTIFS($B$5:B814,B814,$C$5:C814,"&gt;="&amp;(Settings!$B$5-Settings!$B$8+1),$C$5:C814,"&lt;="&amp;Settings!$B$5)=1),1,0)</f>
        <v>0</v>
      </c>
      <c r="M814" s="29" t="n">
        <f aca="false">IF(AND(C814&gt;=Settings!$B$5-Settings!$B$9+1,C814&lt;=Settings!$B$5,COUNTIFS($B$5:B814,B814,$C$5:C814,"&gt;="&amp;(Settings!$B$5-Settings!$B$9+1),$C$5:C814,"&lt;="&amp;Settings!$B$5)=1),1,0)</f>
        <v>0</v>
      </c>
      <c r="N814" s="29" t="n">
        <f aca="false">IF(AND(D814="Feature Use",COUNTIFS($B$5:B814,B814,$D$5:D814,"Feature Use")=1),1,0)</f>
        <v>0</v>
      </c>
    </row>
    <row r="815" customFormat="false" ht="15" hidden="false" customHeight="false" outlineLevel="0" collapsed="false">
      <c r="A815" s="22" t="s">
        <v>1122</v>
      </c>
      <c r="B815" s="22" t="s">
        <v>192</v>
      </c>
      <c r="C815" s="31" t="n">
        <v>46292</v>
      </c>
      <c r="D815" s="22" t="s">
        <v>300</v>
      </c>
      <c r="E815" s="22" t="s">
        <v>311</v>
      </c>
      <c r="F815" s="29" t="str">
        <f aca="false">IF(COUNTIF(Referral_Data!$C$5:$C$1000,B815)&gt;0,"Referred",IF(COUNTIF(Referral_Data!$B$5:$B$1000,B815)&gt;0,"Referrer","Organic"))</f>
        <v>Referred</v>
      </c>
      <c r="G815" s="29" t="n">
        <f aca="false">IF(COUNTIFS($B$5:B815,B815,$C$5:C815,C815)=1,1,0)</f>
        <v>0</v>
      </c>
      <c r="H815" s="29" t="n">
        <f aca="false">IF(AND(G815=1,COUNTIFS($B$5:$B$1635,B815,$C$5:$C$1635,"&lt;"&amp;C815)&gt;0),1,0)</f>
        <v>0</v>
      </c>
      <c r="I815" s="29" t="n">
        <f aca="false">IF(AND(D815="Feature Use",COUNTIFS($B$5:B815,B815,$D$5:D815,"Feature Use",$E$5:E815,E815)=1),1,0)</f>
        <v>0</v>
      </c>
      <c r="J815" s="29" t="n">
        <f aca="false">IF(AND(D815="Feature Use",COUNTIFS($B$5:B815,B815,$D$5:D815,"Feature Use",$E$5:E815,E815)=2),1,0)</f>
        <v>0</v>
      </c>
      <c r="K815" s="29" t="n">
        <f aca="false">IF(COUNTIF($B$5:B815,B815)=1,1,0)</f>
        <v>0</v>
      </c>
      <c r="L815" s="29" t="n">
        <f aca="false">IF(AND(C815&gt;=Settings!$B$5-Settings!$B$8+1,C815&lt;=Settings!$B$5,COUNTIFS($B$5:B815,B815,$C$5:C815,"&gt;="&amp;(Settings!$B$5-Settings!$B$8+1),$C$5:C815,"&lt;="&amp;Settings!$B$5)=1),1,0)</f>
        <v>0</v>
      </c>
      <c r="M815" s="29" t="n">
        <f aca="false">IF(AND(C815&gt;=Settings!$B$5-Settings!$B$9+1,C815&lt;=Settings!$B$5,COUNTIFS($B$5:B815,B815,$C$5:C815,"&gt;="&amp;(Settings!$B$5-Settings!$B$9+1),$C$5:C815,"&lt;="&amp;Settings!$B$5)=1),1,0)</f>
        <v>0</v>
      </c>
      <c r="N815" s="29" t="n">
        <f aca="false">IF(AND(D815="Feature Use",COUNTIFS($B$5:B815,B815,$D$5:D815,"Feature Use")=1),1,0)</f>
        <v>0</v>
      </c>
    </row>
    <row r="816" customFormat="false" ht="15" hidden="false" customHeight="false" outlineLevel="0" collapsed="false">
      <c r="A816" s="22" t="s">
        <v>1123</v>
      </c>
      <c r="B816" s="22" t="s">
        <v>194</v>
      </c>
      <c r="C816" s="31" t="n">
        <v>46292</v>
      </c>
      <c r="D816" s="22" t="s">
        <v>297</v>
      </c>
      <c r="E816" s="22" t="s">
        <v>298</v>
      </c>
      <c r="F816" s="29" t="str">
        <f aca="false">IF(COUNTIF(Referral_Data!$C$5:$C$1000,B816)&gt;0,"Referred",IF(COUNTIF(Referral_Data!$B$5:$B$1000,B816)&gt;0,"Referrer","Organic"))</f>
        <v>Referred</v>
      </c>
      <c r="G816" s="29" t="n">
        <f aca="false">IF(COUNTIFS($B$5:B816,B816,$C$5:C816,C816)=1,1,0)</f>
        <v>1</v>
      </c>
      <c r="H816" s="29" t="n">
        <f aca="false">IF(AND(G816=1,COUNTIFS($B$5:$B$1635,B816,$C$5:$C$1635,"&lt;"&amp;C816)&gt;0),1,0)</f>
        <v>1</v>
      </c>
      <c r="I816" s="29" t="n">
        <f aca="false">IF(AND(D816="Feature Use",COUNTIFS($B$5:B816,B816,$D$5:D816,"Feature Use",$E$5:E816,E816)=1),1,0)</f>
        <v>0</v>
      </c>
      <c r="J816" s="29" t="n">
        <f aca="false">IF(AND(D816="Feature Use",COUNTIFS($B$5:B816,B816,$D$5:D816,"Feature Use",$E$5:E816,E816)=2),1,0)</f>
        <v>0</v>
      </c>
      <c r="K816" s="29" t="n">
        <f aca="false">IF(COUNTIF($B$5:B816,B816)=1,1,0)</f>
        <v>0</v>
      </c>
      <c r="L816" s="29" t="n">
        <f aca="false">IF(AND(C816&gt;=Settings!$B$5-Settings!$B$8+1,C816&lt;=Settings!$B$5,COUNTIFS($B$5:B816,B816,$C$5:C816,"&gt;="&amp;(Settings!$B$5-Settings!$B$8+1),$C$5:C816,"&lt;="&amp;Settings!$B$5)=1),1,0)</f>
        <v>0</v>
      </c>
      <c r="M816" s="29" t="n">
        <f aca="false">IF(AND(C816&gt;=Settings!$B$5-Settings!$B$9+1,C816&lt;=Settings!$B$5,COUNTIFS($B$5:B816,B816,$C$5:C816,"&gt;="&amp;(Settings!$B$5-Settings!$B$9+1),$C$5:C816,"&lt;="&amp;Settings!$B$5)=1),1,0)</f>
        <v>0</v>
      </c>
      <c r="N816" s="29" t="n">
        <f aca="false">IF(AND(D816="Feature Use",COUNTIFS($B$5:B816,B816,$D$5:D816,"Feature Use")=1),1,0)</f>
        <v>0</v>
      </c>
    </row>
    <row r="817" customFormat="false" ht="15" hidden="false" customHeight="false" outlineLevel="0" collapsed="false">
      <c r="A817" s="22" t="s">
        <v>1124</v>
      </c>
      <c r="B817" s="22" t="s">
        <v>194</v>
      </c>
      <c r="C817" s="31" t="n">
        <v>46292</v>
      </c>
      <c r="D817" s="22" t="s">
        <v>300</v>
      </c>
      <c r="E817" s="22" t="s">
        <v>309</v>
      </c>
      <c r="F817" s="29" t="str">
        <f aca="false">IF(COUNTIF(Referral_Data!$C$5:$C$1000,B817)&gt;0,"Referred",IF(COUNTIF(Referral_Data!$B$5:$B$1000,B817)&gt;0,"Referrer","Organic"))</f>
        <v>Referred</v>
      </c>
      <c r="G817" s="29" t="n">
        <f aca="false">IF(COUNTIFS($B$5:B817,B817,$C$5:C817,C817)=1,1,0)</f>
        <v>0</v>
      </c>
      <c r="H817" s="29" t="n">
        <f aca="false">IF(AND(G817=1,COUNTIFS($B$5:$B$1635,B817,$C$5:$C$1635,"&lt;"&amp;C817)&gt;0),1,0)</f>
        <v>0</v>
      </c>
      <c r="I817" s="29" t="n">
        <f aca="false">IF(AND(D817="Feature Use",COUNTIFS($B$5:B817,B817,$D$5:D817,"Feature Use",$E$5:E817,E817)=1),1,0)</f>
        <v>1</v>
      </c>
      <c r="J817" s="29" t="n">
        <f aca="false">IF(AND(D817="Feature Use",COUNTIFS($B$5:B817,B817,$D$5:D817,"Feature Use",$E$5:E817,E817)=2),1,0)</f>
        <v>0</v>
      </c>
      <c r="K817" s="29" t="n">
        <f aca="false">IF(COUNTIF($B$5:B817,B817)=1,1,0)</f>
        <v>0</v>
      </c>
      <c r="L817" s="29" t="n">
        <f aca="false">IF(AND(C817&gt;=Settings!$B$5-Settings!$B$8+1,C817&lt;=Settings!$B$5,COUNTIFS($B$5:B817,B817,$C$5:C817,"&gt;="&amp;(Settings!$B$5-Settings!$B$8+1),$C$5:C817,"&lt;="&amp;Settings!$B$5)=1),1,0)</f>
        <v>0</v>
      </c>
      <c r="M817" s="29" t="n">
        <f aca="false">IF(AND(C817&gt;=Settings!$B$5-Settings!$B$9+1,C817&lt;=Settings!$B$5,COUNTIFS($B$5:B817,B817,$C$5:C817,"&gt;="&amp;(Settings!$B$5-Settings!$B$9+1),$C$5:C817,"&lt;="&amp;Settings!$B$5)=1),1,0)</f>
        <v>0</v>
      </c>
      <c r="N817" s="29" t="n">
        <f aca="false">IF(AND(D817="Feature Use",COUNTIFS($B$5:B817,B817,$D$5:D817,"Feature Use")=1),1,0)</f>
        <v>0</v>
      </c>
    </row>
    <row r="818" customFormat="false" ht="15" hidden="false" customHeight="false" outlineLevel="0" collapsed="false">
      <c r="A818" s="22" t="s">
        <v>1125</v>
      </c>
      <c r="B818" s="22" t="s">
        <v>194</v>
      </c>
      <c r="C818" s="31" t="n">
        <v>46292</v>
      </c>
      <c r="D818" s="22" t="s">
        <v>308</v>
      </c>
      <c r="E818" s="22" t="s">
        <v>301</v>
      </c>
      <c r="F818" s="29" t="str">
        <f aca="false">IF(COUNTIF(Referral_Data!$C$5:$C$1000,B818)&gt;0,"Referred",IF(COUNTIF(Referral_Data!$B$5:$B$1000,B818)&gt;0,"Referrer","Organic"))</f>
        <v>Referred</v>
      </c>
      <c r="G818" s="29" t="n">
        <f aca="false">IF(COUNTIFS($B$5:B818,B818,$C$5:C818,C818)=1,1,0)</f>
        <v>0</v>
      </c>
      <c r="H818" s="29" t="n">
        <f aca="false">IF(AND(G818=1,COUNTIFS($B$5:$B$1635,B818,$C$5:$C$1635,"&lt;"&amp;C818)&gt;0),1,0)</f>
        <v>0</v>
      </c>
      <c r="I818" s="29" t="n">
        <f aca="false">IF(AND(D818="Feature Use",COUNTIFS($B$5:B818,B818,$D$5:D818,"Feature Use",$E$5:E818,E818)=1),1,0)</f>
        <v>0</v>
      </c>
      <c r="J818" s="29" t="n">
        <f aca="false">IF(AND(D818="Feature Use",COUNTIFS($B$5:B818,B818,$D$5:D818,"Feature Use",$E$5:E818,E818)=2),1,0)</f>
        <v>0</v>
      </c>
      <c r="K818" s="29" t="n">
        <f aca="false">IF(COUNTIF($B$5:B818,B818)=1,1,0)</f>
        <v>0</v>
      </c>
      <c r="L818" s="29" t="n">
        <f aca="false">IF(AND(C818&gt;=Settings!$B$5-Settings!$B$8+1,C818&lt;=Settings!$B$5,COUNTIFS($B$5:B818,B818,$C$5:C818,"&gt;="&amp;(Settings!$B$5-Settings!$B$8+1),$C$5:C818,"&lt;="&amp;Settings!$B$5)=1),1,0)</f>
        <v>0</v>
      </c>
      <c r="M818" s="29" t="n">
        <f aca="false">IF(AND(C818&gt;=Settings!$B$5-Settings!$B$9+1,C818&lt;=Settings!$B$5,COUNTIFS($B$5:B818,B818,$C$5:C818,"&gt;="&amp;(Settings!$B$5-Settings!$B$9+1),$C$5:C818,"&lt;="&amp;Settings!$B$5)=1),1,0)</f>
        <v>0</v>
      </c>
      <c r="N818" s="29" t="n">
        <f aca="false">IF(AND(D818="Feature Use",COUNTIFS($B$5:B818,B818,$D$5:D818,"Feature Use")=1),1,0)</f>
        <v>0</v>
      </c>
    </row>
    <row r="819" customFormat="false" ht="15" hidden="false" customHeight="false" outlineLevel="0" collapsed="false">
      <c r="A819" s="22" t="s">
        <v>1126</v>
      </c>
      <c r="B819" s="22" t="s">
        <v>194</v>
      </c>
      <c r="C819" s="31" t="n">
        <v>46292</v>
      </c>
      <c r="D819" s="22" t="s">
        <v>308</v>
      </c>
      <c r="E819" s="22" t="s">
        <v>309</v>
      </c>
      <c r="F819" s="29" t="str">
        <f aca="false">IF(COUNTIF(Referral_Data!$C$5:$C$1000,B819)&gt;0,"Referred",IF(COUNTIF(Referral_Data!$B$5:$B$1000,B819)&gt;0,"Referrer","Organic"))</f>
        <v>Referred</v>
      </c>
      <c r="G819" s="29" t="n">
        <f aca="false">IF(COUNTIFS($B$5:B819,B819,$C$5:C819,C819)=1,1,0)</f>
        <v>0</v>
      </c>
      <c r="H819" s="29" t="n">
        <f aca="false">IF(AND(G819=1,COUNTIFS($B$5:$B$1635,B819,$C$5:$C$1635,"&lt;"&amp;C819)&gt;0),1,0)</f>
        <v>0</v>
      </c>
      <c r="I819" s="29" t="n">
        <f aca="false">IF(AND(D819="Feature Use",COUNTIFS($B$5:B819,B819,$D$5:D819,"Feature Use",$E$5:E819,E819)=1),1,0)</f>
        <v>0</v>
      </c>
      <c r="J819" s="29" t="n">
        <f aca="false">IF(AND(D819="Feature Use",COUNTIFS($B$5:B819,B819,$D$5:D819,"Feature Use",$E$5:E819,E819)=2),1,0)</f>
        <v>0</v>
      </c>
      <c r="K819" s="29" t="n">
        <f aca="false">IF(COUNTIF($B$5:B819,B819)=1,1,0)</f>
        <v>0</v>
      </c>
      <c r="L819" s="29" t="n">
        <f aca="false">IF(AND(C819&gt;=Settings!$B$5-Settings!$B$8+1,C819&lt;=Settings!$B$5,COUNTIFS($B$5:B819,B819,$C$5:C819,"&gt;="&amp;(Settings!$B$5-Settings!$B$8+1),$C$5:C819,"&lt;="&amp;Settings!$B$5)=1),1,0)</f>
        <v>0</v>
      </c>
      <c r="M819" s="29" t="n">
        <f aca="false">IF(AND(C819&gt;=Settings!$B$5-Settings!$B$9+1,C819&lt;=Settings!$B$5,COUNTIFS($B$5:B819,B819,$C$5:C819,"&gt;="&amp;(Settings!$B$5-Settings!$B$9+1),$C$5:C819,"&lt;="&amp;Settings!$B$5)=1),1,0)</f>
        <v>0</v>
      </c>
      <c r="N819" s="29" t="n">
        <f aca="false">IF(AND(D819="Feature Use",COUNTIFS($B$5:B819,B819,$D$5:D819,"Feature Use")=1),1,0)</f>
        <v>0</v>
      </c>
    </row>
    <row r="820" customFormat="false" ht="15" hidden="false" customHeight="false" outlineLevel="0" collapsed="false">
      <c r="A820" s="22" t="s">
        <v>1127</v>
      </c>
      <c r="B820" s="22" t="s">
        <v>241</v>
      </c>
      <c r="C820" s="31" t="n">
        <v>46292</v>
      </c>
      <c r="D820" s="22" t="s">
        <v>297</v>
      </c>
      <c r="E820" s="22" t="s">
        <v>298</v>
      </c>
      <c r="F820" s="29" t="str">
        <f aca="false">IF(COUNTIF(Referral_Data!$C$5:$C$1000,B820)&gt;0,"Referred",IF(COUNTIF(Referral_Data!$B$5:$B$1000,B820)&gt;0,"Referrer","Organic"))</f>
        <v>Referred</v>
      </c>
      <c r="G820" s="29" t="n">
        <f aca="false">IF(COUNTIFS($B$5:B820,B820,$C$5:C820,C820)=1,1,0)</f>
        <v>1</v>
      </c>
      <c r="H820" s="29" t="n">
        <f aca="false">IF(AND(G820=1,COUNTIFS($B$5:$B$1635,B820,$C$5:$C$1635,"&lt;"&amp;C820)&gt;0),1,0)</f>
        <v>1</v>
      </c>
      <c r="I820" s="29" t="n">
        <f aca="false">IF(AND(D820="Feature Use",COUNTIFS($B$5:B820,B820,$D$5:D820,"Feature Use",$E$5:E820,E820)=1),1,0)</f>
        <v>0</v>
      </c>
      <c r="J820" s="29" t="n">
        <f aca="false">IF(AND(D820="Feature Use",COUNTIFS($B$5:B820,B820,$D$5:D820,"Feature Use",$E$5:E820,E820)=2),1,0)</f>
        <v>0</v>
      </c>
      <c r="K820" s="29" t="n">
        <f aca="false">IF(COUNTIF($B$5:B820,B820)=1,1,0)</f>
        <v>0</v>
      </c>
      <c r="L820" s="29" t="n">
        <f aca="false">IF(AND(C820&gt;=Settings!$B$5-Settings!$B$8+1,C820&lt;=Settings!$B$5,COUNTIFS($B$5:B820,B820,$C$5:C820,"&gt;="&amp;(Settings!$B$5-Settings!$B$8+1),$C$5:C820,"&lt;="&amp;Settings!$B$5)=1),1,0)</f>
        <v>0</v>
      </c>
      <c r="M820" s="29" t="n">
        <f aca="false">IF(AND(C820&gt;=Settings!$B$5-Settings!$B$9+1,C820&lt;=Settings!$B$5,COUNTIFS($B$5:B820,B820,$C$5:C820,"&gt;="&amp;(Settings!$B$5-Settings!$B$9+1),$C$5:C820,"&lt;="&amp;Settings!$B$5)=1),1,0)</f>
        <v>0</v>
      </c>
      <c r="N820" s="29" t="n">
        <f aca="false">IF(AND(D820="Feature Use",COUNTIFS($B$5:B820,B820,$D$5:D820,"Feature Use")=1),1,0)</f>
        <v>0</v>
      </c>
    </row>
    <row r="821" customFormat="false" ht="15" hidden="false" customHeight="false" outlineLevel="0" collapsed="false">
      <c r="A821" s="22" t="s">
        <v>1128</v>
      </c>
      <c r="B821" s="22" t="s">
        <v>241</v>
      </c>
      <c r="C821" s="31" t="n">
        <v>46292</v>
      </c>
      <c r="D821" s="22" t="s">
        <v>300</v>
      </c>
      <c r="E821" s="22" t="s">
        <v>305</v>
      </c>
      <c r="F821" s="29" t="str">
        <f aca="false">IF(COUNTIF(Referral_Data!$C$5:$C$1000,B821)&gt;0,"Referred",IF(COUNTIF(Referral_Data!$B$5:$B$1000,B821)&gt;0,"Referrer","Organic"))</f>
        <v>Referred</v>
      </c>
      <c r="G821" s="29" t="n">
        <f aca="false">IF(COUNTIFS($B$5:B821,B821,$C$5:C821,C821)=1,1,0)</f>
        <v>0</v>
      </c>
      <c r="H821" s="29" t="n">
        <f aca="false">IF(AND(G821=1,COUNTIFS($B$5:$B$1635,B821,$C$5:$C$1635,"&lt;"&amp;C821)&gt;0),1,0)</f>
        <v>0</v>
      </c>
      <c r="I821" s="29" t="n">
        <f aca="false">IF(AND(D821="Feature Use",COUNTIFS($B$5:B821,B821,$D$5:D821,"Feature Use",$E$5:E821,E821)=1),1,0)</f>
        <v>1</v>
      </c>
      <c r="J821" s="29" t="n">
        <f aca="false">IF(AND(D821="Feature Use",COUNTIFS($B$5:B821,B821,$D$5:D821,"Feature Use",$E$5:E821,E821)=2),1,0)</f>
        <v>0</v>
      </c>
      <c r="K821" s="29" t="n">
        <f aca="false">IF(COUNTIF($B$5:B821,B821)=1,1,0)</f>
        <v>0</v>
      </c>
      <c r="L821" s="29" t="n">
        <f aca="false">IF(AND(C821&gt;=Settings!$B$5-Settings!$B$8+1,C821&lt;=Settings!$B$5,COUNTIFS($B$5:B821,B821,$C$5:C821,"&gt;="&amp;(Settings!$B$5-Settings!$B$8+1),$C$5:C821,"&lt;="&amp;Settings!$B$5)=1),1,0)</f>
        <v>0</v>
      </c>
      <c r="M821" s="29" t="n">
        <f aca="false">IF(AND(C821&gt;=Settings!$B$5-Settings!$B$9+1,C821&lt;=Settings!$B$5,COUNTIFS($B$5:B821,B821,$C$5:C821,"&gt;="&amp;(Settings!$B$5-Settings!$B$9+1),$C$5:C821,"&lt;="&amp;Settings!$B$5)=1),1,0)</f>
        <v>0</v>
      </c>
      <c r="N821" s="29" t="n">
        <f aca="false">IF(AND(D821="Feature Use",COUNTIFS($B$5:B821,B821,$D$5:D821,"Feature Use")=1),1,0)</f>
        <v>0</v>
      </c>
    </row>
    <row r="822" customFormat="false" ht="15" hidden="false" customHeight="false" outlineLevel="0" collapsed="false">
      <c r="A822" s="22" t="s">
        <v>1129</v>
      </c>
      <c r="B822" s="22" t="s">
        <v>241</v>
      </c>
      <c r="C822" s="31" t="n">
        <v>46292</v>
      </c>
      <c r="D822" s="22" t="s">
        <v>308</v>
      </c>
      <c r="E822" s="22" t="s">
        <v>305</v>
      </c>
      <c r="F822" s="29" t="str">
        <f aca="false">IF(COUNTIF(Referral_Data!$C$5:$C$1000,B822)&gt;0,"Referred",IF(COUNTIF(Referral_Data!$B$5:$B$1000,B822)&gt;0,"Referrer","Organic"))</f>
        <v>Referred</v>
      </c>
      <c r="G822" s="29" t="n">
        <f aca="false">IF(COUNTIFS($B$5:B822,B822,$C$5:C822,C822)=1,1,0)</f>
        <v>0</v>
      </c>
      <c r="H822" s="29" t="n">
        <f aca="false">IF(AND(G822=1,COUNTIFS($B$5:$B$1635,B822,$C$5:$C$1635,"&lt;"&amp;C822)&gt;0),1,0)</f>
        <v>0</v>
      </c>
      <c r="I822" s="29" t="n">
        <f aca="false">IF(AND(D822="Feature Use",COUNTIFS($B$5:B822,B822,$D$5:D822,"Feature Use",$E$5:E822,E822)=1),1,0)</f>
        <v>0</v>
      </c>
      <c r="J822" s="29" t="n">
        <f aca="false">IF(AND(D822="Feature Use",COUNTIFS($B$5:B822,B822,$D$5:D822,"Feature Use",$E$5:E822,E822)=2),1,0)</f>
        <v>0</v>
      </c>
      <c r="K822" s="29" t="n">
        <f aca="false">IF(COUNTIF($B$5:B822,B822)=1,1,0)</f>
        <v>0</v>
      </c>
      <c r="L822" s="29" t="n">
        <f aca="false">IF(AND(C822&gt;=Settings!$B$5-Settings!$B$8+1,C822&lt;=Settings!$B$5,COUNTIFS($B$5:B822,B822,$C$5:C822,"&gt;="&amp;(Settings!$B$5-Settings!$B$8+1),$C$5:C822,"&lt;="&amp;Settings!$B$5)=1),1,0)</f>
        <v>0</v>
      </c>
      <c r="M822" s="29" t="n">
        <f aca="false">IF(AND(C822&gt;=Settings!$B$5-Settings!$B$9+1,C822&lt;=Settings!$B$5,COUNTIFS($B$5:B822,B822,$C$5:C822,"&gt;="&amp;(Settings!$B$5-Settings!$B$9+1),$C$5:C822,"&lt;="&amp;Settings!$B$5)=1),1,0)</f>
        <v>0</v>
      </c>
      <c r="N822" s="29" t="n">
        <f aca="false">IF(AND(D822="Feature Use",COUNTIFS($B$5:B822,B822,$D$5:D822,"Feature Use")=1),1,0)</f>
        <v>0</v>
      </c>
    </row>
    <row r="823" customFormat="false" ht="15" hidden="false" customHeight="false" outlineLevel="0" collapsed="false">
      <c r="A823" s="22" t="s">
        <v>1130</v>
      </c>
      <c r="B823" s="22" t="s">
        <v>263</v>
      </c>
      <c r="C823" s="31" t="n">
        <v>46292</v>
      </c>
      <c r="D823" s="22" t="s">
        <v>297</v>
      </c>
      <c r="E823" s="22" t="s">
        <v>298</v>
      </c>
      <c r="F823" s="29" t="str">
        <f aca="false">IF(COUNTIF(Referral_Data!$C$5:$C$1000,B823)&gt;0,"Referred",IF(COUNTIF(Referral_Data!$B$5:$B$1000,B823)&gt;0,"Referrer","Organic"))</f>
        <v>Referred</v>
      </c>
      <c r="G823" s="29" t="n">
        <f aca="false">IF(COUNTIFS($B$5:B823,B823,$C$5:C823,C823)=1,1,0)</f>
        <v>1</v>
      </c>
      <c r="H823" s="29" t="n">
        <f aca="false">IF(AND(G823=1,COUNTIFS($B$5:$B$1635,B823,$C$5:$C$1635,"&lt;"&amp;C823)&gt;0),1,0)</f>
        <v>1</v>
      </c>
      <c r="I823" s="29" t="n">
        <f aca="false">IF(AND(D823="Feature Use",COUNTIFS($B$5:B823,B823,$D$5:D823,"Feature Use",$E$5:E823,E823)=1),1,0)</f>
        <v>0</v>
      </c>
      <c r="J823" s="29" t="n">
        <f aca="false">IF(AND(D823="Feature Use",COUNTIFS($B$5:B823,B823,$D$5:D823,"Feature Use",$E$5:E823,E823)=2),1,0)</f>
        <v>0</v>
      </c>
      <c r="K823" s="29" t="n">
        <f aca="false">IF(COUNTIF($B$5:B823,B823)=1,1,0)</f>
        <v>0</v>
      </c>
      <c r="L823" s="29" t="n">
        <f aca="false">IF(AND(C823&gt;=Settings!$B$5-Settings!$B$8+1,C823&lt;=Settings!$B$5,COUNTIFS($B$5:B823,B823,$C$5:C823,"&gt;="&amp;(Settings!$B$5-Settings!$B$8+1),$C$5:C823,"&lt;="&amp;Settings!$B$5)=1),1,0)</f>
        <v>0</v>
      </c>
      <c r="M823" s="29" t="n">
        <f aca="false">IF(AND(C823&gt;=Settings!$B$5-Settings!$B$9+1,C823&lt;=Settings!$B$5,COUNTIFS($B$5:B823,B823,$C$5:C823,"&gt;="&amp;(Settings!$B$5-Settings!$B$9+1),$C$5:C823,"&lt;="&amp;Settings!$B$5)=1),1,0)</f>
        <v>0</v>
      </c>
      <c r="N823" s="29" t="n">
        <f aca="false">IF(AND(D823="Feature Use",COUNTIFS($B$5:B823,B823,$D$5:D823,"Feature Use")=1),1,0)</f>
        <v>0</v>
      </c>
    </row>
    <row r="824" customFormat="false" ht="15" hidden="false" customHeight="false" outlineLevel="0" collapsed="false">
      <c r="A824" s="22" t="s">
        <v>1131</v>
      </c>
      <c r="B824" s="22" t="s">
        <v>263</v>
      </c>
      <c r="C824" s="31" t="n">
        <v>46292</v>
      </c>
      <c r="D824" s="22" t="s">
        <v>300</v>
      </c>
      <c r="E824" s="22" t="s">
        <v>319</v>
      </c>
      <c r="F824" s="29" t="str">
        <f aca="false">IF(COUNTIF(Referral_Data!$C$5:$C$1000,B824)&gt;0,"Referred",IF(COUNTIF(Referral_Data!$B$5:$B$1000,B824)&gt;0,"Referrer","Organic"))</f>
        <v>Referred</v>
      </c>
      <c r="G824" s="29" t="n">
        <f aca="false">IF(COUNTIFS($B$5:B824,B824,$C$5:C824,C824)=1,1,0)</f>
        <v>0</v>
      </c>
      <c r="H824" s="29" t="n">
        <f aca="false">IF(AND(G824=1,COUNTIFS($B$5:$B$1635,B824,$C$5:$C$1635,"&lt;"&amp;C824)&gt;0),1,0)</f>
        <v>0</v>
      </c>
      <c r="I824" s="29" t="n">
        <f aca="false">IF(AND(D824="Feature Use",COUNTIFS($B$5:B824,B824,$D$5:D824,"Feature Use",$E$5:E824,E824)=1),1,0)</f>
        <v>1</v>
      </c>
      <c r="J824" s="29" t="n">
        <f aca="false">IF(AND(D824="Feature Use",COUNTIFS($B$5:B824,B824,$D$5:D824,"Feature Use",$E$5:E824,E824)=2),1,0)</f>
        <v>0</v>
      </c>
      <c r="K824" s="29" t="n">
        <f aca="false">IF(COUNTIF($B$5:B824,B824)=1,1,0)</f>
        <v>0</v>
      </c>
      <c r="L824" s="29" t="n">
        <f aca="false">IF(AND(C824&gt;=Settings!$B$5-Settings!$B$8+1,C824&lt;=Settings!$B$5,COUNTIFS($B$5:B824,B824,$C$5:C824,"&gt;="&amp;(Settings!$B$5-Settings!$B$8+1),$C$5:C824,"&lt;="&amp;Settings!$B$5)=1),1,0)</f>
        <v>0</v>
      </c>
      <c r="M824" s="29" t="n">
        <f aca="false">IF(AND(C824&gt;=Settings!$B$5-Settings!$B$9+1,C824&lt;=Settings!$B$5,COUNTIFS($B$5:B824,B824,$C$5:C824,"&gt;="&amp;(Settings!$B$5-Settings!$B$9+1),$C$5:C824,"&lt;="&amp;Settings!$B$5)=1),1,0)</f>
        <v>0</v>
      </c>
      <c r="N824" s="29" t="n">
        <f aca="false">IF(AND(D824="Feature Use",COUNTIFS($B$5:B824,B824,$D$5:D824,"Feature Use")=1),1,0)</f>
        <v>0</v>
      </c>
    </row>
    <row r="825" customFormat="false" ht="15" hidden="false" customHeight="false" outlineLevel="0" collapsed="false">
      <c r="A825" s="22" t="s">
        <v>1132</v>
      </c>
      <c r="B825" s="22" t="s">
        <v>173</v>
      </c>
      <c r="C825" s="31" t="n">
        <v>46292</v>
      </c>
      <c r="D825" s="22" t="s">
        <v>297</v>
      </c>
      <c r="E825" s="22" t="s">
        <v>298</v>
      </c>
      <c r="F825" s="29" t="str">
        <f aca="false">IF(COUNTIF(Referral_Data!$C$5:$C$1000,B825)&gt;0,"Referred",IF(COUNTIF(Referral_Data!$B$5:$B$1000,B825)&gt;0,"Referrer","Organic"))</f>
        <v>Referrer</v>
      </c>
      <c r="G825" s="29" t="n">
        <f aca="false">IF(COUNTIFS($B$5:B825,B825,$C$5:C825,C825)=1,1,0)</f>
        <v>1</v>
      </c>
      <c r="H825" s="29" t="n">
        <f aca="false">IF(AND(G825=1,COUNTIFS($B$5:$B$1635,B825,$C$5:$C$1635,"&lt;"&amp;C825)&gt;0),1,0)</f>
        <v>1</v>
      </c>
      <c r="I825" s="29" t="n">
        <f aca="false">IF(AND(D825="Feature Use",COUNTIFS($B$5:B825,B825,$D$5:D825,"Feature Use",$E$5:E825,E825)=1),1,0)</f>
        <v>0</v>
      </c>
      <c r="J825" s="29" t="n">
        <f aca="false">IF(AND(D825="Feature Use",COUNTIFS($B$5:B825,B825,$D$5:D825,"Feature Use",$E$5:E825,E825)=2),1,0)</f>
        <v>0</v>
      </c>
      <c r="K825" s="29" t="n">
        <f aca="false">IF(COUNTIF($B$5:B825,B825)=1,1,0)</f>
        <v>0</v>
      </c>
      <c r="L825" s="29" t="n">
        <f aca="false">IF(AND(C825&gt;=Settings!$B$5-Settings!$B$8+1,C825&lt;=Settings!$B$5,COUNTIFS($B$5:B825,B825,$C$5:C825,"&gt;="&amp;(Settings!$B$5-Settings!$B$8+1),$C$5:C825,"&lt;="&amp;Settings!$B$5)=1),1,0)</f>
        <v>0</v>
      </c>
      <c r="M825" s="29" t="n">
        <f aca="false">IF(AND(C825&gt;=Settings!$B$5-Settings!$B$9+1,C825&lt;=Settings!$B$5,COUNTIFS($B$5:B825,B825,$C$5:C825,"&gt;="&amp;(Settings!$B$5-Settings!$B$9+1),$C$5:C825,"&lt;="&amp;Settings!$B$5)=1),1,0)</f>
        <v>0</v>
      </c>
      <c r="N825" s="29" t="n">
        <f aca="false">IF(AND(D825="Feature Use",COUNTIFS($B$5:B825,B825,$D$5:D825,"Feature Use")=1),1,0)</f>
        <v>0</v>
      </c>
    </row>
    <row r="826" customFormat="false" ht="15" hidden="false" customHeight="false" outlineLevel="0" collapsed="false">
      <c r="A826" s="22" t="s">
        <v>1133</v>
      </c>
      <c r="B826" s="22" t="s">
        <v>173</v>
      </c>
      <c r="C826" s="31" t="n">
        <v>46292</v>
      </c>
      <c r="D826" s="22" t="s">
        <v>300</v>
      </c>
      <c r="E826" s="22" t="s">
        <v>305</v>
      </c>
      <c r="F826" s="29" t="str">
        <f aca="false">IF(COUNTIF(Referral_Data!$C$5:$C$1000,B826)&gt;0,"Referred",IF(COUNTIF(Referral_Data!$B$5:$B$1000,B826)&gt;0,"Referrer","Organic"))</f>
        <v>Referrer</v>
      </c>
      <c r="G826" s="29" t="n">
        <f aca="false">IF(COUNTIFS($B$5:B826,B826,$C$5:C826,C826)=1,1,0)</f>
        <v>0</v>
      </c>
      <c r="H826" s="29" t="n">
        <f aca="false">IF(AND(G826=1,COUNTIFS($B$5:$B$1635,B826,$C$5:$C$1635,"&lt;"&amp;C826)&gt;0),1,0)</f>
        <v>0</v>
      </c>
      <c r="I826" s="29" t="n">
        <f aca="false">IF(AND(D826="Feature Use",COUNTIFS($B$5:B826,B826,$D$5:D826,"Feature Use",$E$5:E826,E826)=1),1,0)</f>
        <v>0</v>
      </c>
      <c r="J826" s="29" t="n">
        <f aca="false">IF(AND(D826="Feature Use",COUNTIFS($B$5:B826,B826,$D$5:D826,"Feature Use",$E$5:E826,E826)=2),1,0)</f>
        <v>0</v>
      </c>
      <c r="K826" s="29" t="n">
        <f aca="false">IF(COUNTIF($B$5:B826,B826)=1,1,0)</f>
        <v>0</v>
      </c>
      <c r="L826" s="29" t="n">
        <f aca="false">IF(AND(C826&gt;=Settings!$B$5-Settings!$B$8+1,C826&lt;=Settings!$B$5,COUNTIFS($B$5:B826,B826,$C$5:C826,"&gt;="&amp;(Settings!$B$5-Settings!$B$8+1),$C$5:C826,"&lt;="&amp;Settings!$B$5)=1),1,0)</f>
        <v>0</v>
      </c>
      <c r="M826" s="29" t="n">
        <f aca="false">IF(AND(C826&gt;=Settings!$B$5-Settings!$B$9+1,C826&lt;=Settings!$B$5,COUNTIFS($B$5:B826,B826,$C$5:C826,"&gt;="&amp;(Settings!$B$5-Settings!$B$9+1),$C$5:C826,"&lt;="&amp;Settings!$B$5)=1),1,0)</f>
        <v>0</v>
      </c>
      <c r="N826" s="29" t="n">
        <f aca="false">IF(AND(D826="Feature Use",COUNTIFS($B$5:B826,B826,$D$5:D826,"Feature Use")=1),1,0)</f>
        <v>0</v>
      </c>
    </row>
    <row r="827" customFormat="false" ht="15" hidden="false" customHeight="false" outlineLevel="0" collapsed="false">
      <c r="A827" s="22" t="s">
        <v>1134</v>
      </c>
      <c r="B827" s="22" t="s">
        <v>173</v>
      </c>
      <c r="C827" s="31" t="n">
        <v>46292</v>
      </c>
      <c r="D827" s="22" t="s">
        <v>308</v>
      </c>
      <c r="E827" s="22" t="s">
        <v>301</v>
      </c>
      <c r="F827" s="29" t="str">
        <f aca="false">IF(COUNTIF(Referral_Data!$C$5:$C$1000,B827)&gt;0,"Referred",IF(COUNTIF(Referral_Data!$B$5:$B$1000,B827)&gt;0,"Referrer","Organic"))</f>
        <v>Referrer</v>
      </c>
      <c r="G827" s="29" t="n">
        <f aca="false">IF(COUNTIFS($B$5:B827,B827,$C$5:C827,C827)=1,1,0)</f>
        <v>0</v>
      </c>
      <c r="H827" s="29" t="n">
        <f aca="false">IF(AND(G827=1,COUNTIFS($B$5:$B$1635,B827,$C$5:$C$1635,"&lt;"&amp;C827)&gt;0),1,0)</f>
        <v>0</v>
      </c>
      <c r="I827" s="29" t="n">
        <f aca="false">IF(AND(D827="Feature Use",COUNTIFS($B$5:B827,B827,$D$5:D827,"Feature Use",$E$5:E827,E827)=1),1,0)</f>
        <v>0</v>
      </c>
      <c r="J827" s="29" t="n">
        <f aca="false">IF(AND(D827="Feature Use",COUNTIFS($B$5:B827,B827,$D$5:D827,"Feature Use",$E$5:E827,E827)=2),1,0)</f>
        <v>0</v>
      </c>
      <c r="K827" s="29" t="n">
        <f aca="false">IF(COUNTIF($B$5:B827,B827)=1,1,0)</f>
        <v>0</v>
      </c>
      <c r="L827" s="29" t="n">
        <f aca="false">IF(AND(C827&gt;=Settings!$B$5-Settings!$B$8+1,C827&lt;=Settings!$B$5,COUNTIFS($B$5:B827,B827,$C$5:C827,"&gt;="&amp;(Settings!$B$5-Settings!$B$8+1),$C$5:C827,"&lt;="&amp;Settings!$B$5)=1),1,0)</f>
        <v>0</v>
      </c>
      <c r="M827" s="29" t="n">
        <f aca="false">IF(AND(C827&gt;=Settings!$B$5-Settings!$B$9+1,C827&lt;=Settings!$B$5,COUNTIFS($B$5:B827,B827,$C$5:C827,"&gt;="&amp;(Settings!$B$5-Settings!$B$9+1),$C$5:C827,"&lt;="&amp;Settings!$B$5)=1),1,0)</f>
        <v>0</v>
      </c>
      <c r="N827" s="29" t="n">
        <f aca="false">IF(AND(D827="Feature Use",COUNTIFS($B$5:B827,B827,$D$5:D827,"Feature Use")=1),1,0)</f>
        <v>0</v>
      </c>
    </row>
    <row r="828" customFormat="false" ht="15" hidden="false" customHeight="false" outlineLevel="0" collapsed="false">
      <c r="A828" s="22" t="s">
        <v>1135</v>
      </c>
      <c r="B828" s="22" t="s">
        <v>173</v>
      </c>
      <c r="C828" s="31" t="n">
        <v>46292</v>
      </c>
      <c r="D828" s="22" t="s">
        <v>308</v>
      </c>
      <c r="E828" s="22" t="s">
        <v>305</v>
      </c>
      <c r="F828" s="29" t="str">
        <f aca="false">IF(COUNTIF(Referral_Data!$C$5:$C$1000,B828)&gt;0,"Referred",IF(COUNTIF(Referral_Data!$B$5:$B$1000,B828)&gt;0,"Referrer","Organic"))</f>
        <v>Referrer</v>
      </c>
      <c r="G828" s="29" t="n">
        <f aca="false">IF(COUNTIFS($B$5:B828,B828,$C$5:C828,C828)=1,1,0)</f>
        <v>0</v>
      </c>
      <c r="H828" s="29" t="n">
        <f aca="false">IF(AND(G828=1,COUNTIFS($B$5:$B$1635,B828,$C$5:$C$1635,"&lt;"&amp;C828)&gt;0),1,0)</f>
        <v>0</v>
      </c>
      <c r="I828" s="29" t="n">
        <f aca="false">IF(AND(D828="Feature Use",COUNTIFS($B$5:B828,B828,$D$5:D828,"Feature Use",$E$5:E828,E828)=1),1,0)</f>
        <v>0</v>
      </c>
      <c r="J828" s="29" t="n">
        <f aca="false">IF(AND(D828="Feature Use",COUNTIFS($B$5:B828,B828,$D$5:D828,"Feature Use",$E$5:E828,E828)=2),1,0)</f>
        <v>0</v>
      </c>
      <c r="K828" s="29" t="n">
        <f aca="false">IF(COUNTIF($B$5:B828,B828)=1,1,0)</f>
        <v>0</v>
      </c>
      <c r="L828" s="29" t="n">
        <f aca="false">IF(AND(C828&gt;=Settings!$B$5-Settings!$B$8+1,C828&lt;=Settings!$B$5,COUNTIFS($B$5:B828,B828,$C$5:C828,"&gt;="&amp;(Settings!$B$5-Settings!$B$8+1),$C$5:C828,"&lt;="&amp;Settings!$B$5)=1),1,0)</f>
        <v>0</v>
      </c>
      <c r="M828" s="29" t="n">
        <f aca="false">IF(AND(C828&gt;=Settings!$B$5-Settings!$B$9+1,C828&lt;=Settings!$B$5,COUNTIFS($B$5:B828,B828,$C$5:C828,"&gt;="&amp;(Settings!$B$5-Settings!$B$9+1),$C$5:C828,"&lt;="&amp;Settings!$B$5)=1),1,0)</f>
        <v>0</v>
      </c>
      <c r="N828" s="29" t="n">
        <f aca="false">IF(AND(D828="Feature Use",COUNTIFS($B$5:B828,B828,$D$5:D828,"Feature Use")=1),1,0)</f>
        <v>0</v>
      </c>
    </row>
    <row r="829" customFormat="false" ht="15" hidden="false" customHeight="false" outlineLevel="0" collapsed="false">
      <c r="A829" s="22" t="s">
        <v>1136</v>
      </c>
      <c r="B829" s="22" t="s">
        <v>190</v>
      </c>
      <c r="C829" s="31" t="n">
        <v>46292</v>
      </c>
      <c r="D829" s="22" t="s">
        <v>297</v>
      </c>
      <c r="E829" s="22" t="s">
        <v>298</v>
      </c>
      <c r="F829" s="29" t="str">
        <f aca="false">IF(COUNTIF(Referral_Data!$C$5:$C$1000,B829)&gt;0,"Referred",IF(COUNTIF(Referral_Data!$B$5:$B$1000,B829)&gt;0,"Referrer","Organic"))</f>
        <v>Referrer</v>
      </c>
      <c r="G829" s="29" t="n">
        <f aca="false">IF(COUNTIFS($B$5:B829,B829,$C$5:C829,C829)=1,1,0)</f>
        <v>1</v>
      </c>
      <c r="H829" s="29" t="n">
        <f aca="false">IF(AND(G829=1,COUNTIFS($B$5:$B$1635,B829,$C$5:$C$1635,"&lt;"&amp;C829)&gt;0),1,0)</f>
        <v>1</v>
      </c>
      <c r="I829" s="29" t="n">
        <f aca="false">IF(AND(D829="Feature Use",COUNTIFS($B$5:B829,B829,$D$5:D829,"Feature Use",$E$5:E829,E829)=1),1,0)</f>
        <v>0</v>
      </c>
      <c r="J829" s="29" t="n">
        <f aca="false">IF(AND(D829="Feature Use",COUNTIFS($B$5:B829,B829,$D$5:D829,"Feature Use",$E$5:E829,E829)=2),1,0)</f>
        <v>0</v>
      </c>
      <c r="K829" s="29" t="n">
        <f aca="false">IF(COUNTIF($B$5:B829,B829)=1,1,0)</f>
        <v>0</v>
      </c>
      <c r="L829" s="29" t="n">
        <f aca="false">IF(AND(C829&gt;=Settings!$B$5-Settings!$B$8+1,C829&lt;=Settings!$B$5,COUNTIFS($B$5:B829,B829,$C$5:C829,"&gt;="&amp;(Settings!$B$5-Settings!$B$8+1),$C$5:C829,"&lt;="&amp;Settings!$B$5)=1),1,0)</f>
        <v>0</v>
      </c>
      <c r="M829" s="29" t="n">
        <f aca="false">IF(AND(C829&gt;=Settings!$B$5-Settings!$B$9+1,C829&lt;=Settings!$B$5,COUNTIFS($B$5:B829,B829,$C$5:C829,"&gt;="&amp;(Settings!$B$5-Settings!$B$9+1),$C$5:C829,"&lt;="&amp;Settings!$B$5)=1),1,0)</f>
        <v>0</v>
      </c>
      <c r="N829" s="29" t="n">
        <f aca="false">IF(AND(D829="Feature Use",COUNTIFS($B$5:B829,B829,$D$5:D829,"Feature Use")=1),1,0)</f>
        <v>0</v>
      </c>
    </row>
    <row r="830" customFormat="false" ht="15" hidden="false" customHeight="false" outlineLevel="0" collapsed="false">
      <c r="A830" s="22" t="s">
        <v>1137</v>
      </c>
      <c r="B830" s="22" t="s">
        <v>190</v>
      </c>
      <c r="C830" s="31" t="n">
        <v>46292</v>
      </c>
      <c r="D830" s="22" t="s">
        <v>300</v>
      </c>
      <c r="E830" s="22" t="s">
        <v>319</v>
      </c>
      <c r="F830" s="29" t="str">
        <f aca="false">IF(COUNTIF(Referral_Data!$C$5:$C$1000,B830)&gt;0,"Referred",IF(COUNTIF(Referral_Data!$B$5:$B$1000,B830)&gt;0,"Referrer","Organic"))</f>
        <v>Referrer</v>
      </c>
      <c r="G830" s="29" t="n">
        <f aca="false">IF(COUNTIFS($B$5:B830,B830,$C$5:C830,C830)=1,1,0)</f>
        <v>0</v>
      </c>
      <c r="H830" s="29" t="n">
        <f aca="false">IF(AND(G830=1,COUNTIFS($B$5:$B$1635,B830,$C$5:$C$1635,"&lt;"&amp;C830)&gt;0),1,0)</f>
        <v>0</v>
      </c>
      <c r="I830" s="29" t="n">
        <f aca="false">IF(AND(D830="Feature Use",COUNTIFS($B$5:B830,B830,$D$5:D830,"Feature Use",$E$5:E830,E830)=1),1,0)</f>
        <v>0</v>
      </c>
      <c r="J830" s="29" t="n">
        <f aca="false">IF(AND(D830="Feature Use",COUNTIFS($B$5:B830,B830,$D$5:D830,"Feature Use",$E$5:E830,E830)=2),1,0)</f>
        <v>1</v>
      </c>
      <c r="K830" s="29" t="n">
        <f aca="false">IF(COUNTIF($B$5:B830,B830)=1,1,0)</f>
        <v>0</v>
      </c>
      <c r="L830" s="29" t="n">
        <f aca="false">IF(AND(C830&gt;=Settings!$B$5-Settings!$B$8+1,C830&lt;=Settings!$B$5,COUNTIFS($B$5:B830,B830,$C$5:C830,"&gt;="&amp;(Settings!$B$5-Settings!$B$8+1),$C$5:C830,"&lt;="&amp;Settings!$B$5)=1),1,0)</f>
        <v>0</v>
      </c>
      <c r="M830" s="29" t="n">
        <f aca="false">IF(AND(C830&gt;=Settings!$B$5-Settings!$B$9+1,C830&lt;=Settings!$B$5,COUNTIFS($B$5:B830,B830,$C$5:C830,"&gt;="&amp;(Settings!$B$5-Settings!$B$9+1),$C$5:C830,"&lt;="&amp;Settings!$B$5)=1),1,0)</f>
        <v>0</v>
      </c>
      <c r="N830" s="29" t="n">
        <f aca="false">IF(AND(D830="Feature Use",COUNTIFS($B$5:B830,B830,$D$5:D830,"Feature Use")=1),1,0)</f>
        <v>0</v>
      </c>
    </row>
    <row r="831" customFormat="false" ht="15" hidden="false" customHeight="false" outlineLevel="0" collapsed="false">
      <c r="A831" s="22" t="s">
        <v>1138</v>
      </c>
      <c r="B831" s="22" t="s">
        <v>190</v>
      </c>
      <c r="C831" s="31" t="n">
        <v>46292</v>
      </c>
      <c r="D831" s="22" t="s">
        <v>308</v>
      </c>
      <c r="E831" s="22" t="s">
        <v>311</v>
      </c>
      <c r="F831" s="29" t="str">
        <f aca="false">IF(COUNTIF(Referral_Data!$C$5:$C$1000,B831)&gt;0,"Referred",IF(COUNTIF(Referral_Data!$B$5:$B$1000,B831)&gt;0,"Referrer","Organic"))</f>
        <v>Referrer</v>
      </c>
      <c r="G831" s="29" t="n">
        <f aca="false">IF(COUNTIFS($B$5:B831,B831,$C$5:C831,C831)=1,1,0)</f>
        <v>0</v>
      </c>
      <c r="H831" s="29" t="n">
        <f aca="false">IF(AND(G831=1,COUNTIFS($B$5:$B$1635,B831,$C$5:$C$1635,"&lt;"&amp;C831)&gt;0),1,0)</f>
        <v>0</v>
      </c>
      <c r="I831" s="29" t="n">
        <f aca="false">IF(AND(D831="Feature Use",COUNTIFS($B$5:B831,B831,$D$5:D831,"Feature Use",$E$5:E831,E831)=1),1,0)</f>
        <v>0</v>
      </c>
      <c r="J831" s="29" t="n">
        <f aca="false">IF(AND(D831="Feature Use",COUNTIFS($B$5:B831,B831,$D$5:D831,"Feature Use",$E$5:E831,E831)=2),1,0)</f>
        <v>0</v>
      </c>
      <c r="K831" s="29" t="n">
        <f aca="false">IF(COUNTIF($B$5:B831,B831)=1,1,0)</f>
        <v>0</v>
      </c>
      <c r="L831" s="29" t="n">
        <f aca="false">IF(AND(C831&gt;=Settings!$B$5-Settings!$B$8+1,C831&lt;=Settings!$B$5,COUNTIFS($B$5:B831,B831,$C$5:C831,"&gt;="&amp;(Settings!$B$5-Settings!$B$8+1),$C$5:C831,"&lt;="&amp;Settings!$B$5)=1),1,0)</f>
        <v>0</v>
      </c>
      <c r="M831" s="29" t="n">
        <f aca="false">IF(AND(C831&gt;=Settings!$B$5-Settings!$B$9+1,C831&lt;=Settings!$B$5,COUNTIFS($B$5:B831,B831,$C$5:C831,"&gt;="&amp;(Settings!$B$5-Settings!$B$9+1),$C$5:C831,"&lt;="&amp;Settings!$B$5)=1),1,0)</f>
        <v>0</v>
      </c>
      <c r="N831" s="29" t="n">
        <f aca="false">IF(AND(D831="Feature Use",COUNTIFS($B$5:B831,B831,$D$5:D831,"Feature Use")=1),1,0)</f>
        <v>0</v>
      </c>
    </row>
    <row r="832" customFormat="false" ht="15" hidden="false" customHeight="false" outlineLevel="0" collapsed="false">
      <c r="A832" s="22" t="s">
        <v>1139</v>
      </c>
      <c r="B832" s="22" t="s">
        <v>215</v>
      </c>
      <c r="C832" s="31" t="n">
        <v>46292</v>
      </c>
      <c r="D832" s="22" t="s">
        <v>297</v>
      </c>
      <c r="E832" s="22" t="s">
        <v>298</v>
      </c>
      <c r="F832" s="29" t="str">
        <f aca="false">IF(COUNTIF(Referral_Data!$C$5:$C$1000,B832)&gt;0,"Referred",IF(COUNTIF(Referral_Data!$B$5:$B$1000,B832)&gt;0,"Referrer","Organic"))</f>
        <v>Referrer</v>
      </c>
      <c r="G832" s="29" t="n">
        <f aca="false">IF(COUNTIFS($B$5:B832,B832,$C$5:C832,C832)=1,1,0)</f>
        <v>1</v>
      </c>
      <c r="H832" s="29" t="n">
        <f aca="false">IF(AND(G832=1,COUNTIFS($B$5:$B$1635,B832,$C$5:$C$1635,"&lt;"&amp;C832)&gt;0),1,0)</f>
        <v>1</v>
      </c>
      <c r="I832" s="29" t="n">
        <f aca="false">IF(AND(D832="Feature Use",COUNTIFS($B$5:B832,B832,$D$5:D832,"Feature Use",$E$5:E832,E832)=1),1,0)</f>
        <v>0</v>
      </c>
      <c r="J832" s="29" t="n">
        <f aca="false">IF(AND(D832="Feature Use",COUNTIFS($B$5:B832,B832,$D$5:D832,"Feature Use",$E$5:E832,E832)=2),1,0)</f>
        <v>0</v>
      </c>
      <c r="K832" s="29" t="n">
        <f aca="false">IF(COUNTIF($B$5:B832,B832)=1,1,0)</f>
        <v>0</v>
      </c>
      <c r="L832" s="29" t="n">
        <f aca="false">IF(AND(C832&gt;=Settings!$B$5-Settings!$B$8+1,C832&lt;=Settings!$B$5,COUNTIFS($B$5:B832,B832,$C$5:C832,"&gt;="&amp;(Settings!$B$5-Settings!$B$8+1),$C$5:C832,"&lt;="&amp;Settings!$B$5)=1),1,0)</f>
        <v>0</v>
      </c>
      <c r="M832" s="29" t="n">
        <f aca="false">IF(AND(C832&gt;=Settings!$B$5-Settings!$B$9+1,C832&lt;=Settings!$B$5,COUNTIFS($B$5:B832,B832,$C$5:C832,"&gt;="&amp;(Settings!$B$5-Settings!$B$9+1),$C$5:C832,"&lt;="&amp;Settings!$B$5)=1),1,0)</f>
        <v>0</v>
      </c>
      <c r="N832" s="29" t="n">
        <f aca="false">IF(AND(D832="Feature Use",COUNTIFS($B$5:B832,B832,$D$5:D832,"Feature Use")=1),1,0)</f>
        <v>0</v>
      </c>
    </row>
    <row r="833" customFormat="false" ht="15" hidden="false" customHeight="false" outlineLevel="0" collapsed="false">
      <c r="A833" s="22" t="s">
        <v>1140</v>
      </c>
      <c r="B833" s="22" t="s">
        <v>215</v>
      </c>
      <c r="C833" s="31" t="n">
        <v>46292</v>
      </c>
      <c r="D833" s="22" t="s">
        <v>300</v>
      </c>
      <c r="E833" s="22" t="s">
        <v>305</v>
      </c>
      <c r="F833" s="29" t="str">
        <f aca="false">IF(COUNTIF(Referral_Data!$C$5:$C$1000,B833)&gt;0,"Referred",IF(COUNTIF(Referral_Data!$B$5:$B$1000,B833)&gt;0,"Referrer","Organic"))</f>
        <v>Referrer</v>
      </c>
      <c r="G833" s="29" t="n">
        <f aca="false">IF(COUNTIFS($B$5:B833,B833,$C$5:C833,C833)=1,1,0)</f>
        <v>0</v>
      </c>
      <c r="H833" s="29" t="n">
        <f aca="false">IF(AND(G833=1,COUNTIFS($B$5:$B$1635,B833,$C$5:$C$1635,"&lt;"&amp;C833)&gt;0),1,0)</f>
        <v>0</v>
      </c>
      <c r="I833" s="29" t="n">
        <f aca="false">IF(AND(D833="Feature Use",COUNTIFS($B$5:B833,B833,$D$5:D833,"Feature Use",$E$5:E833,E833)=1),1,0)</f>
        <v>0</v>
      </c>
      <c r="J833" s="29" t="n">
        <f aca="false">IF(AND(D833="Feature Use",COUNTIFS($B$5:B833,B833,$D$5:D833,"Feature Use",$E$5:E833,E833)=2),1,0)</f>
        <v>0</v>
      </c>
      <c r="K833" s="29" t="n">
        <f aca="false">IF(COUNTIF($B$5:B833,B833)=1,1,0)</f>
        <v>0</v>
      </c>
      <c r="L833" s="29" t="n">
        <f aca="false">IF(AND(C833&gt;=Settings!$B$5-Settings!$B$8+1,C833&lt;=Settings!$B$5,COUNTIFS($B$5:B833,B833,$C$5:C833,"&gt;="&amp;(Settings!$B$5-Settings!$B$8+1),$C$5:C833,"&lt;="&amp;Settings!$B$5)=1),1,0)</f>
        <v>0</v>
      </c>
      <c r="M833" s="29" t="n">
        <f aca="false">IF(AND(C833&gt;=Settings!$B$5-Settings!$B$9+1,C833&lt;=Settings!$B$5,COUNTIFS($B$5:B833,B833,$C$5:C833,"&gt;="&amp;(Settings!$B$5-Settings!$B$9+1),$C$5:C833,"&lt;="&amp;Settings!$B$5)=1),1,0)</f>
        <v>0</v>
      </c>
      <c r="N833" s="29" t="n">
        <f aca="false">IF(AND(D833="Feature Use",COUNTIFS($B$5:B833,B833,$D$5:D833,"Feature Use")=1),1,0)</f>
        <v>0</v>
      </c>
    </row>
    <row r="834" customFormat="false" ht="15" hidden="false" customHeight="false" outlineLevel="0" collapsed="false">
      <c r="A834" s="22" t="s">
        <v>1141</v>
      </c>
      <c r="B834" s="22" t="s">
        <v>530</v>
      </c>
      <c r="C834" s="31" t="n">
        <v>46293</v>
      </c>
      <c r="D834" s="22" t="s">
        <v>297</v>
      </c>
      <c r="E834" s="22" t="s">
        <v>298</v>
      </c>
      <c r="F834" s="29" t="str">
        <f aca="false">IF(COUNTIF(Referral_Data!$C$5:$C$1000,B834)&gt;0,"Referred",IF(COUNTIF(Referral_Data!$B$5:$B$1000,B834)&gt;0,"Referrer","Organic"))</f>
        <v>Organic</v>
      </c>
      <c r="G834" s="29" t="n">
        <f aca="false">IF(COUNTIFS($B$5:B834,B834,$C$5:C834,C834)=1,1,0)</f>
        <v>1</v>
      </c>
      <c r="H834" s="29" t="n">
        <f aca="false">IF(AND(G834=1,COUNTIFS($B$5:$B$1635,B834,$C$5:$C$1635,"&lt;"&amp;C834)&gt;0),1,0)</f>
        <v>1</v>
      </c>
      <c r="I834" s="29" t="n">
        <f aca="false">IF(AND(D834="Feature Use",COUNTIFS($B$5:B834,B834,$D$5:D834,"Feature Use",$E$5:E834,E834)=1),1,0)</f>
        <v>0</v>
      </c>
      <c r="J834" s="29" t="n">
        <f aca="false">IF(AND(D834="Feature Use",COUNTIFS($B$5:B834,B834,$D$5:D834,"Feature Use",$E$5:E834,E834)=2),1,0)</f>
        <v>0</v>
      </c>
      <c r="K834" s="29" t="n">
        <f aca="false">IF(COUNTIF($B$5:B834,B834)=1,1,0)</f>
        <v>0</v>
      </c>
      <c r="L834" s="29" t="n">
        <f aca="false">IF(AND(C834&gt;=Settings!$B$5-Settings!$B$8+1,C834&lt;=Settings!$B$5,COUNTIFS($B$5:B834,B834,$C$5:C834,"&gt;="&amp;(Settings!$B$5-Settings!$B$8+1),$C$5:C834,"&lt;="&amp;Settings!$B$5)=1),1,0)</f>
        <v>0</v>
      </c>
      <c r="M834" s="29" t="n">
        <f aca="false">IF(AND(C834&gt;=Settings!$B$5-Settings!$B$9+1,C834&lt;=Settings!$B$5,COUNTIFS($B$5:B834,B834,$C$5:C834,"&gt;="&amp;(Settings!$B$5-Settings!$B$9+1),$C$5:C834,"&lt;="&amp;Settings!$B$5)=1),1,0)</f>
        <v>0</v>
      </c>
      <c r="N834" s="29" t="n">
        <f aca="false">IF(AND(D834="Feature Use",COUNTIFS($B$5:B834,B834,$D$5:D834,"Feature Use")=1),1,0)</f>
        <v>0</v>
      </c>
    </row>
    <row r="835" customFormat="false" ht="15" hidden="false" customHeight="false" outlineLevel="0" collapsed="false">
      <c r="A835" s="22" t="s">
        <v>1142</v>
      </c>
      <c r="B835" s="22" t="s">
        <v>530</v>
      </c>
      <c r="C835" s="31" t="n">
        <v>46293</v>
      </c>
      <c r="D835" s="22" t="s">
        <v>300</v>
      </c>
      <c r="E835" s="22" t="s">
        <v>305</v>
      </c>
      <c r="F835" s="29" t="str">
        <f aca="false">IF(COUNTIF(Referral_Data!$C$5:$C$1000,B835)&gt;0,"Referred",IF(COUNTIF(Referral_Data!$B$5:$B$1000,B835)&gt;0,"Referrer","Organic"))</f>
        <v>Organic</v>
      </c>
      <c r="G835" s="29" t="n">
        <f aca="false">IF(COUNTIFS($B$5:B835,B835,$C$5:C835,C835)=1,1,0)</f>
        <v>0</v>
      </c>
      <c r="H835" s="29" t="n">
        <f aca="false">IF(AND(G835=1,COUNTIFS($B$5:$B$1635,B835,$C$5:$C$1635,"&lt;"&amp;C835)&gt;0),1,0)</f>
        <v>0</v>
      </c>
      <c r="I835" s="29" t="n">
        <f aca="false">IF(AND(D835="Feature Use",COUNTIFS($B$5:B835,B835,$D$5:D835,"Feature Use",$E$5:E835,E835)=1),1,0)</f>
        <v>0</v>
      </c>
      <c r="J835" s="29" t="n">
        <f aca="false">IF(AND(D835="Feature Use",COUNTIFS($B$5:B835,B835,$D$5:D835,"Feature Use",$E$5:E835,E835)=2),1,0)</f>
        <v>0</v>
      </c>
      <c r="K835" s="29" t="n">
        <f aca="false">IF(COUNTIF($B$5:B835,B835)=1,1,0)</f>
        <v>0</v>
      </c>
      <c r="L835" s="29" t="n">
        <f aca="false">IF(AND(C835&gt;=Settings!$B$5-Settings!$B$8+1,C835&lt;=Settings!$B$5,COUNTIFS($B$5:B835,B835,$C$5:C835,"&gt;="&amp;(Settings!$B$5-Settings!$B$8+1),$C$5:C835,"&lt;="&amp;Settings!$B$5)=1),1,0)</f>
        <v>0</v>
      </c>
      <c r="M835" s="29" t="n">
        <f aca="false">IF(AND(C835&gt;=Settings!$B$5-Settings!$B$9+1,C835&lt;=Settings!$B$5,COUNTIFS($B$5:B835,B835,$C$5:C835,"&gt;="&amp;(Settings!$B$5-Settings!$B$9+1),$C$5:C835,"&lt;="&amp;Settings!$B$5)=1),1,0)</f>
        <v>0</v>
      </c>
      <c r="N835" s="29" t="n">
        <f aca="false">IF(AND(D835="Feature Use",COUNTIFS($B$5:B835,B835,$D$5:D835,"Feature Use")=1),1,0)</f>
        <v>0</v>
      </c>
    </row>
    <row r="836" customFormat="false" ht="15" hidden="false" customHeight="false" outlineLevel="0" collapsed="false">
      <c r="A836" s="22" t="s">
        <v>1143</v>
      </c>
      <c r="B836" s="22" t="s">
        <v>168</v>
      </c>
      <c r="C836" s="31" t="n">
        <v>46293</v>
      </c>
      <c r="D836" s="22" t="s">
        <v>297</v>
      </c>
      <c r="E836" s="22" t="s">
        <v>298</v>
      </c>
      <c r="F836" s="29" t="str">
        <f aca="false">IF(COUNTIF(Referral_Data!$C$5:$C$1000,B836)&gt;0,"Referred",IF(COUNTIF(Referral_Data!$B$5:$B$1000,B836)&gt;0,"Referrer","Organic"))</f>
        <v>Referred</v>
      </c>
      <c r="G836" s="29" t="n">
        <f aca="false">IF(COUNTIFS($B$5:B836,B836,$C$5:C836,C836)=1,1,0)</f>
        <v>1</v>
      </c>
      <c r="H836" s="29" t="n">
        <f aca="false">IF(AND(G836=1,COUNTIFS($B$5:$B$1635,B836,$C$5:$C$1635,"&lt;"&amp;C836)&gt;0),1,0)</f>
        <v>1</v>
      </c>
      <c r="I836" s="29" t="n">
        <f aca="false">IF(AND(D836="Feature Use",COUNTIFS($B$5:B836,B836,$D$5:D836,"Feature Use",$E$5:E836,E836)=1),1,0)</f>
        <v>0</v>
      </c>
      <c r="J836" s="29" t="n">
        <f aca="false">IF(AND(D836="Feature Use",COUNTIFS($B$5:B836,B836,$D$5:D836,"Feature Use",$E$5:E836,E836)=2),1,0)</f>
        <v>0</v>
      </c>
      <c r="K836" s="29" t="n">
        <f aca="false">IF(COUNTIF($B$5:B836,B836)=1,1,0)</f>
        <v>0</v>
      </c>
      <c r="L836" s="29" t="n">
        <f aca="false">IF(AND(C836&gt;=Settings!$B$5-Settings!$B$8+1,C836&lt;=Settings!$B$5,COUNTIFS($B$5:B836,B836,$C$5:C836,"&gt;="&amp;(Settings!$B$5-Settings!$B$8+1),$C$5:C836,"&lt;="&amp;Settings!$B$5)=1),1,0)</f>
        <v>0</v>
      </c>
      <c r="M836" s="29" t="n">
        <f aca="false">IF(AND(C836&gt;=Settings!$B$5-Settings!$B$9+1,C836&lt;=Settings!$B$5,COUNTIFS($B$5:B836,B836,$C$5:C836,"&gt;="&amp;(Settings!$B$5-Settings!$B$9+1),$C$5:C836,"&lt;="&amp;Settings!$B$5)=1),1,0)</f>
        <v>0</v>
      </c>
      <c r="N836" s="29" t="n">
        <f aca="false">IF(AND(D836="Feature Use",COUNTIFS($B$5:B836,B836,$D$5:D836,"Feature Use")=1),1,0)</f>
        <v>0</v>
      </c>
    </row>
    <row r="837" customFormat="false" ht="15" hidden="false" customHeight="false" outlineLevel="0" collapsed="false">
      <c r="A837" s="22" t="s">
        <v>1144</v>
      </c>
      <c r="B837" s="22" t="s">
        <v>168</v>
      </c>
      <c r="C837" s="31" t="n">
        <v>46293</v>
      </c>
      <c r="D837" s="22" t="s">
        <v>300</v>
      </c>
      <c r="E837" s="22" t="s">
        <v>305</v>
      </c>
      <c r="F837" s="29" t="str">
        <f aca="false">IF(COUNTIF(Referral_Data!$C$5:$C$1000,B837)&gt;0,"Referred",IF(COUNTIF(Referral_Data!$B$5:$B$1000,B837)&gt;0,"Referrer","Organic"))</f>
        <v>Referred</v>
      </c>
      <c r="G837" s="29" t="n">
        <f aca="false">IF(COUNTIFS($B$5:B837,B837,$C$5:C837,C837)=1,1,0)</f>
        <v>0</v>
      </c>
      <c r="H837" s="29" t="n">
        <f aca="false">IF(AND(G837=1,COUNTIFS($B$5:$B$1635,B837,$C$5:$C$1635,"&lt;"&amp;C837)&gt;0),1,0)</f>
        <v>0</v>
      </c>
      <c r="I837" s="29" t="n">
        <f aca="false">IF(AND(D837="Feature Use",COUNTIFS($B$5:B837,B837,$D$5:D837,"Feature Use",$E$5:E837,E837)=1),1,0)</f>
        <v>0</v>
      </c>
      <c r="J837" s="29" t="n">
        <f aca="false">IF(AND(D837="Feature Use",COUNTIFS($B$5:B837,B837,$D$5:D837,"Feature Use",$E$5:E837,E837)=2),1,0)</f>
        <v>0</v>
      </c>
      <c r="K837" s="29" t="n">
        <f aca="false">IF(COUNTIF($B$5:B837,B837)=1,1,0)</f>
        <v>0</v>
      </c>
      <c r="L837" s="29" t="n">
        <f aca="false">IF(AND(C837&gt;=Settings!$B$5-Settings!$B$8+1,C837&lt;=Settings!$B$5,COUNTIFS($B$5:B837,B837,$C$5:C837,"&gt;="&amp;(Settings!$B$5-Settings!$B$8+1),$C$5:C837,"&lt;="&amp;Settings!$B$5)=1),1,0)</f>
        <v>0</v>
      </c>
      <c r="M837" s="29" t="n">
        <f aca="false">IF(AND(C837&gt;=Settings!$B$5-Settings!$B$9+1,C837&lt;=Settings!$B$5,COUNTIFS($B$5:B837,B837,$C$5:C837,"&gt;="&amp;(Settings!$B$5-Settings!$B$9+1),$C$5:C837,"&lt;="&amp;Settings!$B$5)=1),1,0)</f>
        <v>0</v>
      </c>
      <c r="N837" s="29" t="n">
        <f aca="false">IF(AND(D837="Feature Use",COUNTIFS($B$5:B837,B837,$D$5:D837,"Feature Use")=1),1,0)</f>
        <v>0</v>
      </c>
    </row>
    <row r="838" customFormat="false" ht="15" hidden="false" customHeight="false" outlineLevel="0" collapsed="false">
      <c r="A838" s="22" t="s">
        <v>1145</v>
      </c>
      <c r="B838" s="22" t="s">
        <v>168</v>
      </c>
      <c r="C838" s="31" t="n">
        <v>46293</v>
      </c>
      <c r="D838" s="22" t="s">
        <v>300</v>
      </c>
      <c r="E838" s="22" t="s">
        <v>305</v>
      </c>
      <c r="F838" s="29" t="str">
        <f aca="false">IF(COUNTIF(Referral_Data!$C$5:$C$1000,B838)&gt;0,"Referred",IF(COUNTIF(Referral_Data!$B$5:$B$1000,B838)&gt;0,"Referrer","Organic"))</f>
        <v>Referred</v>
      </c>
      <c r="G838" s="29" t="n">
        <f aca="false">IF(COUNTIFS($B$5:B838,B838,$C$5:C838,C838)=1,1,0)</f>
        <v>0</v>
      </c>
      <c r="H838" s="29" t="n">
        <f aca="false">IF(AND(G838=1,COUNTIFS($B$5:$B$1635,B838,$C$5:$C$1635,"&lt;"&amp;C838)&gt;0),1,0)</f>
        <v>0</v>
      </c>
      <c r="I838" s="29" t="n">
        <f aca="false">IF(AND(D838="Feature Use",COUNTIFS($B$5:B838,B838,$D$5:D838,"Feature Use",$E$5:E838,E838)=1),1,0)</f>
        <v>0</v>
      </c>
      <c r="J838" s="29" t="n">
        <f aca="false">IF(AND(D838="Feature Use",COUNTIFS($B$5:B838,B838,$D$5:D838,"Feature Use",$E$5:E838,E838)=2),1,0)</f>
        <v>0</v>
      </c>
      <c r="K838" s="29" t="n">
        <f aca="false">IF(COUNTIF($B$5:B838,B838)=1,1,0)</f>
        <v>0</v>
      </c>
      <c r="L838" s="29" t="n">
        <f aca="false">IF(AND(C838&gt;=Settings!$B$5-Settings!$B$8+1,C838&lt;=Settings!$B$5,COUNTIFS($B$5:B838,B838,$C$5:C838,"&gt;="&amp;(Settings!$B$5-Settings!$B$8+1),$C$5:C838,"&lt;="&amp;Settings!$B$5)=1),1,0)</f>
        <v>0</v>
      </c>
      <c r="M838" s="29" t="n">
        <f aca="false">IF(AND(C838&gt;=Settings!$B$5-Settings!$B$9+1,C838&lt;=Settings!$B$5,COUNTIFS($B$5:B838,B838,$C$5:C838,"&gt;="&amp;(Settings!$B$5-Settings!$B$9+1),$C$5:C838,"&lt;="&amp;Settings!$B$5)=1),1,0)</f>
        <v>0</v>
      </c>
      <c r="N838" s="29" t="n">
        <f aca="false">IF(AND(D838="Feature Use",COUNTIFS($B$5:B838,B838,$D$5:D838,"Feature Use")=1),1,0)</f>
        <v>0</v>
      </c>
    </row>
    <row r="839" customFormat="false" ht="15" hidden="false" customHeight="false" outlineLevel="0" collapsed="false">
      <c r="A839" s="22" t="s">
        <v>1146</v>
      </c>
      <c r="B839" s="22" t="s">
        <v>181</v>
      </c>
      <c r="C839" s="31" t="n">
        <v>46293</v>
      </c>
      <c r="D839" s="22" t="s">
        <v>297</v>
      </c>
      <c r="E839" s="22" t="s">
        <v>298</v>
      </c>
      <c r="F839" s="29" t="str">
        <f aca="false">IF(COUNTIF(Referral_Data!$C$5:$C$1000,B839)&gt;0,"Referred",IF(COUNTIF(Referral_Data!$B$5:$B$1000,B839)&gt;0,"Referrer","Organic"))</f>
        <v>Referred</v>
      </c>
      <c r="G839" s="29" t="n">
        <f aca="false">IF(COUNTIFS($B$5:B839,B839,$C$5:C839,C839)=1,1,0)</f>
        <v>1</v>
      </c>
      <c r="H839" s="29" t="n">
        <f aca="false">IF(AND(G839=1,COUNTIFS($B$5:$B$1635,B839,$C$5:$C$1635,"&lt;"&amp;C839)&gt;0),1,0)</f>
        <v>1</v>
      </c>
      <c r="I839" s="29" t="n">
        <f aca="false">IF(AND(D839="Feature Use",COUNTIFS($B$5:B839,B839,$D$5:D839,"Feature Use",$E$5:E839,E839)=1),1,0)</f>
        <v>0</v>
      </c>
      <c r="J839" s="29" t="n">
        <f aca="false">IF(AND(D839="Feature Use",COUNTIFS($B$5:B839,B839,$D$5:D839,"Feature Use",$E$5:E839,E839)=2),1,0)</f>
        <v>0</v>
      </c>
      <c r="K839" s="29" t="n">
        <f aca="false">IF(COUNTIF($B$5:B839,B839)=1,1,0)</f>
        <v>0</v>
      </c>
      <c r="L839" s="29" t="n">
        <f aca="false">IF(AND(C839&gt;=Settings!$B$5-Settings!$B$8+1,C839&lt;=Settings!$B$5,COUNTIFS($B$5:B839,B839,$C$5:C839,"&gt;="&amp;(Settings!$B$5-Settings!$B$8+1),$C$5:C839,"&lt;="&amp;Settings!$B$5)=1),1,0)</f>
        <v>0</v>
      </c>
      <c r="M839" s="29" t="n">
        <f aca="false">IF(AND(C839&gt;=Settings!$B$5-Settings!$B$9+1,C839&lt;=Settings!$B$5,COUNTIFS($B$5:B839,B839,$C$5:C839,"&gt;="&amp;(Settings!$B$5-Settings!$B$9+1),$C$5:C839,"&lt;="&amp;Settings!$B$5)=1),1,0)</f>
        <v>0</v>
      </c>
      <c r="N839" s="29" t="n">
        <f aca="false">IF(AND(D839="Feature Use",COUNTIFS($B$5:B839,B839,$D$5:D839,"Feature Use")=1),1,0)</f>
        <v>0</v>
      </c>
    </row>
    <row r="840" customFormat="false" ht="15" hidden="false" customHeight="false" outlineLevel="0" collapsed="false">
      <c r="A840" s="22" t="s">
        <v>1147</v>
      </c>
      <c r="B840" s="22" t="s">
        <v>181</v>
      </c>
      <c r="C840" s="31" t="n">
        <v>46293</v>
      </c>
      <c r="D840" s="22" t="s">
        <v>300</v>
      </c>
      <c r="E840" s="22" t="s">
        <v>305</v>
      </c>
      <c r="F840" s="29" t="str">
        <f aca="false">IF(COUNTIF(Referral_Data!$C$5:$C$1000,B840)&gt;0,"Referred",IF(COUNTIF(Referral_Data!$B$5:$B$1000,B840)&gt;0,"Referrer","Organic"))</f>
        <v>Referred</v>
      </c>
      <c r="G840" s="29" t="n">
        <f aca="false">IF(COUNTIFS($B$5:B840,B840,$C$5:C840,C840)=1,1,0)</f>
        <v>0</v>
      </c>
      <c r="H840" s="29" t="n">
        <f aca="false">IF(AND(G840=1,COUNTIFS($B$5:$B$1635,B840,$C$5:$C$1635,"&lt;"&amp;C840)&gt;0),1,0)</f>
        <v>0</v>
      </c>
      <c r="I840" s="29" t="n">
        <f aca="false">IF(AND(D840="Feature Use",COUNTIFS($B$5:B840,B840,$D$5:D840,"Feature Use",$E$5:E840,E840)=1),1,0)</f>
        <v>0</v>
      </c>
      <c r="J840" s="29" t="n">
        <f aca="false">IF(AND(D840="Feature Use",COUNTIFS($B$5:B840,B840,$D$5:D840,"Feature Use",$E$5:E840,E840)=2),1,0)</f>
        <v>0</v>
      </c>
      <c r="K840" s="29" t="n">
        <f aca="false">IF(COUNTIF($B$5:B840,B840)=1,1,0)</f>
        <v>0</v>
      </c>
      <c r="L840" s="29" t="n">
        <f aca="false">IF(AND(C840&gt;=Settings!$B$5-Settings!$B$8+1,C840&lt;=Settings!$B$5,COUNTIFS($B$5:B840,B840,$C$5:C840,"&gt;="&amp;(Settings!$B$5-Settings!$B$8+1),$C$5:C840,"&lt;="&amp;Settings!$B$5)=1),1,0)</f>
        <v>0</v>
      </c>
      <c r="M840" s="29" t="n">
        <f aca="false">IF(AND(C840&gt;=Settings!$B$5-Settings!$B$9+1,C840&lt;=Settings!$B$5,COUNTIFS($B$5:B840,B840,$C$5:C840,"&gt;="&amp;(Settings!$B$5-Settings!$B$9+1),$C$5:C840,"&lt;="&amp;Settings!$B$5)=1),1,0)</f>
        <v>0</v>
      </c>
      <c r="N840" s="29" t="n">
        <f aca="false">IF(AND(D840="Feature Use",COUNTIFS($B$5:B840,B840,$D$5:D840,"Feature Use")=1),1,0)</f>
        <v>0</v>
      </c>
    </row>
    <row r="841" customFormat="false" ht="15" hidden="false" customHeight="false" outlineLevel="0" collapsed="false">
      <c r="A841" s="22" t="s">
        <v>1148</v>
      </c>
      <c r="B841" s="22" t="s">
        <v>181</v>
      </c>
      <c r="C841" s="31" t="n">
        <v>46293</v>
      </c>
      <c r="D841" s="22" t="s">
        <v>300</v>
      </c>
      <c r="E841" s="22" t="s">
        <v>301</v>
      </c>
      <c r="F841" s="29" t="str">
        <f aca="false">IF(COUNTIF(Referral_Data!$C$5:$C$1000,B841)&gt;0,"Referred",IF(COUNTIF(Referral_Data!$B$5:$B$1000,B841)&gt;0,"Referrer","Organic"))</f>
        <v>Referred</v>
      </c>
      <c r="G841" s="29" t="n">
        <f aca="false">IF(COUNTIFS($B$5:B841,B841,$C$5:C841,C841)=1,1,0)</f>
        <v>0</v>
      </c>
      <c r="H841" s="29" t="n">
        <f aca="false">IF(AND(G841=1,COUNTIFS($B$5:$B$1635,B841,$C$5:$C$1635,"&lt;"&amp;C841)&gt;0),1,0)</f>
        <v>0</v>
      </c>
      <c r="I841" s="29" t="n">
        <f aca="false">IF(AND(D841="Feature Use",COUNTIFS($B$5:B841,B841,$D$5:D841,"Feature Use",$E$5:E841,E841)=1),1,0)</f>
        <v>0</v>
      </c>
      <c r="J841" s="29" t="n">
        <f aca="false">IF(AND(D841="Feature Use",COUNTIFS($B$5:B841,B841,$D$5:D841,"Feature Use",$E$5:E841,E841)=2),1,0)</f>
        <v>0</v>
      </c>
      <c r="K841" s="29" t="n">
        <f aca="false">IF(COUNTIF($B$5:B841,B841)=1,1,0)</f>
        <v>0</v>
      </c>
      <c r="L841" s="29" t="n">
        <f aca="false">IF(AND(C841&gt;=Settings!$B$5-Settings!$B$8+1,C841&lt;=Settings!$B$5,COUNTIFS($B$5:B841,B841,$C$5:C841,"&gt;="&amp;(Settings!$B$5-Settings!$B$8+1),$C$5:C841,"&lt;="&amp;Settings!$B$5)=1),1,0)</f>
        <v>0</v>
      </c>
      <c r="M841" s="29" t="n">
        <f aca="false">IF(AND(C841&gt;=Settings!$B$5-Settings!$B$9+1,C841&lt;=Settings!$B$5,COUNTIFS($B$5:B841,B841,$C$5:C841,"&gt;="&amp;(Settings!$B$5-Settings!$B$9+1),$C$5:C841,"&lt;="&amp;Settings!$B$5)=1),1,0)</f>
        <v>0</v>
      </c>
      <c r="N841" s="29" t="n">
        <f aca="false">IF(AND(D841="Feature Use",COUNTIFS($B$5:B841,B841,$D$5:D841,"Feature Use")=1),1,0)</f>
        <v>0</v>
      </c>
    </row>
    <row r="842" customFormat="false" ht="15" hidden="false" customHeight="false" outlineLevel="0" collapsed="false">
      <c r="A842" s="22" t="s">
        <v>1149</v>
      </c>
      <c r="B842" s="22" t="s">
        <v>181</v>
      </c>
      <c r="C842" s="31" t="n">
        <v>46293</v>
      </c>
      <c r="D842" s="22" t="s">
        <v>308</v>
      </c>
      <c r="E842" s="22" t="s">
        <v>305</v>
      </c>
      <c r="F842" s="29" t="str">
        <f aca="false">IF(COUNTIF(Referral_Data!$C$5:$C$1000,B842)&gt;0,"Referred",IF(COUNTIF(Referral_Data!$B$5:$B$1000,B842)&gt;0,"Referrer","Organic"))</f>
        <v>Referred</v>
      </c>
      <c r="G842" s="29" t="n">
        <f aca="false">IF(COUNTIFS($B$5:B842,B842,$C$5:C842,C842)=1,1,0)</f>
        <v>0</v>
      </c>
      <c r="H842" s="29" t="n">
        <f aca="false">IF(AND(G842=1,COUNTIFS($B$5:$B$1635,B842,$C$5:$C$1635,"&lt;"&amp;C842)&gt;0),1,0)</f>
        <v>0</v>
      </c>
      <c r="I842" s="29" t="n">
        <f aca="false">IF(AND(D842="Feature Use",COUNTIFS($B$5:B842,B842,$D$5:D842,"Feature Use",$E$5:E842,E842)=1),1,0)</f>
        <v>0</v>
      </c>
      <c r="J842" s="29" t="n">
        <f aca="false">IF(AND(D842="Feature Use",COUNTIFS($B$5:B842,B842,$D$5:D842,"Feature Use",$E$5:E842,E842)=2),1,0)</f>
        <v>0</v>
      </c>
      <c r="K842" s="29" t="n">
        <f aca="false">IF(COUNTIF($B$5:B842,B842)=1,1,0)</f>
        <v>0</v>
      </c>
      <c r="L842" s="29" t="n">
        <f aca="false">IF(AND(C842&gt;=Settings!$B$5-Settings!$B$8+1,C842&lt;=Settings!$B$5,COUNTIFS($B$5:B842,B842,$C$5:C842,"&gt;="&amp;(Settings!$B$5-Settings!$B$8+1),$C$5:C842,"&lt;="&amp;Settings!$B$5)=1),1,0)</f>
        <v>0</v>
      </c>
      <c r="M842" s="29" t="n">
        <f aca="false">IF(AND(C842&gt;=Settings!$B$5-Settings!$B$9+1,C842&lt;=Settings!$B$5,COUNTIFS($B$5:B842,B842,$C$5:C842,"&gt;="&amp;(Settings!$B$5-Settings!$B$9+1),$C$5:C842,"&lt;="&amp;Settings!$B$5)=1),1,0)</f>
        <v>0</v>
      </c>
      <c r="N842" s="29" t="n">
        <f aca="false">IF(AND(D842="Feature Use",COUNTIFS($B$5:B842,B842,$D$5:D842,"Feature Use")=1),1,0)</f>
        <v>0</v>
      </c>
    </row>
    <row r="843" customFormat="false" ht="15" hidden="false" customHeight="false" outlineLevel="0" collapsed="false">
      <c r="A843" s="22" t="s">
        <v>1150</v>
      </c>
      <c r="B843" s="22" t="s">
        <v>192</v>
      </c>
      <c r="C843" s="31" t="n">
        <v>46293</v>
      </c>
      <c r="D843" s="22" t="s">
        <v>297</v>
      </c>
      <c r="E843" s="22" t="s">
        <v>298</v>
      </c>
      <c r="F843" s="29" t="str">
        <f aca="false">IF(COUNTIF(Referral_Data!$C$5:$C$1000,B843)&gt;0,"Referred",IF(COUNTIF(Referral_Data!$B$5:$B$1000,B843)&gt;0,"Referrer","Organic"))</f>
        <v>Referred</v>
      </c>
      <c r="G843" s="29" t="n">
        <f aca="false">IF(COUNTIFS($B$5:B843,B843,$C$5:C843,C843)=1,1,0)</f>
        <v>1</v>
      </c>
      <c r="H843" s="29" t="n">
        <f aca="false">IF(AND(G843=1,COUNTIFS($B$5:$B$1635,B843,$C$5:$C$1635,"&lt;"&amp;C843)&gt;0),1,0)</f>
        <v>1</v>
      </c>
      <c r="I843" s="29" t="n">
        <f aca="false">IF(AND(D843="Feature Use",COUNTIFS($B$5:B843,B843,$D$5:D843,"Feature Use",$E$5:E843,E843)=1),1,0)</f>
        <v>0</v>
      </c>
      <c r="J843" s="29" t="n">
        <f aca="false">IF(AND(D843="Feature Use",COUNTIFS($B$5:B843,B843,$D$5:D843,"Feature Use",$E$5:E843,E843)=2),1,0)</f>
        <v>0</v>
      </c>
      <c r="K843" s="29" t="n">
        <f aca="false">IF(COUNTIF($B$5:B843,B843)=1,1,0)</f>
        <v>0</v>
      </c>
      <c r="L843" s="29" t="n">
        <f aca="false">IF(AND(C843&gt;=Settings!$B$5-Settings!$B$8+1,C843&lt;=Settings!$B$5,COUNTIFS($B$5:B843,B843,$C$5:C843,"&gt;="&amp;(Settings!$B$5-Settings!$B$8+1),$C$5:C843,"&lt;="&amp;Settings!$B$5)=1),1,0)</f>
        <v>0</v>
      </c>
      <c r="M843" s="29" t="n">
        <f aca="false">IF(AND(C843&gt;=Settings!$B$5-Settings!$B$9+1,C843&lt;=Settings!$B$5,COUNTIFS($B$5:B843,B843,$C$5:C843,"&gt;="&amp;(Settings!$B$5-Settings!$B$9+1),$C$5:C843,"&lt;="&amp;Settings!$B$5)=1),1,0)</f>
        <v>0</v>
      </c>
      <c r="N843" s="29" t="n">
        <f aca="false">IF(AND(D843="Feature Use",COUNTIFS($B$5:B843,B843,$D$5:D843,"Feature Use")=1),1,0)</f>
        <v>0</v>
      </c>
    </row>
    <row r="844" customFormat="false" ht="15" hidden="false" customHeight="false" outlineLevel="0" collapsed="false">
      <c r="A844" s="22" t="s">
        <v>1151</v>
      </c>
      <c r="B844" s="22" t="s">
        <v>192</v>
      </c>
      <c r="C844" s="31" t="n">
        <v>46293</v>
      </c>
      <c r="D844" s="22" t="s">
        <v>300</v>
      </c>
      <c r="E844" s="22" t="s">
        <v>305</v>
      </c>
      <c r="F844" s="29" t="str">
        <f aca="false">IF(COUNTIF(Referral_Data!$C$5:$C$1000,B844)&gt;0,"Referred",IF(COUNTIF(Referral_Data!$B$5:$B$1000,B844)&gt;0,"Referrer","Organic"))</f>
        <v>Referred</v>
      </c>
      <c r="G844" s="29" t="n">
        <f aca="false">IF(COUNTIFS($B$5:B844,B844,$C$5:C844,C844)=1,1,0)</f>
        <v>0</v>
      </c>
      <c r="H844" s="29" t="n">
        <f aca="false">IF(AND(G844=1,COUNTIFS($B$5:$B$1635,B844,$C$5:$C$1635,"&lt;"&amp;C844)&gt;0),1,0)</f>
        <v>0</v>
      </c>
      <c r="I844" s="29" t="n">
        <f aca="false">IF(AND(D844="Feature Use",COUNTIFS($B$5:B844,B844,$D$5:D844,"Feature Use",$E$5:E844,E844)=1),1,0)</f>
        <v>0</v>
      </c>
      <c r="J844" s="29" t="n">
        <f aca="false">IF(AND(D844="Feature Use",COUNTIFS($B$5:B844,B844,$D$5:D844,"Feature Use",$E$5:E844,E844)=2),1,0)</f>
        <v>0</v>
      </c>
      <c r="K844" s="29" t="n">
        <f aca="false">IF(COUNTIF($B$5:B844,B844)=1,1,0)</f>
        <v>0</v>
      </c>
      <c r="L844" s="29" t="n">
        <f aca="false">IF(AND(C844&gt;=Settings!$B$5-Settings!$B$8+1,C844&lt;=Settings!$B$5,COUNTIFS($B$5:B844,B844,$C$5:C844,"&gt;="&amp;(Settings!$B$5-Settings!$B$8+1),$C$5:C844,"&lt;="&amp;Settings!$B$5)=1),1,0)</f>
        <v>0</v>
      </c>
      <c r="M844" s="29" t="n">
        <f aca="false">IF(AND(C844&gt;=Settings!$B$5-Settings!$B$9+1,C844&lt;=Settings!$B$5,COUNTIFS($B$5:B844,B844,$C$5:C844,"&gt;="&amp;(Settings!$B$5-Settings!$B$9+1),$C$5:C844,"&lt;="&amp;Settings!$B$5)=1),1,0)</f>
        <v>0</v>
      </c>
      <c r="N844" s="29" t="n">
        <f aca="false">IF(AND(D844="Feature Use",COUNTIFS($B$5:B844,B844,$D$5:D844,"Feature Use")=1),1,0)</f>
        <v>0</v>
      </c>
    </row>
    <row r="845" customFormat="false" ht="15" hidden="false" customHeight="false" outlineLevel="0" collapsed="false">
      <c r="A845" s="22" t="s">
        <v>1152</v>
      </c>
      <c r="B845" s="22" t="s">
        <v>192</v>
      </c>
      <c r="C845" s="31" t="n">
        <v>46293</v>
      </c>
      <c r="D845" s="22" t="s">
        <v>308</v>
      </c>
      <c r="E845" s="22" t="s">
        <v>311</v>
      </c>
      <c r="F845" s="29" t="str">
        <f aca="false">IF(COUNTIF(Referral_Data!$C$5:$C$1000,B845)&gt;0,"Referred",IF(COUNTIF(Referral_Data!$B$5:$B$1000,B845)&gt;0,"Referrer","Organic"))</f>
        <v>Referred</v>
      </c>
      <c r="G845" s="29" t="n">
        <f aca="false">IF(COUNTIFS($B$5:B845,B845,$C$5:C845,C845)=1,1,0)</f>
        <v>0</v>
      </c>
      <c r="H845" s="29" t="n">
        <f aca="false">IF(AND(G845=1,COUNTIFS($B$5:$B$1635,B845,$C$5:$C$1635,"&lt;"&amp;C845)&gt;0),1,0)</f>
        <v>0</v>
      </c>
      <c r="I845" s="29" t="n">
        <f aca="false">IF(AND(D845="Feature Use",COUNTIFS($B$5:B845,B845,$D$5:D845,"Feature Use",$E$5:E845,E845)=1),1,0)</f>
        <v>0</v>
      </c>
      <c r="J845" s="29" t="n">
        <f aca="false">IF(AND(D845="Feature Use",COUNTIFS($B$5:B845,B845,$D$5:D845,"Feature Use",$E$5:E845,E845)=2),1,0)</f>
        <v>0</v>
      </c>
      <c r="K845" s="29" t="n">
        <f aca="false">IF(COUNTIF($B$5:B845,B845)=1,1,0)</f>
        <v>0</v>
      </c>
      <c r="L845" s="29" t="n">
        <f aca="false">IF(AND(C845&gt;=Settings!$B$5-Settings!$B$8+1,C845&lt;=Settings!$B$5,COUNTIFS($B$5:B845,B845,$C$5:C845,"&gt;="&amp;(Settings!$B$5-Settings!$B$8+1),$C$5:C845,"&lt;="&amp;Settings!$B$5)=1),1,0)</f>
        <v>0</v>
      </c>
      <c r="M845" s="29" t="n">
        <f aca="false">IF(AND(C845&gt;=Settings!$B$5-Settings!$B$9+1,C845&lt;=Settings!$B$5,COUNTIFS($B$5:B845,B845,$C$5:C845,"&gt;="&amp;(Settings!$B$5-Settings!$B$9+1),$C$5:C845,"&lt;="&amp;Settings!$B$5)=1),1,0)</f>
        <v>0</v>
      </c>
      <c r="N845" s="29" t="n">
        <f aca="false">IF(AND(D845="Feature Use",COUNTIFS($B$5:B845,B845,$D$5:D845,"Feature Use")=1),1,0)</f>
        <v>0</v>
      </c>
    </row>
    <row r="846" customFormat="false" ht="15" hidden="false" customHeight="false" outlineLevel="0" collapsed="false">
      <c r="A846" s="22" t="s">
        <v>1153</v>
      </c>
      <c r="B846" s="22" t="s">
        <v>192</v>
      </c>
      <c r="C846" s="31" t="n">
        <v>46293</v>
      </c>
      <c r="D846" s="22" t="s">
        <v>308</v>
      </c>
      <c r="E846" s="22" t="s">
        <v>305</v>
      </c>
      <c r="F846" s="29" t="str">
        <f aca="false">IF(COUNTIF(Referral_Data!$C$5:$C$1000,B846)&gt;0,"Referred",IF(COUNTIF(Referral_Data!$B$5:$B$1000,B846)&gt;0,"Referrer","Organic"))</f>
        <v>Referred</v>
      </c>
      <c r="G846" s="29" t="n">
        <f aca="false">IF(COUNTIFS($B$5:B846,B846,$C$5:C846,C846)=1,1,0)</f>
        <v>0</v>
      </c>
      <c r="H846" s="29" t="n">
        <f aca="false">IF(AND(G846=1,COUNTIFS($B$5:$B$1635,B846,$C$5:$C$1635,"&lt;"&amp;C846)&gt;0),1,0)</f>
        <v>0</v>
      </c>
      <c r="I846" s="29" t="n">
        <f aca="false">IF(AND(D846="Feature Use",COUNTIFS($B$5:B846,B846,$D$5:D846,"Feature Use",$E$5:E846,E846)=1),1,0)</f>
        <v>0</v>
      </c>
      <c r="J846" s="29" t="n">
        <f aca="false">IF(AND(D846="Feature Use",COUNTIFS($B$5:B846,B846,$D$5:D846,"Feature Use",$E$5:E846,E846)=2),1,0)</f>
        <v>0</v>
      </c>
      <c r="K846" s="29" t="n">
        <f aca="false">IF(COUNTIF($B$5:B846,B846)=1,1,0)</f>
        <v>0</v>
      </c>
      <c r="L846" s="29" t="n">
        <f aca="false">IF(AND(C846&gt;=Settings!$B$5-Settings!$B$8+1,C846&lt;=Settings!$B$5,COUNTIFS($B$5:B846,B846,$C$5:C846,"&gt;="&amp;(Settings!$B$5-Settings!$B$8+1),$C$5:C846,"&lt;="&amp;Settings!$B$5)=1),1,0)</f>
        <v>0</v>
      </c>
      <c r="M846" s="29" t="n">
        <f aca="false">IF(AND(C846&gt;=Settings!$B$5-Settings!$B$9+1,C846&lt;=Settings!$B$5,COUNTIFS($B$5:B846,B846,$C$5:C846,"&gt;="&amp;(Settings!$B$5-Settings!$B$9+1),$C$5:C846,"&lt;="&amp;Settings!$B$5)=1),1,0)</f>
        <v>0</v>
      </c>
      <c r="N846" s="29" t="n">
        <f aca="false">IF(AND(D846="Feature Use",COUNTIFS($B$5:B846,B846,$D$5:D846,"Feature Use")=1),1,0)</f>
        <v>0</v>
      </c>
    </row>
    <row r="847" customFormat="false" ht="15" hidden="false" customHeight="false" outlineLevel="0" collapsed="false">
      <c r="A847" s="22" t="s">
        <v>1154</v>
      </c>
      <c r="B847" s="22" t="s">
        <v>194</v>
      </c>
      <c r="C847" s="31" t="n">
        <v>46293</v>
      </c>
      <c r="D847" s="22" t="s">
        <v>297</v>
      </c>
      <c r="E847" s="22" t="s">
        <v>298</v>
      </c>
      <c r="F847" s="29" t="str">
        <f aca="false">IF(COUNTIF(Referral_Data!$C$5:$C$1000,B847)&gt;0,"Referred",IF(COUNTIF(Referral_Data!$B$5:$B$1000,B847)&gt;0,"Referrer","Organic"))</f>
        <v>Referred</v>
      </c>
      <c r="G847" s="29" t="n">
        <f aca="false">IF(COUNTIFS($B$5:B847,B847,$C$5:C847,C847)=1,1,0)</f>
        <v>1</v>
      </c>
      <c r="H847" s="29" t="n">
        <f aca="false">IF(AND(G847=1,COUNTIFS($B$5:$B$1635,B847,$C$5:$C$1635,"&lt;"&amp;C847)&gt;0),1,0)</f>
        <v>1</v>
      </c>
      <c r="I847" s="29" t="n">
        <f aca="false">IF(AND(D847="Feature Use",COUNTIFS($B$5:B847,B847,$D$5:D847,"Feature Use",$E$5:E847,E847)=1),1,0)</f>
        <v>0</v>
      </c>
      <c r="J847" s="29" t="n">
        <f aca="false">IF(AND(D847="Feature Use",COUNTIFS($B$5:B847,B847,$D$5:D847,"Feature Use",$E$5:E847,E847)=2),1,0)</f>
        <v>0</v>
      </c>
      <c r="K847" s="29" t="n">
        <f aca="false">IF(COUNTIF($B$5:B847,B847)=1,1,0)</f>
        <v>0</v>
      </c>
      <c r="L847" s="29" t="n">
        <f aca="false">IF(AND(C847&gt;=Settings!$B$5-Settings!$B$8+1,C847&lt;=Settings!$B$5,COUNTIFS($B$5:B847,B847,$C$5:C847,"&gt;="&amp;(Settings!$B$5-Settings!$B$8+1),$C$5:C847,"&lt;="&amp;Settings!$B$5)=1),1,0)</f>
        <v>0</v>
      </c>
      <c r="M847" s="29" t="n">
        <f aca="false">IF(AND(C847&gt;=Settings!$B$5-Settings!$B$9+1,C847&lt;=Settings!$B$5,COUNTIFS($B$5:B847,B847,$C$5:C847,"&gt;="&amp;(Settings!$B$5-Settings!$B$9+1),$C$5:C847,"&lt;="&amp;Settings!$B$5)=1),1,0)</f>
        <v>0</v>
      </c>
      <c r="N847" s="29" t="n">
        <f aca="false">IF(AND(D847="Feature Use",COUNTIFS($B$5:B847,B847,$D$5:D847,"Feature Use")=1),1,0)</f>
        <v>0</v>
      </c>
    </row>
    <row r="848" customFormat="false" ht="15" hidden="false" customHeight="false" outlineLevel="0" collapsed="false">
      <c r="A848" s="22" t="s">
        <v>1155</v>
      </c>
      <c r="B848" s="22" t="s">
        <v>194</v>
      </c>
      <c r="C848" s="31" t="n">
        <v>46293</v>
      </c>
      <c r="D848" s="22" t="s">
        <v>300</v>
      </c>
      <c r="E848" s="22" t="s">
        <v>305</v>
      </c>
      <c r="F848" s="29" t="str">
        <f aca="false">IF(COUNTIF(Referral_Data!$C$5:$C$1000,B848)&gt;0,"Referred",IF(COUNTIF(Referral_Data!$B$5:$B$1000,B848)&gt;0,"Referrer","Organic"))</f>
        <v>Referred</v>
      </c>
      <c r="G848" s="29" t="n">
        <f aca="false">IF(COUNTIFS($B$5:B848,B848,$C$5:C848,C848)=1,1,0)</f>
        <v>0</v>
      </c>
      <c r="H848" s="29" t="n">
        <f aca="false">IF(AND(G848=1,COUNTIFS($B$5:$B$1635,B848,$C$5:$C$1635,"&lt;"&amp;C848)&gt;0),1,0)</f>
        <v>0</v>
      </c>
      <c r="I848" s="29" t="n">
        <f aca="false">IF(AND(D848="Feature Use",COUNTIFS($B$5:B848,B848,$D$5:D848,"Feature Use",$E$5:E848,E848)=1),1,0)</f>
        <v>0</v>
      </c>
      <c r="J848" s="29" t="n">
        <f aca="false">IF(AND(D848="Feature Use",COUNTIFS($B$5:B848,B848,$D$5:D848,"Feature Use",$E$5:E848,E848)=2),1,0)</f>
        <v>0</v>
      </c>
      <c r="K848" s="29" t="n">
        <f aca="false">IF(COUNTIF($B$5:B848,B848)=1,1,0)</f>
        <v>0</v>
      </c>
      <c r="L848" s="29" t="n">
        <f aca="false">IF(AND(C848&gt;=Settings!$B$5-Settings!$B$8+1,C848&lt;=Settings!$B$5,COUNTIFS($B$5:B848,B848,$C$5:C848,"&gt;="&amp;(Settings!$B$5-Settings!$B$8+1),$C$5:C848,"&lt;="&amp;Settings!$B$5)=1),1,0)</f>
        <v>0</v>
      </c>
      <c r="M848" s="29" t="n">
        <f aca="false">IF(AND(C848&gt;=Settings!$B$5-Settings!$B$9+1,C848&lt;=Settings!$B$5,COUNTIFS($B$5:B848,B848,$C$5:C848,"&gt;="&amp;(Settings!$B$5-Settings!$B$9+1),$C$5:C848,"&lt;="&amp;Settings!$B$5)=1),1,0)</f>
        <v>0</v>
      </c>
      <c r="N848" s="29" t="n">
        <f aca="false">IF(AND(D848="Feature Use",COUNTIFS($B$5:B848,B848,$D$5:D848,"Feature Use")=1),1,0)</f>
        <v>0</v>
      </c>
    </row>
    <row r="849" customFormat="false" ht="15" hidden="false" customHeight="false" outlineLevel="0" collapsed="false">
      <c r="A849" s="22" t="s">
        <v>1156</v>
      </c>
      <c r="B849" s="22" t="s">
        <v>220</v>
      </c>
      <c r="C849" s="31" t="n">
        <v>46293</v>
      </c>
      <c r="D849" s="22" t="s">
        <v>297</v>
      </c>
      <c r="E849" s="22" t="s">
        <v>298</v>
      </c>
      <c r="F849" s="29" t="str">
        <f aca="false">IF(COUNTIF(Referral_Data!$C$5:$C$1000,B849)&gt;0,"Referred",IF(COUNTIF(Referral_Data!$B$5:$B$1000,B849)&gt;0,"Referrer","Organic"))</f>
        <v>Referred</v>
      </c>
      <c r="G849" s="29" t="n">
        <f aca="false">IF(COUNTIFS($B$5:B849,B849,$C$5:C849,C849)=1,1,0)</f>
        <v>1</v>
      </c>
      <c r="H849" s="29" t="n">
        <f aca="false">IF(AND(G849=1,COUNTIFS($B$5:$B$1635,B849,$C$5:$C$1635,"&lt;"&amp;C849)&gt;0),1,0)</f>
        <v>1</v>
      </c>
      <c r="I849" s="29" t="n">
        <f aca="false">IF(AND(D849="Feature Use",COUNTIFS($B$5:B849,B849,$D$5:D849,"Feature Use",$E$5:E849,E849)=1),1,0)</f>
        <v>0</v>
      </c>
      <c r="J849" s="29" t="n">
        <f aca="false">IF(AND(D849="Feature Use",COUNTIFS($B$5:B849,B849,$D$5:D849,"Feature Use",$E$5:E849,E849)=2),1,0)</f>
        <v>0</v>
      </c>
      <c r="K849" s="29" t="n">
        <f aca="false">IF(COUNTIF($B$5:B849,B849)=1,1,0)</f>
        <v>0</v>
      </c>
      <c r="L849" s="29" t="n">
        <f aca="false">IF(AND(C849&gt;=Settings!$B$5-Settings!$B$8+1,C849&lt;=Settings!$B$5,COUNTIFS($B$5:B849,B849,$C$5:C849,"&gt;="&amp;(Settings!$B$5-Settings!$B$8+1),$C$5:C849,"&lt;="&amp;Settings!$B$5)=1),1,0)</f>
        <v>0</v>
      </c>
      <c r="M849" s="29" t="n">
        <f aca="false">IF(AND(C849&gt;=Settings!$B$5-Settings!$B$9+1,C849&lt;=Settings!$B$5,COUNTIFS($B$5:B849,B849,$C$5:C849,"&gt;="&amp;(Settings!$B$5-Settings!$B$9+1),$C$5:C849,"&lt;="&amp;Settings!$B$5)=1),1,0)</f>
        <v>0</v>
      </c>
      <c r="N849" s="29" t="n">
        <f aca="false">IF(AND(D849="Feature Use",COUNTIFS($B$5:B849,B849,$D$5:D849,"Feature Use")=1),1,0)</f>
        <v>0</v>
      </c>
    </row>
    <row r="850" customFormat="false" ht="15" hidden="false" customHeight="false" outlineLevel="0" collapsed="false">
      <c r="A850" s="22" t="s">
        <v>1157</v>
      </c>
      <c r="B850" s="22" t="s">
        <v>220</v>
      </c>
      <c r="C850" s="31" t="n">
        <v>46293</v>
      </c>
      <c r="D850" s="22" t="s">
        <v>300</v>
      </c>
      <c r="E850" s="22" t="s">
        <v>301</v>
      </c>
      <c r="F850" s="29" t="str">
        <f aca="false">IF(COUNTIF(Referral_Data!$C$5:$C$1000,B850)&gt;0,"Referred",IF(COUNTIF(Referral_Data!$B$5:$B$1000,B850)&gt;0,"Referrer","Organic"))</f>
        <v>Referred</v>
      </c>
      <c r="G850" s="29" t="n">
        <f aca="false">IF(COUNTIFS($B$5:B850,B850,$C$5:C850,C850)=1,1,0)</f>
        <v>0</v>
      </c>
      <c r="H850" s="29" t="n">
        <f aca="false">IF(AND(G850=1,COUNTIFS($B$5:$B$1635,B850,$C$5:$C$1635,"&lt;"&amp;C850)&gt;0),1,0)</f>
        <v>0</v>
      </c>
      <c r="I850" s="29" t="n">
        <f aca="false">IF(AND(D850="Feature Use",COUNTIFS($B$5:B850,B850,$D$5:D850,"Feature Use",$E$5:E850,E850)=1),1,0)</f>
        <v>0</v>
      </c>
      <c r="J850" s="29" t="n">
        <f aca="false">IF(AND(D850="Feature Use",COUNTIFS($B$5:B850,B850,$D$5:D850,"Feature Use",$E$5:E850,E850)=2),1,0)</f>
        <v>0</v>
      </c>
      <c r="K850" s="29" t="n">
        <f aca="false">IF(COUNTIF($B$5:B850,B850)=1,1,0)</f>
        <v>0</v>
      </c>
      <c r="L850" s="29" t="n">
        <f aca="false">IF(AND(C850&gt;=Settings!$B$5-Settings!$B$8+1,C850&lt;=Settings!$B$5,COUNTIFS($B$5:B850,B850,$C$5:C850,"&gt;="&amp;(Settings!$B$5-Settings!$B$8+1),$C$5:C850,"&lt;="&amp;Settings!$B$5)=1),1,0)</f>
        <v>0</v>
      </c>
      <c r="M850" s="29" t="n">
        <f aca="false">IF(AND(C850&gt;=Settings!$B$5-Settings!$B$9+1,C850&lt;=Settings!$B$5,COUNTIFS($B$5:B850,B850,$C$5:C850,"&gt;="&amp;(Settings!$B$5-Settings!$B$9+1),$C$5:C850,"&lt;="&amp;Settings!$B$5)=1),1,0)</f>
        <v>0</v>
      </c>
      <c r="N850" s="29" t="n">
        <f aca="false">IF(AND(D850="Feature Use",COUNTIFS($B$5:B850,B850,$D$5:D850,"Feature Use")=1),1,0)</f>
        <v>0</v>
      </c>
    </row>
    <row r="851" customFormat="false" ht="15" hidden="false" customHeight="false" outlineLevel="0" collapsed="false">
      <c r="A851" s="22" t="s">
        <v>1158</v>
      </c>
      <c r="B851" s="22" t="s">
        <v>220</v>
      </c>
      <c r="C851" s="31" t="n">
        <v>46293</v>
      </c>
      <c r="D851" s="22" t="s">
        <v>300</v>
      </c>
      <c r="E851" s="22" t="s">
        <v>301</v>
      </c>
      <c r="F851" s="29" t="str">
        <f aca="false">IF(COUNTIF(Referral_Data!$C$5:$C$1000,B851)&gt;0,"Referred",IF(COUNTIF(Referral_Data!$B$5:$B$1000,B851)&gt;0,"Referrer","Organic"))</f>
        <v>Referred</v>
      </c>
      <c r="G851" s="29" t="n">
        <f aca="false">IF(COUNTIFS($B$5:B851,B851,$C$5:C851,C851)=1,1,0)</f>
        <v>0</v>
      </c>
      <c r="H851" s="29" t="n">
        <f aca="false">IF(AND(G851=1,COUNTIFS($B$5:$B$1635,B851,$C$5:$C$1635,"&lt;"&amp;C851)&gt;0),1,0)</f>
        <v>0</v>
      </c>
      <c r="I851" s="29" t="n">
        <f aca="false">IF(AND(D851="Feature Use",COUNTIFS($B$5:B851,B851,$D$5:D851,"Feature Use",$E$5:E851,E851)=1),1,0)</f>
        <v>0</v>
      </c>
      <c r="J851" s="29" t="n">
        <f aca="false">IF(AND(D851="Feature Use",COUNTIFS($B$5:B851,B851,$D$5:D851,"Feature Use",$E$5:E851,E851)=2),1,0)</f>
        <v>0</v>
      </c>
      <c r="K851" s="29" t="n">
        <f aca="false">IF(COUNTIF($B$5:B851,B851)=1,1,0)</f>
        <v>0</v>
      </c>
      <c r="L851" s="29" t="n">
        <f aca="false">IF(AND(C851&gt;=Settings!$B$5-Settings!$B$8+1,C851&lt;=Settings!$B$5,COUNTIFS($B$5:B851,B851,$C$5:C851,"&gt;="&amp;(Settings!$B$5-Settings!$B$8+1),$C$5:C851,"&lt;="&amp;Settings!$B$5)=1),1,0)</f>
        <v>0</v>
      </c>
      <c r="M851" s="29" t="n">
        <f aca="false">IF(AND(C851&gt;=Settings!$B$5-Settings!$B$9+1,C851&lt;=Settings!$B$5,COUNTIFS($B$5:B851,B851,$C$5:C851,"&gt;="&amp;(Settings!$B$5-Settings!$B$9+1),$C$5:C851,"&lt;="&amp;Settings!$B$5)=1),1,0)</f>
        <v>0</v>
      </c>
      <c r="N851" s="29" t="n">
        <f aca="false">IF(AND(D851="Feature Use",COUNTIFS($B$5:B851,B851,$D$5:D851,"Feature Use")=1),1,0)</f>
        <v>0</v>
      </c>
    </row>
    <row r="852" customFormat="false" ht="15" hidden="false" customHeight="false" outlineLevel="0" collapsed="false">
      <c r="A852" s="22" t="s">
        <v>1159</v>
      </c>
      <c r="B852" s="22" t="s">
        <v>234</v>
      </c>
      <c r="C852" s="31" t="n">
        <v>46293</v>
      </c>
      <c r="D852" s="22" t="s">
        <v>297</v>
      </c>
      <c r="E852" s="22" t="s">
        <v>298</v>
      </c>
      <c r="F852" s="29" t="str">
        <f aca="false">IF(COUNTIF(Referral_Data!$C$5:$C$1000,B852)&gt;0,"Referred",IF(COUNTIF(Referral_Data!$B$5:$B$1000,B852)&gt;0,"Referrer","Organic"))</f>
        <v>Referred</v>
      </c>
      <c r="G852" s="29" t="n">
        <f aca="false">IF(COUNTIFS($B$5:B852,B852,$C$5:C852,C852)=1,1,0)</f>
        <v>1</v>
      </c>
      <c r="H852" s="29" t="n">
        <f aca="false">IF(AND(G852=1,COUNTIFS($B$5:$B$1635,B852,$C$5:$C$1635,"&lt;"&amp;C852)&gt;0),1,0)</f>
        <v>1</v>
      </c>
      <c r="I852" s="29" t="n">
        <f aca="false">IF(AND(D852="Feature Use",COUNTIFS($B$5:B852,B852,$D$5:D852,"Feature Use",$E$5:E852,E852)=1),1,0)</f>
        <v>0</v>
      </c>
      <c r="J852" s="29" t="n">
        <f aca="false">IF(AND(D852="Feature Use",COUNTIFS($B$5:B852,B852,$D$5:D852,"Feature Use",$E$5:E852,E852)=2),1,0)</f>
        <v>0</v>
      </c>
      <c r="K852" s="29" t="n">
        <f aca="false">IF(COUNTIF($B$5:B852,B852)=1,1,0)</f>
        <v>0</v>
      </c>
      <c r="L852" s="29" t="n">
        <f aca="false">IF(AND(C852&gt;=Settings!$B$5-Settings!$B$8+1,C852&lt;=Settings!$B$5,COUNTIFS($B$5:B852,B852,$C$5:C852,"&gt;="&amp;(Settings!$B$5-Settings!$B$8+1),$C$5:C852,"&lt;="&amp;Settings!$B$5)=1),1,0)</f>
        <v>0</v>
      </c>
      <c r="M852" s="29" t="n">
        <f aca="false">IF(AND(C852&gt;=Settings!$B$5-Settings!$B$9+1,C852&lt;=Settings!$B$5,COUNTIFS($B$5:B852,B852,$C$5:C852,"&gt;="&amp;(Settings!$B$5-Settings!$B$9+1),$C$5:C852,"&lt;="&amp;Settings!$B$5)=1),1,0)</f>
        <v>0</v>
      </c>
      <c r="N852" s="29" t="n">
        <f aca="false">IF(AND(D852="Feature Use",COUNTIFS($B$5:B852,B852,$D$5:D852,"Feature Use")=1),1,0)</f>
        <v>0</v>
      </c>
    </row>
    <row r="853" customFormat="false" ht="15" hidden="false" customHeight="false" outlineLevel="0" collapsed="false">
      <c r="A853" s="22" t="s">
        <v>1160</v>
      </c>
      <c r="B853" s="22" t="s">
        <v>234</v>
      </c>
      <c r="C853" s="31" t="n">
        <v>46293</v>
      </c>
      <c r="D853" s="22" t="s">
        <v>300</v>
      </c>
      <c r="E853" s="22" t="s">
        <v>309</v>
      </c>
      <c r="F853" s="29" t="str">
        <f aca="false">IF(COUNTIF(Referral_Data!$C$5:$C$1000,B853)&gt;0,"Referred",IF(COUNTIF(Referral_Data!$B$5:$B$1000,B853)&gt;0,"Referrer","Organic"))</f>
        <v>Referred</v>
      </c>
      <c r="G853" s="29" t="n">
        <f aca="false">IF(COUNTIFS($B$5:B853,B853,$C$5:C853,C853)=1,1,0)</f>
        <v>0</v>
      </c>
      <c r="H853" s="29" t="n">
        <f aca="false">IF(AND(G853=1,COUNTIFS($B$5:$B$1635,B853,$C$5:$C$1635,"&lt;"&amp;C853)&gt;0),1,0)</f>
        <v>0</v>
      </c>
      <c r="I853" s="29" t="n">
        <f aca="false">IF(AND(D853="Feature Use",COUNTIFS($B$5:B853,B853,$D$5:D853,"Feature Use",$E$5:E853,E853)=1),1,0)</f>
        <v>0</v>
      </c>
      <c r="J853" s="29" t="n">
        <f aca="false">IF(AND(D853="Feature Use",COUNTIFS($B$5:B853,B853,$D$5:D853,"Feature Use",$E$5:E853,E853)=2),1,0)</f>
        <v>1</v>
      </c>
      <c r="K853" s="29" t="n">
        <f aca="false">IF(COUNTIF($B$5:B853,B853)=1,1,0)</f>
        <v>0</v>
      </c>
      <c r="L853" s="29" t="n">
        <f aca="false">IF(AND(C853&gt;=Settings!$B$5-Settings!$B$8+1,C853&lt;=Settings!$B$5,COUNTIFS($B$5:B853,B853,$C$5:C853,"&gt;="&amp;(Settings!$B$5-Settings!$B$8+1),$C$5:C853,"&lt;="&amp;Settings!$B$5)=1),1,0)</f>
        <v>0</v>
      </c>
      <c r="M853" s="29" t="n">
        <f aca="false">IF(AND(C853&gt;=Settings!$B$5-Settings!$B$9+1,C853&lt;=Settings!$B$5,COUNTIFS($B$5:B853,B853,$C$5:C853,"&gt;="&amp;(Settings!$B$5-Settings!$B$9+1),$C$5:C853,"&lt;="&amp;Settings!$B$5)=1),1,0)</f>
        <v>0</v>
      </c>
      <c r="N853" s="29" t="n">
        <f aca="false">IF(AND(D853="Feature Use",COUNTIFS($B$5:B853,B853,$D$5:D853,"Feature Use")=1),1,0)</f>
        <v>0</v>
      </c>
    </row>
    <row r="854" customFormat="false" ht="15" hidden="false" customHeight="false" outlineLevel="0" collapsed="false">
      <c r="A854" s="22" t="s">
        <v>1161</v>
      </c>
      <c r="B854" s="22" t="s">
        <v>234</v>
      </c>
      <c r="C854" s="31" t="n">
        <v>46293</v>
      </c>
      <c r="D854" s="22" t="s">
        <v>300</v>
      </c>
      <c r="E854" s="22" t="s">
        <v>301</v>
      </c>
      <c r="F854" s="29" t="str">
        <f aca="false">IF(COUNTIF(Referral_Data!$C$5:$C$1000,B854)&gt;0,"Referred",IF(COUNTIF(Referral_Data!$B$5:$B$1000,B854)&gt;0,"Referrer","Organic"))</f>
        <v>Referred</v>
      </c>
      <c r="G854" s="29" t="n">
        <f aca="false">IF(COUNTIFS($B$5:B854,B854,$C$5:C854,C854)=1,1,0)</f>
        <v>0</v>
      </c>
      <c r="H854" s="29" t="n">
        <f aca="false">IF(AND(G854=1,COUNTIFS($B$5:$B$1635,B854,$C$5:$C$1635,"&lt;"&amp;C854)&gt;0),1,0)</f>
        <v>0</v>
      </c>
      <c r="I854" s="29" t="n">
        <f aca="false">IF(AND(D854="Feature Use",COUNTIFS($B$5:B854,B854,$D$5:D854,"Feature Use",$E$5:E854,E854)=1),1,0)</f>
        <v>0</v>
      </c>
      <c r="J854" s="29" t="n">
        <f aca="false">IF(AND(D854="Feature Use",COUNTIFS($B$5:B854,B854,$D$5:D854,"Feature Use",$E$5:E854,E854)=2),1,0)</f>
        <v>0</v>
      </c>
      <c r="K854" s="29" t="n">
        <f aca="false">IF(COUNTIF($B$5:B854,B854)=1,1,0)</f>
        <v>0</v>
      </c>
      <c r="L854" s="29" t="n">
        <f aca="false">IF(AND(C854&gt;=Settings!$B$5-Settings!$B$8+1,C854&lt;=Settings!$B$5,COUNTIFS($B$5:B854,B854,$C$5:C854,"&gt;="&amp;(Settings!$B$5-Settings!$B$8+1),$C$5:C854,"&lt;="&amp;Settings!$B$5)=1),1,0)</f>
        <v>0</v>
      </c>
      <c r="M854" s="29" t="n">
        <f aca="false">IF(AND(C854&gt;=Settings!$B$5-Settings!$B$9+1,C854&lt;=Settings!$B$5,COUNTIFS($B$5:B854,B854,$C$5:C854,"&gt;="&amp;(Settings!$B$5-Settings!$B$9+1),$C$5:C854,"&lt;="&amp;Settings!$B$5)=1),1,0)</f>
        <v>0</v>
      </c>
      <c r="N854" s="29" t="n">
        <f aca="false">IF(AND(D854="Feature Use",COUNTIFS($B$5:B854,B854,$D$5:D854,"Feature Use")=1),1,0)</f>
        <v>0</v>
      </c>
    </row>
    <row r="855" customFormat="false" ht="15" hidden="false" customHeight="false" outlineLevel="0" collapsed="false">
      <c r="A855" s="22" t="s">
        <v>1162</v>
      </c>
      <c r="B855" s="22" t="s">
        <v>234</v>
      </c>
      <c r="C855" s="31" t="n">
        <v>46293</v>
      </c>
      <c r="D855" s="22" t="s">
        <v>308</v>
      </c>
      <c r="E855" s="22" t="s">
        <v>309</v>
      </c>
      <c r="F855" s="29" t="str">
        <f aca="false">IF(COUNTIF(Referral_Data!$C$5:$C$1000,B855)&gt;0,"Referred",IF(COUNTIF(Referral_Data!$B$5:$B$1000,B855)&gt;0,"Referrer","Organic"))</f>
        <v>Referred</v>
      </c>
      <c r="G855" s="29" t="n">
        <f aca="false">IF(COUNTIFS($B$5:B855,B855,$C$5:C855,C855)=1,1,0)</f>
        <v>0</v>
      </c>
      <c r="H855" s="29" t="n">
        <f aca="false">IF(AND(G855=1,COUNTIFS($B$5:$B$1635,B855,$C$5:$C$1635,"&lt;"&amp;C855)&gt;0),1,0)</f>
        <v>0</v>
      </c>
      <c r="I855" s="29" t="n">
        <f aca="false">IF(AND(D855="Feature Use",COUNTIFS($B$5:B855,B855,$D$5:D855,"Feature Use",$E$5:E855,E855)=1),1,0)</f>
        <v>0</v>
      </c>
      <c r="J855" s="29" t="n">
        <f aca="false">IF(AND(D855="Feature Use",COUNTIFS($B$5:B855,B855,$D$5:D855,"Feature Use",$E$5:E855,E855)=2),1,0)</f>
        <v>0</v>
      </c>
      <c r="K855" s="29" t="n">
        <f aca="false">IF(COUNTIF($B$5:B855,B855)=1,1,0)</f>
        <v>0</v>
      </c>
      <c r="L855" s="29" t="n">
        <f aca="false">IF(AND(C855&gt;=Settings!$B$5-Settings!$B$8+1,C855&lt;=Settings!$B$5,COUNTIFS($B$5:B855,B855,$C$5:C855,"&gt;="&amp;(Settings!$B$5-Settings!$B$8+1),$C$5:C855,"&lt;="&amp;Settings!$B$5)=1),1,0)</f>
        <v>0</v>
      </c>
      <c r="M855" s="29" t="n">
        <f aca="false">IF(AND(C855&gt;=Settings!$B$5-Settings!$B$9+1,C855&lt;=Settings!$B$5,COUNTIFS($B$5:B855,B855,$C$5:C855,"&gt;="&amp;(Settings!$B$5-Settings!$B$9+1),$C$5:C855,"&lt;="&amp;Settings!$B$5)=1),1,0)</f>
        <v>0</v>
      </c>
      <c r="N855" s="29" t="n">
        <f aca="false">IF(AND(D855="Feature Use",COUNTIFS($B$5:B855,B855,$D$5:D855,"Feature Use")=1),1,0)</f>
        <v>0</v>
      </c>
    </row>
    <row r="856" customFormat="false" ht="15" hidden="false" customHeight="false" outlineLevel="0" collapsed="false">
      <c r="A856" s="22" t="s">
        <v>1163</v>
      </c>
      <c r="B856" s="22" t="s">
        <v>234</v>
      </c>
      <c r="C856" s="31" t="n">
        <v>46293</v>
      </c>
      <c r="D856" s="22" t="s">
        <v>308</v>
      </c>
      <c r="E856" s="22" t="s">
        <v>305</v>
      </c>
      <c r="F856" s="29" t="str">
        <f aca="false">IF(COUNTIF(Referral_Data!$C$5:$C$1000,B856)&gt;0,"Referred",IF(COUNTIF(Referral_Data!$B$5:$B$1000,B856)&gt;0,"Referrer","Organic"))</f>
        <v>Referred</v>
      </c>
      <c r="G856" s="29" t="n">
        <f aca="false">IF(COUNTIFS($B$5:B856,B856,$C$5:C856,C856)=1,1,0)</f>
        <v>0</v>
      </c>
      <c r="H856" s="29" t="n">
        <f aca="false">IF(AND(G856=1,COUNTIFS($B$5:$B$1635,B856,$C$5:$C$1635,"&lt;"&amp;C856)&gt;0),1,0)</f>
        <v>0</v>
      </c>
      <c r="I856" s="29" t="n">
        <f aca="false">IF(AND(D856="Feature Use",COUNTIFS($B$5:B856,B856,$D$5:D856,"Feature Use",$E$5:E856,E856)=1),1,0)</f>
        <v>0</v>
      </c>
      <c r="J856" s="29" t="n">
        <f aca="false">IF(AND(D856="Feature Use",COUNTIFS($B$5:B856,B856,$D$5:D856,"Feature Use",$E$5:E856,E856)=2),1,0)</f>
        <v>0</v>
      </c>
      <c r="K856" s="29" t="n">
        <f aca="false">IF(COUNTIF($B$5:B856,B856)=1,1,0)</f>
        <v>0</v>
      </c>
      <c r="L856" s="29" t="n">
        <f aca="false">IF(AND(C856&gt;=Settings!$B$5-Settings!$B$8+1,C856&lt;=Settings!$B$5,COUNTIFS($B$5:B856,B856,$C$5:C856,"&gt;="&amp;(Settings!$B$5-Settings!$B$8+1),$C$5:C856,"&lt;="&amp;Settings!$B$5)=1),1,0)</f>
        <v>0</v>
      </c>
      <c r="M856" s="29" t="n">
        <f aca="false">IF(AND(C856&gt;=Settings!$B$5-Settings!$B$9+1,C856&lt;=Settings!$B$5,COUNTIFS($B$5:B856,B856,$C$5:C856,"&gt;="&amp;(Settings!$B$5-Settings!$B$9+1),$C$5:C856,"&lt;="&amp;Settings!$B$5)=1),1,0)</f>
        <v>0</v>
      </c>
      <c r="N856" s="29" t="n">
        <f aca="false">IF(AND(D856="Feature Use",COUNTIFS($B$5:B856,B856,$D$5:D856,"Feature Use")=1),1,0)</f>
        <v>0</v>
      </c>
    </row>
    <row r="857" customFormat="false" ht="15" hidden="false" customHeight="false" outlineLevel="0" collapsed="false">
      <c r="A857" s="22" t="s">
        <v>1164</v>
      </c>
      <c r="B857" s="22" t="s">
        <v>241</v>
      </c>
      <c r="C857" s="31" t="n">
        <v>46293</v>
      </c>
      <c r="D857" s="22" t="s">
        <v>297</v>
      </c>
      <c r="E857" s="22" t="s">
        <v>298</v>
      </c>
      <c r="F857" s="29" t="str">
        <f aca="false">IF(COUNTIF(Referral_Data!$C$5:$C$1000,B857)&gt;0,"Referred",IF(COUNTIF(Referral_Data!$B$5:$B$1000,B857)&gt;0,"Referrer","Organic"))</f>
        <v>Referred</v>
      </c>
      <c r="G857" s="29" t="n">
        <f aca="false">IF(COUNTIFS($B$5:B857,B857,$C$5:C857,C857)=1,1,0)</f>
        <v>1</v>
      </c>
      <c r="H857" s="29" t="n">
        <f aca="false">IF(AND(G857=1,COUNTIFS($B$5:$B$1635,B857,$C$5:$C$1635,"&lt;"&amp;C857)&gt;0),1,0)</f>
        <v>1</v>
      </c>
      <c r="I857" s="29" t="n">
        <f aca="false">IF(AND(D857="Feature Use",COUNTIFS($B$5:B857,B857,$D$5:D857,"Feature Use",$E$5:E857,E857)=1),1,0)</f>
        <v>0</v>
      </c>
      <c r="J857" s="29" t="n">
        <f aca="false">IF(AND(D857="Feature Use",COUNTIFS($B$5:B857,B857,$D$5:D857,"Feature Use",$E$5:E857,E857)=2),1,0)</f>
        <v>0</v>
      </c>
      <c r="K857" s="29" t="n">
        <f aca="false">IF(COUNTIF($B$5:B857,B857)=1,1,0)</f>
        <v>0</v>
      </c>
      <c r="L857" s="29" t="n">
        <f aca="false">IF(AND(C857&gt;=Settings!$B$5-Settings!$B$8+1,C857&lt;=Settings!$B$5,COUNTIFS($B$5:B857,B857,$C$5:C857,"&gt;="&amp;(Settings!$B$5-Settings!$B$8+1),$C$5:C857,"&lt;="&amp;Settings!$B$5)=1),1,0)</f>
        <v>0</v>
      </c>
      <c r="M857" s="29" t="n">
        <f aca="false">IF(AND(C857&gt;=Settings!$B$5-Settings!$B$9+1,C857&lt;=Settings!$B$5,COUNTIFS($B$5:B857,B857,$C$5:C857,"&gt;="&amp;(Settings!$B$5-Settings!$B$9+1),$C$5:C857,"&lt;="&amp;Settings!$B$5)=1),1,0)</f>
        <v>0</v>
      </c>
      <c r="N857" s="29" t="n">
        <f aca="false">IF(AND(D857="Feature Use",COUNTIFS($B$5:B857,B857,$D$5:D857,"Feature Use")=1),1,0)</f>
        <v>0</v>
      </c>
    </row>
    <row r="858" customFormat="false" ht="15" hidden="false" customHeight="false" outlineLevel="0" collapsed="false">
      <c r="A858" s="22" t="s">
        <v>1165</v>
      </c>
      <c r="B858" s="22" t="s">
        <v>241</v>
      </c>
      <c r="C858" s="31" t="n">
        <v>46293</v>
      </c>
      <c r="D858" s="22" t="s">
        <v>300</v>
      </c>
      <c r="E858" s="22" t="s">
        <v>305</v>
      </c>
      <c r="F858" s="29" t="str">
        <f aca="false">IF(COUNTIF(Referral_Data!$C$5:$C$1000,B858)&gt;0,"Referred",IF(COUNTIF(Referral_Data!$B$5:$B$1000,B858)&gt;0,"Referrer","Organic"))</f>
        <v>Referred</v>
      </c>
      <c r="G858" s="29" t="n">
        <f aca="false">IF(COUNTIFS($B$5:B858,B858,$C$5:C858,C858)=1,1,0)</f>
        <v>0</v>
      </c>
      <c r="H858" s="29" t="n">
        <f aca="false">IF(AND(G858=1,COUNTIFS($B$5:$B$1635,B858,$C$5:$C$1635,"&lt;"&amp;C858)&gt;0),1,0)</f>
        <v>0</v>
      </c>
      <c r="I858" s="29" t="n">
        <f aca="false">IF(AND(D858="Feature Use",COUNTIFS($B$5:B858,B858,$D$5:D858,"Feature Use",$E$5:E858,E858)=1),1,0)</f>
        <v>0</v>
      </c>
      <c r="J858" s="29" t="n">
        <f aca="false">IF(AND(D858="Feature Use",COUNTIFS($B$5:B858,B858,$D$5:D858,"Feature Use",$E$5:E858,E858)=2),1,0)</f>
        <v>1</v>
      </c>
      <c r="K858" s="29" t="n">
        <f aca="false">IF(COUNTIF($B$5:B858,B858)=1,1,0)</f>
        <v>0</v>
      </c>
      <c r="L858" s="29" t="n">
        <f aca="false">IF(AND(C858&gt;=Settings!$B$5-Settings!$B$8+1,C858&lt;=Settings!$B$5,COUNTIFS($B$5:B858,B858,$C$5:C858,"&gt;="&amp;(Settings!$B$5-Settings!$B$8+1),$C$5:C858,"&lt;="&amp;Settings!$B$5)=1),1,0)</f>
        <v>0</v>
      </c>
      <c r="M858" s="29" t="n">
        <f aca="false">IF(AND(C858&gt;=Settings!$B$5-Settings!$B$9+1,C858&lt;=Settings!$B$5,COUNTIFS($B$5:B858,B858,$C$5:C858,"&gt;="&amp;(Settings!$B$5-Settings!$B$9+1),$C$5:C858,"&lt;="&amp;Settings!$B$5)=1),1,0)</f>
        <v>0</v>
      </c>
      <c r="N858" s="29" t="n">
        <f aca="false">IF(AND(D858="Feature Use",COUNTIFS($B$5:B858,B858,$D$5:D858,"Feature Use")=1),1,0)</f>
        <v>0</v>
      </c>
    </row>
    <row r="859" customFormat="false" ht="15" hidden="false" customHeight="false" outlineLevel="0" collapsed="false">
      <c r="A859" s="22" t="s">
        <v>1166</v>
      </c>
      <c r="B859" s="22" t="s">
        <v>241</v>
      </c>
      <c r="C859" s="31" t="n">
        <v>46293</v>
      </c>
      <c r="D859" s="22" t="s">
        <v>300</v>
      </c>
      <c r="E859" s="22" t="s">
        <v>305</v>
      </c>
      <c r="F859" s="29" t="str">
        <f aca="false">IF(COUNTIF(Referral_Data!$C$5:$C$1000,B859)&gt;0,"Referred",IF(COUNTIF(Referral_Data!$B$5:$B$1000,B859)&gt;0,"Referrer","Organic"))</f>
        <v>Referred</v>
      </c>
      <c r="G859" s="29" t="n">
        <f aca="false">IF(COUNTIFS($B$5:B859,B859,$C$5:C859,C859)=1,1,0)</f>
        <v>0</v>
      </c>
      <c r="H859" s="29" t="n">
        <f aca="false">IF(AND(G859=1,COUNTIFS($B$5:$B$1635,B859,$C$5:$C$1635,"&lt;"&amp;C859)&gt;0),1,0)</f>
        <v>0</v>
      </c>
      <c r="I859" s="29" t="n">
        <f aca="false">IF(AND(D859="Feature Use",COUNTIFS($B$5:B859,B859,$D$5:D859,"Feature Use",$E$5:E859,E859)=1),1,0)</f>
        <v>0</v>
      </c>
      <c r="J859" s="29" t="n">
        <f aca="false">IF(AND(D859="Feature Use",COUNTIFS($B$5:B859,B859,$D$5:D859,"Feature Use",$E$5:E859,E859)=2),1,0)</f>
        <v>0</v>
      </c>
      <c r="K859" s="29" t="n">
        <f aca="false">IF(COUNTIF($B$5:B859,B859)=1,1,0)</f>
        <v>0</v>
      </c>
      <c r="L859" s="29" t="n">
        <f aca="false">IF(AND(C859&gt;=Settings!$B$5-Settings!$B$8+1,C859&lt;=Settings!$B$5,COUNTIFS($B$5:B859,B859,$C$5:C859,"&gt;="&amp;(Settings!$B$5-Settings!$B$8+1),$C$5:C859,"&lt;="&amp;Settings!$B$5)=1),1,0)</f>
        <v>0</v>
      </c>
      <c r="M859" s="29" t="n">
        <f aca="false">IF(AND(C859&gt;=Settings!$B$5-Settings!$B$9+1,C859&lt;=Settings!$B$5,COUNTIFS($B$5:B859,B859,$C$5:C859,"&gt;="&amp;(Settings!$B$5-Settings!$B$9+1),$C$5:C859,"&lt;="&amp;Settings!$B$5)=1),1,0)</f>
        <v>0</v>
      </c>
      <c r="N859" s="29" t="n">
        <f aca="false">IF(AND(D859="Feature Use",COUNTIFS($B$5:B859,B859,$D$5:D859,"Feature Use")=1),1,0)</f>
        <v>0</v>
      </c>
    </row>
    <row r="860" customFormat="false" ht="15" hidden="false" customHeight="false" outlineLevel="0" collapsed="false">
      <c r="A860" s="22" t="s">
        <v>1167</v>
      </c>
      <c r="B860" s="22" t="s">
        <v>269</v>
      </c>
      <c r="C860" s="31" t="n">
        <v>46293</v>
      </c>
      <c r="D860" s="22" t="s">
        <v>297</v>
      </c>
      <c r="E860" s="22" t="s">
        <v>298</v>
      </c>
      <c r="F860" s="29" t="str">
        <f aca="false">IF(COUNTIF(Referral_Data!$C$5:$C$1000,B860)&gt;0,"Referred",IF(COUNTIF(Referral_Data!$B$5:$B$1000,B860)&gt;0,"Referrer","Organic"))</f>
        <v>Referred</v>
      </c>
      <c r="G860" s="29" t="n">
        <f aca="false">IF(COUNTIFS($B$5:B860,B860,$C$5:C860,C860)=1,1,0)</f>
        <v>1</v>
      </c>
      <c r="H860" s="29" t="n">
        <f aca="false">IF(AND(G860=1,COUNTIFS($B$5:$B$1635,B860,$C$5:$C$1635,"&lt;"&amp;C860)&gt;0),1,0)</f>
        <v>1</v>
      </c>
      <c r="I860" s="29" t="n">
        <f aca="false">IF(AND(D860="Feature Use",COUNTIFS($B$5:B860,B860,$D$5:D860,"Feature Use",$E$5:E860,E860)=1),1,0)</f>
        <v>0</v>
      </c>
      <c r="J860" s="29" t="n">
        <f aca="false">IF(AND(D860="Feature Use",COUNTIFS($B$5:B860,B860,$D$5:D860,"Feature Use",$E$5:E860,E860)=2),1,0)</f>
        <v>0</v>
      </c>
      <c r="K860" s="29" t="n">
        <f aca="false">IF(COUNTIF($B$5:B860,B860)=1,1,0)</f>
        <v>0</v>
      </c>
      <c r="L860" s="29" t="n">
        <f aca="false">IF(AND(C860&gt;=Settings!$B$5-Settings!$B$8+1,C860&lt;=Settings!$B$5,COUNTIFS($B$5:B860,B860,$C$5:C860,"&gt;="&amp;(Settings!$B$5-Settings!$B$8+1),$C$5:C860,"&lt;="&amp;Settings!$B$5)=1),1,0)</f>
        <v>0</v>
      </c>
      <c r="M860" s="29" t="n">
        <f aca="false">IF(AND(C860&gt;=Settings!$B$5-Settings!$B$9+1,C860&lt;=Settings!$B$5,COUNTIFS($B$5:B860,B860,$C$5:C860,"&gt;="&amp;(Settings!$B$5-Settings!$B$9+1),$C$5:C860,"&lt;="&amp;Settings!$B$5)=1),1,0)</f>
        <v>0</v>
      </c>
      <c r="N860" s="29" t="n">
        <f aca="false">IF(AND(D860="Feature Use",COUNTIFS($B$5:B860,B860,$D$5:D860,"Feature Use")=1),1,0)</f>
        <v>0</v>
      </c>
    </row>
    <row r="861" customFormat="false" ht="15" hidden="false" customHeight="false" outlineLevel="0" collapsed="false">
      <c r="A861" s="22" t="s">
        <v>1168</v>
      </c>
      <c r="B861" s="22" t="s">
        <v>269</v>
      </c>
      <c r="C861" s="31" t="n">
        <v>46293</v>
      </c>
      <c r="D861" s="22" t="s">
        <v>300</v>
      </c>
      <c r="E861" s="22" t="s">
        <v>301</v>
      </c>
      <c r="F861" s="29" t="str">
        <f aca="false">IF(COUNTIF(Referral_Data!$C$5:$C$1000,B861)&gt;0,"Referred",IF(COUNTIF(Referral_Data!$B$5:$B$1000,B861)&gt;0,"Referrer","Organic"))</f>
        <v>Referred</v>
      </c>
      <c r="G861" s="29" t="n">
        <f aca="false">IF(COUNTIFS($B$5:B861,B861,$C$5:C861,C861)=1,1,0)</f>
        <v>0</v>
      </c>
      <c r="H861" s="29" t="n">
        <f aca="false">IF(AND(G861=1,COUNTIFS($B$5:$B$1635,B861,$C$5:$C$1635,"&lt;"&amp;C861)&gt;0),1,0)</f>
        <v>0</v>
      </c>
      <c r="I861" s="29" t="n">
        <f aca="false">IF(AND(D861="Feature Use",COUNTIFS($B$5:B861,B861,$D$5:D861,"Feature Use",$E$5:E861,E861)=1),1,0)</f>
        <v>0</v>
      </c>
      <c r="J861" s="29" t="n">
        <f aca="false">IF(AND(D861="Feature Use",COUNTIFS($B$5:B861,B861,$D$5:D861,"Feature Use",$E$5:E861,E861)=2),1,0)</f>
        <v>1</v>
      </c>
      <c r="K861" s="29" t="n">
        <f aca="false">IF(COUNTIF($B$5:B861,B861)=1,1,0)</f>
        <v>0</v>
      </c>
      <c r="L861" s="29" t="n">
        <f aca="false">IF(AND(C861&gt;=Settings!$B$5-Settings!$B$8+1,C861&lt;=Settings!$B$5,COUNTIFS($B$5:B861,B861,$C$5:C861,"&gt;="&amp;(Settings!$B$5-Settings!$B$8+1),$C$5:C861,"&lt;="&amp;Settings!$B$5)=1),1,0)</f>
        <v>0</v>
      </c>
      <c r="M861" s="29" t="n">
        <f aca="false">IF(AND(C861&gt;=Settings!$B$5-Settings!$B$9+1,C861&lt;=Settings!$B$5,COUNTIFS($B$5:B861,B861,$C$5:C861,"&gt;="&amp;(Settings!$B$5-Settings!$B$9+1),$C$5:C861,"&lt;="&amp;Settings!$B$5)=1),1,0)</f>
        <v>0</v>
      </c>
      <c r="N861" s="29" t="n">
        <f aca="false">IF(AND(D861="Feature Use",COUNTIFS($B$5:B861,B861,$D$5:D861,"Feature Use")=1),1,0)</f>
        <v>0</v>
      </c>
    </row>
    <row r="862" customFormat="false" ht="15" hidden="false" customHeight="false" outlineLevel="0" collapsed="false">
      <c r="A862" s="22" t="s">
        <v>1169</v>
      </c>
      <c r="B862" s="22" t="s">
        <v>269</v>
      </c>
      <c r="C862" s="31" t="n">
        <v>46293</v>
      </c>
      <c r="D862" s="22" t="s">
        <v>308</v>
      </c>
      <c r="E862" s="22" t="s">
        <v>305</v>
      </c>
      <c r="F862" s="29" t="str">
        <f aca="false">IF(COUNTIF(Referral_Data!$C$5:$C$1000,B862)&gt;0,"Referred",IF(COUNTIF(Referral_Data!$B$5:$B$1000,B862)&gt;0,"Referrer","Organic"))</f>
        <v>Referred</v>
      </c>
      <c r="G862" s="29" t="n">
        <f aca="false">IF(COUNTIFS($B$5:B862,B862,$C$5:C862,C862)=1,1,0)</f>
        <v>0</v>
      </c>
      <c r="H862" s="29" t="n">
        <f aca="false">IF(AND(G862=1,COUNTIFS($B$5:$B$1635,B862,$C$5:$C$1635,"&lt;"&amp;C862)&gt;0),1,0)</f>
        <v>0</v>
      </c>
      <c r="I862" s="29" t="n">
        <f aca="false">IF(AND(D862="Feature Use",COUNTIFS($B$5:B862,B862,$D$5:D862,"Feature Use",$E$5:E862,E862)=1),1,0)</f>
        <v>0</v>
      </c>
      <c r="J862" s="29" t="n">
        <f aca="false">IF(AND(D862="Feature Use",COUNTIFS($B$5:B862,B862,$D$5:D862,"Feature Use",$E$5:E862,E862)=2),1,0)</f>
        <v>0</v>
      </c>
      <c r="K862" s="29" t="n">
        <f aca="false">IF(COUNTIF($B$5:B862,B862)=1,1,0)</f>
        <v>0</v>
      </c>
      <c r="L862" s="29" t="n">
        <f aca="false">IF(AND(C862&gt;=Settings!$B$5-Settings!$B$8+1,C862&lt;=Settings!$B$5,COUNTIFS($B$5:B862,B862,$C$5:C862,"&gt;="&amp;(Settings!$B$5-Settings!$B$8+1),$C$5:C862,"&lt;="&amp;Settings!$B$5)=1),1,0)</f>
        <v>0</v>
      </c>
      <c r="M862" s="29" t="n">
        <f aca="false">IF(AND(C862&gt;=Settings!$B$5-Settings!$B$9+1,C862&lt;=Settings!$B$5,COUNTIFS($B$5:B862,B862,$C$5:C862,"&gt;="&amp;(Settings!$B$5-Settings!$B$9+1),$C$5:C862,"&lt;="&amp;Settings!$B$5)=1),1,0)</f>
        <v>0</v>
      </c>
      <c r="N862" s="29" t="n">
        <f aca="false">IF(AND(D862="Feature Use",COUNTIFS($B$5:B862,B862,$D$5:D862,"Feature Use")=1),1,0)</f>
        <v>0</v>
      </c>
    </row>
    <row r="863" customFormat="false" ht="15" hidden="false" customHeight="false" outlineLevel="0" collapsed="false">
      <c r="A863" s="22" t="s">
        <v>1170</v>
      </c>
      <c r="B863" s="22" t="s">
        <v>167</v>
      </c>
      <c r="C863" s="31" t="n">
        <v>46293</v>
      </c>
      <c r="D863" s="22" t="s">
        <v>297</v>
      </c>
      <c r="E863" s="22" t="s">
        <v>298</v>
      </c>
      <c r="F863" s="29" t="str">
        <f aca="false">IF(COUNTIF(Referral_Data!$C$5:$C$1000,B863)&gt;0,"Referred",IF(COUNTIF(Referral_Data!$B$5:$B$1000,B863)&gt;0,"Referrer","Organic"))</f>
        <v>Referrer</v>
      </c>
      <c r="G863" s="29" t="n">
        <f aca="false">IF(COUNTIFS($B$5:B863,B863,$C$5:C863,C863)=1,1,0)</f>
        <v>1</v>
      </c>
      <c r="H863" s="29" t="n">
        <f aca="false">IF(AND(G863=1,COUNTIFS($B$5:$B$1635,B863,$C$5:$C$1635,"&lt;"&amp;C863)&gt;0),1,0)</f>
        <v>1</v>
      </c>
      <c r="I863" s="29" t="n">
        <f aca="false">IF(AND(D863="Feature Use",COUNTIFS($B$5:B863,B863,$D$5:D863,"Feature Use",$E$5:E863,E863)=1),1,0)</f>
        <v>0</v>
      </c>
      <c r="J863" s="29" t="n">
        <f aca="false">IF(AND(D863="Feature Use",COUNTIFS($B$5:B863,B863,$D$5:D863,"Feature Use",$E$5:E863,E863)=2),1,0)</f>
        <v>0</v>
      </c>
      <c r="K863" s="29" t="n">
        <f aca="false">IF(COUNTIF($B$5:B863,B863)=1,1,0)</f>
        <v>0</v>
      </c>
      <c r="L863" s="29" t="n">
        <f aca="false">IF(AND(C863&gt;=Settings!$B$5-Settings!$B$8+1,C863&lt;=Settings!$B$5,COUNTIFS($B$5:B863,B863,$C$5:C863,"&gt;="&amp;(Settings!$B$5-Settings!$B$8+1),$C$5:C863,"&lt;="&amp;Settings!$B$5)=1),1,0)</f>
        <v>0</v>
      </c>
      <c r="M863" s="29" t="n">
        <f aca="false">IF(AND(C863&gt;=Settings!$B$5-Settings!$B$9+1,C863&lt;=Settings!$B$5,COUNTIFS($B$5:B863,B863,$C$5:C863,"&gt;="&amp;(Settings!$B$5-Settings!$B$9+1),$C$5:C863,"&lt;="&amp;Settings!$B$5)=1),1,0)</f>
        <v>0</v>
      </c>
      <c r="N863" s="29" t="n">
        <f aca="false">IF(AND(D863="Feature Use",COUNTIFS($B$5:B863,B863,$D$5:D863,"Feature Use")=1),1,0)</f>
        <v>0</v>
      </c>
    </row>
    <row r="864" customFormat="false" ht="15" hidden="false" customHeight="false" outlineLevel="0" collapsed="false">
      <c r="A864" s="22" t="s">
        <v>1171</v>
      </c>
      <c r="B864" s="22" t="s">
        <v>167</v>
      </c>
      <c r="C864" s="31" t="n">
        <v>46293</v>
      </c>
      <c r="D864" s="22" t="s">
        <v>300</v>
      </c>
      <c r="E864" s="22" t="s">
        <v>301</v>
      </c>
      <c r="F864" s="29" t="str">
        <f aca="false">IF(COUNTIF(Referral_Data!$C$5:$C$1000,B864)&gt;0,"Referred",IF(COUNTIF(Referral_Data!$B$5:$B$1000,B864)&gt;0,"Referrer","Organic"))</f>
        <v>Referrer</v>
      </c>
      <c r="G864" s="29" t="n">
        <f aca="false">IF(COUNTIFS($B$5:B864,B864,$C$5:C864,C864)=1,1,0)</f>
        <v>0</v>
      </c>
      <c r="H864" s="29" t="n">
        <f aca="false">IF(AND(G864=1,COUNTIFS($B$5:$B$1635,B864,$C$5:$C$1635,"&lt;"&amp;C864)&gt;0),1,0)</f>
        <v>0</v>
      </c>
      <c r="I864" s="29" t="n">
        <f aca="false">IF(AND(D864="Feature Use",COUNTIFS($B$5:B864,B864,$D$5:D864,"Feature Use",$E$5:E864,E864)=1),1,0)</f>
        <v>0</v>
      </c>
      <c r="J864" s="29" t="n">
        <f aca="false">IF(AND(D864="Feature Use",COUNTIFS($B$5:B864,B864,$D$5:D864,"Feature Use",$E$5:E864,E864)=2),1,0)</f>
        <v>0</v>
      </c>
      <c r="K864" s="29" t="n">
        <f aca="false">IF(COUNTIF($B$5:B864,B864)=1,1,0)</f>
        <v>0</v>
      </c>
      <c r="L864" s="29" t="n">
        <f aca="false">IF(AND(C864&gt;=Settings!$B$5-Settings!$B$8+1,C864&lt;=Settings!$B$5,COUNTIFS($B$5:B864,B864,$C$5:C864,"&gt;="&amp;(Settings!$B$5-Settings!$B$8+1),$C$5:C864,"&lt;="&amp;Settings!$B$5)=1),1,0)</f>
        <v>0</v>
      </c>
      <c r="M864" s="29" t="n">
        <f aca="false">IF(AND(C864&gt;=Settings!$B$5-Settings!$B$9+1,C864&lt;=Settings!$B$5,COUNTIFS($B$5:B864,B864,$C$5:C864,"&gt;="&amp;(Settings!$B$5-Settings!$B$9+1),$C$5:C864,"&lt;="&amp;Settings!$B$5)=1),1,0)</f>
        <v>0</v>
      </c>
      <c r="N864" s="29" t="n">
        <f aca="false">IF(AND(D864="Feature Use",COUNTIFS($B$5:B864,B864,$D$5:D864,"Feature Use")=1),1,0)</f>
        <v>0</v>
      </c>
    </row>
    <row r="865" customFormat="false" ht="15" hidden="false" customHeight="false" outlineLevel="0" collapsed="false">
      <c r="A865" s="22" t="s">
        <v>1172</v>
      </c>
      <c r="B865" s="22" t="s">
        <v>167</v>
      </c>
      <c r="C865" s="31" t="n">
        <v>46293</v>
      </c>
      <c r="D865" s="22" t="s">
        <v>300</v>
      </c>
      <c r="E865" s="22" t="s">
        <v>319</v>
      </c>
      <c r="F865" s="29" t="str">
        <f aca="false">IF(COUNTIF(Referral_Data!$C$5:$C$1000,B865)&gt;0,"Referred",IF(COUNTIF(Referral_Data!$B$5:$B$1000,B865)&gt;0,"Referrer","Organic"))</f>
        <v>Referrer</v>
      </c>
      <c r="G865" s="29" t="n">
        <f aca="false">IF(COUNTIFS($B$5:B865,B865,$C$5:C865,C865)=1,1,0)</f>
        <v>0</v>
      </c>
      <c r="H865" s="29" t="n">
        <f aca="false">IF(AND(G865=1,COUNTIFS($B$5:$B$1635,B865,$C$5:$C$1635,"&lt;"&amp;C865)&gt;0),1,0)</f>
        <v>0</v>
      </c>
      <c r="I865" s="29" t="n">
        <f aca="false">IF(AND(D865="Feature Use",COUNTIFS($B$5:B865,B865,$D$5:D865,"Feature Use",$E$5:E865,E865)=1),1,0)</f>
        <v>0</v>
      </c>
      <c r="J865" s="29" t="n">
        <f aca="false">IF(AND(D865="Feature Use",COUNTIFS($B$5:B865,B865,$D$5:D865,"Feature Use",$E$5:E865,E865)=2),1,0)</f>
        <v>0</v>
      </c>
      <c r="K865" s="29" t="n">
        <f aca="false">IF(COUNTIF($B$5:B865,B865)=1,1,0)</f>
        <v>0</v>
      </c>
      <c r="L865" s="29" t="n">
        <f aca="false">IF(AND(C865&gt;=Settings!$B$5-Settings!$B$8+1,C865&lt;=Settings!$B$5,COUNTIFS($B$5:B865,B865,$C$5:C865,"&gt;="&amp;(Settings!$B$5-Settings!$B$8+1),$C$5:C865,"&lt;="&amp;Settings!$B$5)=1),1,0)</f>
        <v>0</v>
      </c>
      <c r="M865" s="29" t="n">
        <f aca="false">IF(AND(C865&gt;=Settings!$B$5-Settings!$B$9+1,C865&lt;=Settings!$B$5,COUNTIFS($B$5:B865,B865,$C$5:C865,"&gt;="&amp;(Settings!$B$5-Settings!$B$9+1),$C$5:C865,"&lt;="&amp;Settings!$B$5)=1),1,0)</f>
        <v>0</v>
      </c>
      <c r="N865" s="29" t="n">
        <f aca="false">IF(AND(D865="Feature Use",COUNTIFS($B$5:B865,B865,$D$5:D865,"Feature Use")=1),1,0)</f>
        <v>0</v>
      </c>
    </row>
    <row r="866" customFormat="false" ht="15" hidden="false" customHeight="false" outlineLevel="0" collapsed="false">
      <c r="A866" s="22" t="s">
        <v>1173</v>
      </c>
      <c r="B866" s="22" t="s">
        <v>167</v>
      </c>
      <c r="C866" s="31" t="n">
        <v>46293</v>
      </c>
      <c r="D866" s="22" t="s">
        <v>308</v>
      </c>
      <c r="E866" s="22" t="s">
        <v>319</v>
      </c>
      <c r="F866" s="29" t="str">
        <f aca="false">IF(COUNTIF(Referral_Data!$C$5:$C$1000,B866)&gt;0,"Referred",IF(COUNTIF(Referral_Data!$B$5:$B$1000,B866)&gt;0,"Referrer","Organic"))</f>
        <v>Referrer</v>
      </c>
      <c r="G866" s="29" t="n">
        <f aca="false">IF(COUNTIFS($B$5:B866,B866,$C$5:C866,C866)=1,1,0)</f>
        <v>0</v>
      </c>
      <c r="H866" s="29" t="n">
        <f aca="false">IF(AND(G866=1,COUNTIFS($B$5:$B$1635,B866,$C$5:$C$1635,"&lt;"&amp;C866)&gt;0),1,0)</f>
        <v>0</v>
      </c>
      <c r="I866" s="29" t="n">
        <f aca="false">IF(AND(D866="Feature Use",COUNTIFS($B$5:B866,B866,$D$5:D866,"Feature Use",$E$5:E866,E866)=1),1,0)</f>
        <v>0</v>
      </c>
      <c r="J866" s="29" t="n">
        <f aca="false">IF(AND(D866="Feature Use",COUNTIFS($B$5:B866,B866,$D$5:D866,"Feature Use",$E$5:E866,E866)=2),1,0)</f>
        <v>0</v>
      </c>
      <c r="K866" s="29" t="n">
        <f aca="false">IF(COUNTIF($B$5:B866,B866)=1,1,0)</f>
        <v>0</v>
      </c>
      <c r="L866" s="29" t="n">
        <f aca="false">IF(AND(C866&gt;=Settings!$B$5-Settings!$B$8+1,C866&lt;=Settings!$B$5,COUNTIFS($B$5:B866,B866,$C$5:C866,"&gt;="&amp;(Settings!$B$5-Settings!$B$8+1),$C$5:C866,"&lt;="&amp;Settings!$B$5)=1),1,0)</f>
        <v>0</v>
      </c>
      <c r="M866" s="29" t="n">
        <f aca="false">IF(AND(C866&gt;=Settings!$B$5-Settings!$B$9+1,C866&lt;=Settings!$B$5,COUNTIFS($B$5:B866,B866,$C$5:C866,"&gt;="&amp;(Settings!$B$5-Settings!$B$9+1),$C$5:C866,"&lt;="&amp;Settings!$B$5)=1),1,0)</f>
        <v>0</v>
      </c>
      <c r="N866" s="29" t="n">
        <f aca="false">IF(AND(D866="Feature Use",COUNTIFS($B$5:B866,B866,$D$5:D866,"Feature Use")=1),1,0)</f>
        <v>0</v>
      </c>
    </row>
    <row r="867" customFormat="false" ht="15" hidden="false" customHeight="false" outlineLevel="0" collapsed="false">
      <c r="A867" s="22" t="s">
        <v>1174</v>
      </c>
      <c r="B867" s="22" t="s">
        <v>167</v>
      </c>
      <c r="C867" s="31" t="n">
        <v>46293</v>
      </c>
      <c r="D867" s="22" t="s">
        <v>308</v>
      </c>
      <c r="E867" s="22" t="s">
        <v>311</v>
      </c>
      <c r="F867" s="29" t="str">
        <f aca="false">IF(COUNTIF(Referral_Data!$C$5:$C$1000,B867)&gt;0,"Referred",IF(COUNTIF(Referral_Data!$B$5:$B$1000,B867)&gt;0,"Referrer","Organic"))</f>
        <v>Referrer</v>
      </c>
      <c r="G867" s="29" t="n">
        <f aca="false">IF(COUNTIFS($B$5:B867,B867,$C$5:C867,C867)=1,1,0)</f>
        <v>0</v>
      </c>
      <c r="H867" s="29" t="n">
        <f aca="false">IF(AND(G867=1,COUNTIFS($B$5:$B$1635,B867,$C$5:$C$1635,"&lt;"&amp;C867)&gt;0),1,0)</f>
        <v>0</v>
      </c>
      <c r="I867" s="29" t="n">
        <f aca="false">IF(AND(D867="Feature Use",COUNTIFS($B$5:B867,B867,$D$5:D867,"Feature Use",$E$5:E867,E867)=1),1,0)</f>
        <v>0</v>
      </c>
      <c r="J867" s="29" t="n">
        <f aca="false">IF(AND(D867="Feature Use",COUNTIFS($B$5:B867,B867,$D$5:D867,"Feature Use",$E$5:E867,E867)=2),1,0)</f>
        <v>0</v>
      </c>
      <c r="K867" s="29" t="n">
        <f aca="false">IF(COUNTIF($B$5:B867,B867)=1,1,0)</f>
        <v>0</v>
      </c>
      <c r="L867" s="29" t="n">
        <f aca="false">IF(AND(C867&gt;=Settings!$B$5-Settings!$B$8+1,C867&lt;=Settings!$B$5,COUNTIFS($B$5:B867,B867,$C$5:C867,"&gt;="&amp;(Settings!$B$5-Settings!$B$8+1),$C$5:C867,"&lt;="&amp;Settings!$B$5)=1),1,0)</f>
        <v>0</v>
      </c>
      <c r="M867" s="29" t="n">
        <f aca="false">IF(AND(C867&gt;=Settings!$B$5-Settings!$B$9+1,C867&lt;=Settings!$B$5,COUNTIFS($B$5:B867,B867,$C$5:C867,"&gt;="&amp;(Settings!$B$5-Settings!$B$9+1),$C$5:C867,"&lt;="&amp;Settings!$B$5)=1),1,0)</f>
        <v>0</v>
      </c>
      <c r="N867" s="29" t="n">
        <f aca="false">IF(AND(D867="Feature Use",COUNTIFS($B$5:B867,B867,$D$5:D867,"Feature Use")=1),1,0)</f>
        <v>0</v>
      </c>
    </row>
    <row r="868" customFormat="false" ht="15" hidden="false" customHeight="false" outlineLevel="0" collapsed="false">
      <c r="A868" s="22" t="s">
        <v>1175</v>
      </c>
      <c r="B868" s="22" t="s">
        <v>208</v>
      </c>
      <c r="C868" s="31" t="n">
        <v>46293</v>
      </c>
      <c r="D868" s="22" t="s">
        <v>297</v>
      </c>
      <c r="E868" s="22" t="s">
        <v>298</v>
      </c>
      <c r="F868" s="29" t="str">
        <f aca="false">IF(COUNTIF(Referral_Data!$C$5:$C$1000,B868)&gt;0,"Referred",IF(COUNTIF(Referral_Data!$B$5:$B$1000,B868)&gt;0,"Referrer","Organic"))</f>
        <v>Referrer</v>
      </c>
      <c r="G868" s="29" t="n">
        <f aca="false">IF(COUNTIFS($B$5:B868,B868,$C$5:C868,C868)=1,1,0)</f>
        <v>1</v>
      </c>
      <c r="H868" s="29" t="n">
        <f aca="false">IF(AND(G868=1,COUNTIFS($B$5:$B$1635,B868,$C$5:$C$1635,"&lt;"&amp;C868)&gt;0),1,0)</f>
        <v>1</v>
      </c>
      <c r="I868" s="29" t="n">
        <f aca="false">IF(AND(D868="Feature Use",COUNTIFS($B$5:B868,B868,$D$5:D868,"Feature Use",$E$5:E868,E868)=1),1,0)</f>
        <v>0</v>
      </c>
      <c r="J868" s="29" t="n">
        <f aca="false">IF(AND(D868="Feature Use",COUNTIFS($B$5:B868,B868,$D$5:D868,"Feature Use",$E$5:E868,E868)=2),1,0)</f>
        <v>0</v>
      </c>
      <c r="K868" s="29" t="n">
        <f aca="false">IF(COUNTIF($B$5:B868,B868)=1,1,0)</f>
        <v>0</v>
      </c>
      <c r="L868" s="29" t="n">
        <f aca="false">IF(AND(C868&gt;=Settings!$B$5-Settings!$B$8+1,C868&lt;=Settings!$B$5,COUNTIFS($B$5:B868,B868,$C$5:C868,"&gt;="&amp;(Settings!$B$5-Settings!$B$8+1),$C$5:C868,"&lt;="&amp;Settings!$B$5)=1),1,0)</f>
        <v>0</v>
      </c>
      <c r="M868" s="29" t="n">
        <f aca="false">IF(AND(C868&gt;=Settings!$B$5-Settings!$B$9+1,C868&lt;=Settings!$B$5,COUNTIFS($B$5:B868,B868,$C$5:C868,"&gt;="&amp;(Settings!$B$5-Settings!$B$9+1),$C$5:C868,"&lt;="&amp;Settings!$B$5)=1),1,0)</f>
        <v>0</v>
      </c>
      <c r="N868" s="29" t="n">
        <f aca="false">IF(AND(D868="Feature Use",COUNTIFS($B$5:B868,B868,$D$5:D868,"Feature Use")=1),1,0)</f>
        <v>0</v>
      </c>
    </row>
    <row r="869" customFormat="false" ht="15" hidden="false" customHeight="false" outlineLevel="0" collapsed="false">
      <c r="A869" s="22" t="s">
        <v>1176</v>
      </c>
      <c r="B869" s="22" t="s">
        <v>208</v>
      </c>
      <c r="C869" s="31" t="n">
        <v>46293</v>
      </c>
      <c r="D869" s="22" t="s">
        <v>300</v>
      </c>
      <c r="E869" s="22" t="s">
        <v>305</v>
      </c>
      <c r="F869" s="29" t="str">
        <f aca="false">IF(COUNTIF(Referral_Data!$C$5:$C$1000,B869)&gt;0,"Referred",IF(COUNTIF(Referral_Data!$B$5:$B$1000,B869)&gt;0,"Referrer","Organic"))</f>
        <v>Referrer</v>
      </c>
      <c r="G869" s="29" t="n">
        <f aca="false">IF(COUNTIFS($B$5:B869,B869,$C$5:C869,C869)=1,1,0)</f>
        <v>0</v>
      </c>
      <c r="H869" s="29" t="n">
        <f aca="false">IF(AND(G869=1,COUNTIFS($B$5:$B$1635,B869,$C$5:$C$1635,"&lt;"&amp;C869)&gt;0),1,0)</f>
        <v>0</v>
      </c>
      <c r="I869" s="29" t="n">
        <f aca="false">IF(AND(D869="Feature Use",COUNTIFS($B$5:B869,B869,$D$5:D869,"Feature Use",$E$5:E869,E869)=1),1,0)</f>
        <v>0</v>
      </c>
      <c r="J869" s="29" t="n">
        <f aca="false">IF(AND(D869="Feature Use",COUNTIFS($B$5:B869,B869,$D$5:D869,"Feature Use",$E$5:E869,E869)=2),1,0)</f>
        <v>0</v>
      </c>
      <c r="K869" s="29" t="n">
        <f aca="false">IF(COUNTIF($B$5:B869,B869)=1,1,0)</f>
        <v>0</v>
      </c>
      <c r="L869" s="29" t="n">
        <f aca="false">IF(AND(C869&gt;=Settings!$B$5-Settings!$B$8+1,C869&lt;=Settings!$B$5,COUNTIFS($B$5:B869,B869,$C$5:C869,"&gt;="&amp;(Settings!$B$5-Settings!$B$8+1),$C$5:C869,"&lt;="&amp;Settings!$B$5)=1),1,0)</f>
        <v>0</v>
      </c>
      <c r="M869" s="29" t="n">
        <f aca="false">IF(AND(C869&gt;=Settings!$B$5-Settings!$B$9+1,C869&lt;=Settings!$B$5,COUNTIFS($B$5:B869,B869,$C$5:C869,"&gt;="&amp;(Settings!$B$5-Settings!$B$9+1),$C$5:C869,"&lt;="&amp;Settings!$B$5)=1),1,0)</f>
        <v>0</v>
      </c>
      <c r="N869" s="29" t="n">
        <f aca="false">IF(AND(D869="Feature Use",COUNTIFS($B$5:B869,B869,$D$5:D869,"Feature Use")=1),1,0)</f>
        <v>0</v>
      </c>
    </row>
    <row r="870" customFormat="false" ht="15" hidden="false" customHeight="false" outlineLevel="0" collapsed="false">
      <c r="A870" s="22" t="s">
        <v>1177</v>
      </c>
      <c r="B870" s="22" t="s">
        <v>208</v>
      </c>
      <c r="C870" s="31" t="n">
        <v>46293</v>
      </c>
      <c r="D870" s="22" t="s">
        <v>300</v>
      </c>
      <c r="E870" s="22" t="s">
        <v>309</v>
      </c>
      <c r="F870" s="29" t="str">
        <f aca="false">IF(COUNTIF(Referral_Data!$C$5:$C$1000,B870)&gt;0,"Referred",IF(COUNTIF(Referral_Data!$B$5:$B$1000,B870)&gt;0,"Referrer","Organic"))</f>
        <v>Referrer</v>
      </c>
      <c r="G870" s="29" t="n">
        <f aca="false">IF(COUNTIFS($B$5:B870,B870,$C$5:C870,C870)=1,1,0)</f>
        <v>0</v>
      </c>
      <c r="H870" s="29" t="n">
        <f aca="false">IF(AND(G870=1,COUNTIFS($B$5:$B$1635,B870,$C$5:$C$1635,"&lt;"&amp;C870)&gt;0),1,0)</f>
        <v>0</v>
      </c>
      <c r="I870" s="29" t="n">
        <f aca="false">IF(AND(D870="Feature Use",COUNTIFS($B$5:B870,B870,$D$5:D870,"Feature Use",$E$5:E870,E870)=1),1,0)</f>
        <v>0</v>
      </c>
      <c r="J870" s="29" t="n">
        <f aca="false">IF(AND(D870="Feature Use",COUNTIFS($B$5:B870,B870,$D$5:D870,"Feature Use",$E$5:E870,E870)=2),1,0)</f>
        <v>0</v>
      </c>
      <c r="K870" s="29" t="n">
        <f aca="false">IF(COUNTIF($B$5:B870,B870)=1,1,0)</f>
        <v>0</v>
      </c>
      <c r="L870" s="29" t="n">
        <f aca="false">IF(AND(C870&gt;=Settings!$B$5-Settings!$B$8+1,C870&lt;=Settings!$B$5,COUNTIFS($B$5:B870,B870,$C$5:C870,"&gt;="&amp;(Settings!$B$5-Settings!$B$8+1),$C$5:C870,"&lt;="&amp;Settings!$B$5)=1),1,0)</f>
        <v>0</v>
      </c>
      <c r="M870" s="29" t="n">
        <f aca="false">IF(AND(C870&gt;=Settings!$B$5-Settings!$B$9+1,C870&lt;=Settings!$B$5,COUNTIFS($B$5:B870,B870,$C$5:C870,"&gt;="&amp;(Settings!$B$5-Settings!$B$9+1),$C$5:C870,"&lt;="&amp;Settings!$B$5)=1),1,0)</f>
        <v>0</v>
      </c>
      <c r="N870" s="29" t="n">
        <f aca="false">IF(AND(D870="Feature Use",COUNTIFS($B$5:B870,B870,$D$5:D870,"Feature Use")=1),1,0)</f>
        <v>0</v>
      </c>
    </row>
    <row r="871" customFormat="false" ht="15" hidden="false" customHeight="false" outlineLevel="0" collapsed="false">
      <c r="A871" s="22" t="s">
        <v>1178</v>
      </c>
      <c r="B871" s="22" t="s">
        <v>170</v>
      </c>
      <c r="C871" s="31" t="n">
        <v>46293</v>
      </c>
      <c r="D871" s="22" t="s">
        <v>297</v>
      </c>
      <c r="E871" s="22" t="s">
        <v>298</v>
      </c>
      <c r="F871" s="29" t="str">
        <f aca="false">IF(COUNTIF(Referral_Data!$C$5:$C$1000,B871)&gt;0,"Referred",IF(COUNTIF(Referral_Data!$B$5:$B$1000,B871)&gt;0,"Referrer","Organic"))</f>
        <v>Referrer</v>
      </c>
      <c r="G871" s="29" t="n">
        <f aca="false">IF(COUNTIFS($B$5:B871,B871,$C$5:C871,C871)=1,1,0)</f>
        <v>1</v>
      </c>
      <c r="H871" s="29" t="n">
        <f aca="false">IF(AND(G871=1,COUNTIFS($B$5:$B$1635,B871,$C$5:$C$1635,"&lt;"&amp;C871)&gt;0),1,0)</f>
        <v>1</v>
      </c>
      <c r="I871" s="29" t="n">
        <f aca="false">IF(AND(D871="Feature Use",COUNTIFS($B$5:B871,B871,$D$5:D871,"Feature Use",$E$5:E871,E871)=1),1,0)</f>
        <v>0</v>
      </c>
      <c r="J871" s="29" t="n">
        <f aca="false">IF(AND(D871="Feature Use",COUNTIFS($B$5:B871,B871,$D$5:D871,"Feature Use",$E$5:E871,E871)=2),1,0)</f>
        <v>0</v>
      </c>
      <c r="K871" s="29" t="n">
        <f aca="false">IF(COUNTIF($B$5:B871,B871)=1,1,0)</f>
        <v>0</v>
      </c>
      <c r="L871" s="29" t="n">
        <f aca="false">IF(AND(C871&gt;=Settings!$B$5-Settings!$B$8+1,C871&lt;=Settings!$B$5,COUNTIFS($B$5:B871,B871,$C$5:C871,"&gt;="&amp;(Settings!$B$5-Settings!$B$8+1),$C$5:C871,"&lt;="&amp;Settings!$B$5)=1),1,0)</f>
        <v>0</v>
      </c>
      <c r="M871" s="29" t="n">
        <f aca="false">IF(AND(C871&gt;=Settings!$B$5-Settings!$B$9+1,C871&lt;=Settings!$B$5,COUNTIFS($B$5:B871,B871,$C$5:C871,"&gt;="&amp;(Settings!$B$5-Settings!$B$9+1),$C$5:C871,"&lt;="&amp;Settings!$B$5)=1),1,0)</f>
        <v>0</v>
      </c>
      <c r="N871" s="29" t="n">
        <f aca="false">IF(AND(D871="Feature Use",COUNTIFS($B$5:B871,B871,$D$5:D871,"Feature Use")=1),1,0)</f>
        <v>0</v>
      </c>
    </row>
    <row r="872" customFormat="false" ht="15" hidden="false" customHeight="false" outlineLevel="0" collapsed="false">
      <c r="A872" s="22" t="s">
        <v>1179</v>
      </c>
      <c r="B872" s="22" t="s">
        <v>170</v>
      </c>
      <c r="C872" s="31" t="n">
        <v>46293</v>
      </c>
      <c r="D872" s="22" t="s">
        <v>300</v>
      </c>
      <c r="E872" s="22" t="s">
        <v>305</v>
      </c>
      <c r="F872" s="29" t="str">
        <f aca="false">IF(COUNTIF(Referral_Data!$C$5:$C$1000,B872)&gt;0,"Referred",IF(COUNTIF(Referral_Data!$B$5:$B$1000,B872)&gt;0,"Referrer","Organic"))</f>
        <v>Referrer</v>
      </c>
      <c r="G872" s="29" t="n">
        <f aca="false">IF(COUNTIFS($B$5:B872,B872,$C$5:C872,C872)=1,1,0)</f>
        <v>0</v>
      </c>
      <c r="H872" s="29" t="n">
        <f aca="false">IF(AND(G872=1,COUNTIFS($B$5:$B$1635,B872,$C$5:$C$1635,"&lt;"&amp;C872)&gt;0),1,0)</f>
        <v>0</v>
      </c>
      <c r="I872" s="29" t="n">
        <f aca="false">IF(AND(D872="Feature Use",COUNTIFS($B$5:B872,B872,$D$5:D872,"Feature Use",$E$5:E872,E872)=1),1,0)</f>
        <v>0</v>
      </c>
      <c r="J872" s="29" t="n">
        <f aca="false">IF(AND(D872="Feature Use",COUNTIFS($B$5:B872,B872,$D$5:D872,"Feature Use",$E$5:E872,E872)=2),1,0)</f>
        <v>1</v>
      </c>
      <c r="K872" s="29" t="n">
        <f aca="false">IF(COUNTIF($B$5:B872,B872)=1,1,0)</f>
        <v>0</v>
      </c>
      <c r="L872" s="29" t="n">
        <f aca="false">IF(AND(C872&gt;=Settings!$B$5-Settings!$B$8+1,C872&lt;=Settings!$B$5,COUNTIFS($B$5:B872,B872,$C$5:C872,"&gt;="&amp;(Settings!$B$5-Settings!$B$8+1),$C$5:C872,"&lt;="&amp;Settings!$B$5)=1),1,0)</f>
        <v>0</v>
      </c>
      <c r="M872" s="29" t="n">
        <f aca="false">IF(AND(C872&gt;=Settings!$B$5-Settings!$B$9+1,C872&lt;=Settings!$B$5,COUNTIFS($B$5:B872,B872,$C$5:C872,"&gt;="&amp;(Settings!$B$5-Settings!$B$9+1),$C$5:C872,"&lt;="&amp;Settings!$B$5)=1),1,0)</f>
        <v>0</v>
      </c>
      <c r="N872" s="29" t="n">
        <f aca="false">IF(AND(D872="Feature Use",COUNTIFS($B$5:B872,B872,$D$5:D872,"Feature Use")=1),1,0)</f>
        <v>0</v>
      </c>
    </row>
    <row r="873" customFormat="false" ht="15" hidden="false" customHeight="false" outlineLevel="0" collapsed="false">
      <c r="A873" s="22" t="s">
        <v>1180</v>
      </c>
      <c r="B873" s="22" t="s">
        <v>385</v>
      </c>
      <c r="C873" s="31" t="n">
        <v>46294</v>
      </c>
      <c r="D873" s="22" t="s">
        <v>297</v>
      </c>
      <c r="E873" s="22" t="s">
        <v>298</v>
      </c>
      <c r="F873" s="29" t="str">
        <f aca="false">IF(COUNTIF(Referral_Data!$C$5:$C$1000,B873)&gt;0,"Referred",IF(COUNTIF(Referral_Data!$B$5:$B$1000,B873)&gt;0,"Referrer","Organic"))</f>
        <v>Organic</v>
      </c>
      <c r="G873" s="29" t="n">
        <f aca="false">IF(COUNTIFS($B$5:B873,B873,$C$5:C873,C873)=1,1,0)</f>
        <v>1</v>
      </c>
      <c r="H873" s="29" t="n">
        <f aca="false">IF(AND(G873=1,COUNTIFS($B$5:$B$1635,B873,$C$5:$C$1635,"&lt;"&amp;C873)&gt;0),1,0)</f>
        <v>1</v>
      </c>
      <c r="I873" s="29" t="n">
        <f aca="false">IF(AND(D873="Feature Use",COUNTIFS($B$5:B873,B873,$D$5:D873,"Feature Use",$E$5:E873,E873)=1),1,0)</f>
        <v>0</v>
      </c>
      <c r="J873" s="29" t="n">
        <f aca="false">IF(AND(D873="Feature Use",COUNTIFS($B$5:B873,B873,$D$5:D873,"Feature Use",$E$5:E873,E873)=2),1,0)</f>
        <v>0</v>
      </c>
      <c r="K873" s="29" t="n">
        <f aca="false">IF(COUNTIF($B$5:B873,B873)=1,1,0)</f>
        <v>0</v>
      </c>
      <c r="L873" s="29" t="n">
        <f aca="false">IF(AND(C873&gt;=Settings!$B$5-Settings!$B$8+1,C873&lt;=Settings!$B$5,COUNTIFS($B$5:B873,B873,$C$5:C873,"&gt;="&amp;(Settings!$B$5-Settings!$B$8+1),$C$5:C873,"&lt;="&amp;Settings!$B$5)=1),1,0)</f>
        <v>0</v>
      </c>
      <c r="M873" s="29" t="n">
        <f aca="false">IF(AND(C873&gt;=Settings!$B$5-Settings!$B$9+1,C873&lt;=Settings!$B$5,COUNTIFS($B$5:B873,B873,$C$5:C873,"&gt;="&amp;(Settings!$B$5-Settings!$B$9+1),$C$5:C873,"&lt;="&amp;Settings!$B$5)=1),1,0)</f>
        <v>0</v>
      </c>
      <c r="N873" s="29" t="n">
        <f aca="false">IF(AND(D873="Feature Use",COUNTIFS($B$5:B873,B873,$D$5:D873,"Feature Use")=1),1,0)</f>
        <v>0</v>
      </c>
    </row>
    <row r="874" customFormat="false" ht="15" hidden="false" customHeight="false" outlineLevel="0" collapsed="false">
      <c r="A874" s="22" t="s">
        <v>1181</v>
      </c>
      <c r="B874" s="22" t="s">
        <v>385</v>
      </c>
      <c r="C874" s="31" t="n">
        <v>46294</v>
      </c>
      <c r="D874" s="22" t="s">
        <v>300</v>
      </c>
      <c r="E874" s="22" t="s">
        <v>305</v>
      </c>
      <c r="F874" s="29" t="str">
        <f aca="false">IF(COUNTIF(Referral_Data!$C$5:$C$1000,B874)&gt;0,"Referred",IF(COUNTIF(Referral_Data!$B$5:$B$1000,B874)&gt;0,"Referrer","Organic"))</f>
        <v>Organic</v>
      </c>
      <c r="G874" s="29" t="n">
        <f aca="false">IF(COUNTIFS($B$5:B874,B874,$C$5:C874,C874)=1,1,0)</f>
        <v>0</v>
      </c>
      <c r="H874" s="29" t="n">
        <f aca="false">IF(AND(G874=1,COUNTIFS($B$5:$B$1635,B874,$C$5:$C$1635,"&lt;"&amp;C874)&gt;0),1,0)</f>
        <v>0</v>
      </c>
      <c r="I874" s="29" t="n">
        <f aca="false">IF(AND(D874="Feature Use",COUNTIFS($B$5:B874,B874,$D$5:D874,"Feature Use",$E$5:E874,E874)=1),1,0)</f>
        <v>0</v>
      </c>
      <c r="J874" s="29" t="n">
        <f aca="false">IF(AND(D874="Feature Use",COUNTIFS($B$5:B874,B874,$D$5:D874,"Feature Use",$E$5:E874,E874)=2),1,0)</f>
        <v>0</v>
      </c>
      <c r="K874" s="29" t="n">
        <f aca="false">IF(COUNTIF($B$5:B874,B874)=1,1,0)</f>
        <v>0</v>
      </c>
      <c r="L874" s="29" t="n">
        <f aca="false">IF(AND(C874&gt;=Settings!$B$5-Settings!$B$8+1,C874&lt;=Settings!$B$5,COUNTIFS($B$5:B874,B874,$C$5:C874,"&gt;="&amp;(Settings!$B$5-Settings!$B$8+1),$C$5:C874,"&lt;="&amp;Settings!$B$5)=1),1,0)</f>
        <v>0</v>
      </c>
      <c r="M874" s="29" t="n">
        <f aca="false">IF(AND(C874&gt;=Settings!$B$5-Settings!$B$9+1,C874&lt;=Settings!$B$5,COUNTIFS($B$5:B874,B874,$C$5:C874,"&gt;="&amp;(Settings!$B$5-Settings!$B$9+1),$C$5:C874,"&lt;="&amp;Settings!$B$5)=1),1,0)</f>
        <v>0</v>
      </c>
      <c r="N874" s="29" t="n">
        <f aca="false">IF(AND(D874="Feature Use",COUNTIFS($B$5:B874,B874,$D$5:D874,"Feature Use")=1),1,0)</f>
        <v>0</v>
      </c>
    </row>
    <row r="875" customFormat="false" ht="15" hidden="false" customHeight="false" outlineLevel="0" collapsed="false">
      <c r="A875" s="22" t="s">
        <v>1182</v>
      </c>
      <c r="B875" s="22" t="s">
        <v>385</v>
      </c>
      <c r="C875" s="31" t="n">
        <v>46294</v>
      </c>
      <c r="D875" s="22" t="s">
        <v>308</v>
      </c>
      <c r="E875" s="22" t="s">
        <v>309</v>
      </c>
      <c r="F875" s="29" t="str">
        <f aca="false">IF(COUNTIF(Referral_Data!$C$5:$C$1000,B875)&gt;0,"Referred",IF(COUNTIF(Referral_Data!$B$5:$B$1000,B875)&gt;0,"Referrer","Organic"))</f>
        <v>Organic</v>
      </c>
      <c r="G875" s="29" t="n">
        <f aca="false">IF(COUNTIFS($B$5:B875,B875,$C$5:C875,C875)=1,1,0)</f>
        <v>0</v>
      </c>
      <c r="H875" s="29" t="n">
        <f aca="false">IF(AND(G875=1,COUNTIFS($B$5:$B$1635,B875,$C$5:$C$1635,"&lt;"&amp;C875)&gt;0),1,0)</f>
        <v>0</v>
      </c>
      <c r="I875" s="29" t="n">
        <f aca="false">IF(AND(D875="Feature Use",COUNTIFS($B$5:B875,B875,$D$5:D875,"Feature Use",$E$5:E875,E875)=1),1,0)</f>
        <v>0</v>
      </c>
      <c r="J875" s="29" t="n">
        <f aca="false">IF(AND(D875="Feature Use",COUNTIFS($B$5:B875,B875,$D$5:D875,"Feature Use",$E$5:E875,E875)=2),1,0)</f>
        <v>0</v>
      </c>
      <c r="K875" s="29" t="n">
        <f aca="false">IF(COUNTIF($B$5:B875,B875)=1,1,0)</f>
        <v>0</v>
      </c>
      <c r="L875" s="29" t="n">
        <f aca="false">IF(AND(C875&gt;=Settings!$B$5-Settings!$B$8+1,C875&lt;=Settings!$B$5,COUNTIFS($B$5:B875,B875,$C$5:C875,"&gt;="&amp;(Settings!$B$5-Settings!$B$8+1),$C$5:C875,"&lt;="&amp;Settings!$B$5)=1),1,0)</f>
        <v>0</v>
      </c>
      <c r="M875" s="29" t="n">
        <f aca="false">IF(AND(C875&gt;=Settings!$B$5-Settings!$B$9+1,C875&lt;=Settings!$B$5,COUNTIFS($B$5:B875,B875,$C$5:C875,"&gt;="&amp;(Settings!$B$5-Settings!$B$9+1),$C$5:C875,"&lt;="&amp;Settings!$B$5)=1),1,0)</f>
        <v>0</v>
      </c>
      <c r="N875" s="29" t="n">
        <f aca="false">IF(AND(D875="Feature Use",COUNTIFS($B$5:B875,B875,$D$5:D875,"Feature Use")=1),1,0)</f>
        <v>0</v>
      </c>
    </row>
    <row r="876" customFormat="false" ht="15" hidden="false" customHeight="false" outlineLevel="0" collapsed="false">
      <c r="A876" s="22" t="s">
        <v>1183</v>
      </c>
      <c r="B876" s="22" t="s">
        <v>385</v>
      </c>
      <c r="C876" s="31" t="n">
        <v>46294</v>
      </c>
      <c r="D876" s="22" t="s">
        <v>308</v>
      </c>
      <c r="E876" s="22" t="s">
        <v>301</v>
      </c>
      <c r="F876" s="29" t="str">
        <f aca="false">IF(COUNTIF(Referral_Data!$C$5:$C$1000,B876)&gt;0,"Referred",IF(COUNTIF(Referral_Data!$B$5:$B$1000,B876)&gt;0,"Referrer","Organic"))</f>
        <v>Organic</v>
      </c>
      <c r="G876" s="29" t="n">
        <f aca="false">IF(COUNTIFS($B$5:B876,B876,$C$5:C876,C876)=1,1,0)</f>
        <v>0</v>
      </c>
      <c r="H876" s="29" t="n">
        <f aca="false">IF(AND(G876=1,COUNTIFS($B$5:$B$1635,B876,$C$5:$C$1635,"&lt;"&amp;C876)&gt;0),1,0)</f>
        <v>0</v>
      </c>
      <c r="I876" s="29" t="n">
        <f aca="false">IF(AND(D876="Feature Use",COUNTIFS($B$5:B876,B876,$D$5:D876,"Feature Use",$E$5:E876,E876)=1),1,0)</f>
        <v>0</v>
      </c>
      <c r="J876" s="29" t="n">
        <f aca="false">IF(AND(D876="Feature Use",COUNTIFS($B$5:B876,B876,$D$5:D876,"Feature Use",$E$5:E876,E876)=2),1,0)</f>
        <v>0</v>
      </c>
      <c r="K876" s="29" t="n">
        <f aca="false">IF(COUNTIF($B$5:B876,B876)=1,1,0)</f>
        <v>0</v>
      </c>
      <c r="L876" s="29" t="n">
        <f aca="false">IF(AND(C876&gt;=Settings!$B$5-Settings!$B$8+1,C876&lt;=Settings!$B$5,COUNTIFS($B$5:B876,B876,$C$5:C876,"&gt;="&amp;(Settings!$B$5-Settings!$B$8+1),$C$5:C876,"&lt;="&amp;Settings!$B$5)=1),1,0)</f>
        <v>0</v>
      </c>
      <c r="M876" s="29" t="n">
        <f aca="false">IF(AND(C876&gt;=Settings!$B$5-Settings!$B$9+1,C876&lt;=Settings!$B$5,COUNTIFS($B$5:B876,B876,$C$5:C876,"&gt;="&amp;(Settings!$B$5-Settings!$B$9+1),$C$5:C876,"&lt;="&amp;Settings!$B$5)=1),1,0)</f>
        <v>0</v>
      </c>
      <c r="N876" s="29" t="n">
        <f aca="false">IF(AND(D876="Feature Use",COUNTIFS($B$5:B876,B876,$D$5:D876,"Feature Use")=1),1,0)</f>
        <v>0</v>
      </c>
    </row>
    <row r="877" customFormat="false" ht="15" hidden="false" customHeight="false" outlineLevel="0" collapsed="false">
      <c r="A877" s="22" t="s">
        <v>1184</v>
      </c>
      <c r="B877" s="22" t="s">
        <v>168</v>
      </c>
      <c r="C877" s="31" t="n">
        <v>46294</v>
      </c>
      <c r="D877" s="22" t="s">
        <v>297</v>
      </c>
      <c r="E877" s="22" t="s">
        <v>298</v>
      </c>
      <c r="F877" s="29" t="str">
        <f aca="false">IF(COUNTIF(Referral_Data!$C$5:$C$1000,B877)&gt;0,"Referred",IF(COUNTIF(Referral_Data!$B$5:$B$1000,B877)&gt;0,"Referrer","Organic"))</f>
        <v>Referred</v>
      </c>
      <c r="G877" s="29" t="n">
        <f aca="false">IF(COUNTIFS($B$5:B877,B877,$C$5:C877,C877)=1,1,0)</f>
        <v>1</v>
      </c>
      <c r="H877" s="29" t="n">
        <f aca="false">IF(AND(G877=1,COUNTIFS($B$5:$B$1635,B877,$C$5:$C$1635,"&lt;"&amp;C877)&gt;0),1,0)</f>
        <v>1</v>
      </c>
      <c r="I877" s="29" t="n">
        <f aca="false">IF(AND(D877="Feature Use",COUNTIFS($B$5:B877,B877,$D$5:D877,"Feature Use",$E$5:E877,E877)=1),1,0)</f>
        <v>0</v>
      </c>
      <c r="J877" s="29" t="n">
        <f aca="false">IF(AND(D877="Feature Use",COUNTIFS($B$5:B877,B877,$D$5:D877,"Feature Use",$E$5:E877,E877)=2),1,0)</f>
        <v>0</v>
      </c>
      <c r="K877" s="29" t="n">
        <f aca="false">IF(COUNTIF($B$5:B877,B877)=1,1,0)</f>
        <v>0</v>
      </c>
      <c r="L877" s="29" t="n">
        <f aca="false">IF(AND(C877&gt;=Settings!$B$5-Settings!$B$8+1,C877&lt;=Settings!$B$5,COUNTIFS($B$5:B877,B877,$C$5:C877,"&gt;="&amp;(Settings!$B$5-Settings!$B$8+1),$C$5:C877,"&lt;="&amp;Settings!$B$5)=1),1,0)</f>
        <v>0</v>
      </c>
      <c r="M877" s="29" t="n">
        <f aca="false">IF(AND(C877&gt;=Settings!$B$5-Settings!$B$9+1,C877&lt;=Settings!$B$5,COUNTIFS($B$5:B877,B877,$C$5:C877,"&gt;="&amp;(Settings!$B$5-Settings!$B$9+1),$C$5:C877,"&lt;="&amp;Settings!$B$5)=1),1,0)</f>
        <v>0</v>
      </c>
      <c r="N877" s="29" t="n">
        <f aca="false">IF(AND(D877="Feature Use",COUNTIFS($B$5:B877,B877,$D$5:D877,"Feature Use")=1),1,0)</f>
        <v>0</v>
      </c>
    </row>
    <row r="878" customFormat="false" ht="15" hidden="false" customHeight="false" outlineLevel="0" collapsed="false">
      <c r="A878" s="22" t="s">
        <v>1185</v>
      </c>
      <c r="B878" s="22" t="s">
        <v>168</v>
      </c>
      <c r="C878" s="31" t="n">
        <v>46294</v>
      </c>
      <c r="D878" s="22" t="s">
        <v>300</v>
      </c>
      <c r="E878" s="22" t="s">
        <v>309</v>
      </c>
      <c r="F878" s="29" t="str">
        <f aca="false">IF(COUNTIF(Referral_Data!$C$5:$C$1000,B878)&gt;0,"Referred",IF(COUNTIF(Referral_Data!$B$5:$B$1000,B878)&gt;0,"Referrer","Organic"))</f>
        <v>Referred</v>
      </c>
      <c r="G878" s="29" t="n">
        <f aca="false">IF(COUNTIFS($B$5:B878,B878,$C$5:C878,C878)=1,1,0)</f>
        <v>0</v>
      </c>
      <c r="H878" s="29" t="n">
        <f aca="false">IF(AND(G878=1,COUNTIFS($B$5:$B$1635,B878,$C$5:$C$1635,"&lt;"&amp;C878)&gt;0),1,0)</f>
        <v>0</v>
      </c>
      <c r="I878" s="29" t="n">
        <f aca="false">IF(AND(D878="Feature Use",COUNTIFS($B$5:B878,B878,$D$5:D878,"Feature Use",$E$5:E878,E878)=1),1,0)</f>
        <v>0</v>
      </c>
      <c r="J878" s="29" t="n">
        <f aca="false">IF(AND(D878="Feature Use",COUNTIFS($B$5:B878,B878,$D$5:D878,"Feature Use",$E$5:E878,E878)=2),1,0)</f>
        <v>0</v>
      </c>
      <c r="K878" s="29" t="n">
        <f aca="false">IF(COUNTIF($B$5:B878,B878)=1,1,0)</f>
        <v>0</v>
      </c>
      <c r="L878" s="29" t="n">
        <f aca="false">IF(AND(C878&gt;=Settings!$B$5-Settings!$B$8+1,C878&lt;=Settings!$B$5,COUNTIFS($B$5:B878,B878,$C$5:C878,"&gt;="&amp;(Settings!$B$5-Settings!$B$8+1),$C$5:C878,"&lt;="&amp;Settings!$B$5)=1),1,0)</f>
        <v>0</v>
      </c>
      <c r="M878" s="29" t="n">
        <f aca="false">IF(AND(C878&gt;=Settings!$B$5-Settings!$B$9+1,C878&lt;=Settings!$B$5,COUNTIFS($B$5:B878,B878,$C$5:C878,"&gt;="&amp;(Settings!$B$5-Settings!$B$9+1),$C$5:C878,"&lt;="&amp;Settings!$B$5)=1),1,0)</f>
        <v>0</v>
      </c>
      <c r="N878" s="29" t="n">
        <f aca="false">IF(AND(D878="Feature Use",COUNTIFS($B$5:B878,B878,$D$5:D878,"Feature Use")=1),1,0)</f>
        <v>0</v>
      </c>
    </row>
    <row r="879" customFormat="false" ht="15" hidden="false" customHeight="false" outlineLevel="0" collapsed="false">
      <c r="A879" s="22" t="s">
        <v>1186</v>
      </c>
      <c r="B879" s="22" t="s">
        <v>168</v>
      </c>
      <c r="C879" s="31" t="n">
        <v>46294</v>
      </c>
      <c r="D879" s="22" t="s">
        <v>308</v>
      </c>
      <c r="E879" s="22" t="s">
        <v>319</v>
      </c>
      <c r="F879" s="29" t="str">
        <f aca="false">IF(COUNTIF(Referral_Data!$C$5:$C$1000,B879)&gt;0,"Referred",IF(COUNTIF(Referral_Data!$B$5:$B$1000,B879)&gt;0,"Referrer","Organic"))</f>
        <v>Referred</v>
      </c>
      <c r="G879" s="29" t="n">
        <f aca="false">IF(COUNTIFS($B$5:B879,B879,$C$5:C879,C879)=1,1,0)</f>
        <v>0</v>
      </c>
      <c r="H879" s="29" t="n">
        <f aca="false">IF(AND(G879=1,COUNTIFS($B$5:$B$1635,B879,$C$5:$C$1635,"&lt;"&amp;C879)&gt;0),1,0)</f>
        <v>0</v>
      </c>
      <c r="I879" s="29" t="n">
        <f aca="false">IF(AND(D879="Feature Use",COUNTIFS($B$5:B879,B879,$D$5:D879,"Feature Use",$E$5:E879,E879)=1),1,0)</f>
        <v>0</v>
      </c>
      <c r="J879" s="29" t="n">
        <f aca="false">IF(AND(D879="Feature Use",COUNTIFS($B$5:B879,B879,$D$5:D879,"Feature Use",$E$5:E879,E879)=2),1,0)</f>
        <v>0</v>
      </c>
      <c r="K879" s="29" t="n">
        <f aca="false">IF(COUNTIF($B$5:B879,B879)=1,1,0)</f>
        <v>0</v>
      </c>
      <c r="L879" s="29" t="n">
        <f aca="false">IF(AND(C879&gt;=Settings!$B$5-Settings!$B$8+1,C879&lt;=Settings!$B$5,COUNTIFS($B$5:B879,B879,$C$5:C879,"&gt;="&amp;(Settings!$B$5-Settings!$B$8+1),$C$5:C879,"&lt;="&amp;Settings!$B$5)=1),1,0)</f>
        <v>0</v>
      </c>
      <c r="M879" s="29" t="n">
        <f aca="false">IF(AND(C879&gt;=Settings!$B$5-Settings!$B$9+1,C879&lt;=Settings!$B$5,COUNTIFS($B$5:B879,B879,$C$5:C879,"&gt;="&amp;(Settings!$B$5-Settings!$B$9+1),$C$5:C879,"&lt;="&amp;Settings!$B$5)=1),1,0)</f>
        <v>0</v>
      </c>
      <c r="N879" s="29" t="n">
        <f aca="false">IF(AND(D879="Feature Use",COUNTIFS($B$5:B879,B879,$D$5:D879,"Feature Use")=1),1,0)</f>
        <v>0</v>
      </c>
    </row>
    <row r="880" customFormat="false" ht="15" hidden="false" customHeight="false" outlineLevel="0" collapsed="false">
      <c r="A880" s="22" t="s">
        <v>1187</v>
      </c>
      <c r="B880" s="22" t="s">
        <v>176</v>
      </c>
      <c r="C880" s="31" t="n">
        <v>46294</v>
      </c>
      <c r="D880" s="22" t="s">
        <v>297</v>
      </c>
      <c r="E880" s="22" t="s">
        <v>298</v>
      </c>
      <c r="F880" s="29" t="str">
        <f aca="false">IF(COUNTIF(Referral_Data!$C$5:$C$1000,B880)&gt;0,"Referred",IF(COUNTIF(Referral_Data!$B$5:$B$1000,B880)&gt;0,"Referrer","Organic"))</f>
        <v>Referred</v>
      </c>
      <c r="G880" s="29" t="n">
        <f aca="false">IF(COUNTIFS($B$5:B880,B880,$C$5:C880,C880)=1,1,0)</f>
        <v>1</v>
      </c>
      <c r="H880" s="29" t="n">
        <f aca="false">IF(AND(G880=1,COUNTIFS($B$5:$B$1635,B880,$C$5:$C$1635,"&lt;"&amp;C880)&gt;0),1,0)</f>
        <v>1</v>
      </c>
      <c r="I880" s="29" t="n">
        <f aca="false">IF(AND(D880="Feature Use",COUNTIFS($B$5:B880,B880,$D$5:D880,"Feature Use",$E$5:E880,E880)=1),1,0)</f>
        <v>0</v>
      </c>
      <c r="J880" s="29" t="n">
        <f aca="false">IF(AND(D880="Feature Use",COUNTIFS($B$5:B880,B880,$D$5:D880,"Feature Use",$E$5:E880,E880)=2),1,0)</f>
        <v>0</v>
      </c>
      <c r="K880" s="29" t="n">
        <f aca="false">IF(COUNTIF($B$5:B880,B880)=1,1,0)</f>
        <v>0</v>
      </c>
      <c r="L880" s="29" t="n">
        <f aca="false">IF(AND(C880&gt;=Settings!$B$5-Settings!$B$8+1,C880&lt;=Settings!$B$5,COUNTIFS($B$5:B880,B880,$C$5:C880,"&gt;="&amp;(Settings!$B$5-Settings!$B$8+1),$C$5:C880,"&lt;="&amp;Settings!$B$5)=1),1,0)</f>
        <v>0</v>
      </c>
      <c r="M880" s="29" t="n">
        <f aca="false">IF(AND(C880&gt;=Settings!$B$5-Settings!$B$9+1,C880&lt;=Settings!$B$5,COUNTIFS($B$5:B880,B880,$C$5:C880,"&gt;="&amp;(Settings!$B$5-Settings!$B$9+1),$C$5:C880,"&lt;="&amp;Settings!$B$5)=1),1,0)</f>
        <v>0</v>
      </c>
      <c r="N880" s="29" t="n">
        <f aca="false">IF(AND(D880="Feature Use",COUNTIFS($B$5:B880,B880,$D$5:D880,"Feature Use")=1),1,0)</f>
        <v>0</v>
      </c>
    </row>
    <row r="881" customFormat="false" ht="15" hidden="false" customHeight="false" outlineLevel="0" collapsed="false">
      <c r="A881" s="22" t="s">
        <v>1188</v>
      </c>
      <c r="B881" s="22" t="s">
        <v>176</v>
      </c>
      <c r="C881" s="31" t="n">
        <v>46294</v>
      </c>
      <c r="D881" s="22" t="s">
        <v>300</v>
      </c>
      <c r="E881" s="22" t="s">
        <v>301</v>
      </c>
      <c r="F881" s="29" t="str">
        <f aca="false">IF(COUNTIF(Referral_Data!$C$5:$C$1000,B881)&gt;0,"Referred",IF(COUNTIF(Referral_Data!$B$5:$B$1000,B881)&gt;0,"Referrer","Organic"))</f>
        <v>Referred</v>
      </c>
      <c r="G881" s="29" t="n">
        <f aca="false">IF(COUNTIFS($B$5:B881,B881,$C$5:C881,C881)=1,1,0)</f>
        <v>0</v>
      </c>
      <c r="H881" s="29" t="n">
        <f aca="false">IF(AND(G881=1,COUNTIFS($B$5:$B$1635,B881,$C$5:$C$1635,"&lt;"&amp;C881)&gt;0),1,0)</f>
        <v>0</v>
      </c>
      <c r="I881" s="29" t="n">
        <f aca="false">IF(AND(D881="Feature Use",COUNTIFS($B$5:B881,B881,$D$5:D881,"Feature Use",$E$5:E881,E881)=1),1,0)</f>
        <v>0</v>
      </c>
      <c r="J881" s="29" t="n">
        <f aca="false">IF(AND(D881="Feature Use",COUNTIFS($B$5:B881,B881,$D$5:D881,"Feature Use",$E$5:E881,E881)=2),1,0)</f>
        <v>1</v>
      </c>
      <c r="K881" s="29" t="n">
        <f aca="false">IF(COUNTIF($B$5:B881,B881)=1,1,0)</f>
        <v>0</v>
      </c>
      <c r="L881" s="29" t="n">
        <f aca="false">IF(AND(C881&gt;=Settings!$B$5-Settings!$B$8+1,C881&lt;=Settings!$B$5,COUNTIFS($B$5:B881,B881,$C$5:C881,"&gt;="&amp;(Settings!$B$5-Settings!$B$8+1),$C$5:C881,"&lt;="&amp;Settings!$B$5)=1),1,0)</f>
        <v>0</v>
      </c>
      <c r="M881" s="29" t="n">
        <f aca="false">IF(AND(C881&gt;=Settings!$B$5-Settings!$B$9+1,C881&lt;=Settings!$B$5,COUNTIFS($B$5:B881,B881,$C$5:C881,"&gt;="&amp;(Settings!$B$5-Settings!$B$9+1),$C$5:C881,"&lt;="&amp;Settings!$B$5)=1),1,0)</f>
        <v>0</v>
      </c>
      <c r="N881" s="29" t="n">
        <f aca="false">IF(AND(D881="Feature Use",COUNTIFS($B$5:B881,B881,$D$5:D881,"Feature Use")=1),1,0)</f>
        <v>0</v>
      </c>
    </row>
    <row r="882" customFormat="false" ht="15" hidden="false" customHeight="false" outlineLevel="0" collapsed="false">
      <c r="A882" s="22" t="s">
        <v>1189</v>
      </c>
      <c r="B882" s="22" t="s">
        <v>176</v>
      </c>
      <c r="C882" s="31" t="n">
        <v>46294</v>
      </c>
      <c r="D882" s="22" t="s">
        <v>308</v>
      </c>
      <c r="E882" s="22" t="s">
        <v>309</v>
      </c>
      <c r="F882" s="29" t="str">
        <f aca="false">IF(COUNTIF(Referral_Data!$C$5:$C$1000,B882)&gt;0,"Referred",IF(COUNTIF(Referral_Data!$B$5:$B$1000,B882)&gt;0,"Referrer","Organic"))</f>
        <v>Referred</v>
      </c>
      <c r="G882" s="29" t="n">
        <f aca="false">IF(COUNTIFS($B$5:B882,B882,$C$5:C882,C882)=1,1,0)</f>
        <v>0</v>
      </c>
      <c r="H882" s="29" t="n">
        <f aca="false">IF(AND(G882=1,COUNTIFS($B$5:$B$1635,B882,$C$5:$C$1635,"&lt;"&amp;C882)&gt;0),1,0)</f>
        <v>0</v>
      </c>
      <c r="I882" s="29" t="n">
        <f aca="false">IF(AND(D882="Feature Use",COUNTIFS($B$5:B882,B882,$D$5:D882,"Feature Use",$E$5:E882,E882)=1),1,0)</f>
        <v>0</v>
      </c>
      <c r="J882" s="29" t="n">
        <f aca="false">IF(AND(D882="Feature Use",COUNTIFS($B$5:B882,B882,$D$5:D882,"Feature Use",$E$5:E882,E882)=2),1,0)</f>
        <v>0</v>
      </c>
      <c r="K882" s="29" t="n">
        <f aca="false">IF(COUNTIF($B$5:B882,B882)=1,1,0)</f>
        <v>0</v>
      </c>
      <c r="L882" s="29" t="n">
        <f aca="false">IF(AND(C882&gt;=Settings!$B$5-Settings!$B$8+1,C882&lt;=Settings!$B$5,COUNTIFS($B$5:B882,B882,$C$5:C882,"&gt;="&amp;(Settings!$B$5-Settings!$B$8+1),$C$5:C882,"&lt;="&amp;Settings!$B$5)=1),1,0)</f>
        <v>0</v>
      </c>
      <c r="M882" s="29" t="n">
        <f aca="false">IF(AND(C882&gt;=Settings!$B$5-Settings!$B$9+1,C882&lt;=Settings!$B$5,COUNTIFS($B$5:B882,B882,$C$5:C882,"&gt;="&amp;(Settings!$B$5-Settings!$B$9+1),$C$5:C882,"&lt;="&amp;Settings!$B$5)=1),1,0)</f>
        <v>0</v>
      </c>
      <c r="N882" s="29" t="n">
        <f aca="false">IF(AND(D882="Feature Use",COUNTIFS($B$5:B882,B882,$D$5:D882,"Feature Use")=1),1,0)</f>
        <v>0</v>
      </c>
    </row>
    <row r="883" customFormat="false" ht="15" hidden="false" customHeight="false" outlineLevel="0" collapsed="false">
      <c r="A883" s="22" t="s">
        <v>1190</v>
      </c>
      <c r="B883" s="22" t="s">
        <v>176</v>
      </c>
      <c r="C883" s="31" t="n">
        <v>46294</v>
      </c>
      <c r="D883" s="22" t="s">
        <v>308</v>
      </c>
      <c r="E883" s="22" t="s">
        <v>301</v>
      </c>
      <c r="F883" s="29" t="str">
        <f aca="false">IF(COUNTIF(Referral_Data!$C$5:$C$1000,B883)&gt;0,"Referred",IF(COUNTIF(Referral_Data!$B$5:$B$1000,B883)&gt;0,"Referrer","Organic"))</f>
        <v>Referred</v>
      </c>
      <c r="G883" s="29" t="n">
        <f aca="false">IF(COUNTIFS($B$5:B883,B883,$C$5:C883,C883)=1,1,0)</f>
        <v>0</v>
      </c>
      <c r="H883" s="29" t="n">
        <f aca="false">IF(AND(G883=1,COUNTIFS($B$5:$B$1635,B883,$C$5:$C$1635,"&lt;"&amp;C883)&gt;0),1,0)</f>
        <v>0</v>
      </c>
      <c r="I883" s="29" t="n">
        <f aca="false">IF(AND(D883="Feature Use",COUNTIFS($B$5:B883,B883,$D$5:D883,"Feature Use",$E$5:E883,E883)=1),1,0)</f>
        <v>0</v>
      </c>
      <c r="J883" s="29" t="n">
        <f aca="false">IF(AND(D883="Feature Use",COUNTIFS($B$5:B883,B883,$D$5:D883,"Feature Use",$E$5:E883,E883)=2),1,0)</f>
        <v>0</v>
      </c>
      <c r="K883" s="29" t="n">
        <f aca="false">IF(COUNTIF($B$5:B883,B883)=1,1,0)</f>
        <v>0</v>
      </c>
      <c r="L883" s="29" t="n">
        <f aca="false">IF(AND(C883&gt;=Settings!$B$5-Settings!$B$8+1,C883&lt;=Settings!$B$5,COUNTIFS($B$5:B883,B883,$C$5:C883,"&gt;="&amp;(Settings!$B$5-Settings!$B$8+1),$C$5:C883,"&lt;="&amp;Settings!$B$5)=1),1,0)</f>
        <v>0</v>
      </c>
      <c r="M883" s="29" t="n">
        <f aca="false">IF(AND(C883&gt;=Settings!$B$5-Settings!$B$9+1,C883&lt;=Settings!$B$5,COUNTIFS($B$5:B883,B883,$C$5:C883,"&gt;="&amp;(Settings!$B$5-Settings!$B$9+1),$C$5:C883,"&lt;="&amp;Settings!$B$5)=1),1,0)</f>
        <v>0</v>
      </c>
      <c r="N883" s="29" t="n">
        <f aca="false">IF(AND(D883="Feature Use",COUNTIFS($B$5:B883,B883,$D$5:D883,"Feature Use")=1),1,0)</f>
        <v>0</v>
      </c>
    </row>
    <row r="884" customFormat="false" ht="15" hidden="false" customHeight="false" outlineLevel="0" collapsed="false">
      <c r="A884" s="22" t="s">
        <v>1191</v>
      </c>
      <c r="B884" s="22" t="s">
        <v>181</v>
      </c>
      <c r="C884" s="31" t="n">
        <v>46294</v>
      </c>
      <c r="D884" s="22" t="s">
        <v>297</v>
      </c>
      <c r="E884" s="22" t="s">
        <v>298</v>
      </c>
      <c r="F884" s="29" t="str">
        <f aca="false">IF(COUNTIF(Referral_Data!$C$5:$C$1000,B884)&gt;0,"Referred",IF(COUNTIF(Referral_Data!$B$5:$B$1000,B884)&gt;0,"Referrer","Organic"))</f>
        <v>Referred</v>
      </c>
      <c r="G884" s="29" t="n">
        <f aca="false">IF(COUNTIFS($B$5:B884,B884,$C$5:C884,C884)=1,1,0)</f>
        <v>1</v>
      </c>
      <c r="H884" s="29" t="n">
        <f aca="false">IF(AND(G884=1,COUNTIFS($B$5:$B$1635,B884,$C$5:$C$1635,"&lt;"&amp;C884)&gt;0),1,0)</f>
        <v>1</v>
      </c>
      <c r="I884" s="29" t="n">
        <f aca="false">IF(AND(D884="Feature Use",COUNTIFS($B$5:B884,B884,$D$5:D884,"Feature Use",$E$5:E884,E884)=1),1,0)</f>
        <v>0</v>
      </c>
      <c r="J884" s="29" t="n">
        <f aca="false">IF(AND(D884="Feature Use",COUNTIFS($B$5:B884,B884,$D$5:D884,"Feature Use",$E$5:E884,E884)=2),1,0)</f>
        <v>0</v>
      </c>
      <c r="K884" s="29" t="n">
        <f aca="false">IF(COUNTIF($B$5:B884,B884)=1,1,0)</f>
        <v>0</v>
      </c>
      <c r="L884" s="29" t="n">
        <f aca="false">IF(AND(C884&gt;=Settings!$B$5-Settings!$B$8+1,C884&lt;=Settings!$B$5,COUNTIFS($B$5:B884,B884,$C$5:C884,"&gt;="&amp;(Settings!$B$5-Settings!$B$8+1),$C$5:C884,"&lt;="&amp;Settings!$B$5)=1),1,0)</f>
        <v>0</v>
      </c>
      <c r="M884" s="29" t="n">
        <f aca="false">IF(AND(C884&gt;=Settings!$B$5-Settings!$B$9+1,C884&lt;=Settings!$B$5,COUNTIFS($B$5:B884,B884,$C$5:C884,"&gt;="&amp;(Settings!$B$5-Settings!$B$9+1),$C$5:C884,"&lt;="&amp;Settings!$B$5)=1),1,0)</f>
        <v>0</v>
      </c>
      <c r="N884" s="29" t="n">
        <f aca="false">IF(AND(D884="Feature Use",COUNTIFS($B$5:B884,B884,$D$5:D884,"Feature Use")=1),1,0)</f>
        <v>0</v>
      </c>
    </row>
    <row r="885" customFormat="false" ht="15" hidden="false" customHeight="false" outlineLevel="0" collapsed="false">
      <c r="A885" s="22" t="s">
        <v>1192</v>
      </c>
      <c r="B885" s="22" t="s">
        <v>181</v>
      </c>
      <c r="C885" s="31" t="n">
        <v>46294</v>
      </c>
      <c r="D885" s="22" t="s">
        <v>300</v>
      </c>
      <c r="E885" s="22" t="s">
        <v>301</v>
      </c>
      <c r="F885" s="29" t="str">
        <f aca="false">IF(COUNTIF(Referral_Data!$C$5:$C$1000,B885)&gt;0,"Referred",IF(COUNTIF(Referral_Data!$B$5:$B$1000,B885)&gt;0,"Referrer","Organic"))</f>
        <v>Referred</v>
      </c>
      <c r="G885" s="29" t="n">
        <f aca="false">IF(COUNTIFS($B$5:B885,B885,$C$5:C885,C885)=1,1,0)</f>
        <v>0</v>
      </c>
      <c r="H885" s="29" t="n">
        <f aca="false">IF(AND(G885=1,COUNTIFS($B$5:$B$1635,B885,$C$5:$C$1635,"&lt;"&amp;C885)&gt;0),1,0)</f>
        <v>0</v>
      </c>
      <c r="I885" s="29" t="n">
        <f aca="false">IF(AND(D885="Feature Use",COUNTIFS($B$5:B885,B885,$D$5:D885,"Feature Use",$E$5:E885,E885)=1),1,0)</f>
        <v>0</v>
      </c>
      <c r="J885" s="29" t="n">
        <f aca="false">IF(AND(D885="Feature Use",COUNTIFS($B$5:B885,B885,$D$5:D885,"Feature Use",$E$5:E885,E885)=2),1,0)</f>
        <v>0</v>
      </c>
      <c r="K885" s="29" t="n">
        <f aca="false">IF(COUNTIF($B$5:B885,B885)=1,1,0)</f>
        <v>0</v>
      </c>
      <c r="L885" s="29" t="n">
        <f aca="false">IF(AND(C885&gt;=Settings!$B$5-Settings!$B$8+1,C885&lt;=Settings!$B$5,COUNTIFS($B$5:B885,B885,$C$5:C885,"&gt;="&amp;(Settings!$B$5-Settings!$B$8+1),$C$5:C885,"&lt;="&amp;Settings!$B$5)=1),1,0)</f>
        <v>0</v>
      </c>
      <c r="M885" s="29" t="n">
        <f aca="false">IF(AND(C885&gt;=Settings!$B$5-Settings!$B$9+1,C885&lt;=Settings!$B$5,COUNTIFS($B$5:B885,B885,$C$5:C885,"&gt;="&amp;(Settings!$B$5-Settings!$B$9+1),$C$5:C885,"&lt;="&amp;Settings!$B$5)=1),1,0)</f>
        <v>0</v>
      </c>
      <c r="N885" s="29" t="n">
        <f aca="false">IF(AND(D885="Feature Use",COUNTIFS($B$5:B885,B885,$D$5:D885,"Feature Use")=1),1,0)</f>
        <v>0</v>
      </c>
    </row>
    <row r="886" customFormat="false" ht="15" hidden="false" customHeight="false" outlineLevel="0" collapsed="false">
      <c r="A886" s="22" t="s">
        <v>1193</v>
      </c>
      <c r="B886" s="22" t="s">
        <v>181</v>
      </c>
      <c r="C886" s="31" t="n">
        <v>46294</v>
      </c>
      <c r="D886" s="22" t="s">
        <v>300</v>
      </c>
      <c r="E886" s="22" t="s">
        <v>311</v>
      </c>
      <c r="F886" s="29" t="str">
        <f aca="false">IF(COUNTIF(Referral_Data!$C$5:$C$1000,B886)&gt;0,"Referred",IF(COUNTIF(Referral_Data!$B$5:$B$1000,B886)&gt;0,"Referrer","Organic"))</f>
        <v>Referred</v>
      </c>
      <c r="G886" s="29" t="n">
        <f aca="false">IF(COUNTIFS($B$5:B886,B886,$C$5:C886,C886)=1,1,0)</f>
        <v>0</v>
      </c>
      <c r="H886" s="29" t="n">
        <f aca="false">IF(AND(G886=1,COUNTIFS($B$5:$B$1635,B886,$C$5:$C$1635,"&lt;"&amp;C886)&gt;0),1,0)</f>
        <v>0</v>
      </c>
      <c r="I886" s="29" t="n">
        <f aca="false">IF(AND(D886="Feature Use",COUNTIFS($B$5:B886,B886,$D$5:D886,"Feature Use",$E$5:E886,E886)=1),1,0)</f>
        <v>0</v>
      </c>
      <c r="J886" s="29" t="n">
        <f aca="false">IF(AND(D886="Feature Use",COUNTIFS($B$5:B886,B886,$D$5:D886,"Feature Use",$E$5:E886,E886)=2),1,0)</f>
        <v>0</v>
      </c>
      <c r="K886" s="29" t="n">
        <f aca="false">IF(COUNTIF($B$5:B886,B886)=1,1,0)</f>
        <v>0</v>
      </c>
      <c r="L886" s="29" t="n">
        <f aca="false">IF(AND(C886&gt;=Settings!$B$5-Settings!$B$8+1,C886&lt;=Settings!$B$5,COUNTIFS($B$5:B886,B886,$C$5:C886,"&gt;="&amp;(Settings!$B$5-Settings!$B$8+1),$C$5:C886,"&lt;="&amp;Settings!$B$5)=1),1,0)</f>
        <v>0</v>
      </c>
      <c r="M886" s="29" t="n">
        <f aca="false">IF(AND(C886&gt;=Settings!$B$5-Settings!$B$9+1,C886&lt;=Settings!$B$5,COUNTIFS($B$5:B886,B886,$C$5:C886,"&gt;="&amp;(Settings!$B$5-Settings!$B$9+1),$C$5:C886,"&lt;="&amp;Settings!$B$5)=1),1,0)</f>
        <v>0</v>
      </c>
      <c r="N886" s="29" t="n">
        <f aca="false">IF(AND(D886="Feature Use",COUNTIFS($B$5:B886,B886,$D$5:D886,"Feature Use")=1),1,0)</f>
        <v>0</v>
      </c>
    </row>
    <row r="887" customFormat="false" ht="15" hidden="false" customHeight="false" outlineLevel="0" collapsed="false">
      <c r="A887" s="22" t="s">
        <v>1194</v>
      </c>
      <c r="B887" s="22" t="s">
        <v>181</v>
      </c>
      <c r="C887" s="31" t="n">
        <v>46294</v>
      </c>
      <c r="D887" s="22" t="s">
        <v>308</v>
      </c>
      <c r="E887" s="22" t="s">
        <v>319</v>
      </c>
      <c r="F887" s="29" t="str">
        <f aca="false">IF(COUNTIF(Referral_Data!$C$5:$C$1000,B887)&gt;0,"Referred",IF(COUNTIF(Referral_Data!$B$5:$B$1000,B887)&gt;0,"Referrer","Organic"))</f>
        <v>Referred</v>
      </c>
      <c r="G887" s="29" t="n">
        <f aca="false">IF(COUNTIFS($B$5:B887,B887,$C$5:C887,C887)=1,1,0)</f>
        <v>0</v>
      </c>
      <c r="H887" s="29" t="n">
        <f aca="false">IF(AND(G887=1,COUNTIFS($B$5:$B$1635,B887,$C$5:$C$1635,"&lt;"&amp;C887)&gt;0),1,0)</f>
        <v>0</v>
      </c>
      <c r="I887" s="29" t="n">
        <f aca="false">IF(AND(D887="Feature Use",COUNTIFS($B$5:B887,B887,$D$5:D887,"Feature Use",$E$5:E887,E887)=1),1,0)</f>
        <v>0</v>
      </c>
      <c r="J887" s="29" t="n">
        <f aca="false">IF(AND(D887="Feature Use",COUNTIFS($B$5:B887,B887,$D$5:D887,"Feature Use",$E$5:E887,E887)=2),1,0)</f>
        <v>0</v>
      </c>
      <c r="K887" s="29" t="n">
        <f aca="false">IF(COUNTIF($B$5:B887,B887)=1,1,0)</f>
        <v>0</v>
      </c>
      <c r="L887" s="29" t="n">
        <f aca="false">IF(AND(C887&gt;=Settings!$B$5-Settings!$B$8+1,C887&lt;=Settings!$B$5,COUNTIFS($B$5:B887,B887,$C$5:C887,"&gt;="&amp;(Settings!$B$5-Settings!$B$8+1),$C$5:C887,"&lt;="&amp;Settings!$B$5)=1),1,0)</f>
        <v>0</v>
      </c>
      <c r="M887" s="29" t="n">
        <f aca="false">IF(AND(C887&gt;=Settings!$B$5-Settings!$B$9+1,C887&lt;=Settings!$B$5,COUNTIFS($B$5:B887,B887,$C$5:C887,"&gt;="&amp;(Settings!$B$5-Settings!$B$9+1),$C$5:C887,"&lt;="&amp;Settings!$B$5)=1),1,0)</f>
        <v>0</v>
      </c>
      <c r="N887" s="29" t="n">
        <f aca="false">IF(AND(D887="Feature Use",COUNTIFS($B$5:B887,B887,$D$5:D887,"Feature Use")=1),1,0)</f>
        <v>0</v>
      </c>
    </row>
    <row r="888" customFormat="false" ht="15" hidden="false" customHeight="false" outlineLevel="0" collapsed="false">
      <c r="A888" s="22" t="s">
        <v>1195</v>
      </c>
      <c r="B888" s="22" t="s">
        <v>181</v>
      </c>
      <c r="C888" s="31" t="n">
        <v>46294</v>
      </c>
      <c r="D888" s="22" t="s">
        <v>308</v>
      </c>
      <c r="E888" s="22" t="s">
        <v>311</v>
      </c>
      <c r="F888" s="29" t="str">
        <f aca="false">IF(COUNTIF(Referral_Data!$C$5:$C$1000,B888)&gt;0,"Referred",IF(COUNTIF(Referral_Data!$B$5:$B$1000,B888)&gt;0,"Referrer","Organic"))</f>
        <v>Referred</v>
      </c>
      <c r="G888" s="29" t="n">
        <f aca="false">IF(COUNTIFS($B$5:B888,B888,$C$5:C888,C888)=1,1,0)</f>
        <v>0</v>
      </c>
      <c r="H888" s="29" t="n">
        <f aca="false">IF(AND(G888=1,COUNTIFS($B$5:$B$1635,B888,$C$5:$C$1635,"&lt;"&amp;C888)&gt;0),1,0)</f>
        <v>0</v>
      </c>
      <c r="I888" s="29" t="n">
        <f aca="false">IF(AND(D888="Feature Use",COUNTIFS($B$5:B888,B888,$D$5:D888,"Feature Use",$E$5:E888,E888)=1),1,0)</f>
        <v>0</v>
      </c>
      <c r="J888" s="29" t="n">
        <f aca="false">IF(AND(D888="Feature Use",COUNTIFS($B$5:B888,B888,$D$5:D888,"Feature Use",$E$5:E888,E888)=2),1,0)</f>
        <v>0</v>
      </c>
      <c r="K888" s="29" t="n">
        <f aca="false">IF(COUNTIF($B$5:B888,B888)=1,1,0)</f>
        <v>0</v>
      </c>
      <c r="L888" s="29" t="n">
        <f aca="false">IF(AND(C888&gt;=Settings!$B$5-Settings!$B$8+1,C888&lt;=Settings!$B$5,COUNTIFS($B$5:B888,B888,$C$5:C888,"&gt;="&amp;(Settings!$B$5-Settings!$B$8+1),$C$5:C888,"&lt;="&amp;Settings!$B$5)=1),1,0)</f>
        <v>0</v>
      </c>
      <c r="M888" s="29" t="n">
        <f aca="false">IF(AND(C888&gt;=Settings!$B$5-Settings!$B$9+1,C888&lt;=Settings!$B$5,COUNTIFS($B$5:B888,B888,$C$5:C888,"&gt;="&amp;(Settings!$B$5-Settings!$B$9+1),$C$5:C888,"&lt;="&amp;Settings!$B$5)=1),1,0)</f>
        <v>0</v>
      </c>
      <c r="N888" s="29" t="n">
        <f aca="false">IF(AND(D888="Feature Use",COUNTIFS($B$5:B888,B888,$D$5:D888,"Feature Use")=1),1,0)</f>
        <v>0</v>
      </c>
    </row>
    <row r="889" customFormat="false" ht="15" hidden="false" customHeight="false" outlineLevel="0" collapsed="false">
      <c r="A889" s="22" t="s">
        <v>1196</v>
      </c>
      <c r="B889" s="22" t="s">
        <v>241</v>
      </c>
      <c r="C889" s="31" t="n">
        <v>46294</v>
      </c>
      <c r="D889" s="22" t="s">
        <v>297</v>
      </c>
      <c r="E889" s="22" t="s">
        <v>298</v>
      </c>
      <c r="F889" s="29" t="str">
        <f aca="false">IF(COUNTIF(Referral_Data!$C$5:$C$1000,B889)&gt;0,"Referred",IF(COUNTIF(Referral_Data!$B$5:$B$1000,B889)&gt;0,"Referrer","Organic"))</f>
        <v>Referred</v>
      </c>
      <c r="G889" s="29" t="n">
        <f aca="false">IF(COUNTIFS($B$5:B889,B889,$C$5:C889,C889)=1,1,0)</f>
        <v>1</v>
      </c>
      <c r="H889" s="29" t="n">
        <f aca="false">IF(AND(G889=1,COUNTIFS($B$5:$B$1635,B889,$C$5:$C$1635,"&lt;"&amp;C889)&gt;0),1,0)</f>
        <v>1</v>
      </c>
      <c r="I889" s="29" t="n">
        <f aca="false">IF(AND(D889="Feature Use",COUNTIFS($B$5:B889,B889,$D$5:D889,"Feature Use",$E$5:E889,E889)=1),1,0)</f>
        <v>0</v>
      </c>
      <c r="J889" s="29" t="n">
        <f aca="false">IF(AND(D889="Feature Use",COUNTIFS($B$5:B889,B889,$D$5:D889,"Feature Use",$E$5:E889,E889)=2),1,0)</f>
        <v>0</v>
      </c>
      <c r="K889" s="29" t="n">
        <f aca="false">IF(COUNTIF($B$5:B889,B889)=1,1,0)</f>
        <v>0</v>
      </c>
      <c r="L889" s="29" t="n">
        <f aca="false">IF(AND(C889&gt;=Settings!$B$5-Settings!$B$8+1,C889&lt;=Settings!$B$5,COUNTIFS($B$5:B889,B889,$C$5:C889,"&gt;="&amp;(Settings!$B$5-Settings!$B$8+1),$C$5:C889,"&lt;="&amp;Settings!$B$5)=1),1,0)</f>
        <v>0</v>
      </c>
      <c r="M889" s="29" t="n">
        <f aca="false">IF(AND(C889&gt;=Settings!$B$5-Settings!$B$9+1,C889&lt;=Settings!$B$5,COUNTIFS($B$5:B889,B889,$C$5:C889,"&gt;="&amp;(Settings!$B$5-Settings!$B$9+1),$C$5:C889,"&lt;="&amp;Settings!$B$5)=1),1,0)</f>
        <v>0</v>
      </c>
      <c r="N889" s="29" t="n">
        <f aca="false">IF(AND(D889="Feature Use",COUNTIFS($B$5:B889,B889,$D$5:D889,"Feature Use")=1),1,0)</f>
        <v>0</v>
      </c>
    </row>
    <row r="890" customFormat="false" ht="15" hidden="false" customHeight="false" outlineLevel="0" collapsed="false">
      <c r="A890" s="22" t="s">
        <v>1197</v>
      </c>
      <c r="B890" s="22" t="s">
        <v>241</v>
      </c>
      <c r="C890" s="31" t="n">
        <v>46294</v>
      </c>
      <c r="D890" s="22" t="s">
        <v>300</v>
      </c>
      <c r="E890" s="22" t="s">
        <v>305</v>
      </c>
      <c r="F890" s="29" t="str">
        <f aca="false">IF(COUNTIF(Referral_Data!$C$5:$C$1000,B890)&gt;0,"Referred",IF(COUNTIF(Referral_Data!$B$5:$B$1000,B890)&gt;0,"Referrer","Organic"))</f>
        <v>Referred</v>
      </c>
      <c r="G890" s="29" t="n">
        <f aca="false">IF(COUNTIFS($B$5:B890,B890,$C$5:C890,C890)=1,1,0)</f>
        <v>0</v>
      </c>
      <c r="H890" s="29" t="n">
        <f aca="false">IF(AND(G890=1,COUNTIFS($B$5:$B$1635,B890,$C$5:$C$1635,"&lt;"&amp;C890)&gt;0),1,0)</f>
        <v>0</v>
      </c>
      <c r="I890" s="29" t="n">
        <f aca="false">IF(AND(D890="Feature Use",COUNTIFS($B$5:B890,B890,$D$5:D890,"Feature Use",$E$5:E890,E890)=1),1,0)</f>
        <v>0</v>
      </c>
      <c r="J890" s="29" t="n">
        <f aca="false">IF(AND(D890="Feature Use",COUNTIFS($B$5:B890,B890,$D$5:D890,"Feature Use",$E$5:E890,E890)=2),1,0)</f>
        <v>0</v>
      </c>
      <c r="K890" s="29" t="n">
        <f aca="false">IF(COUNTIF($B$5:B890,B890)=1,1,0)</f>
        <v>0</v>
      </c>
      <c r="L890" s="29" t="n">
        <f aca="false">IF(AND(C890&gt;=Settings!$B$5-Settings!$B$8+1,C890&lt;=Settings!$B$5,COUNTIFS($B$5:B890,B890,$C$5:C890,"&gt;="&amp;(Settings!$B$5-Settings!$B$8+1),$C$5:C890,"&lt;="&amp;Settings!$B$5)=1),1,0)</f>
        <v>0</v>
      </c>
      <c r="M890" s="29" t="n">
        <f aca="false">IF(AND(C890&gt;=Settings!$B$5-Settings!$B$9+1,C890&lt;=Settings!$B$5,COUNTIFS($B$5:B890,B890,$C$5:C890,"&gt;="&amp;(Settings!$B$5-Settings!$B$9+1),$C$5:C890,"&lt;="&amp;Settings!$B$5)=1),1,0)</f>
        <v>0</v>
      </c>
      <c r="N890" s="29" t="n">
        <f aca="false">IF(AND(D890="Feature Use",COUNTIFS($B$5:B890,B890,$D$5:D890,"Feature Use")=1),1,0)</f>
        <v>0</v>
      </c>
    </row>
    <row r="891" customFormat="false" ht="15" hidden="false" customHeight="false" outlineLevel="0" collapsed="false">
      <c r="A891" s="22" t="s">
        <v>1198</v>
      </c>
      <c r="B891" s="22" t="s">
        <v>241</v>
      </c>
      <c r="C891" s="31" t="n">
        <v>46294</v>
      </c>
      <c r="D891" s="22" t="s">
        <v>300</v>
      </c>
      <c r="E891" s="22" t="s">
        <v>309</v>
      </c>
      <c r="F891" s="29" t="str">
        <f aca="false">IF(COUNTIF(Referral_Data!$C$5:$C$1000,B891)&gt;0,"Referred",IF(COUNTIF(Referral_Data!$B$5:$B$1000,B891)&gt;0,"Referrer","Organic"))</f>
        <v>Referred</v>
      </c>
      <c r="G891" s="29" t="n">
        <f aca="false">IF(COUNTIFS($B$5:B891,B891,$C$5:C891,C891)=1,1,0)</f>
        <v>0</v>
      </c>
      <c r="H891" s="29" t="n">
        <f aca="false">IF(AND(G891=1,COUNTIFS($B$5:$B$1635,B891,$C$5:$C$1635,"&lt;"&amp;C891)&gt;0),1,0)</f>
        <v>0</v>
      </c>
      <c r="I891" s="29" t="n">
        <f aca="false">IF(AND(D891="Feature Use",COUNTIFS($B$5:B891,B891,$D$5:D891,"Feature Use",$E$5:E891,E891)=1),1,0)</f>
        <v>0</v>
      </c>
      <c r="J891" s="29" t="n">
        <f aca="false">IF(AND(D891="Feature Use",COUNTIFS($B$5:B891,B891,$D$5:D891,"Feature Use",$E$5:E891,E891)=2),1,0)</f>
        <v>1</v>
      </c>
      <c r="K891" s="29" t="n">
        <f aca="false">IF(COUNTIF($B$5:B891,B891)=1,1,0)</f>
        <v>0</v>
      </c>
      <c r="L891" s="29" t="n">
        <f aca="false">IF(AND(C891&gt;=Settings!$B$5-Settings!$B$8+1,C891&lt;=Settings!$B$5,COUNTIFS($B$5:B891,B891,$C$5:C891,"&gt;="&amp;(Settings!$B$5-Settings!$B$8+1),$C$5:C891,"&lt;="&amp;Settings!$B$5)=1),1,0)</f>
        <v>0</v>
      </c>
      <c r="M891" s="29" t="n">
        <f aca="false">IF(AND(C891&gt;=Settings!$B$5-Settings!$B$9+1,C891&lt;=Settings!$B$5,COUNTIFS($B$5:B891,B891,$C$5:C891,"&gt;="&amp;(Settings!$B$5-Settings!$B$9+1),$C$5:C891,"&lt;="&amp;Settings!$B$5)=1),1,0)</f>
        <v>0</v>
      </c>
      <c r="N891" s="29" t="n">
        <f aca="false">IF(AND(D891="Feature Use",COUNTIFS($B$5:B891,B891,$D$5:D891,"Feature Use")=1),1,0)</f>
        <v>0</v>
      </c>
    </row>
    <row r="892" customFormat="false" ht="15" hidden="false" customHeight="false" outlineLevel="0" collapsed="false">
      <c r="A892" s="22" t="s">
        <v>1199</v>
      </c>
      <c r="B892" s="22" t="s">
        <v>263</v>
      </c>
      <c r="C892" s="31" t="n">
        <v>46294</v>
      </c>
      <c r="D892" s="22" t="s">
        <v>297</v>
      </c>
      <c r="E892" s="22" t="s">
        <v>298</v>
      </c>
      <c r="F892" s="29" t="str">
        <f aca="false">IF(COUNTIF(Referral_Data!$C$5:$C$1000,B892)&gt;0,"Referred",IF(COUNTIF(Referral_Data!$B$5:$B$1000,B892)&gt;0,"Referrer","Organic"))</f>
        <v>Referred</v>
      </c>
      <c r="G892" s="29" t="n">
        <f aca="false">IF(COUNTIFS($B$5:B892,B892,$C$5:C892,C892)=1,1,0)</f>
        <v>1</v>
      </c>
      <c r="H892" s="29" t="n">
        <f aca="false">IF(AND(G892=1,COUNTIFS($B$5:$B$1635,B892,$C$5:$C$1635,"&lt;"&amp;C892)&gt;0),1,0)</f>
        <v>1</v>
      </c>
      <c r="I892" s="29" t="n">
        <f aca="false">IF(AND(D892="Feature Use",COUNTIFS($B$5:B892,B892,$D$5:D892,"Feature Use",$E$5:E892,E892)=1),1,0)</f>
        <v>0</v>
      </c>
      <c r="J892" s="29" t="n">
        <f aca="false">IF(AND(D892="Feature Use",COUNTIFS($B$5:B892,B892,$D$5:D892,"Feature Use",$E$5:E892,E892)=2),1,0)</f>
        <v>0</v>
      </c>
      <c r="K892" s="29" t="n">
        <f aca="false">IF(COUNTIF($B$5:B892,B892)=1,1,0)</f>
        <v>0</v>
      </c>
      <c r="L892" s="29" t="n">
        <f aca="false">IF(AND(C892&gt;=Settings!$B$5-Settings!$B$8+1,C892&lt;=Settings!$B$5,COUNTIFS($B$5:B892,B892,$C$5:C892,"&gt;="&amp;(Settings!$B$5-Settings!$B$8+1),$C$5:C892,"&lt;="&amp;Settings!$B$5)=1),1,0)</f>
        <v>0</v>
      </c>
      <c r="M892" s="29" t="n">
        <f aca="false">IF(AND(C892&gt;=Settings!$B$5-Settings!$B$9+1,C892&lt;=Settings!$B$5,COUNTIFS($B$5:B892,B892,$C$5:C892,"&gt;="&amp;(Settings!$B$5-Settings!$B$9+1),$C$5:C892,"&lt;="&amp;Settings!$B$5)=1),1,0)</f>
        <v>0</v>
      </c>
      <c r="N892" s="29" t="n">
        <f aca="false">IF(AND(D892="Feature Use",COUNTIFS($B$5:B892,B892,$D$5:D892,"Feature Use")=1),1,0)</f>
        <v>0</v>
      </c>
    </row>
    <row r="893" customFormat="false" ht="15" hidden="false" customHeight="false" outlineLevel="0" collapsed="false">
      <c r="A893" s="22" t="s">
        <v>1200</v>
      </c>
      <c r="B893" s="22" t="s">
        <v>263</v>
      </c>
      <c r="C893" s="31" t="n">
        <v>46294</v>
      </c>
      <c r="D893" s="22" t="s">
        <v>300</v>
      </c>
      <c r="E893" s="22" t="s">
        <v>311</v>
      </c>
      <c r="F893" s="29" t="str">
        <f aca="false">IF(COUNTIF(Referral_Data!$C$5:$C$1000,B893)&gt;0,"Referred",IF(COUNTIF(Referral_Data!$B$5:$B$1000,B893)&gt;0,"Referrer","Organic"))</f>
        <v>Referred</v>
      </c>
      <c r="G893" s="29" t="n">
        <f aca="false">IF(COUNTIFS($B$5:B893,B893,$C$5:C893,C893)=1,1,0)</f>
        <v>0</v>
      </c>
      <c r="H893" s="29" t="n">
        <f aca="false">IF(AND(G893=1,COUNTIFS($B$5:$B$1635,B893,$C$5:$C$1635,"&lt;"&amp;C893)&gt;0),1,0)</f>
        <v>0</v>
      </c>
      <c r="I893" s="29" t="n">
        <f aca="false">IF(AND(D893="Feature Use",COUNTIFS($B$5:B893,B893,$D$5:D893,"Feature Use",$E$5:E893,E893)=1),1,0)</f>
        <v>1</v>
      </c>
      <c r="J893" s="29" t="n">
        <f aca="false">IF(AND(D893="Feature Use",COUNTIFS($B$5:B893,B893,$D$5:D893,"Feature Use",$E$5:E893,E893)=2),1,0)</f>
        <v>0</v>
      </c>
      <c r="K893" s="29" t="n">
        <f aca="false">IF(COUNTIF($B$5:B893,B893)=1,1,0)</f>
        <v>0</v>
      </c>
      <c r="L893" s="29" t="n">
        <f aca="false">IF(AND(C893&gt;=Settings!$B$5-Settings!$B$8+1,C893&lt;=Settings!$B$5,COUNTIFS($B$5:B893,B893,$C$5:C893,"&gt;="&amp;(Settings!$B$5-Settings!$B$8+1),$C$5:C893,"&lt;="&amp;Settings!$B$5)=1),1,0)</f>
        <v>0</v>
      </c>
      <c r="M893" s="29" t="n">
        <f aca="false">IF(AND(C893&gt;=Settings!$B$5-Settings!$B$9+1,C893&lt;=Settings!$B$5,COUNTIFS($B$5:B893,B893,$C$5:C893,"&gt;="&amp;(Settings!$B$5-Settings!$B$9+1),$C$5:C893,"&lt;="&amp;Settings!$B$5)=1),1,0)</f>
        <v>0</v>
      </c>
      <c r="N893" s="29" t="n">
        <f aca="false">IF(AND(D893="Feature Use",COUNTIFS($B$5:B893,B893,$D$5:D893,"Feature Use")=1),1,0)</f>
        <v>0</v>
      </c>
    </row>
    <row r="894" customFormat="false" ht="15" hidden="false" customHeight="false" outlineLevel="0" collapsed="false">
      <c r="A894" s="22" t="s">
        <v>1201</v>
      </c>
      <c r="B894" s="22" t="s">
        <v>263</v>
      </c>
      <c r="C894" s="31" t="n">
        <v>46294</v>
      </c>
      <c r="D894" s="22" t="s">
        <v>308</v>
      </c>
      <c r="E894" s="22" t="s">
        <v>301</v>
      </c>
      <c r="F894" s="29" t="str">
        <f aca="false">IF(COUNTIF(Referral_Data!$C$5:$C$1000,B894)&gt;0,"Referred",IF(COUNTIF(Referral_Data!$B$5:$B$1000,B894)&gt;0,"Referrer","Organic"))</f>
        <v>Referred</v>
      </c>
      <c r="G894" s="29" t="n">
        <f aca="false">IF(COUNTIFS($B$5:B894,B894,$C$5:C894,C894)=1,1,0)</f>
        <v>0</v>
      </c>
      <c r="H894" s="29" t="n">
        <f aca="false">IF(AND(G894=1,COUNTIFS($B$5:$B$1635,B894,$C$5:$C$1635,"&lt;"&amp;C894)&gt;0),1,0)</f>
        <v>0</v>
      </c>
      <c r="I894" s="29" t="n">
        <f aca="false">IF(AND(D894="Feature Use",COUNTIFS($B$5:B894,B894,$D$5:D894,"Feature Use",$E$5:E894,E894)=1),1,0)</f>
        <v>0</v>
      </c>
      <c r="J894" s="29" t="n">
        <f aca="false">IF(AND(D894="Feature Use",COUNTIFS($B$5:B894,B894,$D$5:D894,"Feature Use",$E$5:E894,E894)=2),1,0)</f>
        <v>0</v>
      </c>
      <c r="K894" s="29" t="n">
        <f aca="false">IF(COUNTIF($B$5:B894,B894)=1,1,0)</f>
        <v>0</v>
      </c>
      <c r="L894" s="29" t="n">
        <f aca="false">IF(AND(C894&gt;=Settings!$B$5-Settings!$B$8+1,C894&lt;=Settings!$B$5,COUNTIFS($B$5:B894,B894,$C$5:C894,"&gt;="&amp;(Settings!$B$5-Settings!$B$8+1),$C$5:C894,"&lt;="&amp;Settings!$B$5)=1),1,0)</f>
        <v>0</v>
      </c>
      <c r="M894" s="29" t="n">
        <f aca="false">IF(AND(C894&gt;=Settings!$B$5-Settings!$B$9+1,C894&lt;=Settings!$B$5,COUNTIFS($B$5:B894,B894,$C$5:C894,"&gt;="&amp;(Settings!$B$5-Settings!$B$9+1),$C$5:C894,"&lt;="&amp;Settings!$B$5)=1),1,0)</f>
        <v>0</v>
      </c>
      <c r="N894" s="29" t="n">
        <f aca="false">IF(AND(D894="Feature Use",COUNTIFS($B$5:B894,B894,$D$5:D894,"Feature Use")=1),1,0)</f>
        <v>0</v>
      </c>
    </row>
    <row r="895" customFormat="false" ht="15" hidden="false" customHeight="false" outlineLevel="0" collapsed="false">
      <c r="A895" s="22" t="s">
        <v>1202</v>
      </c>
      <c r="B895" s="22" t="s">
        <v>167</v>
      </c>
      <c r="C895" s="31" t="n">
        <v>46294</v>
      </c>
      <c r="D895" s="22" t="s">
        <v>297</v>
      </c>
      <c r="E895" s="22" t="s">
        <v>298</v>
      </c>
      <c r="F895" s="29" t="str">
        <f aca="false">IF(COUNTIF(Referral_Data!$C$5:$C$1000,B895)&gt;0,"Referred",IF(COUNTIF(Referral_Data!$B$5:$B$1000,B895)&gt;0,"Referrer","Organic"))</f>
        <v>Referrer</v>
      </c>
      <c r="G895" s="29" t="n">
        <f aca="false">IF(COUNTIFS($B$5:B895,B895,$C$5:C895,C895)=1,1,0)</f>
        <v>1</v>
      </c>
      <c r="H895" s="29" t="n">
        <f aca="false">IF(AND(G895=1,COUNTIFS($B$5:$B$1635,B895,$C$5:$C$1635,"&lt;"&amp;C895)&gt;0),1,0)</f>
        <v>1</v>
      </c>
      <c r="I895" s="29" t="n">
        <f aca="false">IF(AND(D895="Feature Use",COUNTIFS($B$5:B895,B895,$D$5:D895,"Feature Use",$E$5:E895,E895)=1),1,0)</f>
        <v>0</v>
      </c>
      <c r="J895" s="29" t="n">
        <f aca="false">IF(AND(D895="Feature Use",COUNTIFS($B$5:B895,B895,$D$5:D895,"Feature Use",$E$5:E895,E895)=2),1,0)</f>
        <v>0</v>
      </c>
      <c r="K895" s="29" t="n">
        <f aca="false">IF(COUNTIF($B$5:B895,B895)=1,1,0)</f>
        <v>0</v>
      </c>
      <c r="L895" s="29" t="n">
        <f aca="false">IF(AND(C895&gt;=Settings!$B$5-Settings!$B$8+1,C895&lt;=Settings!$B$5,COUNTIFS($B$5:B895,B895,$C$5:C895,"&gt;="&amp;(Settings!$B$5-Settings!$B$8+1),$C$5:C895,"&lt;="&amp;Settings!$B$5)=1),1,0)</f>
        <v>0</v>
      </c>
      <c r="M895" s="29" t="n">
        <f aca="false">IF(AND(C895&gt;=Settings!$B$5-Settings!$B$9+1,C895&lt;=Settings!$B$5,COUNTIFS($B$5:B895,B895,$C$5:C895,"&gt;="&amp;(Settings!$B$5-Settings!$B$9+1),$C$5:C895,"&lt;="&amp;Settings!$B$5)=1),1,0)</f>
        <v>0</v>
      </c>
      <c r="N895" s="29" t="n">
        <f aca="false">IF(AND(D895="Feature Use",COUNTIFS($B$5:B895,B895,$D$5:D895,"Feature Use")=1),1,0)</f>
        <v>0</v>
      </c>
    </row>
    <row r="896" customFormat="false" ht="15" hidden="false" customHeight="false" outlineLevel="0" collapsed="false">
      <c r="A896" s="22" t="s">
        <v>1203</v>
      </c>
      <c r="B896" s="22" t="s">
        <v>167</v>
      </c>
      <c r="C896" s="31" t="n">
        <v>46294</v>
      </c>
      <c r="D896" s="22" t="s">
        <v>300</v>
      </c>
      <c r="E896" s="22" t="s">
        <v>305</v>
      </c>
      <c r="F896" s="29" t="str">
        <f aca="false">IF(COUNTIF(Referral_Data!$C$5:$C$1000,B896)&gt;0,"Referred",IF(COUNTIF(Referral_Data!$B$5:$B$1000,B896)&gt;0,"Referrer","Organic"))</f>
        <v>Referrer</v>
      </c>
      <c r="G896" s="29" t="n">
        <f aca="false">IF(COUNTIFS($B$5:B896,B896,$C$5:C896,C896)=1,1,0)</f>
        <v>0</v>
      </c>
      <c r="H896" s="29" t="n">
        <f aca="false">IF(AND(G896=1,COUNTIFS($B$5:$B$1635,B896,$C$5:$C$1635,"&lt;"&amp;C896)&gt;0),1,0)</f>
        <v>0</v>
      </c>
      <c r="I896" s="29" t="n">
        <f aca="false">IF(AND(D896="Feature Use",COUNTIFS($B$5:B896,B896,$D$5:D896,"Feature Use",$E$5:E896,E896)=1),1,0)</f>
        <v>0</v>
      </c>
      <c r="J896" s="29" t="n">
        <f aca="false">IF(AND(D896="Feature Use",COUNTIFS($B$5:B896,B896,$D$5:D896,"Feature Use",$E$5:E896,E896)=2),1,0)</f>
        <v>0</v>
      </c>
      <c r="K896" s="29" t="n">
        <f aca="false">IF(COUNTIF($B$5:B896,B896)=1,1,0)</f>
        <v>0</v>
      </c>
      <c r="L896" s="29" t="n">
        <f aca="false">IF(AND(C896&gt;=Settings!$B$5-Settings!$B$8+1,C896&lt;=Settings!$B$5,COUNTIFS($B$5:B896,B896,$C$5:C896,"&gt;="&amp;(Settings!$B$5-Settings!$B$8+1),$C$5:C896,"&lt;="&amp;Settings!$B$5)=1),1,0)</f>
        <v>0</v>
      </c>
      <c r="M896" s="29" t="n">
        <f aca="false">IF(AND(C896&gt;=Settings!$B$5-Settings!$B$9+1,C896&lt;=Settings!$B$5,COUNTIFS($B$5:B896,B896,$C$5:C896,"&gt;="&amp;(Settings!$B$5-Settings!$B$9+1),$C$5:C896,"&lt;="&amp;Settings!$B$5)=1),1,0)</f>
        <v>0</v>
      </c>
      <c r="N896" s="29" t="n">
        <f aca="false">IF(AND(D896="Feature Use",COUNTIFS($B$5:B896,B896,$D$5:D896,"Feature Use")=1),1,0)</f>
        <v>0</v>
      </c>
    </row>
    <row r="897" customFormat="false" ht="15" hidden="false" customHeight="false" outlineLevel="0" collapsed="false">
      <c r="A897" s="22" t="s">
        <v>1204</v>
      </c>
      <c r="B897" s="22" t="s">
        <v>167</v>
      </c>
      <c r="C897" s="31" t="n">
        <v>46294</v>
      </c>
      <c r="D897" s="22" t="s">
        <v>308</v>
      </c>
      <c r="E897" s="22" t="s">
        <v>311</v>
      </c>
      <c r="F897" s="29" t="str">
        <f aca="false">IF(COUNTIF(Referral_Data!$C$5:$C$1000,B897)&gt;0,"Referred",IF(COUNTIF(Referral_Data!$B$5:$B$1000,B897)&gt;0,"Referrer","Organic"))</f>
        <v>Referrer</v>
      </c>
      <c r="G897" s="29" t="n">
        <f aca="false">IF(COUNTIFS($B$5:B897,B897,$C$5:C897,C897)=1,1,0)</f>
        <v>0</v>
      </c>
      <c r="H897" s="29" t="n">
        <f aca="false">IF(AND(G897=1,COUNTIFS($B$5:$B$1635,B897,$C$5:$C$1635,"&lt;"&amp;C897)&gt;0),1,0)</f>
        <v>0</v>
      </c>
      <c r="I897" s="29" t="n">
        <f aca="false">IF(AND(D897="Feature Use",COUNTIFS($B$5:B897,B897,$D$5:D897,"Feature Use",$E$5:E897,E897)=1),1,0)</f>
        <v>0</v>
      </c>
      <c r="J897" s="29" t="n">
        <f aca="false">IF(AND(D897="Feature Use",COUNTIFS($B$5:B897,B897,$D$5:D897,"Feature Use",$E$5:E897,E897)=2),1,0)</f>
        <v>0</v>
      </c>
      <c r="K897" s="29" t="n">
        <f aca="false">IF(COUNTIF($B$5:B897,B897)=1,1,0)</f>
        <v>0</v>
      </c>
      <c r="L897" s="29" t="n">
        <f aca="false">IF(AND(C897&gt;=Settings!$B$5-Settings!$B$8+1,C897&lt;=Settings!$B$5,COUNTIFS($B$5:B897,B897,$C$5:C897,"&gt;="&amp;(Settings!$B$5-Settings!$B$8+1),$C$5:C897,"&lt;="&amp;Settings!$B$5)=1),1,0)</f>
        <v>0</v>
      </c>
      <c r="M897" s="29" t="n">
        <f aca="false">IF(AND(C897&gt;=Settings!$B$5-Settings!$B$9+1,C897&lt;=Settings!$B$5,COUNTIFS($B$5:B897,B897,$C$5:C897,"&gt;="&amp;(Settings!$B$5-Settings!$B$9+1),$C$5:C897,"&lt;="&amp;Settings!$B$5)=1),1,0)</f>
        <v>0</v>
      </c>
      <c r="N897" s="29" t="n">
        <f aca="false">IF(AND(D897="Feature Use",COUNTIFS($B$5:B897,B897,$D$5:D897,"Feature Use")=1),1,0)</f>
        <v>0</v>
      </c>
    </row>
    <row r="898" customFormat="false" ht="15" hidden="false" customHeight="false" outlineLevel="0" collapsed="false">
      <c r="A898" s="22" t="s">
        <v>1205</v>
      </c>
      <c r="B898" s="22" t="s">
        <v>167</v>
      </c>
      <c r="C898" s="31" t="n">
        <v>46294</v>
      </c>
      <c r="D898" s="22" t="s">
        <v>308</v>
      </c>
      <c r="E898" s="22" t="s">
        <v>311</v>
      </c>
      <c r="F898" s="29" t="str">
        <f aca="false">IF(COUNTIF(Referral_Data!$C$5:$C$1000,B898)&gt;0,"Referred",IF(COUNTIF(Referral_Data!$B$5:$B$1000,B898)&gt;0,"Referrer","Organic"))</f>
        <v>Referrer</v>
      </c>
      <c r="G898" s="29" t="n">
        <f aca="false">IF(COUNTIFS($B$5:B898,B898,$C$5:C898,C898)=1,1,0)</f>
        <v>0</v>
      </c>
      <c r="H898" s="29" t="n">
        <f aca="false">IF(AND(G898=1,COUNTIFS($B$5:$B$1635,B898,$C$5:$C$1635,"&lt;"&amp;C898)&gt;0),1,0)</f>
        <v>0</v>
      </c>
      <c r="I898" s="29" t="n">
        <f aca="false">IF(AND(D898="Feature Use",COUNTIFS($B$5:B898,B898,$D$5:D898,"Feature Use",$E$5:E898,E898)=1),1,0)</f>
        <v>0</v>
      </c>
      <c r="J898" s="29" t="n">
        <f aca="false">IF(AND(D898="Feature Use",COUNTIFS($B$5:B898,B898,$D$5:D898,"Feature Use",$E$5:E898,E898)=2),1,0)</f>
        <v>0</v>
      </c>
      <c r="K898" s="29" t="n">
        <f aca="false">IF(COUNTIF($B$5:B898,B898)=1,1,0)</f>
        <v>0</v>
      </c>
      <c r="L898" s="29" t="n">
        <f aca="false">IF(AND(C898&gt;=Settings!$B$5-Settings!$B$8+1,C898&lt;=Settings!$B$5,COUNTIFS($B$5:B898,B898,$C$5:C898,"&gt;="&amp;(Settings!$B$5-Settings!$B$8+1),$C$5:C898,"&lt;="&amp;Settings!$B$5)=1),1,0)</f>
        <v>0</v>
      </c>
      <c r="M898" s="29" t="n">
        <f aca="false">IF(AND(C898&gt;=Settings!$B$5-Settings!$B$9+1,C898&lt;=Settings!$B$5,COUNTIFS($B$5:B898,B898,$C$5:C898,"&gt;="&amp;(Settings!$B$5-Settings!$B$9+1),$C$5:C898,"&lt;="&amp;Settings!$B$5)=1),1,0)</f>
        <v>0</v>
      </c>
      <c r="N898" s="29" t="n">
        <f aca="false">IF(AND(D898="Feature Use",COUNTIFS($B$5:B898,B898,$D$5:D898,"Feature Use")=1),1,0)</f>
        <v>0</v>
      </c>
    </row>
    <row r="899" customFormat="false" ht="15" hidden="false" customHeight="false" outlineLevel="0" collapsed="false">
      <c r="A899" s="22" t="s">
        <v>1206</v>
      </c>
      <c r="B899" s="22" t="s">
        <v>203</v>
      </c>
      <c r="C899" s="31" t="n">
        <v>46294</v>
      </c>
      <c r="D899" s="22" t="s">
        <v>297</v>
      </c>
      <c r="E899" s="22" t="s">
        <v>298</v>
      </c>
      <c r="F899" s="29" t="str">
        <f aca="false">IF(COUNTIF(Referral_Data!$C$5:$C$1000,B899)&gt;0,"Referred",IF(COUNTIF(Referral_Data!$B$5:$B$1000,B899)&gt;0,"Referrer","Organic"))</f>
        <v>Referrer</v>
      </c>
      <c r="G899" s="29" t="n">
        <f aca="false">IF(COUNTIFS($B$5:B899,B899,$C$5:C899,C899)=1,1,0)</f>
        <v>1</v>
      </c>
      <c r="H899" s="29" t="n">
        <f aca="false">IF(AND(G899=1,COUNTIFS($B$5:$B$1635,B899,$C$5:$C$1635,"&lt;"&amp;C899)&gt;0),1,0)</f>
        <v>1</v>
      </c>
      <c r="I899" s="29" t="n">
        <f aca="false">IF(AND(D899="Feature Use",COUNTIFS($B$5:B899,B899,$D$5:D899,"Feature Use",$E$5:E899,E899)=1),1,0)</f>
        <v>0</v>
      </c>
      <c r="J899" s="29" t="n">
        <f aca="false">IF(AND(D899="Feature Use",COUNTIFS($B$5:B899,B899,$D$5:D899,"Feature Use",$E$5:E899,E899)=2),1,0)</f>
        <v>0</v>
      </c>
      <c r="K899" s="29" t="n">
        <f aca="false">IF(COUNTIF($B$5:B899,B899)=1,1,0)</f>
        <v>0</v>
      </c>
      <c r="L899" s="29" t="n">
        <f aca="false">IF(AND(C899&gt;=Settings!$B$5-Settings!$B$8+1,C899&lt;=Settings!$B$5,COUNTIFS($B$5:B899,B899,$C$5:C899,"&gt;="&amp;(Settings!$B$5-Settings!$B$8+1),$C$5:C899,"&lt;="&amp;Settings!$B$5)=1),1,0)</f>
        <v>0</v>
      </c>
      <c r="M899" s="29" t="n">
        <f aca="false">IF(AND(C899&gt;=Settings!$B$5-Settings!$B$9+1,C899&lt;=Settings!$B$5,COUNTIFS($B$5:B899,B899,$C$5:C899,"&gt;="&amp;(Settings!$B$5-Settings!$B$9+1),$C$5:C899,"&lt;="&amp;Settings!$B$5)=1),1,0)</f>
        <v>0</v>
      </c>
      <c r="N899" s="29" t="n">
        <f aca="false">IF(AND(D899="Feature Use",COUNTIFS($B$5:B899,B899,$D$5:D899,"Feature Use")=1),1,0)</f>
        <v>0</v>
      </c>
    </row>
    <row r="900" customFormat="false" ht="15" hidden="false" customHeight="false" outlineLevel="0" collapsed="false">
      <c r="A900" s="22" t="s">
        <v>1207</v>
      </c>
      <c r="B900" s="22" t="s">
        <v>203</v>
      </c>
      <c r="C900" s="31" t="n">
        <v>46294</v>
      </c>
      <c r="D900" s="22" t="s">
        <v>300</v>
      </c>
      <c r="E900" s="22" t="s">
        <v>305</v>
      </c>
      <c r="F900" s="29" t="str">
        <f aca="false">IF(COUNTIF(Referral_Data!$C$5:$C$1000,B900)&gt;0,"Referred",IF(COUNTIF(Referral_Data!$B$5:$B$1000,B900)&gt;0,"Referrer","Organic"))</f>
        <v>Referrer</v>
      </c>
      <c r="G900" s="29" t="n">
        <f aca="false">IF(COUNTIFS($B$5:B900,B900,$C$5:C900,C900)=1,1,0)</f>
        <v>0</v>
      </c>
      <c r="H900" s="29" t="n">
        <f aca="false">IF(AND(G900=1,COUNTIFS($B$5:$B$1635,B900,$C$5:$C$1635,"&lt;"&amp;C900)&gt;0),1,0)</f>
        <v>0</v>
      </c>
      <c r="I900" s="29" t="n">
        <f aca="false">IF(AND(D900="Feature Use",COUNTIFS($B$5:B900,B900,$D$5:D900,"Feature Use",$E$5:E900,E900)=1),1,0)</f>
        <v>0</v>
      </c>
      <c r="J900" s="29" t="n">
        <f aca="false">IF(AND(D900="Feature Use",COUNTIFS($B$5:B900,B900,$D$5:D900,"Feature Use",$E$5:E900,E900)=2),1,0)</f>
        <v>0</v>
      </c>
      <c r="K900" s="29" t="n">
        <f aca="false">IF(COUNTIF($B$5:B900,B900)=1,1,0)</f>
        <v>0</v>
      </c>
      <c r="L900" s="29" t="n">
        <f aca="false">IF(AND(C900&gt;=Settings!$B$5-Settings!$B$8+1,C900&lt;=Settings!$B$5,COUNTIFS($B$5:B900,B900,$C$5:C900,"&gt;="&amp;(Settings!$B$5-Settings!$B$8+1),$C$5:C900,"&lt;="&amp;Settings!$B$5)=1),1,0)</f>
        <v>0</v>
      </c>
      <c r="M900" s="29" t="n">
        <f aca="false">IF(AND(C900&gt;=Settings!$B$5-Settings!$B$9+1,C900&lt;=Settings!$B$5,COUNTIFS($B$5:B900,B900,$C$5:C900,"&gt;="&amp;(Settings!$B$5-Settings!$B$9+1),$C$5:C900,"&lt;="&amp;Settings!$B$5)=1),1,0)</f>
        <v>0</v>
      </c>
      <c r="N900" s="29" t="n">
        <f aca="false">IF(AND(D900="Feature Use",COUNTIFS($B$5:B900,B900,$D$5:D900,"Feature Use")=1),1,0)</f>
        <v>0</v>
      </c>
    </row>
    <row r="901" customFormat="false" ht="15" hidden="false" customHeight="false" outlineLevel="0" collapsed="false">
      <c r="A901" s="22" t="s">
        <v>1208</v>
      </c>
      <c r="B901" s="22" t="s">
        <v>203</v>
      </c>
      <c r="C901" s="31" t="n">
        <v>46294</v>
      </c>
      <c r="D901" s="22" t="s">
        <v>300</v>
      </c>
      <c r="E901" s="22" t="s">
        <v>301</v>
      </c>
      <c r="F901" s="29" t="str">
        <f aca="false">IF(COUNTIF(Referral_Data!$C$5:$C$1000,B901)&gt;0,"Referred",IF(COUNTIF(Referral_Data!$B$5:$B$1000,B901)&gt;0,"Referrer","Organic"))</f>
        <v>Referrer</v>
      </c>
      <c r="G901" s="29" t="n">
        <f aca="false">IF(COUNTIFS($B$5:B901,B901,$C$5:C901,C901)=1,1,0)</f>
        <v>0</v>
      </c>
      <c r="H901" s="29" t="n">
        <f aca="false">IF(AND(G901=1,COUNTIFS($B$5:$B$1635,B901,$C$5:$C$1635,"&lt;"&amp;C901)&gt;0),1,0)</f>
        <v>0</v>
      </c>
      <c r="I901" s="29" t="n">
        <f aca="false">IF(AND(D901="Feature Use",COUNTIFS($B$5:B901,B901,$D$5:D901,"Feature Use",$E$5:E901,E901)=1),1,0)</f>
        <v>0</v>
      </c>
      <c r="J901" s="29" t="n">
        <f aca="false">IF(AND(D901="Feature Use",COUNTIFS($B$5:B901,B901,$D$5:D901,"Feature Use",$E$5:E901,E901)=2),1,0)</f>
        <v>0</v>
      </c>
      <c r="K901" s="29" t="n">
        <f aca="false">IF(COUNTIF($B$5:B901,B901)=1,1,0)</f>
        <v>0</v>
      </c>
      <c r="L901" s="29" t="n">
        <f aca="false">IF(AND(C901&gt;=Settings!$B$5-Settings!$B$8+1,C901&lt;=Settings!$B$5,COUNTIFS($B$5:B901,B901,$C$5:C901,"&gt;="&amp;(Settings!$B$5-Settings!$B$8+1),$C$5:C901,"&lt;="&amp;Settings!$B$5)=1),1,0)</f>
        <v>0</v>
      </c>
      <c r="M901" s="29" t="n">
        <f aca="false">IF(AND(C901&gt;=Settings!$B$5-Settings!$B$9+1,C901&lt;=Settings!$B$5,COUNTIFS($B$5:B901,B901,$C$5:C901,"&gt;="&amp;(Settings!$B$5-Settings!$B$9+1),$C$5:C901,"&lt;="&amp;Settings!$B$5)=1),1,0)</f>
        <v>0</v>
      </c>
      <c r="N901" s="29" t="n">
        <f aca="false">IF(AND(D901="Feature Use",COUNTIFS($B$5:B901,B901,$D$5:D901,"Feature Use")=1),1,0)</f>
        <v>0</v>
      </c>
    </row>
    <row r="902" customFormat="false" ht="15" hidden="false" customHeight="false" outlineLevel="0" collapsed="false">
      <c r="A902" s="22" t="s">
        <v>1209</v>
      </c>
      <c r="B902" s="22" t="s">
        <v>385</v>
      </c>
      <c r="C902" s="31" t="n">
        <v>46295</v>
      </c>
      <c r="D902" s="22" t="s">
        <v>297</v>
      </c>
      <c r="E902" s="22" t="s">
        <v>298</v>
      </c>
      <c r="F902" s="29" t="str">
        <f aca="false">IF(COUNTIF(Referral_Data!$C$5:$C$1000,B902)&gt;0,"Referred",IF(COUNTIF(Referral_Data!$B$5:$B$1000,B902)&gt;0,"Referrer","Organic"))</f>
        <v>Organic</v>
      </c>
      <c r="G902" s="29" t="n">
        <f aca="false">IF(COUNTIFS($B$5:B902,B902,$C$5:C902,C902)=1,1,0)</f>
        <v>1</v>
      </c>
      <c r="H902" s="29" t="n">
        <f aca="false">IF(AND(G902=1,COUNTIFS($B$5:$B$1635,B902,$C$5:$C$1635,"&lt;"&amp;C902)&gt;0),1,0)</f>
        <v>1</v>
      </c>
      <c r="I902" s="29" t="n">
        <f aca="false">IF(AND(D902="Feature Use",COUNTIFS($B$5:B902,B902,$D$5:D902,"Feature Use",$E$5:E902,E902)=1),1,0)</f>
        <v>0</v>
      </c>
      <c r="J902" s="29" t="n">
        <f aca="false">IF(AND(D902="Feature Use",COUNTIFS($B$5:B902,B902,$D$5:D902,"Feature Use",$E$5:E902,E902)=2),1,0)</f>
        <v>0</v>
      </c>
      <c r="K902" s="29" t="n">
        <f aca="false">IF(COUNTIF($B$5:B902,B902)=1,1,0)</f>
        <v>0</v>
      </c>
      <c r="L902" s="29" t="n">
        <f aca="false">IF(AND(C902&gt;=Settings!$B$5-Settings!$B$8+1,C902&lt;=Settings!$B$5,COUNTIFS($B$5:B902,B902,$C$5:C902,"&gt;="&amp;(Settings!$B$5-Settings!$B$8+1),$C$5:C902,"&lt;="&amp;Settings!$B$5)=1),1,0)</f>
        <v>0</v>
      </c>
      <c r="M902" s="29" t="n">
        <f aca="false">IF(AND(C902&gt;=Settings!$B$5-Settings!$B$9+1,C902&lt;=Settings!$B$5,COUNTIFS($B$5:B902,B902,$C$5:C902,"&gt;="&amp;(Settings!$B$5-Settings!$B$9+1),$C$5:C902,"&lt;="&amp;Settings!$B$5)=1),1,0)</f>
        <v>0</v>
      </c>
      <c r="N902" s="29" t="n">
        <f aca="false">IF(AND(D902="Feature Use",COUNTIFS($B$5:B902,B902,$D$5:D902,"Feature Use")=1),1,0)</f>
        <v>0</v>
      </c>
    </row>
    <row r="903" customFormat="false" ht="15" hidden="false" customHeight="false" outlineLevel="0" collapsed="false">
      <c r="A903" s="22" t="s">
        <v>1210</v>
      </c>
      <c r="B903" s="22" t="s">
        <v>385</v>
      </c>
      <c r="C903" s="31" t="n">
        <v>46295</v>
      </c>
      <c r="D903" s="22" t="s">
        <v>300</v>
      </c>
      <c r="E903" s="22" t="s">
        <v>311</v>
      </c>
      <c r="F903" s="29" t="str">
        <f aca="false">IF(COUNTIF(Referral_Data!$C$5:$C$1000,B903)&gt;0,"Referred",IF(COUNTIF(Referral_Data!$B$5:$B$1000,B903)&gt;0,"Referrer","Organic"))</f>
        <v>Organic</v>
      </c>
      <c r="G903" s="29" t="n">
        <f aca="false">IF(COUNTIFS($B$5:B903,B903,$C$5:C903,C903)=1,1,0)</f>
        <v>0</v>
      </c>
      <c r="H903" s="29" t="n">
        <f aca="false">IF(AND(G903=1,COUNTIFS($B$5:$B$1635,B903,$C$5:$C$1635,"&lt;"&amp;C903)&gt;0),1,0)</f>
        <v>0</v>
      </c>
      <c r="I903" s="29" t="n">
        <f aca="false">IF(AND(D903="Feature Use",COUNTIFS($B$5:B903,B903,$D$5:D903,"Feature Use",$E$5:E903,E903)=1),1,0)</f>
        <v>0</v>
      </c>
      <c r="J903" s="29" t="n">
        <f aca="false">IF(AND(D903="Feature Use",COUNTIFS($B$5:B903,B903,$D$5:D903,"Feature Use",$E$5:E903,E903)=2),1,0)</f>
        <v>0</v>
      </c>
      <c r="K903" s="29" t="n">
        <f aca="false">IF(COUNTIF($B$5:B903,B903)=1,1,0)</f>
        <v>0</v>
      </c>
      <c r="L903" s="29" t="n">
        <f aca="false">IF(AND(C903&gt;=Settings!$B$5-Settings!$B$8+1,C903&lt;=Settings!$B$5,COUNTIFS($B$5:B903,B903,$C$5:C903,"&gt;="&amp;(Settings!$B$5-Settings!$B$8+1),$C$5:C903,"&lt;="&amp;Settings!$B$5)=1),1,0)</f>
        <v>0</v>
      </c>
      <c r="M903" s="29" t="n">
        <f aca="false">IF(AND(C903&gt;=Settings!$B$5-Settings!$B$9+1,C903&lt;=Settings!$B$5,COUNTIFS($B$5:B903,B903,$C$5:C903,"&gt;="&amp;(Settings!$B$5-Settings!$B$9+1),$C$5:C903,"&lt;="&amp;Settings!$B$5)=1),1,0)</f>
        <v>0</v>
      </c>
      <c r="N903" s="29" t="n">
        <f aca="false">IF(AND(D903="Feature Use",COUNTIFS($B$5:B903,B903,$D$5:D903,"Feature Use")=1),1,0)</f>
        <v>0</v>
      </c>
    </row>
    <row r="904" customFormat="false" ht="15" hidden="false" customHeight="false" outlineLevel="0" collapsed="false">
      <c r="A904" s="22" t="s">
        <v>1211</v>
      </c>
      <c r="B904" s="22" t="s">
        <v>385</v>
      </c>
      <c r="C904" s="31" t="n">
        <v>46295</v>
      </c>
      <c r="D904" s="22" t="s">
        <v>308</v>
      </c>
      <c r="E904" s="22" t="s">
        <v>311</v>
      </c>
      <c r="F904" s="29" t="str">
        <f aca="false">IF(COUNTIF(Referral_Data!$C$5:$C$1000,B904)&gt;0,"Referred",IF(COUNTIF(Referral_Data!$B$5:$B$1000,B904)&gt;0,"Referrer","Organic"))</f>
        <v>Organic</v>
      </c>
      <c r="G904" s="29" t="n">
        <f aca="false">IF(COUNTIFS($B$5:B904,B904,$C$5:C904,C904)=1,1,0)</f>
        <v>0</v>
      </c>
      <c r="H904" s="29" t="n">
        <f aca="false">IF(AND(G904=1,COUNTIFS($B$5:$B$1635,B904,$C$5:$C$1635,"&lt;"&amp;C904)&gt;0),1,0)</f>
        <v>0</v>
      </c>
      <c r="I904" s="29" t="n">
        <f aca="false">IF(AND(D904="Feature Use",COUNTIFS($B$5:B904,B904,$D$5:D904,"Feature Use",$E$5:E904,E904)=1),1,0)</f>
        <v>0</v>
      </c>
      <c r="J904" s="29" t="n">
        <f aca="false">IF(AND(D904="Feature Use",COUNTIFS($B$5:B904,B904,$D$5:D904,"Feature Use",$E$5:E904,E904)=2),1,0)</f>
        <v>0</v>
      </c>
      <c r="K904" s="29" t="n">
        <f aca="false">IF(COUNTIF($B$5:B904,B904)=1,1,0)</f>
        <v>0</v>
      </c>
      <c r="L904" s="29" t="n">
        <f aca="false">IF(AND(C904&gt;=Settings!$B$5-Settings!$B$8+1,C904&lt;=Settings!$B$5,COUNTIFS($B$5:B904,B904,$C$5:C904,"&gt;="&amp;(Settings!$B$5-Settings!$B$8+1),$C$5:C904,"&lt;="&amp;Settings!$B$5)=1),1,0)</f>
        <v>0</v>
      </c>
      <c r="M904" s="29" t="n">
        <f aca="false">IF(AND(C904&gt;=Settings!$B$5-Settings!$B$9+1,C904&lt;=Settings!$B$5,COUNTIFS($B$5:B904,B904,$C$5:C904,"&gt;="&amp;(Settings!$B$5-Settings!$B$9+1),$C$5:C904,"&lt;="&amp;Settings!$B$5)=1),1,0)</f>
        <v>0</v>
      </c>
      <c r="N904" s="29" t="n">
        <f aca="false">IF(AND(D904="Feature Use",COUNTIFS($B$5:B904,B904,$D$5:D904,"Feature Use")=1),1,0)</f>
        <v>0</v>
      </c>
    </row>
    <row r="905" customFormat="false" ht="15" hidden="false" customHeight="false" outlineLevel="0" collapsed="false">
      <c r="A905" s="22" t="s">
        <v>1212</v>
      </c>
      <c r="B905" s="22" t="s">
        <v>385</v>
      </c>
      <c r="C905" s="31" t="n">
        <v>46295</v>
      </c>
      <c r="D905" s="22" t="s">
        <v>308</v>
      </c>
      <c r="E905" s="22" t="s">
        <v>305</v>
      </c>
      <c r="F905" s="29" t="str">
        <f aca="false">IF(COUNTIF(Referral_Data!$C$5:$C$1000,B905)&gt;0,"Referred",IF(COUNTIF(Referral_Data!$B$5:$B$1000,B905)&gt;0,"Referrer","Organic"))</f>
        <v>Organic</v>
      </c>
      <c r="G905" s="29" t="n">
        <f aca="false">IF(COUNTIFS($B$5:B905,B905,$C$5:C905,C905)=1,1,0)</f>
        <v>0</v>
      </c>
      <c r="H905" s="29" t="n">
        <f aca="false">IF(AND(G905=1,COUNTIFS($B$5:$B$1635,B905,$C$5:$C$1635,"&lt;"&amp;C905)&gt;0),1,0)</f>
        <v>0</v>
      </c>
      <c r="I905" s="29" t="n">
        <f aca="false">IF(AND(D905="Feature Use",COUNTIFS($B$5:B905,B905,$D$5:D905,"Feature Use",$E$5:E905,E905)=1),1,0)</f>
        <v>0</v>
      </c>
      <c r="J905" s="29" t="n">
        <f aca="false">IF(AND(D905="Feature Use",COUNTIFS($B$5:B905,B905,$D$5:D905,"Feature Use",$E$5:E905,E905)=2),1,0)</f>
        <v>0</v>
      </c>
      <c r="K905" s="29" t="n">
        <f aca="false">IF(COUNTIF($B$5:B905,B905)=1,1,0)</f>
        <v>0</v>
      </c>
      <c r="L905" s="29" t="n">
        <f aca="false">IF(AND(C905&gt;=Settings!$B$5-Settings!$B$8+1,C905&lt;=Settings!$B$5,COUNTIFS($B$5:B905,B905,$C$5:C905,"&gt;="&amp;(Settings!$B$5-Settings!$B$8+1),$C$5:C905,"&lt;="&amp;Settings!$B$5)=1),1,0)</f>
        <v>0</v>
      </c>
      <c r="M905" s="29" t="n">
        <f aca="false">IF(AND(C905&gt;=Settings!$B$5-Settings!$B$9+1,C905&lt;=Settings!$B$5,COUNTIFS($B$5:B905,B905,$C$5:C905,"&gt;="&amp;(Settings!$B$5-Settings!$B$9+1),$C$5:C905,"&lt;="&amp;Settings!$B$5)=1),1,0)</f>
        <v>0</v>
      </c>
      <c r="N905" s="29" t="n">
        <f aca="false">IF(AND(D905="Feature Use",COUNTIFS($B$5:B905,B905,$D$5:D905,"Feature Use")=1),1,0)</f>
        <v>0</v>
      </c>
    </row>
    <row r="906" customFormat="false" ht="15" hidden="false" customHeight="false" outlineLevel="0" collapsed="false">
      <c r="A906" s="22" t="s">
        <v>1213</v>
      </c>
      <c r="B906" s="22" t="s">
        <v>168</v>
      </c>
      <c r="C906" s="31" t="n">
        <v>46295</v>
      </c>
      <c r="D906" s="22" t="s">
        <v>297</v>
      </c>
      <c r="E906" s="22" t="s">
        <v>298</v>
      </c>
      <c r="F906" s="29" t="str">
        <f aca="false">IF(COUNTIF(Referral_Data!$C$5:$C$1000,B906)&gt;0,"Referred",IF(COUNTIF(Referral_Data!$B$5:$B$1000,B906)&gt;0,"Referrer","Organic"))</f>
        <v>Referred</v>
      </c>
      <c r="G906" s="29" t="n">
        <f aca="false">IF(COUNTIFS($B$5:B906,B906,$C$5:C906,C906)=1,1,0)</f>
        <v>1</v>
      </c>
      <c r="H906" s="29" t="n">
        <f aca="false">IF(AND(G906=1,COUNTIFS($B$5:$B$1635,B906,$C$5:$C$1635,"&lt;"&amp;C906)&gt;0),1,0)</f>
        <v>1</v>
      </c>
      <c r="I906" s="29" t="n">
        <f aca="false">IF(AND(D906="Feature Use",COUNTIFS($B$5:B906,B906,$D$5:D906,"Feature Use",$E$5:E906,E906)=1),1,0)</f>
        <v>0</v>
      </c>
      <c r="J906" s="29" t="n">
        <f aca="false">IF(AND(D906="Feature Use",COUNTIFS($B$5:B906,B906,$D$5:D906,"Feature Use",$E$5:E906,E906)=2),1,0)</f>
        <v>0</v>
      </c>
      <c r="K906" s="29" t="n">
        <f aca="false">IF(COUNTIF($B$5:B906,B906)=1,1,0)</f>
        <v>0</v>
      </c>
      <c r="L906" s="29" t="n">
        <f aca="false">IF(AND(C906&gt;=Settings!$B$5-Settings!$B$8+1,C906&lt;=Settings!$B$5,COUNTIFS($B$5:B906,B906,$C$5:C906,"&gt;="&amp;(Settings!$B$5-Settings!$B$8+1),$C$5:C906,"&lt;="&amp;Settings!$B$5)=1),1,0)</f>
        <v>0</v>
      </c>
      <c r="M906" s="29" t="n">
        <f aca="false">IF(AND(C906&gt;=Settings!$B$5-Settings!$B$9+1,C906&lt;=Settings!$B$5,COUNTIFS($B$5:B906,B906,$C$5:C906,"&gt;="&amp;(Settings!$B$5-Settings!$B$9+1),$C$5:C906,"&lt;="&amp;Settings!$B$5)=1),1,0)</f>
        <v>0</v>
      </c>
      <c r="N906" s="29" t="n">
        <f aca="false">IF(AND(D906="Feature Use",COUNTIFS($B$5:B906,B906,$D$5:D906,"Feature Use")=1),1,0)</f>
        <v>0</v>
      </c>
    </row>
    <row r="907" customFormat="false" ht="15" hidden="false" customHeight="false" outlineLevel="0" collapsed="false">
      <c r="A907" s="22" t="s">
        <v>1214</v>
      </c>
      <c r="B907" s="22" t="s">
        <v>168</v>
      </c>
      <c r="C907" s="31" t="n">
        <v>46295</v>
      </c>
      <c r="D907" s="22" t="s">
        <v>300</v>
      </c>
      <c r="E907" s="22" t="s">
        <v>319</v>
      </c>
      <c r="F907" s="29" t="str">
        <f aca="false">IF(COUNTIF(Referral_Data!$C$5:$C$1000,B907)&gt;0,"Referred",IF(COUNTIF(Referral_Data!$B$5:$B$1000,B907)&gt;0,"Referrer","Organic"))</f>
        <v>Referred</v>
      </c>
      <c r="G907" s="29" t="n">
        <f aca="false">IF(COUNTIFS($B$5:B907,B907,$C$5:C907,C907)=1,1,0)</f>
        <v>0</v>
      </c>
      <c r="H907" s="29" t="n">
        <f aca="false">IF(AND(G907=1,COUNTIFS($B$5:$B$1635,B907,$C$5:$C$1635,"&lt;"&amp;C907)&gt;0),1,0)</f>
        <v>0</v>
      </c>
      <c r="I907" s="29" t="n">
        <f aca="false">IF(AND(D907="Feature Use",COUNTIFS($B$5:B907,B907,$D$5:D907,"Feature Use",$E$5:E907,E907)=1),1,0)</f>
        <v>1</v>
      </c>
      <c r="J907" s="29" t="n">
        <f aca="false">IF(AND(D907="Feature Use",COUNTIFS($B$5:B907,B907,$D$5:D907,"Feature Use",$E$5:E907,E907)=2),1,0)</f>
        <v>0</v>
      </c>
      <c r="K907" s="29" t="n">
        <f aca="false">IF(COUNTIF($B$5:B907,B907)=1,1,0)</f>
        <v>0</v>
      </c>
      <c r="L907" s="29" t="n">
        <f aca="false">IF(AND(C907&gt;=Settings!$B$5-Settings!$B$8+1,C907&lt;=Settings!$B$5,COUNTIFS($B$5:B907,B907,$C$5:C907,"&gt;="&amp;(Settings!$B$5-Settings!$B$8+1),$C$5:C907,"&lt;="&amp;Settings!$B$5)=1),1,0)</f>
        <v>0</v>
      </c>
      <c r="M907" s="29" t="n">
        <f aca="false">IF(AND(C907&gt;=Settings!$B$5-Settings!$B$9+1,C907&lt;=Settings!$B$5,COUNTIFS($B$5:B907,B907,$C$5:C907,"&gt;="&amp;(Settings!$B$5-Settings!$B$9+1),$C$5:C907,"&lt;="&amp;Settings!$B$5)=1),1,0)</f>
        <v>0</v>
      </c>
      <c r="N907" s="29" t="n">
        <f aca="false">IF(AND(D907="Feature Use",COUNTIFS($B$5:B907,B907,$D$5:D907,"Feature Use")=1),1,0)</f>
        <v>0</v>
      </c>
    </row>
    <row r="908" customFormat="false" ht="15" hidden="false" customHeight="false" outlineLevel="0" collapsed="false">
      <c r="A908" s="22" t="s">
        <v>1215</v>
      </c>
      <c r="B908" s="22" t="s">
        <v>168</v>
      </c>
      <c r="C908" s="31" t="n">
        <v>46295</v>
      </c>
      <c r="D908" s="22" t="s">
        <v>300</v>
      </c>
      <c r="E908" s="22" t="s">
        <v>319</v>
      </c>
      <c r="F908" s="29" t="str">
        <f aca="false">IF(COUNTIF(Referral_Data!$C$5:$C$1000,B908)&gt;0,"Referred",IF(COUNTIF(Referral_Data!$B$5:$B$1000,B908)&gt;0,"Referrer","Organic"))</f>
        <v>Referred</v>
      </c>
      <c r="G908" s="29" t="n">
        <f aca="false">IF(COUNTIFS($B$5:B908,B908,$C$5:C908,C908)=1,1,0)</f>
        <v>0</v>
      </c>
      <c r="H908" s="29" t="n">
        <f aca="false">IF(AND(G908=1,COUNTIFS($B$5:$B$1635,B908,$C$5:$C$1635,"&lt;"&amp;C908)&gt;0),1,0)</f>
        <v>0</v>
      </c>
      <c r="I908" s="29" t="n">
        <f aca="false">IF(AND(D908="Feature Use",COUNTIFS($B$5:B908,B908,$D$5:D908,"Feature Use",$E$5:E908,E908)=1),1,0)</f>
        <v>0</v>
      </c>
      <c r="J908" s="29" t="n">
        <f aca="false">IF(AND(D908="Feature Use",COUNTIFS($B$5:B908,B908,$D$5:D908,"Feature Use",$E$5:E908,E908)=2),1,0)</f>
        <v>1</v>
      </c>
      <c r="K908" s="29" t="n">
        <f aca="false">IF(COUNTIF($B$5:B908,B908)=1,1,0)</f>
        <v>0</v>
      </c>
      <c r="L908" s="29" t="n">
        <f aca="false">IF(AND(C908&gt;=Settings!$B$5-Settings!$B$8+1,C908&lt;=Settings!$B$5,COUNTIFS($B$5:B908,B908,$C$5:C908,"&gt;="&amp;(Settings!$B$5-Settings!$B$8+1),$C$5:C908,"&lt;="&amp;Settings!$B$5)=1),1,0)</f>
        <v>0</v>
      </c>
      <c r="M908" s="29" t="n">
        <f aca="false">IF(AND(C908&gt;=Settings!$B$5-Settings!$B$9+1,C908&lt;=Settings!$B$5,COUNTIFS($B$5:B908,B908,$C$5:C908,"&gt;="&amp;(Settings!$B$5-Settings!$B$9+1),$C$5:C908,"&lt;="&amp;Settings!$B$5)=1),1,0)</f>
        <v>0</v>
      </c>
      <c r="N908" s="29" t="n">
        <f aca="false">IF(AND(D908="Feature Use",COUNTIFS($B$5:B908,B908,$D$5:D908,"Feature Use")=1),1,0)</f>
        <v>0</v>
      </c>
    </row>
    <row r="909" customFormat="false" ht="15" hidden="false" customHeight="false" outlineLevel="0" collapsed="false">
      <c r="A909" s="22" t="s">
        <v>1216</v>
      </c>
      <c r="B909" s="22" t="s">
        <v>168</v>
      </c>
      <c r="C909" s="31" t="n">
        <v>46295</v>
      </c>
      <c r="D909" s="22" t="s">
        <v>308</v>
      </c>
      <c r="E909" s="22" t="s">
        <v>301</v>
      </c>
      <c r="F909" s="29" t="str">
        <f aca="false">IF(COUNTIF(Referral_Data!$C$5:$C$1000,B909)&gt;0,"Referred",IF(COUNTIF(Referral_Data!$B$5:$B$1000,B909)&gt;0,"Referrer","Organic"))</f>
        <v>Referred</v>
      </c>
      <c r="G909" s="29" t="n">
        <f aca="false">IF(COUNTIFS($B$5:B909,B909,$C$5:C909,C909)=1,1,0)</f>
        <v>0</v>
      </c>
      <c r="H909" s="29" t="n">
        <f aca="false">IF(AND(G909=1,COUNTIFS($B$5:$B$1635,B909,$C$5:$C$1635,"&lt;"&amp;C909)&gt;0),1,0)</f>
        <v>0</v>
      </c>
      <c r="I909" s="29" t="n">
        <f aca="false">IF(AND(D909="Feature Use",COUNTIFS($B$5:B909,B909,$D$5:D909,"Feature Use",$E$5:E909,E909)=1),1,0)</f>
        <v>0</v>
      </c>
      <c r="J909" s="29" t="n">
        <f aca="false">IF(AND(D909="Feature Use",COUNTIFS($B$5:B909,B909,$D$5:D909,"Feature Use",$E$5:E909,E909)=2),1,0)</f>
        <v>0</v>
      </c>
      <c r="K909" s="29" t="n">
        <f aca="false">IF(COUNTIF($B$5:B909,B909)=1,1,0)</f>
        <v>0</v>
      </c>
      <c r="L909" s="29" t="n">
        <f aca="false">IF(AND(C909&gt;=Settings!$B$5-Settings!$B$8+1,C909&lt;=Settings!$B$5,COUNTIFS($B$5:B909,B909,$C$5:C909,"&gt;="&amp;(Settings!$B$5-Settings!$B$8+1),$C$5:C909,"&lt;="&amp;Settings!$B$5)=1),1,0)</f>
        <v>0</v>
      </c>
      <c r="M909" s="29" t="n">
        <f aca="false">IF(AND(C909&gt;=Settings!$B$5-Settings!$B$9+1,C909&lt;=Settings!$B$5,COUNTIFS($B$5:B909,B909,$C$5:C909,"&gt;="&amp;(Settings!$B$5-Settings!$B$9+1),$C$5:C909,"&lt;="&amp;Settings!$B$5)=1),1,0)</f>
        <v>0</v>
      </c>
      <c r="N909" s="29" t="n">
        <f aca="false">IF(AND(D909="Feature Use",COUNTIFS($B$5:B909,B909,$D$5:D909,"Feature Use")=1),1,0)</f>
        <v>0</v>
      </c>
    </row>
    <row r="910" customFormat="false" ht="15" hidden="false" customHeight="false" outlineLevel="0" collapsed="false">
      <c r="A910" s="22" t="s">
        <v>1217</v>
      </c>
      <c r="B910" s="22" t="s">
        <v>168</v>
      </c>
      <c r="C910" s="31" t="n">
        <v>46295</v>
      </c>
      <c r="D910" s="22" t="s">
        <v>308</v>
      </c>
      <c r="E910" s="22" t="s">
        <v>305</v>
      </c>
      <c r="F910" s="29" t="str">
        <f aca="false">IF(COUNTIF(Referral_Data!$C$5:$C$1000,B910)&gt;0,"Referred",IF(COUNTIF(Referral_Data!$B$5:$B$1000,B910)&gt;0,"Referrer","Organic"))</f>
        <v>Referred</v>
      </c>
      <c r="G910" s="29" t="n">
        <f aca="false">IF(COUNTIFS($B$5:B910,B910,$C$5:C910,C910)=1,1,0)</f>
        <v>0</v>
      </c>
      <c r="H910" s="29" t="n">
        <f aca="false">IF(AND(G910=1,COUNTIFS($B$5:$B$1635,B910,$C$5:$C$1635,"&lt;"&amp;C910)&gt;0),1,0)</f>
        <v>0</v>
      </c>
      <c r="I910" s="29" t="n">
        <f aca="false">IF(AND(D910="Feature Use",COUNTIFS($B$5:B910,B910,$D$5:D910,"Feature Use",$E$5:E910,E910)=1),1,0)</f>
        <v>0</v>
      </c>
      <c r="J910" s="29" t="n">
        <f aca="false">IF(AND(D910="Feature Use",COUNTIFS($B$5:B910,B910,$D$5:D910,"Feature Use",$E$5:E910,E910)=2),1,0)</f>
        <v>0</v>
      </c>
      <c r="K910" s="29" t="n">
        <f aca="false">IF(COUNTIF($B$5:B910,B910)=1,1,0)</f>
        <v>0</v>
      </c>
      <c r="L910" s="29" t="n">
        <f aca="false">IF(AND(C910&gt;=Settings!$B$5-Settings!$B$8+1,C910&lt;=Settings!$B$5,COUNTIFS($B$5:B910,B910,$C$5:C910,"&gt;="&amp;(Settings!$B$5-Settings!$B$8+1),$C$5:C910,"&lt;="&amp;Settings!$B$5)=1),1,0)</f>
        <v>0</v>
      </c>
      <c r="M910" s="29" t="n">
        <f aca="false">IF(AND(C910&gt;=Settings!$B$5-Settings!$B$9+1,C910&lt;=Settings!$B$5,COUNTIFS($B$5:B910,B910,$C$5:C910,"&gt;="&amp;(Settings!$B$5-Settings!$B$9+1),$C$5:C910,"&lt;="&amp;Settings!$B$5)=1),1,0)</f>
        <v>0</v>
      </c>
      <c r="N910" s="29" t="n">
        <f aca="false">IF(AND(D910="Feature Use",COUNTIFS($B$5:B910,B910,$D$5:D910,"Feature Use")=1),1,0)</f>
        <v>0</v>
      </c>
    </row>
    <row r="911" customFormat="false" ht="15" hidden="false" customHeight="false" outlineLevel="0" collapsed="false">
      <c r="A911" s="22" t="s">
        <v>1218</v>
      </c>
      <c r="B911" s="22" t="s">
        <v>176</v>
      </c>
      <c r="C911" s="31" t="n">
        <v>46295</v>
      </c>
      <c r="D911" s="22" t="s">
        <v>297</v>
      </c>
      <c r="E911" s="22" t="s">
        <v>298</v>
      </c>
      <c r="F911" s="29" t="str">
        <f aca="false">IF(COUNTIF(Referral_Data!$C$5:$C$1000,B911)&gt;0,"Referred",IF(COUNTIF(Referral_Data!$B$5:$B$1000,B911)&gt;0,"Referrer","Organic"))</f>
        <v>Referred</v>
      </c>
      <c r="G911" s="29" t="n">
        <f aca="false">IF(COUNTIFS($B$5:B911,B911,$C$5:C911,C911)=1,1,0)</f>
        <v>1</v>
      </c>
      <c r="H911" s="29" t="n">
        <f aca="false">IF(AND(G911=1,COUNTIFS($B$5:$B$1635,B911,$C$5:$C$1635,"&lt;"&amp;C911)&gt;0),1,0)</f>
        <v>1</v>
      </c>
      <c r="I911" s="29" t="n">
        <f aca="false">IF(AND(D911="Feature Use",COUNTIFS($B$5:B911,B911,$D$5:D911,"Feature Use",$E$5:E911,E911)=1),1,0)</f>
        <v>0</v>
      </c>
      <c r="J911" s="29" t="n">
        <f aca="false">IF(AND(D911="Feature Use",COUNTIFS($B$5:B911,B911,$D$5:D911,"Feature Use",$E$5:E911,E911)=2),1,0)</f>
        <v>0</v>
      </c>
      <c r="K911" s="29" t="n">
        <f aca="false">IF(COUNTIF($B$5:B911,B911)=1,1,0)</f>
        <v>0</v>
      </c>
      <c r="L911" s="29" t="n">
        <f aca="false">IF(AND(C911&gt;=Settings!$B$5-Settings!$B$8+1,C911&lt;=Settings!$B$5,COUNTIFS($B$5:B911,B911,$C$5:C911,"&gt;="&amp;(Settings!$B$5-Settings!$B$8+1),$C$5:C911,"&lt;="&amp;Settings!$B$5)=1),1,0)</f>
        <v>0</v>
      </c>
      <c r="M911" s="29" t="n">
        <f aca="false">IF(AND(C911&gt;=Settings!$B$5-Settings!$B$9+1,C911&lt;=Settings!$B$5,COUNTIFS($B$5:B911,B911,$C$5:C911,"&gt;="&amp;(Settings!$B$5-Settings!$B$9+1),$C$5:C911,"&lt;="&amp;Settings!$B$5)=1),1,0)</f>
        <v>0</v>
      </c>
      <c r="N911" s="29" t="n">
        <f aca="false">IF(AND(D911="Feature Use",COUNTIFS($B$5:B911,B911,$D$5:D911,"Feature Use")=1),1,0)</f>
        <v>0</v>
      </c>
    </row>
    <row r="912" customFormat="false" ht="15" hidden="false" customHeight="false" outlineLevel="0" collapsed="false">
      <c r="A912" s="22" t="s">
        <v>1219</v>
      </c>
      <c r="B912" s="22" t="s">
        <v>176</v>
      </c>
      <c r="C912" s="31" t="n">
        <v>46295</v>
      </c>
      <c r="D912" s="22" t="s">
        <v>300</v>
      </c>
      <c r="E912" s="22" t="s">
        <v>305</v>
      </c>
      <c r="F912" s="29" t="str">
        <f aca="false">IF(COUNTIF(Referral_Data!$C$5:$C$1000,B912)&gt;0,"Referred",IF(COUNTIF(Referral_Data!$B$5:$B$1000,B912)&gt;0,"Referrer","Organic"))</f>
        <v>Referred</v>
      </c>
      <c r="G912" s="29" t="n">
        <f aca="false">IF(COUNTIFS($B$5:B912,B912,$C$5:C912,C912)=1,1,0)</f>
        <v>0</v>
      </c>
      <c r="H912" s="29" t="n">
        <f aca="false">IF(AND(G912=1,COUNTIFS($B$5:$B$1635,B912,$C$5:$C$1635,"&lt;"&amp;C912)&gt;0),1,0)</f>
        <v>0</v>
      </c>
      <c r="I912" s="29" t="n">
        <f aca="false">IF(AND(D912="Feature Use",COUNTIFS($B$5:B912,B912,$D$5:D912,"Feature Use",$E$5:E912,E912)=1),1,0)</f>
        <v>0</v>
      </c>
      <c r="J912" s="29" t="n">
        <f aca="false">IF(AND(D912="Feature Use",COUNTIFS($B$5:B912,B912,$D$5:D912,"Feature Use",$E$5:E912,E912)=2),1,0)</f>
        <v>0</v>
      </c>
      <c r="K912" s="29" t="n">
        <f aca="false">IF(COUNTIF($B$5:B912,B912)=1,1,0)</f>
        <v>0</v>
      </c>
      <c r="L912" s="29" t="n">
        <f aca="false">IF(AND(C912&gt;=Settings!$B$5-Settings!$B$8+1,C912&lt;=Settings!$B$5,COUNTIFS($B$5:B912,B912,$C$5:C912,"&gt;="&amp;(Settings!$B$5-Settings!$B$8+1),$C$5:C912,"&lt;="&amp;Settings!$B$5)=1),1,0)</f>
        <v>0</v>
      </c>
      <c r="M912" s="29" t="n">
        <f aca="false">IF(AND(C912&gt;=Settings!$B$5-Settings!$B$9+1,C912&lt;=Settings!$B$5,COUNTIFS($B$5:B912,B912,$C$5:C912,"&gt;="&amp;(Settings!$B$5-Settings!$B$9+1),$C$5:C912,"&lt;="&amp;Settings!$B$5)=1),1,0)</f>
        <v>0</v>
      </c>
      <c r="N912" s="29" t="n">
        <f aca="false">IF(AND(D912="Feature Use",COUNTIFS($B$5:B912,B912,$D$5:D912,"Feature Use")=1),1,0)</f>
        <v>0</v>
      </c>
    </row>
    <row r="913" customFormat="false" ht="15" hidden="false" customHeight="false" outlineLevel="0" collapsed="false">
      <c r="A913" s="22" t="s">
        <v>1220</v>
      </c>
      <c r="B913" s="22" t="s">
        <v>176</v>
      </c>
      <c r="C913" s="31" t="n">
        <v>46295</v>
      </c>
      <c r="D913" s="22" t="s">
        <v>300</v>
      </c>
      <c r="E913" s="22" t="s">
        <v>305</v>
      </c>
      <c r="F913" s="29" t="str">
        <f aca="false">IF(COUNTIF(Referral_Data!$C$5:$C$1000,B913)&gt;0,"Referred",IF(COUNTIF(Referral_Data!$B$5:$B$1000,B913)&gt;0,"Referrer","Organic"))</f>
        <v>Referred</v>
      </c>
      <c r="G913" s="29" t="n">
        <f aca="false">IF(COUNTIFS($B$5:B913,B913,$C$5:C913,C913)=1,1,0)</f>
        <v>0</v>
      </c>
      <c r="H913" s="29" t="n">
        <f aca="false">IF(AND(G913=1,COUNTIFS($B$5:$B$1635,B913,$C$5:$C$1635,"&lt;"&amp;C913)&gt;0),1,0)</f>
        <v>0</v>
      </c>
      <c r="I913" s="29" t="n">
        <f aca="false">IF(AND(D913="Feature Use",COUNTIFS($B$5:B913,B913,$D$5:D913,"Feature Use",$E$5:E913,E913)=1),1,0)</f>
        <v>0</v>
      </c>
      <c r="J913" s="29" t="n">
        <f aca="false">IF(AND(D913="Feature Use",COUNTIFS($B$5:B913,B913,$D$5:D913,"Feature Use",$E$5:E913,E913)=2),1,0)</f>
        <v>0</v>
      </c>
      <c r="K913" s="29" t="n">
        <f aca="false">IF(COUNTIF($B$5:B913,B913)=1,1,0)</f>
        <v>0</v>
      </c>
      <c r="L913" s="29" t="n">
        <f aca="false">IF(AND(C913&gt;=Settings!$B$5-Settings!$B$8+1,C913&lt;=Settings!$B$5,COUNTIFS($B$5:B913,B913,$C$5:C913,"&gt;="&amp;(Settings!$B$5-Settings!$B$8+1),$C$5:C913,"&lt;="&amp;Settings!$B$5)=1),1,0)</f>
        <v>0</v>
      </c>
      <c r="M913" s="29" t="n">
        <f aca="false">IF(AND(C913&gt;=Settings!$B$5-Settings!$B$9+1,C913&lt;=Settings!$B$5,COUNTIFS($B$5:B913,B913,$C$5:C913,"&gt;="&amp;(Settings!$B$5-Settings!$B$9+1),$C$5:C913,"&lt;="&amp;Settings!$B$5)=1),1,0)</f>
        <v>0</v>
      </c>
      <c r="N913" s="29" t="n">
        <f aca="false">IF(AND(D913="Feature Use",COUNTIFS($B$5:B913,B913,$D$5:D913,"Feature Use")=1),1,0)</f>
        <v>0</v>
      </c>
    </row>
    <row r="914" customFormat="false" ht="15" hidden="false" customHeight="false" outlineLevel="0" collapsed="false">
      <c r="A914" s="22" t="s">
        <v>1221</v>
      </c>
      <c r="B914" s="22" t="s">
        <v>181</v>
      </c>
      <c r="C914" s="31" t="n">
        <v>46295</v>
      </c>
      <c r="D914" s="22" t="s">
        <v>297</v>
      </c>
      <c r="E914" s="22" t="s">
        <v>298</v>
      </c>
      <c r="F914" s="29" t="str">
        <f aca="false">IF(COUNTIF(Referral_Data!$C$5:$C$1000,B914)&gt;0,"Referred",IF(COUNTIF(Referral_Data!$B$5:$B$1000,B914)&gt;0,"Referrer","Organic"))</f>
        <v>Referred</v>
      </c>
      <c r="G914" s="29" t="n">
        <f aca="false">IF(COUNTIFS($B$5:B914,B914,$C$5:C914,C914)=1,1,0)</f>
        <v>1</v>
      </c>
      <c r="H914" s="29" t="n">
        <f aca="false">IF(AND(G914=1,COUNTIFS($B$5:$B$1635,B914,$C$5:$C$1635,"&lt;"&amp;C914)&gt;0),1,0)</f>
        <v>1</v>
      </c>
      <c r="I914" s="29" t="n">
        <f aca="false">IF(AND(D914="Feature Use",COUNTIFS($B$5:B914,B914,$D$5:D914,"Feature Use",$E$5:E914,E914)=1),1,0)</f>
        <v>0</v>
      </c>
      <c r="J914" s="29" t="n">
        <f aca="false">IF(AND(D914="Feature Use",COUNTIFS($B$5:B914,B914,$D$5:D914,"Feature Use",$E$5:E914,E914)=2),1,0)</f>
        <v>0</v>
      </c>
      <c r="K914" s="29" t="n">
        <f aca="false">IF(COUNTIF($B$5:B914,B914)=1,1,0)</f>
        <v>0</v>
      </c>
      <c r="L914" s="29" t="n">
        <f aca="false">IF(AND(C914&gt;=Settings!$B$5-Settings!$B$8+1,C914&lt;=Settings!$B$5,COUNTIFS($B$5:B914,B914,$C$5:C914,"&gt;="&amp;(Settings!$B$5-Settings!$B$8+1),$C$5:C914,"&lt;="&amp;Settings!$B$5)=1),1,0)</f>
        <v>0</v>
      </c>
      <c r="M914" s="29" t="n">
        <f aca="false">IF(AND(C914&gt;=Settings!$B$5-Settings!$B$9+1,C914&lt;=Settings!$B$5,COUNTIFS($B$5:B914,B914,$C$5:C914,"&gt;="&amp;(Settings!$B$5-Settings!$B$9+1),$C$5:C914,"&lt;="&amp;Settings!$B$5)=1),1,0)</f>
        <v>0</v>
      </c>
      <c r="N914" s="29" t="n">
        <f aca="false">IF(AND(D914="Feature Use",COUNTIFS($B$5:B914,B914,$D$5:D914,"Feature Use")=1),1,0)</f>
        <v>0</v>
      </c>
    </row>
    <row r="915" customFormat="false" ht="15" hidden="false" customHeight="false" outlineLevel="0" collapsed="false">
      <c r="A915" s="22" t="s">
        <v>1222</v>
      </c>
      <c r="B915" s="22" t="s">
        <v>181</v>
      </c>
      <c r="C915" s="31" t="n">
        <v>46295</v>
      </c>
      <c r="D915" s="22" t="s">
        <v>300</v>
      </c>
      <c r="E915" s="22" t="s">
        <v>301</v>
      </c>
      <c r="F915" s="29" t="str">
        <f aca="false">IF(COUNTIF(Referral_Data!$C$5:$C$1000,B915)&gt;0,"Referred",IF(COUNTIF(Referral_Data!$B$5:$B$1000,B915)&gt;0,"Referrer","Organic"))</f>
        <v>Referred</v>
      </c>
      <c r="G915" s="29" t="n">
        <f aca="false">IF(COUNTIFS($B$5:B915,B915,$C$5:C915,C915)=1,1,0)</f>
        <v>0</v>
      </c>
      <c r="H915" s="29" t="n">
        <f aca="false">IF(AND(G915=1,COUNTIFS($B$5:$B$1635,B915,$C$5:$C$1635,"&lt;"&amp;C915)&gt;0),1,0)</f>
        <v>0</v>
      </c>
      <c r="I915" s="29" t="n">
        <f aca="false">IF(AND(D915="Feature Use",COUNTIFS($B$5:B915,B915,$D$5:D915,"Feature Use",$E$5:E915,E915)=1),1,0)</f>
        <v>0</v>
      </c>
      <c r="J915" s="29" t="n">
        <f aca="false">IF(AND(D915="Feature Use",COUNTIFS($B$5:B915,B915,$D$5:D915,"Feature Use",$E$5:E915,E915)=2),1,0)</f>
        <v>0</v>
      </c>
      <c r="K915" s="29" t="n">
        <f aca="false">IF(COUNTIF($B$5:B915,B915)=1,1,0)</f>
        <v>0</v>
      </c>
      <c r="L915" s="29" t="n">
        <f aca="false">IF(AND(C915&gt;=Settings!$B$5-Settings!$B$8+1,C915&lt;=Settings!$B$5,COUNTIFS($B$5:B915,B915,$C$5:C915,"&gt;="&amp;(Settings!$B$5-Settings!$B$8+1),$C$5:C915,"&lt;="&amp;Settings!$B$5)=1),1,0)</f>
        <v>0</v>
      </c>
      <c r="M915" s="29" t="n">
        <f aca="false">IF(AND(C915&gt;=Settings!$B$5-Settings!$B$9+1,C915&lt;=Settings!$B$5,COUNTIFS($B$5:B915,B915,$C$5:C915,"&gt;="&amp;(Settings!$B$5-Settings!$B$9+1),$C$5:C915,"&lt;="&amp;Settings!$B$5)=1),1,0)</f>
        <v>0</v>
      </c>
      <c r="N915" s="29" t="n">
        <f aca="false">IF(AND(D915="Feature Use",COUNTIFS($B$5:B915,B915,$D$5:D915,"Feature Use")=1),1,0)</f>
        <v>0</v>
      </c>
    </row>
    <row r="916" customFormat="false" ht="15" hidden="false" customHeight="false" outlineLevel="0" collapsed="false">
      <c r="A916" s="22" t="s">
        <v>1223</v>
      </c>
      <c r="B916" s="22" t="s">
        <v>181</v>
      </c>
      <c r="C916" s="31" t="n">
        <v>46295</v>
      </c>
      <c r="D916" s="22" t="s">
        <v>300</v>
      </c>
      <c r="E916" s="22" t="s">
        <v>309</v>
      </c>
      <c r="F916" s="29" t="str">
        <f aca="false">IF(COUNTIF(Referral_Data!$C$5:$C$1000,B916)&gt;0,"Referred",IF(COUNTIF(Referral_Data!$B$5:$B$1000,B916)&gt;0,"Referrer","Organic"))</f>
        <v>Referred</v>
      </c>
      <c r="G916" s="29" t="n">
        <f aca="false">IF(COUNTIFS($B$5:B916,B916,$C$5:C916,C916)=1,1,0)</f>
        <v>0</v>
      </c>
      <c r="H916" s="29" t="n">
        <f aca="false">IF(AND(G916=1,COUNTIFS($B$5:$B$1635,B916,$C$5:$C$1635,"&lt;"&amp;C916)&gt;0),1,0)</f>
        <v>0</v>
      </c>
      <c r="I916" s="29" t="n">
        <f aca="false">IF(AND(D916="Feature Use",COUNTIFS($B$5:B916,B916,$D$5:D916,"Feature Use",$E$5:E916,E916)=1),1,0)</f>
        <v>0</v>
      </c>
      <c r="J916" s="29" t="n">
        <f aca="false">IF(AND(D916="Feature Use",COUNTIFS($B$5:B916,B916,$D$5:D916,"Feature Use",$E$5:E916,E916)=2),1,0)</f>
        <v>1</v>
      </c>
      <c r="K916" s="29" t="n">
        <f aca="false">IF(COUNTIF($B$5:B916,B916)=1,1,0)</f>
        <v>0</v>
      </c>
      <c r="L916" s="29" t="n">
        <f aca="false">IF(AND(C916&gt;=Settings!$B$5-Settings!$B$8+1,C916&lt;=Settings!$B$5,COUNTIFS($B$5:B916,B916,$C$5:C916,"&gt;="&amp;(Settings!$B$5-Settings!$B$8+1),$C$5:C916,"&lt;="&amp;Settings!$B$5)=1),1,0)</f>
        <v>0</v>
      </c>
      <c r="M916" s="29" t="n">
        <f aca="false">IF(AND(C916&gt;=Settings!$B$5-Settings!$B$9+1,C916&lt;=Settings!$B$5,COUNTIFS($B$5:B916,B916,$C$5:C916,"&gt;="&amp;(Settings!$B$5-Settings!$B$9+1),$C$5:C916,"&lt;="&amp;Settings!$B$5)=1),1,0)</f>
        <v>0</v>
      </c>
      <c r="N916" s="29" t="n">
        <f aca="false">IF(AND(D916="Feature Use",COUNTIFS($B$5:B916,B916,$D$5:D916,"Feature Use")=1),1,0)</f>
        <v>0</v>
      </c>
    </row>
    <row r="917" customFormat="false" ht="15" hidden="false" customHeight="false" outlineLevel="0" collapsed="false">
      <c r="A917" s="22" t="s">
        <v>1224</v>
      </c>
      <c r="B917" s="22" t="s">
        <v>181</v>
      </c>
      <c r="C917" s="31" t="n">
        <v>46295</v>
      </c>
      <c r="D917" s="22" t="s">
        <v>308</v>
      </c>
      <c r="E917" s="22" t="s">
        <v>305</v>
      </c>
      <c r="F917" s="29" t="str">
        <f aca="false">IF(COUNTIF(Referral_Data!$C$5:$C$1000,B917)&gt;0,"Referred",IF(COUNTIF(Referral_Data!$B$5:$B$1000,B917)&gt;0,"Referrer","Organic"))</f>
        <v>Referred</v>
      </c>
      <c r="G917" s="29" t="n">
        <f aca="false">IF(COUNTIFS($B$5:B917,B917,$C$5:C917,C917)=1,1,0)</f>
        <v>0</v>
      </c>
      <c r="H917" s="29" t="n">
        <f aca="false">IF(AND(G917=1,COUNTIFS($B$5:$B$1635,B917,$C$5:$C$1635,"&lt;"&amp;C917)&gt;0),1,0)</f>
        <v>0</v>
      </c>
      <c r="I917" s="29" t="n">
        <f aca="false">IF(AND(D917="Feature Use",COUNTIFS($B$5:B917,B917,$D$5:D917,"Feature Use",$E$5:E917,E917)=1),1,0)</f>
        <v>0</v>
      </c>
      <c r="J917" s="29" t="n">
        <f aca="false">IF(AND(D917="Feature Use",COUNTIFS($B$5:B917,B917,$D$5:D917,"Feature Use",$E$5:E917,E917)=2),1,0)</f>
        <v>0</v>
      </c>
      <c r="K917" s="29" t="n">
        <f aca="false">IF(COUNTIF($B$5:B917,B917)=1,1,0)</f>
        <v>0</v>
      </c>
      <c r="L917" s="29" t="n">
        <f aca="false">IF(AND(C917&gt;=Settings!$B$5-Settings!$B$8+1,C917&lt;=Settings!$B$5,COUNTIFS($B$5:B917,B917,$C$5:C917,"&gt;="&amp;(Settings!$B$5-Settings!$B$8+1),$C$5:C917,"&lt;="&amp;Settings!$B$5)=1),1,0)</f>
        <v>0</v>
      </c>
      <c r="M917" s="29" t="n">
        <f aca="false">IF(AND(C917&gt;=Settings!$B$5-Settings!$B$9+1,C917&lt;=Settings!$B$5,COUNTIFS($B$5:B917,B917,$C$5:C917,"&gt;="&amp;(Settings!$B$5-Settings!$B$9+1),$C$5:C917,"&lt;="&amp;Settings!$B$5)=1),1,0)</f>
        <v>0</v>
      </c>
      <c r="N917" s="29" t="n">
        <f aca="false">IF(AND(D917="Feature Use",COUNTIFS($B$5:B917,B917,$D$5:D917,"Feature Use")=1),1,0)</f>
        <v>0</v>
      </c>
    </row>
    <row r="918" customFormat="false" ht="15" hidden="false" customHeight="false" outlineLevel="0" collapsed="false">
      <c r="A918" s="22" t="s">
        <v>1225</v>
      </c>
      <c r="B918" s="22" t="s">
        <v>181</v>
      </c>
      <c r="C918" s="31" t="n">
        <v>46295</v>
      </c>
      <c r="D918" s="22" t="s">
        <v>308</v>
      </c>
      <c r="E918" s="22" t="s">
        <v>301</v>
      </c>
      <c r="F918" s="29" t="str">
        <f aca="false">IF(COUNTIF(Referral_Data!$C$5:$C$1000,B918)&gt;0,"Referred",IF(COUNTIF(Referral_Data!$B$5:$B$1000,B918)&gt;0,"Referrer","Organic"))</f>
        <v>Referred</v>
      </c>
      <c r="G918" s="29" t="n">
        <f aca="false">IF(COUNTIFS($B$5:B918,B918,$C$5:C918,C918)=1,1,0)</f>
        <v>0</v>
      </c>
      <c r="H918" s="29" t="n">
        <f aca="false">IF(AND(G918=1,COUNTIFS($B$5:$B$1635,B918,$C$5:$C$1635,"&lt;"&amp;C918)&gt;0),1,0)</f>
        <v>0</v>
      </c>
      <c r="I918" s="29" t="n">
        <f aca="false">IF(AND(D918="Feature Use",COUNTIFS($B$5:B918,B918,$D$5:D918,"Feature Use",$E$5:E918,E918)=1),1,0)</f>
        <v>0</v>
      </c>
      <c r="J918" s="29" t="n">
        <f aca="false">IF(AND(D918="Feature Use",COUNTIFS($B$5:B918,B918,$D$5:D918,"Feature Use",$E$5:E918,E918)=2),1,0)</f>
        <v>0</v>
      </c>
      <c r="K918" s="29" t="n">
        <f aca="false">IF(COUNTIF($B$5:B918,B918)=1,1,0)</f>
        <v>0</v>
      </c>
      <c r="L918" s="29" t="n">
        <f aca="false">IF(AND(C918&gt;=Settings!$B$5-Settings!$B$8+1,C918&lt;=Settings!$B$5,COUNTIFS($B$5:B918,B918,$C$5:C918,"&gt;="&amp;(Settings!$B$5-Settings!$B$8+1),$C$5:C918,"&lt;="&amp;Settings!$B$5)=1),1,0)</f>
        <v>0</v>
      </c>
      <c r="M918" s="29" t="n">
        <f aca="false">IF(AND(C918&gt;=Settings!$B$5-Settings!$B$9+1,C918&lt;=Settings!$B$5,COUNTIFS($B$5:B918,B918,$C$5:C918,"&gt;="&amp;(Settings!$B$5-Settings!$B$9+1),$C$5:C918,"&lt;="&amp;Settings!$B$5)=1),1,0)</f>
        <v>0</v>
      </c>
      <c r="N918" s="29" t="n">
        <f aca="false">IF(AND(D918="Feature Use",COUNTIFS($B$5:B918,B918,$D$5:D918,"Feature Use")=1),1,0)</f>
        <v>0</v>
      </c>
    </row>
    <row r="919" customFormat="false" ht="15" hidden="false" customHeight="false" outlineLevel="0" collapsed="false">
      <c r="A919" s="22" t="s">
        <v>1226</v>
      </c>
      <c r="B919" s="22" t="s">
        <v>184</v>
      </c>
      <c r="C919" s="31" t="n">
        <v>46295</v>
      </c>
      <c r="D919" s="22" t="s">
        <v>297</v>
      </c>
      <c r="E919" s="22" t="s">
        <v>298</v>
      </c>
      <c r="F919" s="29" t="str">
        <f aca="false">IF(COUNTIF(Referral_Data!$C$5:$C$1000,B919)&gt;0,"Referred",IF(COUNTIF(Referral_Data!$B$5:$B$1000,B919)&gt;0,"Referrer","Organic"))</f>
        <v>Referred</v>
      </c>
      <c r="G919" s="29" t="n">
        <f aca="false">IF(COUNTIFS($B$5:B919,B919,$C$5:C919,C919)=1,1,0)</f>
        <v>1</v>
      </c>
      <c r="H919" s="29" t="n">
        <f aca="false">IF(AND(G919=1,COUNTIFS($B$5:$B$1635,B919,$C$5:$C$1635,"&lt;"&amp;C919)&gt;0),1,0)</f>
        <v>1</v>
      </c>
      <c r="I919" s="29" t="n">
        <f aca="false">IF(AND(D919="Feature Use",COUNTIFS($B$5:B919,B919,$D$5:D919,"Feature Use",$E$5:E919,E919)=1),1,0)</f>
        <v>0</v>
      </c>
      <c r="J919" s="29" t="n">
        <f aca="false">IF(AND(D919="Feature Use",COUNTIFS($B$5:B919,B919,$D$5:D919,"Feature Use",$E$5:E919,E919)=2),1,0)</f>
        <v>0</v>
      </c>
      <c r="K919" s="29" t="n">
        <f aca="false">IF(COUNTIF($B$5:B919,B919)=1,1,0)</f>
        <v>0</v>
      </c>
      <c r="L919" s="29" t="n">
        <f aca="false">IF(AND(C919&gt;=Settings!$B$5-Settings!$B$8+1,C919&lt;=Settings!$B$5,COUNTIFS($B$5:B919,B919,$C$5:C919,"&gt;="&amp;(Settings!$B$5-Settings!$B$8+1),$C$5:C919,"&lt;="&amp;Settings!$B$5)=1),1,0)</f>
        <v>0</v>
      </c>
      <c r="M919" s="29" t="n">
        <f aca="false">IF(AND(C919&gt;=Settings!$B$5-Settings!$B$9+1,C919&lt;=Settings!$B$5,COUNTIFS($B$5:B919,B919,$C$5:C919,"&gt;="&amp;(Settings!$B$5-Settings!$B$9+1),$C$5:C919,"&lt;="&amp;Settings!$B$5)=1),1,0)</f>
        <v>0</v>
      </c>
      <c r="N919" s="29" t="n">
        <f aca="false">IF(AND(D919="Feature Use",COUNTIFS($B$5:B919,B919,$D$5:D919,"Feature Use")=1),1,0)</f>
        <v>0</v>
      </c>
    </row>
    <row r="920" customFormat="false" ht="15" hidden="false" customHeight="false" outlineLevel="0" collapsed="false">
      <c r="A920" s="22" t="s">
        <v>1227</v>
      </c>
      <c r="B920" s="22" t="s">
        <v>184</v>
      </c>
      <c r="C920" s="31" t="n">
        <v>46295</v>
      </c>
      <c r="D920" s="22" t="s">
        <v>300</v>
      </c>
      <c r="E920" s="22" t="s">
        <v>305</v>
      </c>
      <c r="F920" s="29" t="str">
        <f aca="false">IF(COUNTIF(Referral_Data!$C$5:$C$1000,B920)&gt;0,"Referred",IF(COUNTIF(Referral_Data!$B$5:$B$1000,B920)&gt;0,"Referrer","Organic"))</f>
        <v>Referred</v>
      </c>
      <c r="G920" s="29" t="n">
        <f aca="false">IF(COUNTIFS($B$5:B920,B920,$C$5:C920,C920)=1,1,0)</f>
        <v>0</v>
      </c>
      <c r="H920" s="29" t="n">
        <f aca="false">IF(AND(G920=1,COUNTIFS($B$5:$B$1635,B920,$C$5:$C$1635,"&lt;"&amp;C920)&gt;0),1,0)</f>
        <v>0</v>
      </c>
      <c r="I920" s="29" t="n">
        <f aca="false">IF(AND(D920="Feature Use",COUNTIFS($B$5:B920,B920,$D$5:D920,"Feature Use",$E$5:E920,E920)=1),1,0)</f>
        <v>0</v>
      </c>
      <c r="J920" s="29" t="n">
        <f aca="false">IF(AND(D920="Feature Use",COUNTIFS($B$5:B920,B920,$D$5:D920,"Feature Use",$E$5:E920,E920)=2),1,0)</f>
        <v>0</v>
      </c>
      <c r="K920" s="29" t="n">
        <f aca="false">IF(COUNTIF($B$5:B920,B920)=1,1,0)</f>
        <v>0</v>
      </c>
      <c r="L920" s="29" t="n">
        <f aca="false">IF(AND(C920&gt;=Settings!$B$5-Settings!$B$8+1,C920&lt;=Settings!$B$5,COUNTIFS($B$5:B920,B920,$C$5:C920,"&gt;="&amp;(Settings!$B$5-Settings!$B$8+1),$C$5:C920,"&lt;="&amp;Settings!$B$5)=1),1,0)</f>
        <v>0</v>
      </c>
      <c r="M920" s="29" t="n">
        <f aca="false">IF(AND(C920&gt;=Settings!$B$5-Settings!$B$9+1,C920&lt;=Settings!$B$5,COUNTIFS($B$5:B920,B920,$C$5:C920,"&gt;="&amp;(Settings!$B$5-Settings!$B$9+1),$C$5:C920,"&lt;="&amp;Settings!$B$5)=1),1,0)</f>
        <v>0</v>
      </c>
      <c r="N920" s="29" t="n">
        <f aca="false">IF(AND(D920="Feature Use",COUNTIFS($B$5:B920,B920,$D$5:D920,"Feature Use")=1),1,0)</f>
        <v>0</v>
      </c>
    </row>
    <row r="921" customFormat="false" ht="15" hidden="false" customHeight="false" outlineLevel="0" collapsed="false">
      <c r="A921" s="22" t="s">
        <v>1228</v>
      </c>
      <c r="B921" s="22" t="s">
        <v>184</v>
      </c>
      <c r="C921" s="31" t="n">
        <v>46295</v>
      </c>
      <c r="D921" s="22" t="s">
        <v>300</v>
      </c>
      <c r="E921" s="22" t="s">
        <v>311</v>
      </c>
      <c r="F921" s="29" t="str">
        <f aca="false">IF(COUNTIF(Referral_Data!$C$5:$C$1000,B921)&gt;0,"Referred",IF(COUNTIF(Referral_Data!$B$5:$B$1000,B921)&gt;0,"Referrer","Organic"))</f>
        <v>Referred</v>
      </c>
      <c r="G921" s="29" t="n">
        <f aca="false">IF(COUNTIFS($B$5:B921,B921,$C$5:C921,C921)=1,1,0)</f>
        <v>0</v>
      </c>
      <c r="H921" s="29" t="n">
        <f aca="false">IF(AND(G921=1,COUNTIFS($B$5:$B$1635,B921,$C$5:$C$1635,"&lt;"&amp;C921)&gt;0),1,0)</f>
        <v>0</v>
      </c>
      <c r="I921" s="29" t="n">
        <f aca="false">IF(AND(D921="Feature Use",COUNTIFS($B$5:B921,B921,$D$5:D921,"Feature Use",$E$5:E921,E921)=1),1,0)</f>
        <v>0</v>
      </c>
      <c r="J921" s="29" t="n">
        <f aca="false">IF(AND(D921="Feature Use",COUNTIFS($B$5:B921,B921,$D$5:D921,"Feature Use",$E$5:E921,E921)=2),1,0)</f>
        <v>0</v>
      </c>
      <c r="K921" s="29" t="n">
        <f aca="false">IF(COUNTIF($B$5:B921,B921)=1,1,0)</f>
        <v>0</v>
      </c>
      <c r="L921" s="29" t="n">
        <f aca="false">IF(AND(C921&gt;=Settings!$B$5-Settings!$B$8+1,C921&lt;=Settings!$B$5,COUNTIFS($B$5:B921,B921,$C$5:C921,"&gt;="&amp;(Settings!$B$5-Settings!$B$8+1),$C$5:C921,"&lt;="&amp;Settings!$B$5)=1),1,0)</f>
        <v>0</v>
      </c>
      <c r="M921" s="29" t="n">
        <f aca="false">IF(AND(C921&gt;=Settings!$B$5-Settings!$B$9+1,C921&lt;=Settings!$B$5,COUNTIFS($B$5:B921,B921,$C$5:C921,"&gt;="&amp;(Settings!$B$5-Settings!$B$9+1),$C$5:C921,"&lt;="&amp;Settings!$B$5)=1),1,0)</f>
        <v>0</v>
      </c>
      <c r="N921" s="29" t="n">
        <f aca="false">IF(AND(D921="Feature Use",COUNTIFS($B$5:B921,B921,$D$5:D921,"Feature Use")=1),1,0)</f>
        <v>0</v>
      </c>
    </row>
    <row r="922" customFormat="false" ht="15" hidden="false" customHeight="false" outlineLevel="0" collapsed="false">
      <c r="A922" s="22" t="s">
        <v>1229</v>
      </c>
      <c r="B922" s="22" t="s">
        <v>184</v>
      </c>
      <c r="C922" s="31" t="n">
        <v>46295</v>
      </c>
      <c r="D922" s="22" t="s">
        <v>308</v>
      </c>
      <c r="E922" s="22" t="s">
        <v>305</v>
      </c>
      <c r="F922" s="29" t="str">
        <f aca="false">IF(COUNTIF(Referral_Data!$C$5:$C$1000,B922)&gt;0,"Referred",IF(COUNTIF(Referral_Data!$B$5:$B$1000,B922)&gt;0,"Referrer","Organic"))</f>
        <v>Referred</v>
      </c>
      <c r="G922" s="29" t="n">
        <f aca="false">IF(COUNTIFS($B$5:B922,B922,$C$5:C922,C922)=1,1,0)</f>
        <v>0</v>
      </c>
      <c r="H922" s="29" t="n">
        <f aca="false">IF(AND(G922=1,COUNTIFS($B$5:$B$1635,B922,$C$5:$C$1635,"&lt;"&amp;C922)&gt;0),1,0)</f>
        <v>0</v>
      </c>
      <c r="I922" s="29" t="n">
        <f aca="false">IF(AND(D922="Feature Use",COUNTIFS($B$5:B922,B922,$D$5:D922,"Feature Use",$E$5:E922,E922)=1),1,0)</f>
        <v>0</v>
      </c>
      <c r="J922" s="29" t="n">
        <f aca="false">IF(AND(D922="Feature Use",COUNTIFS($B$5:B922,B922,$D$5:D922,"Feature Use",$E$5:E922,E922)=2),1,0)</f>
        <v>0</v>
      </c>
      <c r="K922" s="29" t="n">
        <f aca="false">IF(COUNTIF($B$5:B922,B922)=1,1,0)</f>
        <v>0</v>
      </c>
      <c r="L922" s="29" t="n">
        <f aca="false">IF(AND(C922&gt;=Settings!$B$5-Settings!$B$8+1,C922&lt;=Settings!$B$5,COUNTIFS($B$5:B922,B922,$C$5:C922,"&gt;="&amp;(Settings!$B$5-Settings!$B$8+1),$C$5:C922,"&lt;="&amp;Settings!$B$5)=1),1,0)</f>
        <v>0</v>
      </c>
      <c r="M922" s="29" t="n">
        <f aca="false">IF(AND(C922&gt;=Settings!$B$5-Settings!$B$9+1,C922&lt;=Settings!$B$5,COUNTIFS($B$5:B922,B922,$C$5:C922,"&gt;="&amp;(Settings!$B$5-Settings!$B$9+1),$C$5:C922,"&lt;="&amp;Settings!$B$5)=1),1,0)</f>
        <v>0</v>
      </c>
      <c r="N922" s="29" t="n">
        <f aca="false">IF(AND(D922="Feature Use",COUNTIFS($B$5:B922,B922,$D$5:D922,"Feature Use")=1),1,0)</f>
        <v>0</v>
      </c>
    </row>
    <row r="923" customFormat="false" ht="15" hidden="false" customHeight="false" outlineLevel="0" collapsed="false">
      <c r="A923" s="22" t="s">
        <v>1230</v>
      </c>
      <c r="B923" s="22" t="s">
        <v>184</v>
      </c>
      <c r="C923" s="31" t="n">
        <v>46295</v>
      </c>
      <c r="D923" s="22" t="s">
        <v>308</v>
      </c>
      <c r="E923" s="22" t="s">
        <v>311</v>
      </c>
      <c r="F923" s="29" t="str">
        <f aca="false">IF(COUNTIF(Referral_Data!$C$5:$C$1000,B923)&gt;0,"Referred",IF(COUNTIF(Referral_Data!$B$5:$B$1000,B923)&gt;0,"Referrer","Organic"))</f>
        <v>Referred</v>
      </c>
      <c r="G923" s="29" t="n">
        <f aca="false">IF(COUNTIFS($B$5:B923,B923,$C$5:C923,C923)=1,1,0)</f>
        <v>0</v>
      </c>
      <c r="H923" s="29" t="n">
        <f aca="false">IF(AND(G923=1,COUNTIFS($B$5:$B$1635,B923,$C$5:$C$1635,"&lt;"&amp;C923)&gt;0),1,0)</f>
        <v>0</v>
      </c>
      <c r="I923" s="29" t="n">
        <f aca="false">IF(AND(D923="Feature Use",COUNTIFS($B$5:B923,B923,$D$5:D923,"Feature Use",$E$5:E923,E923)=1),1,0)</f>
        <v>0</v>
      </c>
      <c r="J923" s="29" t="n">
        <f aca="false">IF(AND(D923="Feature Use",COUNTIFS($B$5:B923,B923,$D$5:D923,"Feature Use",$E$5:E923,E923)=2),1,0)</f>
        <v>0</v>
      </c>
      <c r="K923" s="29" t="n">
        <f aca="false">IF(COUNTIF($B$5:B923,B923)=1,1,0)</f>
        <v>0</v>
      </c>
      <c r="L923" s="29" t="n">
        <f aca="false">IF(AND(C923&gt;=Settings!$B$5-Settings!$B$8+1,C923&lt;=Settings!$B$5,COUNTIFS($B$5:B923,B923,$C$5:C923,"&gt;="&amp;(Settings!$B$5-Settings!$B$8+1),$C$5:C923,"&lt;="&amp;Settings!$B$5)=1),1,0)</f>
        <v>0</v>
      </c>
      <c r="M923" s="29" t="n">
        <f aca="false">IF(AND(C923&gt;=Settings!$B$5-Settings!$B$9+1,C923&lt;=Settings!$B$5,COUNTIFS($B$5:B923,B923,$C$5:C923,"&gt;="&amp;(Settings!$B$5-Settings!$B$9+1),$C$5:C923,"&lt;="&amp;Settings!$B$5)=1),1,0)</f>
        <v>0</v>
      </c>
      <c r="N923" s="29" t="n">
        <f aca="false">IF(AND(D923="Feature Use",COUNTIFS($B$5:B923,B923,$D$5:D923,"Feature Use")=1),1,0)</f>
        <v>0</v>
      </c>
    </row>
    <row r="924" customFormat="false" ht="15" hidden="false" customHeight="false" outlineLevel="0" collapsed="false">
      <c r="A924" s="22" t="s">
        <v>1231</v>
      </c>
      <c r="B924" s="22" t="s">
        <v>192</v>
      </c>
      <c r="C924" s="31" t="n">
        <v>46295</v>
      </c>
      <c r="D924" s="22" t="s">
        <v>297</v>
      </c>
      <c r="E924" s="22" t="s">
        <v>298</v>
      </c>
      <c r="F924" s="29" t="str">
        <f aca="false">IF(COUNTIF(Referral_Data!$C$5:$C$1000,B924)&gt;0,"Referred",IF(COUNTIF(Referral_Data!$B$5:$B$1000,B924)&gt;0,"Referrer","Organic"))</f>
        <v>Referred</v>
      </c>
      <c r="G924" s="29" t="n">
        <f aca="false">IF(COUNTIFS($B$5:B924,B924,$C$5:C924,C924)=1,1,0)</f>
        <v>1</v>
      </c>
      <c r="H924" s="29" t="n">
        <f aca="false">IF(AND(G924=1,COUNTIFS($B$5:$B$1635,B924,$C$5:$C$1635,"&lt;"&amp;C924)&gt;0),1,0)</f>
        <v>1</v>
      </c>
      <c r="I924" s="29" t="n">
        <f aca="false">IF(AND(D924="Feature Use",COUNTIFS($B$5:B924,B924,$D$5:D924,"Feature Use",$E$5:E924,E924)=1),1,0)</f>
        <v>0</v>
      </c>
      <c r="J924" s="29" t="n">
        <f aca="false">IF(AND(D924="Feature Use",COUNTIFS($B$5:B924,B924,$D$5:D924,"Feature Use",$E$5:E924,E924)=2),1,0)</f>
        <v>0</v>
      </c>
      <c r="K924" s="29" t="n">
        <f aca="false">IF(COUNTIF($B$5:B924,B924)=1,1,0)</f>
        <v>0</v>
      </c>
      <c r="L924" s="29" t="n">
        <f aca="false">IF(AND(C924&gt;=Settings!$B$5-Settings!$B$8+1,C924&lt;=Settings!$B$5,COUNTIFS($B$5:B924,B924,$C$5:C924,"&gt;="&amp;(Settings!$B$5-Settings!$B$8+1),$C$5:C924,"&lt;="&amp;Settings!$B$5)=1),1,0)</f>
        <v>0</v>
      </c>
      <c r="M924" s="29" t="n">
        <f aca="false">IF(AND(C924&gt;=Settings!$B$5-Settings!$B$9+1,C924&lt;=Settings!$B$5,COUNTIFS($B$5:B924,B924,$C$5:C924,"&gt;="&amp;(Settings!$B$5-Settings!$B$9+1),$C$5:C924,"&lt;="&amp;Settings!$B$5)=1),1,0)</f>
        <v>0</v>
      </c>
      <c r="N924" s="29" t="n">
        <f aca="false">IF(AND(D924="Feature Use",COUNTIFS($B$5:B924,B924,$D$5:D924,"Feature Use")=1),1,0)</f>
        <v>0</v>
      </c>
    </row>
    <row r="925" customFormat="false" ht="15" hidden="false" customHeight="false" outlineLevel="0" collapsed="false">
      <c r="A925" s="22" t="s">
        <v>1232</v>
      </c>
      <c r="B925" s="22" t="s">
        <v>192</v>
      </c>
      <c r="C925" s="31" t="n">
        <v>46295</v>
      </c>
      <c r="D925" s="22" t="s">
        <v>300</v>
      </c>
      <c r="E925" s="22" t="s">
        <v>305</v>
      </c>
      <c r="F925" s="29" t="str">
        <f aca="false">IF(COUNTIF(Referral_Data!$C$5:$C$1000,B925)&gt;0,"Referred",IF(COUNTIF(Referral_Data!$B$5:$B$1000,B925)&gt;0,"Referrer","Organic"))</f>
        <v>Referred</v>
      </c>
      <c r="G925" s="29" t="n">
        <f aca="false">IF(COUNTIFS($B$5:B925,B925,$C$5:C925,C925)=1,1,0)</f>
        <v>0</v>
      </c>
      <c r="H925" s="29" t="n">
        <f aca="false">IF(AND(G925=1,COUNTIFS($B$5:$B$1635,B925,$C$5:$C$1635,"&lt;"&amp;C925)&gt;0),1,0)</f>
        <v>0</v>
      </c>
      <c r="I925" s="29" t="n">
        <f aca="false">IF(AND(D925="Feature Use",COUNTIFS($B$5:B925,B925,$D$5:D925,"Feature Use",$E$5:E925,E925)=1),1,0)</f>
        <v>0</v>
      </c>
      <c r="J925" s="29" t="n">
        <f aca="false">IF(AND(D925="Feature Use",COUNTIFS($B$5:B925,B925,$D$5:D925,"Feature Use",$E$5:E925,E925)=2),1,0)</f>
        <v>0</v>
      </c>
      <c r="K925" s="29" t="n">
        <f aca="false">IF(COUNTIF($B$5:B925,B925)=1,1,0)</f>
        <v>0</v>
      </c>
      <c r="L925" s="29" t="n">
        <f aca="false">IF(AND(C925&gt;=Settings!$B$5-Settings!$B$8+1,C925&lt;=Settings!$B$5,COUNTIFS($B$5:B925,B925,$C$5:C925,"&gt;="&amp;(Settings!$B$5-Settings!$B$8+1),$C$5:C925,"&lt;="&amp;Settings!$B$5)=1),1,0)</f>
        <v>0</v>
      </c>
      <c r="M925" s="29" t="n">
        <f aca="false">IF(AND(C925&gt;=Settings!$B$5-Settings!$B$9+1,C925&lt;=Settings!$B$5,COUNTIFS($B$5:B925,B925,$C$5:C925,"&gt;="&amp;(Settings!$B$5-Settings!$B$9+1),$C$5:C925,"&lt;="&amp;Settings!$B$5)=1),1,0)</f>
        <v>0</v>
      </c>
      <c r="N925" s="29" t="n">
        <f aca="false">IF(AND(D925="Feature Use",COUNTIFS($B$5:B925,B925,$D$5:D925,"Feature Use")=1),1,0)</f>
        <v>0</v>
      </c>
    </row>
    <row r="926" customFormat="false" ht="15" hidden="false" customHeight="false" outlineLevel="0" collapsed="false">
      <c r="A926" s="22" t="s">
        <v>1233</v>
      </c>
      <c r="B926" s="22" t="s">
        <v>192</v>
      </c>
      <c r="C926" s="31" t="n">
        <v>46295</v>
      </c>
      <c r="D926" s="22" t="s">
        <v>308</v>
      </c>
      <c r="E926" s="22" t="s">
        <v>301</v>
      </c>
      <c r="F926" s="29" t="str">
        <f aca="false">IF(COUNTIF(Referral_Data!$C$5:$C$1000,B926)&gt;0,"Referred",IF(COUNTIF(Referral_Data!$B$5:$B$1000,B926)&gt;0,"Referrer","Organic"))</f>
        <v>Referred</v>
      </c>
      <c r="G926" s="29" t="n">
        <f aca="false">IF(COUNTIFS($B$5:B926,B926,$C$5:C926,C926)=1,1,0)</f>
        <v>0</v>
      </c>
      <c r="H926" s="29" t="n">
        <f aca="false">IF(AND(G926=1,COUNTIFS($B$5:$B$1635,B926,$C$5:$C$1635,"&lt;"&amp;C926)&gt;0),1,0)</f>
        <v>0</v>
      </c>
      <c r="I926" s="29" t="n">
        <f aca="false">IF(AND(D926="Feature Use",COUNTIFS($B$5:B926,B926,$D$5:D926,"Feature Use",$E$5:E926,E926)=1),1,0)</f>
        <v>0</v>
      </c>
      <c r="J926" s="29" t="n">
        <f aca="false">IF(AND(D926="Feature Use",COUNTIFS($B$5:B926,B926,$D$5:D926,"Feature Use",$E$5:E926,E926)=2),1,0)</f>
        <v>0</v>
      </c>
      <c r="K926" s="29" t="n">
        <f aca="false">IF(COUNTIF($B$5:B926,B926)=1,1,0)</f>
        <v>0</v>
      </c>
      <c r="L926" s="29" t="n">
        <f aca="false">IF(AND(C926&gt;=Settings!$B$5-Settings!$B$8+1,C926&lt;=Settings!$B$5,COUNTIFS($B$5:B926,B926,$C$5:C926,"&gt;="&amp;(Settings!$B$5-Settings!$B$8+1),$C$5:C926,"&lt;="&amp;Settings!$B$5)=1),1,0)</f>
        <v>0</v>
      </c>
      <c r="M926" s="29" t="n">
        <f aca="false">IF(AND(C926&gt;=Settings!$B$5-Settings!$B$9+1,C926&lt;=Settings!$B$5,COUNTIFS($B$5:B926,B926,$C$5:C926,"&gt;="&amp;(Settings!$B$5-Settings!$B$9+1),$C$5:C926,"&lt;="&amp;Settings!$B$5)=1),1,0)</f>
        <v>0</v>
      </c>
      <c r="N926" s="29" t="n">
        <f aca="false">IF(AND(D926="Feature Use",COUNTIFS($B$5:B926,B926,$D$5:D926,"Feature Use")=1),1,0)</f>
        <v>0</v>
      </c>
    </row>
    <row r="927" customFormat="false" ht="15" hidden="false" customHeight="false" outlineLevel="0" collapsed="false">
      <c r="A927" s="22" t="s">
        <v>1234</v>
      </c>
      <c r="B927" s="22" t="s">
        <v>192</v>
      </c>
      <c r="C927" s="31" t="n">
        <v>46295</v>
      </c>
      <c r="D927" s="22" t="s">
        <v>308</v>
      </c>
      <c r="E927" s="22" t="s">
        <v>319</v>
      </c>
      <c r="F927" s="29" t="str">
        <f aca="false">IF(COUNTIF(Referral_Data!$C$5:$C$1000,B927)&gt;0,"Referred",IF(COUNTIF(Referral_Data!$B$5:$B$1000,B927)&gt;0,"Referrer","Organic"))</f>
        <v>Referred</v>
      </c>
      <c r="G927" s="29" t="n">
        <f aca="false">IF(COUNTIFS($B$5:B927,B927,$C$5:C927,C927)=1,1,0)</f>
        <v>0</v>
      </c>
      <c r="H927" s="29" t="n">
        <f aca="false">IF(AND(G927=1,COUNTIFS($B$5:$B$1635,B927,$C$5:$C$1635,"&lt;"&amp;C927)&gt;0),1,0)</f>
        <v>0</v>
      </c>
      <c r="I927" s="29" t="n">
        <f aca="false">IF(AND(D927="Feature Use",COUNTIFS($B$5:B927,B927,$D$5:D927,"Feature Use",$E$5:E927,E927)=1),1,0)</f>
        <v>0</v>
      </c>
      <c r="J927" s="29" t="n">
        <f aca="false">IF(AND(D927="Feature Use",COUNTIFS($B$5:B927,B927,$D$5:D927,"Feature Use",$E$5:E927,E927)=2),1,0)</f>
        <v>0</v>
      </c>
      <c r="K927" s="29" t="n">
        <f aca="false">IF(COUNTIF($B$5:B927,B927)=1,1,0)</f>
        <v>0</v>
      </c>
      <c r="L927" s="29" t="n">
        <f aca="false">IF(AND(C927&gt;=Settings!$B$5-Settings!$B$8+1,C927&lt;=Settings!$B$5,COUNTIFS($B$5:B927,B927,$C$5:C927,"&gt;="&amp;(Settings!$B$5-Settings!$B$8+1),$C$5:C927,"&lt;="&amp;Settings!$B$5)=1),1,0)</f>
        <v>0</v>
      </c>
      <c r="M927" s="29" t="n">
        <f aca="false">IF(AND(C927&gt;=Settings!$B$5-Settings!$B$9+1,C927&lt;=Settings!$B$5,COUNTIFS($B$5:B927,B927,$C$5:C927,"&gt;="&amp;(Settings!$B$5-Settings!$B$9+1),$C$5:C927,"&lt;="&amp;Settings!$B$5)=1),1,0)</f>
        <v>0</v>
      </c>
      <c r="N927" s="29" t="n">
        <f aca="false">IF(AND(D927="Feature Use",COUNTIFS($B$5:B927,B927,$D$5:D927,"Feature Use")=1),1,0)</f>
        <v>0</v>
      </c>
    </row>
    <row r="928" customFormat="false" ht="15" hidden="false" customHeight="false" outlineLevel="0" collapsed="false">
      <c r="A928" s="22" t="s">
        <v>1235</v>
      </c>
      <c r="B928" s="22" t="s">
        <v>213</v>
      </c>
      <c r="C928" s="31" t="n">
        <v>46295</v>
      </c>
      <c r="D928" s="22" t="s">
        <v>297</v>
      </c>
      <c r="E928" s="22" t="s">
        <v>298</v>
      </c>
      <c r="F928" s="29" t="str">
        <f aca="false">IF(COUNTIF(Referral_Data!$C$5:$C$1000,B928)&gt;0,"Referred",IF(COUNTIF(Referral_Data!$B$5:$B$1000,B928)&gt;0,"Referrer","Organic"))</f>
        <v>Referred</v>
      </c>
      <c r="G928" s="29" t="n">
        <f aca="false">IF(COUNTIFS($B$5:B928,B928,$C$5:C928,C928)=1,1,0)</f>
        <v>1</v>
      </c>
      <c r="H928" s="29" t="n">
        <f aca="false">IF(AND(G928=1,COUNTIFS($B$5:$B$1635,B928,$C$5:$C$1635,"&lt;"&amp;C928)&gt;0),1,0)</f>
        <v>1</v>
      </c>
      <c r="I928" s="29" t="n">
        <f aca="false">IF(AND(D928="Feature Use",COUNTIFS($B$5:B928,B928,$D$5:D928,"Feature Use",$E$5:E928,E928)=1),1,0)</f>
        <v>0</v>
      </c>
      <c r="J928" s="29" t="n">
        <f aca="false">IF(AND(D928="Feature Use",COUNTIFS($B$5:B928,B928,$D$5:D928,"Feature Use",$E$5:E928,E928)=2),1,0)</f>
        <v>0</v>
      </c>
      <c r="K928" s="29" t="n">
        <f aca="false">IF(COUNTIF($B$5:B928,B928)=1,1,0)</f>
        <v>0</v>
      </c>
      <c r="L928" s="29" t="n">
        <f aca="false">IF(AND(C928&gt;=Settings!$B$5-Settings!$B$8+1,C928&lt;=Settings!$B$5,COUNTIFS($B$5:B928,B928,$C$5:C928,"&gt;="&amp;(Settings!$B$5-Settings!$B$8+1),$C$5:C928,"&lt;="&amp;Settings!$B$5)=1),1,0)</f>
        <v>0</v>
      </c>
      <c r="M928" s="29" t="n">
        <f aca="false">IF(AND(C928&gt;=Settings!$B$5-Settings!$B$9+1,C928&lt;=Settings!$B$5,COUNTIFS($B$5:B928,B928,$C$5:C928,"&gt;="&amp;(Settings!$B$5-Settings!$B$9+1),$C$5:C928,"&lt;="&amp;Settings!$B$5)=1),1,0)</f>
        <v>0</v>
      </c>
      <c r="N928" s="29" t="n">
        <f aca="false">IF(AND(D928="Feature Use",COUNTIFS($B$5:B928,B928,$D$5:D928,"Feature Use")=1),1,0)</f>
        <v>0</v>
      </c>
    </row>
    <row r="929" customFormat="false" ht="15" hidden="false" customHeight="false" outlineLevel="0" collapsed="false">
      <c r="A929" s="22" t="s">
        <v>1236</v>
      </c>
      <c r="B929" s="22" t="s">
        <v>213</v>
      </c>
      <c r="C929" s="31" t="n">
        <v>46295</v>
      </c>
      <c r="D929" s="22" t="s">
        <v>300</v>
      </c>
      <c r="E929" s="22" t="s">
        <v>311</v>
      </c>
      <c r="F929" s="29" t="str">
        <f aca="false">IF(COUNTIF(Referral_Data!$C$5:$C$1000,B929)&gt;0,"Referred",IF(COUNTIF(Referral_Data!$B$5:$B$1000,B929)&gt;0,"Referrer","Organic"))</f>
        <v>Referred</v>
      </c>
      <c r="G929" s="29" t="n">
        <f aca="false">IF(COUNTIFS($B$5:B929,B929,$C$5:C929,C929)=1,1,0)</f>
        <v>0</v>
      </c>
      <c r="H929" s="29" t="n">
        <f aca="false">IF(AND(G929=1,COUNTIFS($B$5:$B$1635,B929,$C$5:$C$1635,"&lt;"&amp;C929)&gt;0),1,0)</f>
        <v>0</v>
      </c>
      <c r="I929" s="29" t="n">
        <f aca="false">IF(AND(D929="Feature Use",COUNTIFS($B$5:B929,B929,$D$5:D929,"Feature Use",$E$5:E929,E929)=1),1,0)</f>
        <v>0</v>
      </c>
      <c r="J929" s="29" t="n">
        <f aca="false">IF(AND(D929="Feature Use",COUNTIFS($B$5:B929,B929,$D$5:D929,"Feature Use",$E$5:E929,E929)=2),1,0)</f>
        <v>0</v>
      </c>
      <c r="K929" s="29" t="n">
        <f aca="false">IF(COUNTIF($B$5:B929,B929)=1,1,0)</f>
        <v>0</v>
      </c>
      <c r="L929" s="29" t="n">
        <f aca="false">IF(AND(C929&gt;=Settings!$B$5-Settings!$B$8+1,C929&lt;=Settings!$B$5,COUNTIFS($B$5:B929,B929,$C$5:C929,"&gt;="&amp;(Settings!$B$5-Settings!$B$8+1),$C$5:C929,"&lt;="&amp;Settings!$B$5)=1),1,0)</f>
        <v>0</v>
      </c>
      <c r="M929" s="29" t="n">
        <f aca="false">IF(AND(C929&gt;=Settings!$B$5-Settings!$B$9+1,C929&lt;=Settings!$B$5,COUNTIFS($B$5:B929,B929,$C$5:C929,"&gt;="&amp;(Settings!$B$5-Settings!$B$9+1),$C$5:C929,"&lt;="&amp;Settings!$B$5)=1),1,0)</f>
        <v>0</v>
      </c>
      <c r="N929" s="29" t="n">
        <f aca="false">IF(AND(D929="Feature Use",COUNTIFS($B$5:B929,B929,$D$5:D929,"Feature Use")=1),1,0)</f>
        <v>0</v>
      </c>
    </row>
    <row r="930" customFormat="false" ht="15" hidden="false" customHeight="false" outlineLevel="0" collapsed="false">
      <c r="A930" s="22" t="s">
        <v>1237</v>
      </c>
      <c r="B930" s="22" t="s">
        <v>228</v>
      </c>
      <c r="C930" s="31" t="n">
        <v>46295</v>
      </c>
      <c r="D930" s="22" t="s">
        <v>297</v>
      </c>
      <c r="E930" s="22" t="s">
        <v>298</v>
      </c>
      <c r="F930" s="29" t="str">
        <f aca="false">IF(COUNTIF(Referral_Data!$C$5:$C$1000,B930)&gt;0,"Referred",IF(COUNTIF(Referral_Data!$B$5:$B$1000,B930)&gt;0,"Referrer","Organic"))</f>
        <v>Referred</v>
      </c>
      <c r="G930" s="29" t="n">
        <f aca="false">IF(COUNTIFS($B$5:B930,B930,$C$5:C930,C930)=1,1,0)</f>
        <v>1</v>
      </c>
      <c r="H930" s="29" t="n">
        <f aca="false">IF(AND(G930=1,COUNTIFS($B$5:$B$1635,B930,$C$5:$C$1635,"&lt;"&amp;C930)&gt;0),1,0)</f>
        <v>1</v>
      </c>
      <c r="I930" s="29" t="n">
        <f aca="false">IF(AND(D930="Feature Use",COUNTIFS($B$5:B930,B930,$D$5:D930,"Feature Use",$E$5:E930,E930)=1),1,0)</f>
        <v>0</v>
      </c>
      <c r="J930" s="29" t="n">
        <f aca="false">IF(AND(D930="Feature Use",COUNTIFS($B$5:B930,B930,$D$5:D930,"Feature Use",$E$5:E930,E930)=2),1,0)</f>
        <v>0</v>
      </c>
      <c r="K930" s="29" t="n">
        <f aca="false">IF(COUNTIF($B$5:B930,B930)=1,1,0)</f>
        <v>0</v>
      </c>
      <c r="L930" s="29" t="n">
        <f aca="false">IF(AND(C930&gt;=Settings!$B$5-Settings!$B$8+1,C930&lt;=Settings!$B$5,COUNTIFS($B$5:B930,B930,$C$5:C930,"&gt;="&amp;(Settings!$B$5-Settings!$B$8+1),$C$5:C930,"&lt;="&amp;Settings!$B$5)=1),1,0)</f>
        <v>0</v>
      </c>
      <c r="M930" s="29" t="n">
        <f aca="false">IF(AND(C930&gt;=Settings!$B$5-Settings!$B$9+1,C930&lt;=Settings!$B$5,COUNTIFS($B$5:B930,B930,$C$5:C930,"&gt;="&amp;(Settings!$B$5-Settings!$B$9+1),$C$5:C930,"&lt;="&amp;Settings!$B$5)=1),1,0)</f>
        <v>0</v>
      </c>
      <c r="N930" s="29" t="n">
        <f aca="false">IF(AND(D930="Feature Use",COUNTIFS($B$5:B930,B930,$D$5:D930,"Feature Use")=1),1,0)</f>
        <v>0</v>
      </c>
    </row>
    <row r="931" customFormat="false" ht="15" hidden="false" customHeight="false" outlineLevel="0" collapsed="false">
      <c r="A931" s="22" t="s">
        <v>1238</v>
      </c>
      <c r="B931" s="22" t="s">
        <v>228</v>
      </c>
      <c r="C931" s="31" t="n">
        <v>46295</v>
      </c>
      <c r="D931" s="22" t="s">
        <v>300</v>
      </c>
      <c r="E931" s="22" t="s">
        <v>311</v>
      </c>
      <c r="F931" s="29" t="str">
        <f aca="false">IF(COUNTIF(Referral_Data!$C$5:$C$1000,B931)&gt;0,"Referred",IF(COUNTIF(Referral_Data!$B$5:$B$1000,B931)&gt;0,"Referrer","Organic"))</f>
        <v>Referred</v>
      </c>
      <c r="G931" s="29" t="n">
        <f aca="false">IF(COUNTIFS($B$5:B931,B931,$C$5:C931,C931)=1,1,0)</f>
        <v>0</v>
      </c>
      <c r="H931" s="29" t="n">
        <f aca="false">IF(AND(G931=1,COUNTIFS($B$5:$B$1635,B931,$C$5:$C$1635,"&lt;"&amp;C931)&gt;0),1,0)</f>
        <v>0</v>
      </c>
      <c r="I931" s="29" t="n">
        <f aca="false">IF(AND(D931="Feature Use",COUNTIFS($B$5:B931,B931,$D$5:D931,"Feature Use",$E$5:E931,E931)=1),1,0)</f>
        <v>0</v>
      </c>
      <c r="J931" s="29" t="n">
        <f aca="false">IF(AND(D931="Feature Use",COUNTIFS($B$5:B931,B931,$D$5:D931,"Feature Use",$E$5:E931,E931)=2),1,0)</f>
        <v>1</v>
      </c>
      <c r="K931" s="29" t="n">
        <f aca="false">IF(COUNTIF($B$5:B931,B931)=1,1,0)</f>
        <v>0</v>
      </c>
      <c r="L931" s="29" t="n">
        <f aca="false">IF(AND(C931&gt;=Settings!$B$5-Settings!$B$8+1,C931&lt;=Settings!$B$5,COUNTIFS($B$5:B931,B931,$C$5:C931,"&gt;="&amp;(Settings!$B$5-Settings!$B$8+1),$C$5:C931,"&lt;="&amp;Settings!$B$5)=1),1,0)</f>
        <v>0</v>
      </c>
      <c r="M931" s="29" t="n">
        <f aca="false">IF(AND(C931&gt;=Settings!$B$5-Settings!$B$9+1,C931&lt;=Settings!$B$5,COUNTIFS($B$5:B931,B931,$C$5:C931,"&gt;="&amp;(Settings!$B$5-Settings!$B$9+1),$C$5:C931,"&lt;="&amp;Settings!$B$5)=1),1,0)</f>
        <v>0</v>
      </c>
      <c r="N931" s="29" t="n">
        <f aca="false">IF(AND(D931="Feature Use",COUNTIFS($B$5:B931,B931,$D$5:D931,"Feature Use")=1),1,0)</f>
        <v>0</v>
      </c>
    </row>
    <row r="932" customFormat="false" ht="15" hidden="false" customHeight="false" outlineLevel="0" collapsed="false">
      <c r="A932" s="22" t="s">
        <v>1239</v>
      </c>
      <c r="B932" s="22" t="s">
        <v>228</v>
      </c>
      <c r="C932" s="31" t="n">
        <v>46295</v>
      </c>
      <c r="D932" s="22" t="s">
        <v>300</v>
      </c>
      <c r="E932" s="22" t="s">
        <v>309</v>
      </c>
      <c r="F932" s="29" t="str">
        <f aca="false">IF(COUNTIF(Referral_Data!$C$5:$C$1000,B932)&gt;0,"Referred",IF(COUNTIF(Referral_Data!$B$5:$B$1000,B932)&gt;0,"Referrer","Organic"))</f>
        <v>Referred</v>
      </c>
      <c r="G932" s="29" t="n">
        <f aca="false">IF(COUNTIFS($B$5:B932,B932,$C$5:C932,C932)=1,1,0)</f>
        <v>0</v>
      </c>
      <c r="H932" s="29" t="n">
        <f aca="false">IF(AND(G932=1,COUNTIFS($B$5:$B$1635,B932,$C$5:$C$1635,"&lt;"&amp;C932)&gt;0),1,0)</f>
        <v>0</v>
      </c>
      <c r="I932" s="29" t="n">
        <f aca="false">IF(AND(D932="Feature Use",COUNTIFS($B$5:B932,B932,$D$5:D932,"Feature Use",$E$5:E932,E932)=1),1,0)</f>
        <v>0</v>
      </c>
      <c r="J932" s="29" t="n">
        <f aca="false">IF(AND(D932="Feature Use",COUNTIFS($B$5:B932,B932,$D$5:D932,"Feature Use",$E$5:E932,E932)=2),1,0)</f>
        <v>1</v>
      </c>
      <c r="K932" s="29" t="n">
        <f aca="false">IF(COUNTIF($B$5:B932,B932)=1,1,0)</f>
        <v>0</v>
      </c>
      <c r="L932" s="29" t="n">
        <f aca="false">IF(AND(C932&gt;=Settings!$B$5-Settings!$B$8+1,C932&lt;=Settings!$B$5,COUNTIFS($B$5:B932,B932,$C$5:C932,"&gt;="&amp;(Settings!$B$5-Settings!$B$8+1),$C$5:C932,"&lt;="&amp;Settings!$B$5)=1),1,0)</f>
        <v>0</v>
      </c>
      <c r="M932" s="29" t="n">
        <f aca="false">IF(AND(C932&gt;=Settings!$B$5-Settings!$B$9+1,C932&lt;=Settings!$B$5,COUNTIFS($B$5:B932,B932,$C$5:C932,"&gt;="&amp;(Settings!$B$5-Settings!$B$9+1),$C$5:C932,"&lt;="&amp;Settings!$B$5)=1),1,0)</f>
        <v>0</v>
      </c>
      <c r="N932" s="29" t="n">
        <f aca="false">IF(AND(D932="Feature Use",COUNTIFS($B$5:B932,B932,$D$5:D932,"Feature Use")=1),1,0)</f>
        <v>0</v>
      </c>
    </row>
    <row r="933" customFormat="false" ht="15" hidden="false" customHeight="false" outlineLevel="0" collapsed="false">
      <c r="A933" s="22" t="s">
        <v>1240</v>
      </c>
      <c r="B933" s="22" t="s">
        <v>237</v>
      </c>
      <c r="C933" s="31" t="n">
        <v>46295</v>
      </c>
      <c r="D933" s="22" t="s">
        <v>297</v>
      </c>
      <c r="E933" s="22" t="s">
        <v>298</v>
      </c>
      <c r="F933" s="29" t="str">
        <f aca="false">IF(COUNTIF(Referral_Data!$C$5:$C$1000,B933)&gt;0,"Referred",IF(COUNTIF(Referral_Data!$B$5:$B$1000,B933)&gt;0,"Referrer","Organic"))</f>
        <v>Referred</v>
      </c>
      <c r="G933" s="29" t="n">
        <f aca="false">IF(COUNTIFS($B$5:B933,B933,$C$5:C933,C933)=1,1,0)</f>
        <v>1</v>
      </c>
      <c r="H933" s="29" t="n">
        <f aca="false">IF(AND(G933=1,COUNTIFS($B$5:$B$1635,B933,$C$5:$C$1635,"&lt;"&amp;C933)&gt;0),1,0)</f>
        <v>0</v>
      </c>
      <c r="I933" s="29" t="n">
        <f aca="false">IF(AND(D933="Feature Use",COUNTIFS($B$5:B933,B933,$D$5:D933,"Feature Use",$E$5:E933,E933)=1),1,0)</f>
        <v>0</v>
      </c>
      <c r="J933" s="29" t="n">
        <f aca="false">IF(AND(D933="Feature Use",COUNTIFS($B$5:B933,B933,$D$5:D933,"Feature Use",$E$5:E933,E933)=2),1,0)</f>
        <v>0</v>
      </c>
      <c r="K933" s="29" t="n">
        <f aca="false">IF(COUNTIF($B$5:B933,B933)=1,1,0)</f>
        <v>1</v>
      </c>
      <c r="L933" s="29" t="n">
        <f aca="false">IF(AND(C933&gt;=Settings!$B$5-Settings!$B$8+1,C933&lt;=Settings!$B$5,COUNTIFS($B$5:B933,B933,$C$5:C933,"&gt;="&amp;(Settings!$B$5-Settings!$B$8+1),$C$5:C933,"&lt;="&amp;Settings!$B$5)=1),1,0)</f>
        <v>0</v>
      </c>
      <c r="M933" s="29" t="n">
        <f aca="false">IF(AND(C933&gt;=Settings!$B$5-Settings!$B$9+1,C933&lt;=Settings!$B$5,COUNTIFS($B$5:B933,B933,$C$5:C933,"&gt;="&amp;(Settings!$B$5-Settings!$B$9+1),$C$5:C933,"&lt;="&amp;Settings!$B$5)=1),1,0)</f>
        <v>1</v>
      </c>
      <c r="N933" s="29" t="n">
        <f aca="false">IF(AND(D933="Feature Use",COUNTIFS($B$5:B933,B933,$D$5:D933,"Feature Use")=1),1,0)</f>
        <v>0</v>
      </c>
    </row>
    <row r="934" customFormat="false" ht="15" hidden="false" customHeight="false" outlineLevel="0" collapsed="false">
      <c r="A934" s="22" t="s">
        <v>1241</v>
      </c>
      <c r="B934" s="22" t="s">
        <v>237</v>
      </c>
      <c r="C934" s="31" t="n">
        <v>46295</v>
      </c>
      <c r="D934" s="22" t="s">
        <v>300</v>
      </c>
      <c r="E934" s="22" t="s">
        <v>305</v>
      </c>
      <c r="F934" s="29" t="str">
        <f aca="false">IF(COUNTIF(Referral_Data!$C$5:$C$1000,B934)&gt;0,"Referred",IF(COUNTIF(Referral_Data!$B$5:$B$1000,B934)&gt;0,"Referrer","Organic"))</f>
        <v>Referred</v>
      </c>
      <c r="G934" s="29" t="n">
        <f aca="false">IF(COUNTIFS($B$5:B934,B934,$C$5:C934,C934)=1,1,0)</f>
        <v>0</v>
      </c>
      <c r="H934" s="29" t="n">
        <f aca="false">IF(AND(G934=1,COUNTIFS($B$5:$B$1635,B934,$C$5:$C$1635,"&lt;"&amp;C934)&gt;0),1,0)</f>
        <v>0</v>
      </c>
      <c r="I934" s="29" t="n">
        <f aca="false">IF(AND(D934="Feature Use",COUNTIFS($B$5:B934,B934,$D$5:D934,"Feature Use",$E$5:E934,E934)=1),1,0)</f>
        <v>1</v>
      </c>
      <c r="J934" s="29" t="n">
        <f aca="false">IF(AND(D934="Feature Use",COUNTIFS($B$5:B934,B934,$D$5:D934,"Feature Use",$E$5:E934,E934)=2),1,0)</f>
        <v>0</v>
      </c>
      <c r="K934" s="29" t="n">
        <f aca="false">IF(COUNTIF($B$5:B934,B934)=1,1,0)</f>
        <v>0</v>
      </c>
      <c r="L934" s="29" t="n">
        <f aca="false">IF(AND(C934&gt;=Settings!$B$5-Settings!$B$8+1,C934&lt;=Settings!$B$5,COUNTIFS($B$5:B934,B934,$C$5:C934,"&gt;="&amp;(Settings!$B$5-Settings!$B$8+1),$C$5:C934,"&lt;="&amp;Settings!$B$5)=1),1,0)</f>
        <v>0</v>
      </c>
      <c r="M934" s="29" t="n">
        <f aca="false">IF(AND(C934&gt;=Settings!$B$5-Settings!$B$9+1,C934&lt;=Settings!$B$5,COUNTIFS($B$5:B934,B934,$C$5:C934,"&gt;="&amp;(Settings!$B$5-Settings!$B$9+1),$C$5:C934,"&lt;="&amp;Settings!$B$5)=1),1,0)</f>
        <v>0</v>
      </c>
      <c r="N934" s="29" t="n">
        <f aca="false">IF(AND(D934="Feature Use",COUNTIFS($B$5:B934,B934,$D$5:D934,"Feature Use")=1),1,0)</f>
        <v>1</v>
      </c>
    </row>
    <row r="935" customFormat="false" ht="15" hidden="false" customHeight="false" outlineLevel="0" collapsed="false">
      <c r="A935" s="22" t="s">
        <v>1242</v>
      </c>
      <c r="B935" s="22" t="s">
        <v>243</v>
      </c>
      <c r="C935" s="31" t="n">
        <v>46295</v>
      </c>
      <c r="D935" s="22" t="s">
        <v>297</v>
      </c>
      <c r="E935" s="22" t="s">
        <v>298</v>
      </c>
      <c r="F935" s="29" t="str">
        <f aca="false">IF(COUNTIF(Referral_Data!$C$5:$C$1000,B935)&gt;0,"Referred",IF(COUNTIF(Referral_Data!$B$5:$B$1000,B935)&gt;0,"Referrer","Organic"))</f>
        <v>Referred</v>
      </c>
      <c r="G935" s="29" t="n">
        <f aca="false">IF(COUNTIFS($B$5:B935,B935,$C$5:C935,C935)=1,1,0)</f>
        <v>1</v>
      </c>
      <c r="H935" s="29" t="n">
        <f aca="false">IF(AND(G935=1,COUNTIFS($B$5:$B$1635,B935,$C$5:$C$1635,"&lt;"&amp;C935)&gt;0),1,0)</f>
        <v>0</v>
      </c>
      <c r="I935" s="29" t="n">
        <f aca="false">IF(AND(D935="Feature Use",COUNTIFS($B$5:B935,B935,$D$5:D935,"Feature Use",$E$5:E935,E935)=1),1,0)</f>
        <v>0</v>
      </c>
      <c r="J935" s="29" t="n">
        <f aca="false">IF(AND(D935="Feature Use",COUNTIFS($B$5:B935,B935,$D$5:D935,"Feature Use",$E$5:E935,E935)=2),1,0)</f>
        <v>0</v>
      </c>
      <c r="K935" s="29" t="n">
        <f aca="false">IF(COUNTIF($B$5:B935,B935)=1,1,0)</f>
        <v>1</v>
      </c>
      <c r="L935" s="29" t="n">
        <f aca="false">IF(AND(C935&gt;=Settings!$B$5-Settings!$B$8+1,C935&lt;=Settings!$B$5,COUNTIFS($B$5:B935,B935,$C$5:C935,"&gt;="&amp;(Settings!$B$5-Settings!$B$8+1),$C$5:C935,"&lt;="&amp;Settings!$B$5)=1),1,0)</f>
        <v>0</v>
      </c>
      <c r="M935" s="29" t="n">
        <f aca="false">IF(AND(C935&gt;=Settings!$B$5-Settings!$B$9+1,C935&lt;=Settings!$B$5,COUNTIFS($B$5:B935,B935,$C$5:C935,"&gt;="&amp;(Settings!$B$5-Settings!$B$9+1),$C$5:C935,"&lt;="&amp;Settings!$B$5)=1),1,0)</f>
        <v>1</v>
      </c>
      <c r="N935" s="29" t="n">
        <f aca="false">IF(AND(D935="Feature Use",COUNTIFS($B$5:B935,B935,$D$5:D935,"Feature Use")=1),1,0)</f>
        <v>0</v>
      </c>
    </row>
    <row r="936" customFormat="false" ht="15" hidden="false" customHeight="false" outlineLevel="0" collapsed="false">
      <c r="A936" s="22" t="s">
        <v>1243</v>
      </c>
      <c r="B936" s="22" t="s">
        <v>243</v>
      </c>
      <c r="C936" s="31" t="n">
        <v>46295</v>
      </c>
      <c r="D936" s="22" t="s">
        <v>300</v>
      </c>
      <c r="E936" s="22" t="s">
        <v>305</v>
      </c>
      <c r="F936" s="29" t="str">
        <f aca="false">IF(COUNTIF(Referral_Data!$C$5:$C$1000,B936)&gt;0,"Referred",IF(COUNTIF(Referral_Data!$B$5:$B$1000,B936)&gt;0,"Referrer","Organic"))</f>
        <v>Referred</v>
      </c>
      <c r="G936" s="29" t="n">
        <f aca="false">IF(COUNTIFS($B$5:B936,B936,$C$5:C936,C936)=1,1,0)</f>
        <v>0</v>
      </c>
      <c r="H936" s="29" t="n">
        <f aca="false">IF(AND(G936=1,COUNTIFS($B$5:$B$1635,B936,$C$5:$C$1635,"&lt;"&amp;C936)&gt;0),1,0)</f>
        <v>0</v>
      </c>
      <c r="I936" s="29" t="n">
        <f aca="false">IF(AND(D936="Feature Use",COUNTIFS($B$5:B936,B936,$D$5:D936,"Feature Use",$E$5:E936,E936)=1),1,0)</f>
        <v>1</v>
      </c>
      <c r="J936" s="29" t="n">
        <f aca="false">IF(AND(D936="Feature Use",COUNTIFS($B$5:B936,B936,$D$5:D936,"Feature Use",$E$5:E936,E936)=2),1,0)</f>
        <v>0</v>
      </c>
      <c r="K936" s="29" t="n">
        <f aca="false">IF(COUNTIF($B$5:B936,B936)=1,1,0)</f>
        <v>0</v>
      </c>
      <c r="L936" s="29" t="n">
        <f aca="false">IF(AND(C936&gt;=Settings!$B$5-Settings!$B$8+1,C936&lt;=Settings!$B$5,COUNTIFS($B$5:B936,B936,$C$5:C936,"&gt;="&amp;(Settings!$B$5-Settings!$B$8+1),$C$5:C936,"&lt;="&amp;Settings!$B$5)=1),1,0)</f>
        <v>0</v>
      </c>
      <c r="M936" s="29" t="n">
        <f aca="false">IF(AND(C936&gt;=Settings!$B$5-Settings!$B$9+1,C936&lt;=Settings!$B$5,COUNTIFS($B$5:B936,B936,$C$5:C936,"&gt;="&amp;(Settings!$B$5-Settings!$B$9+1),$C$5:C936,"&lt;="&amp;Settings!$B$5)=1),1,0)</f>
        <v>0</v>
      </c>
      <c r="N936" s="29" t="n">
        <f aca="false">IF(AND(D936="Feature Use",COUNTIFS($B$5:B936,B936,$D$5:D936,"Feature Use")=1),1,0)</f>
        <v>1</v>
      </c>
    </row>
    <row r="937" customFormat="false" ht="15" hidden="false" customHeight="false" outlineLevel="0" collapsed="false">
      <c r="A937" s="22" t="s">
        <v>1244</v>
      </c>
      <c r="B937" s="22" t="s">
        <v>252</v>
      </c>
      <c r="C937" s="31" t="n">
        <v>46295</v>
      </c>
      <c r="D937" s="22" t="s">
        <v>297</v>
      </c>
      <c r="E937" s="22" t="s">
        <v>298</v>
      </c>
      <c r="F937" s="29" t="str">
        <f aca="false">IF(COUNTIF(Referral_Data!$C$5:$C$1000,B937)&gt;0,"Referred",IF(COUNTIF(Referral_Data!$B$5:$B$1000,B937)&gt;0,"Referrer","Organic"))</f>
        <v>Referred</v>
      </c>
      <c r="G937" s="29" t="n">
        <f aca="false">IF(COUNTIFS($B$5:B937,B937,$C$5:C937,C937)=1,1,0)</f>
        <v>1</v>
      </c>
      <c r="H937" s="29" t="n">
        <f aca="false">IF(AND(G937=1,COUNTIFS($B$5:$B$1635,B937,$C$5:$C$1635,"&lt;"&amp;C937)&gt;0),1,0)</f>
        <v>1</v>
      </c>
      <c r="I937" s="29" t="n">
        <f aca="false">IF(AND(D937="Feature Use",COUNTIFS($B$5:B937,B937,$D$5:D937,"Feature Use",$E$5:E937,E937)=1),1,0)</f>
        <v>0</v>
      </c>
      <c r="J937" s="29" t="n">
        <f aca="false">IF(AND(D937="Feature Use",COUNTIFS($B$5:B937,B937,$D$5:D937,"Feature Use",$E$5:E937,E937)=2),1,0)</f>
        <v>0</v>
      </c>
      <c r="K937" s="29" t="n">
        <f aca="false">IF(COUNTIF($B$5:B937,B937)=1,1,0)</f>
        <v>0</v>
      </c>
      <c r="L937" s="29" t="n">
        <f aca="false">IF(AND(C937&gt;=Settings!$B$5-Settings!$B$8+1,C937&lt;=Settings!$B$5,COUNTIFS($B$5:B937,B937,$C$5:C937,"&gt;="&amp;(Settings!$B$5-Settings!$B$8+1),$C$5:C937,"&lt;="&amp;Settings!$B$5)=1),1,0)</f>
        <v>0</v>
      </c>
      <c r="M937" s="29" t="n">
        <f aca="false">IF(AND(C937&gt;=Settings!$B$5-Settings!$B$9+1,C937&lt;=Settings!$B$5,COUNTIFS($B$5:B937,B937,$C$5:C937,"&gt;="&amp;(Settings!$B$5-Settings!$B$9+1),$C$5:C937,"&lt;="&amp;Settings!$B$5)=1),1,0)</f>
        <v>0</v>
      </c>
      <c r="N937" s="29" t="n">
        <f aca="false">IF(AND(D937="Feature Use",COUNTIFS($B$5:B937,B937,$D$5:D937,"Feature Use")=1),1,0)</f>
        <v>0</v>
      </c>
    </row>
    <row r="938" customFormat="false" ht="15" hidden="false" customHeight="false" outlineLevel="0" collapsed="false">
      <c r="A938" s="22" t="s">
        <v>1245</v>
      </c>
      <c r="B938" s="22" t="s">
        <v>252</v>
      </c>
      <c r="C938" s="31" t="n">
        <v>46295</v>
      </c>
      <c r="D938" s="22" t="s">
        <v>300</v>
      </c>
      <c r="E938" s="22" t="s">
        <v>305</v>
      </c>
      <c r="F938" s="29" t="str">
        <f aca="false">IF(COUNTIF(Referral_Data!$C$5:$C$1000,B938)&gt;0,"Referred",IF(COUNTIF(Referral_Data!$B$5:$B$1000,B938)&gt;0,"Referrer","Organic"))</f>
        <v>Referred</v>
      </c>
      <c r="G938" s="29" t="n">
        <f aca="false">IF(COUNTIFS($B$5:B938,B938,$C$5:C938,C938)=1,1,0)</f>
        <v>0</v>
      </c>
      <c r="H938" s="29" t="n">
        <f aca="false">IF(AND(G938=1,COUNTIFS($B$5:$B$1635,B938,$C$5:$C$1635,"&lt;"&amp;C938)&gt;0),1,0)</f>
        <v>0</v>
      </c>
      <c r="I938" s="29" t="n">
        <f aca="false">IF(AND(D938="Feature Use",COUNTIFS($B$5:B938,B938,$D$5:D938,"Feature Use",$E$5:E938,E938)=1),1,0)</f>
        <v>0</v>
      </c>
      <c r="J938" s="29" t="n">
        <f aca="false">IF(AND(D938="Feature Use",COUNTIFS($B$5:B938,B938,$D$5:D938,"Feature Use",$E$5:E938,E938)=2),1,0)</f>
        <v>0</v>
      </c>
      <c r="K938" s="29" t="n">
        <f aca="false">IF(COUNTIF($B$5:B938,B938)=1,1,0)</f>
        <v>0</v>
      </c>
      <c r="L938" s="29" t="n">
        <f aca="false">IF(AND(C938&gt;=Settings!$B$5-Settings!$B$8+1,C938&lt;=Settings!$B$5,COUNTIFS($B$5:B938,B938,$C$5:C938,"&gt;="&amp;(Settings!$B$5-Settings!$B$8+1),$C$5:C938,"&lt;="&amp;Settings!$B$5)=1),1,0)</f>
        <v>0</v>
      </c>
      <c r="M938" s="29" t="n">
        <f aca="false">IF(AND(C938&gt;=Settings!$B$5-Settings!$B$9+1,C938&lt;=Settings!$B$5,COUNTIFS($B$5:B938,B938,$C$5:C938,"&gt;="&amp;(Settings!$B$5-Settings!$B$9+1),$C$5:C938,"&lt;="&amp;Settings!$B$5)=1),1,0)</f>
        <v>0</v>
      </c>
      <c r="N938" s="29" t="n">
        <f aca="false">IF(AND(D938="Feature Use",COUNTIFS($B$5:B938,B938,$D$5:D938,"Feature Use")=1),1,0)</f>
        <v>0</v>
      </c>
    </row>
    <row r="939" customFormat="false" ht="15" hidden="false" customHeight="false" outlineLevel="0" collapsed="false">
      <c r="A939" s="22" t="s">
        <v>1246</v>
      </c>
      <c r="B939" s="22" t="s">
        <v>267</v>
      </c>
      <c r="C939" s="31" t="n">
        <v>46295</v>
      </c>
      <c r="D939" s="22" t="s">
        <v>297</v>
      </c>
      <c r="E939" s="22" t="s">
        <v>298</v>
      </c>
      <c r="F939" s="29" t="str">
        <f aca="false">IF(COUNTIF(Referral_Data!$C$5:$C$1000,B939)&gt;0,"Referred",IF(COUNTIF(Referral_Data!$B$5:$B$1000,B939)&gt;0,"Referrer","Organic"))</f>
        <v>Referred</v>
      </c>
      <c r="G939" s="29" t="n">
        <f aca="false">IF(COUNTIFS($B$5:B939,B939,$C$5:C939,C939)=1,1,0)</f>
        <v>1</v>
      </c>
      <c r="H939" s="29" t="n">
        <f aca="false">IF(AND(G939=1,COUNTIFS($B$5:$B$1635,B939,$C$5:$C$1635,"&lt;"&amp;C939)&gt;0),1,0)</f>
        <v>0</v>
      </c>
      <c r="I939" s="29" t="n">
        <f aca="false">IF(AND(D939="Feature Use",COUNTIFS($B$5:B939,B939,$D$5:D939,"Feature Use",$E$5:E939,E939)=1),1,0)</f>
        <v>0</v>
      </c>
      <c r="J939" s="29" t="n">
        <f aca="false">IF(AND(D939="Feature Use",COUNTIFS($B$5:B939,B939,$D$5:D939,"Feature Use",$E$5:E939,E939)=2),1,0)</f>
        <v>0</v>
      </c>
      <c r="K939" s="29" t="n">
        <f aca="false">IF(COUNTIF($B$5:B939,B939)=1,1,0)</f>
        <v>1</v>
      </c>
      <c r="L939" s="29" t="n">
        <f aca="false">IF(AND(C939&gt;=Settings!$B$5-Settings!$B$8+1,C939&lt;=Settings!$B$5,COUNTIFS($B$5:B939,B939,$C$5:C939,"&gt;="&amp;(Settings!$B$5-Settings!$B$8+1),$C$5:C939,"&lt;="&amp;Settings!$B$5)=1),1,0)</f>
        <v>0</v>
      </c>
      <c r="M939" s="29" t="n">
        <f aca="false">IF(AND(C939&gt;=Settings!$B$5-Settings!$B$9+1,C939&lt;=Settings!$B$5,COUNTIFS($B$5:B939,B939,$C$5:C939,"&gt;="&amp;(Settings!$B$5-Settings!$B$9+1),$C$5:C939,"&lt;="&amp;Settings!$B$5)=1),1,0)</f>
        <v>1</v>
      </c>
      <c r="N939" s="29" t="n">
        <f aca="false">IF(AND(D939="Feature Use",COUNTIFS($B$5:B939,B939,$D$5:D939,"Feature Use")=1),1,0)</f>
        <v>0</v>
      </c>
    </row>
    <row r="940" customFormat="false" ht="15" hidden="false" customHeight="false" outlineLevel="0" collapsed="false">
      <c r="A940" s="22" t="s">
        <v>1247</v>
      </c>
      <c r="B940" s="22" t="s">
        <v>267</v>
      </c>
      <c r="C940" s="31" t="n">
        <v>46295</v>
      </c>
      <c r="D940" s="22" t="s">
        <v>300</v>
      </c>
      <c r="E940" s="22" t="s">
        <v>301</v>
      </c>
      <c r="F940" s="29" t="str">
        <f aca="false">IF(COUNTIF(Referral_Data!$C$5:$C$1000,B940)&gt;0,"Referred",IF(COUNTIF(Referral_Data!$B$5:$B$1000,B940)&gt;0,"Referrer","Organic"))</f>
        <v>Referred</v>
      </c>
      <c r="G940" s="29" t="n">
        <f aca="false">IF(COUNTIFS($B$5:B940,B940,$C$5:C940,C940)=1,1,0)</f>
        <v>0</v>
      </c>
      <c r="H940" s="29" t="n">
        <f aca="false">IF(AND(G940=1,COUNTIFS($B$5:$B$1635,B940,$C$5:$C$1635,"&lt;"&amp;C940)&gt;0),1,0)</f>
        <v>0</v>
      </c>
      <c r="I940" s="29" t="n">
        <f aca="false">IF(AND(D940="Feature Use",COUNTIFS($B$5:B940,B940,$D$5:D940,"Feature Use",$E$5:E940,E940)=1),1,0)</f>
        <v>1</v>
      </c>
      <c r="J940" s="29" t="n">
        <f aca="false">IF(AND(D940="Feature Use",COUNTIFS($B$5:B940,B940,$D$5:D940,"Feature Use",$E$5:E940,E940)=2),1,0)</f>
        <v>0</v>
      </c>
      <c r="K940" s="29" t="n">
        <f aca="false">IF(COUNTIF($B$5:B940,B940)=1,1,0)</f>
        <v>0</v>
      </c>
      <c r="L940" s="29" t="n">
        <f aca="false">IF(AND(C940&gt;=Settings!$B$5-Settings!$B$8+1,C940&lt;=Settings!$B$5,COUNTIFS($B$5:B940,B940,$C$5:C940,"&gt;="&amp;(Settings!$B$5-Settings!$B$8+1),$C$5:C940,"&lt;="&amp;Settings!$B$5)=1),1,0)</f>
        <v>0</v>
      </c>
      <c r="M940" s="29" t="n">
        <f aca="false">IF(AND(C940&gt;=Settings!$B$5-Settings!$B$9+1,C940&lt;=Settings!$B$5,COUNTIFS($B$5:B940,B940,$C$5:C940,"&gt;="&amp;(Settings!$B$5-Settings!$B$9+1),$C$5:C940,"&lt;="&amp;Settings!$B$5)=1),1,0)</f>
        <v>0</v>
      </c>
      <c r="N940" s="29" t="n">
        <f aca="false">IF(AND(D940="Feature Use",COUNTIFS($B$5:B940,B940,$D$5:D940,"Feature Use")=1),1,0)</f>
        <v>1</v>
      </c>
    </row>
    <row r="941" customFormat="false" ht="15" hidden="false" customHeight="false" outlineLevel="0" collapsed="false">
      <c r="A941" s="22" t="s">
        <v>1248</v>
      </c>
      <c r="B941" s="22" t="s">
        <v>269</v>
      </c>
      <c r="C941" s="31" t="n">
        <v>46295</v>
      </c>
      <c r="D941" s="22" t="s">
        <v>297</v>
      </c>
      <c r="E941" s="22" t="s">
        <v>298</v>
      </c>
      <c r="F941" s="29" t="str">
        <f aca="false">IF(COUNTIF(Referral_Data!$C$5:$C$1000,B941)&gt;0,"Referred",IF(COUNTIF(Referral_Data!$B$5:$B$1000,B941)&gt;0,"Referrer","Organic"))</f>
        <v>Referred</v>
      </c>
      <c r="G941" s="29" t="n">
        <f aca="false">IF(COUNTIFS($B$5:B941,B941,$C$5:C941,C941)=1,1,0)</f>
        <v>1</v>
      </c>
      <c r="H941" s="29" t="n">
        <f aca="false">IF(AND(G941=1,COUNTIFS($B$5:$B$1635,B941,$C$5:$C$1635,"&lt;"&amp;C941)&gt;0),1,0)</f>
        <v>1</v>
      </c>
      <c r="I941" s="29" t="n">
        <f aca="false">IF(AND(D941="Feature Use",COUNTIFS($B$5:B941,B941,$D$5:D941,"Feature Use",$E$5:E941,E941)=1),1,0)</f>
        <v>0</v>
      </c>
      <c r="J941" s="29" t="n">
        <f aca="false">IF(AND(D941="Feature Use",COUNTIFS($B$5:B941,B941,$D$5:D941,"Feature Use",$E$5:E941,E941)=2),1,0)</f>
        <v>0</v>
      </c>
      <c r="K941" s="29" t="n">
        <f aca="false">IF(COUNTIF($B$5:B941,B941)=1,1,0)</f>
        <v>0</v>
      </c>
      <c r="L941" s="29" t="n">
        <f aca="false">IF(AND(C941&gt;=Settings!$B$5-Settings!$B$8+1,C941&lt;=Settings!$B$5,COUNTIFS($B$5:B941,B941,$C$5:C941,"&gt;="&amp;(Settings!$B$5-Settings!$B$8+1),$C$5:C941,"&lt;="&amp;Settings!$B$5)=1),1,0)</f>
        <v>0</v>
      </c>
      <c r="M941" s="29" t="n">
        <f aca="false">IF(AND(C941&gt;=Settings!$B$5-Settings!$B$9+1,C941&lt;=Settings!$B$5,COUNTIFS($B$5:B941,B941,$C$5:C941,"&gt;="&amp;(Settings!$B$5-Settings!$B$9+1),$C$5:C941,"&lt;="&amp;Settings!$B$5)=1),1,0)</f>
        <v>0</v>
      </c>
      <c r="N941" s="29" t="n">
        <f aca="false">IF(AND(D941="Feature Use",COUNTIFS($B$5:B941,B941,$D$5:D941,"Feature Use")=1),1,0)</f>
        <v>0</v>
      </c>
    </row>
    <row r="942" customFormat="false" ht="15" hidden="false" customHeight="false" outlineLevel="0" collapsed="false">
      <c r="A942" s="22" t="s">
        <v>1249</v>
      </c>
      <c r="B942" s="22" t="s">
        <v>269</v>
      </c>
      <c r="C942" s="31" t="n">
        <v>46295</v>
      </c>
      <c r="D942" s="22" t="s">
        <v>300</v>
      </c>
      <c r="E942" s="22" t="s">
        <v>319</v>
      </c>
      <c r="F942" s="29" t="str">
        <f aca="false">IF(COUNTIF(Referral_Data!$C$5:$C$1000,B942)&gt;0,"Referred",IF(COUNTIF(Referral_Data!$B$5:$B$1000,B942)&gt;0,"Referrer","Organic"))</f>
        <v>Referred</v>
      </c>
      <c r="G942" s="29" t="n">
        <f aca="false">IF(COUNTIFS($B$5:B942,B942,$C$5:C942,C942)=1,1,0)</f>
        <v>0</v>
      </c>
      <c r="H942" s="29" t="n">
        <f aca="false">IF(AND(G942=1,COUNTIFS($B$5:$B$1635,B942,$C$5:$C$1635,"&lt;"&amp;C942)&gt;0),1,0)</f>
        <v>0</v>
      </c>
      <c r="I942" s="29" t="n">
        <f aca="false">IF(AND(D942="Feature Use",COUNTIFS($B$5:B942,B942,$D$5:D942,"Feature Use",$E$5:E942,E942)=1),1,0)</f>
        <v>0</v>
      </c>
      <c r="J942" s="29" t="n">
        <f aca="false">IF(AND(D942="Feature Use",COUNTIFS($B$5:B942,B942,$D$5:D942,"Feature Use",$E$5:E942,E942)=2),1,0)</f>
        <v>1</v>
      </c>
      <c r="K942" s="29" t="n">
        <f aca="false">IF(COUNTIF($B$5:B942,B942)=1,1,0)</f>
        <v>0</v>
      </c>
      <c r="L942" s="29" t="n">
        <f aca="false">IF(AND(C942&gt;=Settings!$B$5-Settings!$B$8+1,C942&lt;=Settings!$B$5,COUNTIFS($B$5:B942,B942,$C$5:C942,"&gt;="&amp;(Settings!$B$5-Settings!$B$8+1),$C$5:C942,"&lt;="&amp;Settings!$B$5)=1),1,0)</f>
        <v>0</v>
      </c>
      <c r="M942" s="29" t="n">
        <f aca="false">IF(AND(C942&gt;=Settings!$B$5-Settings!$B$9+1,C942&lt;=Settings!$B$5,COUNTIFS($B$5:B942,B942,$C$5:C942,"&gt;="&amp;(Settings!$B$5-Settings!$B$9+1),$C$5:C942,"&lt;="&amp;Settings!$B$5)=1),1,0)</f>
        <v>0</v>
      </c>
      <c r="N942" s="29" t="n">
        <f aca="false">IF(AND(D942="Feature Use",COUNTIFS($B$5:B942,B942,$D$5:D942,"Feature Use")=1),1,0)</f>
        <v>0</v>
      </c>
    </row>
    <row r="943" customFormat="false" ht="15" hidden="false" customHeight="false" outlineLevel="0" collapsed="false">
      <c r="A943" s="22" t="s">
        <v>1250</v>
      </c>
      <c r="B943" s="22" t="s">
        <v>269</v>
      </c>
      <c r="C943" s="31" t="n">
        <v>46295</v>
      </c>
      <c r="D943" s="22" t="s">
        <v>300</v>
      </c>
      <c r="E943" s="22" t="s">
        <v>301</v>
      </c>
      <c r="F943" s="29" t="str">
        <f aca="false">IF(COUNTIF(Referral_Data!$C$5:$C$1000,B943)&gt;0,"Referred",IF(COUNTIF(Referral_Data!$B$5:$B$1000,B943)&gt;0,"Referrer","Organic"))</f>
        <v>Referred</v>
      </c>
      <c r="G943" s="29" t="n">
        <f aca="false">IF(COUNTIFS($B$5:B943,B943,$C$5:C943,C943)=1,1,0)</f>
        <v>0</v>
      </c>
      <c r="H943" s="29" t="n">
        <f aca="false">IF(AND(G943=1,COUNTIFS($B$5:$B$1635,B943,$C$5:$C$1635,"&lt;"&amp;C943)&gt;0),1,0)</f>
        <v>0</v>
      </c>
      <c r="I943" s="29" t="n">
        <f aca="false">IF(AND(D943="Feature Use",COUNTIFS($B$5:B943,B943,$D$5:D943,"Feature Use",$E$5:E943,E943)=1),1,0)</f>
        <v>0</v>
      </c>
      <c r="J943" s="29" t="n">
        <f aca="false">IF(AND(D943="Feature Use",COUNTIFS($B$5:B943,B943,$D$5:D943,"Feature Use",$E$5:E943,E943)=2),1,0)</f>
        <v>0</v>
      </c>
      <c r="K943" s="29" t="n">
        <f aca="false">IF(COUNTIF($B$5:B943,B943)=1,1,0)</f>
        <v>0</v>
      </c>
      <c r="L943" s="29" t="n">
        <f aca="false">IF(AND(C943&gt;=Settings!$B$5-Settings!$B$8+1,C943&lt;=Settings!$B$5,COUNTIFS($B$5:B943,B943,$C$5:C943,"&gt;="&amp;(Settings!$B$5-Settings!$B$8+1),$C$5:C943,"&lt;="&amp;Settings!$B$5)=1),1,0)</f>
        <v>0</v>
      </c>
      <c r="M943" s="29" t="n">
        <f aca="false">IF(AND(C943&gt;=Settings!$B$5-Settings!$B$9+1,C943&lt;=Settings!$B$5,COUNTIFS($B$5:B943,B943,$C$5:C943,"&gt;="&amp;(Settings!$B$5-Settings!$B$9+1),$C$5:C943,"&lt;="&amp;Settings!$B$5)=1),1,0)</f>
        <v>0</v>
      </c>
      <c r="N943" s="29" t="n">
        <f aca="false">IF(AND(D943="Feature Use",COUNTIFS($B$5:B943,B943,$D$5:D943,"Feature Use")=1),1,0)</f>
        <v>0</v>
      </c>
    </row>
    <row r="944" customFormat="false" ht="15" hidden="false" customHeight="false" outlineLevel="0" collapsed="false">
      <c r="A944" s="22" t="s">
        <v>1251</v>
      </c>
      <c r="B944" s="22" t="s">
        <v>173</v>
      </c>
      <c r="C944" s="31" t="n">
        <v>46295</v>
      </c>
      <c r="D944" s="22" t="s">
        <v>297</v>
      </c>
      <c r="E944" s="22" t="s">
        <v>298</v>
      </c>
      <c r="F944" s="29" t="str">
        <f aca="false">IF(COUNTIF(Referral_Data!$C$5:$C$1000,B944)&gt;0,"Referred",IF(COUNTIF(Referral_Data!$B$5:$B$1000,B944)&gt;0,"Referrer","Organic"))</f>
        <v>Referrer</v>
      </c>
      <c r="G944" s="29" t="n">
        <f aca="false">IF(COUNTIFS($B$5:B944,B944,$C$5:C944,C944)=1,1,0)</f>
        <v>1</v>
      </c>
      <c r="H944" s="29" t="n">
        <f aca="false">IF(AND(G944=1,COUNTIFS($B$5:$B$1635,B944,$C$5:$C$1635,"&lt;"&amp;C944)&gt;0),1,0)</f>
        <v>1</v>
      </c>
      <c r="I944" s="29" t="n">
        <f aca="false">IF(AND(D944="Feature Use",COUNTIFS($B$5:B944,B944,$D$5:D944,"Feature Use",$E$5:E944,E944)=1),1,0)</f>
        <v>0</v>
      </c>
      <c r="J944" s="29" t="n">
        <f aca="false">IF(AND(D944="Feature Use",COUNTIFS($B$5:B944,B944,$D$5:D944,"Feature Use",$E$5:E944,E944)=2),1,0)</f>
        <v>0</v>
      </c>
      <c r="K944" s="29" t="n">
        <f aca="false">IF(COUNTIF($B$5:B944,B944)=1,1,0)</f>
        <v>0</v>
      </c>
      <c r="L944" s="29" t="n">
        <f aca="false">IF(AND(C944&gt;=Settings!$B$5-Settings!$B$8+1,C944&lt;=Settings!$B$5,COUNTIFS($B$5:B944,B944,$C$5:C944,"&gt;="&amp;(Settings!$B$5-Settings!$B$8+1),$C$5:C944,"&lt;="&amp;Settings!$B$5)=1),1,0)</f>
        <v>0</v>
      </c>
      <c r="M944" s="29" t="n">
        <f aca="false">IF(AND(C944&gt;=Settings!$B$5-Settings!$B$9+1,C944&lt;=Settings!$B$5,COUNTIFS($B$5:B944,B944,$C$5:C944,"&gt;="&amp;(Settings!$B$5-Settings!$B$9+1),$C$5:C944,"&lt;="&amp;Settings!$B$5)=1),1,0)</f>
        <v>0</v>
      </c>
      <c r="N944" s="29" t="n">
        <f aca="false">IF(AND(D944="Feature Use",COUNTIFS($B$5:B944,B944,$D$5:D944,"Feature Use")=1),1,0)</f>
        <v>0</v>
      </c>
    </row>
    <row r="945" customFormat="false" ht="15" hidden="false" customHeight="false" outlineLevel="0" collapsed="false">
      <c r="A945" s="22" t="s">
        <v>1252</v>
      </c>
      <c r="B945" s="22" t="s">
        <v>173</v>
      </c>
      <c r="C945" s="31" t="n">
        <v>46295</v>
      </c>
      <c r="D945" s="22" t="s">
        <v>300</v>
      </c>
      <c r="E945" s="22" t="s">
        <v>305</v>
      </c>
      <c r="F945" s="29" t="str">
        <f aca="false">IF(COUNTIF(Referral_Data!$C$5:$C$1000,B945)&gt;0,"Referred",IF(COUNTIF(Referral_Data!$B$5:$B$1000,B945)&gt;0,"Referrer","Organic"))</f>
        <v>Referrer</v>
      </c>
      <c r="G945" s="29" t="n">
        <f aca="false">IF(COUNTIFS($B$5:B945,B945,$C$5:C945,C945)=1,1,0)</f>
        <v>0</v>
      </c>
      <c r="H945" s="29" t="n">
        <f aca="false">IF(AND(G945=1,COUNTIFS($B$5:$B$1635,B945,$C$5:$C$1635,"&lt;"&amp;C945)&gt;0),1,0)</f>
        <v>0</v>
      </c>
      <c r="I945" s="29" t="n">
        <f aca="false">IF(AND(D945="Feature Use",COUNTIFS($B$5:B945,B945,$D$5:D945,"Feature Use",$E$5:E945,E945)=1),1,0)</f>
        <v>0</v>
      </c>
      <c r="J945" s="29" t="n">
        <f aca="false">IF(AND(D945="Feature Use",COUNTIFS($B$5:B945,B945,$D$5:D945,"Feature Use",$E$5:E945,E945)=2),1,0)</f>
        <v>0</v>
      </c>
      <c r="K945" s="29" t="n">
        <f aca="false">IF(COUNTIF($B$5:B945,B945)=1,1,0)</f>
        <v>0</v>
      </c>
      <c r="L945" s="29" t="n">
        <f aca="false">IF(AND(C945&gt;=Settings!$B$5-Settings!$B$8+1,C945&lt;=Settings!$B$5,COUNTIFS($B$5:B945,B945,$C$5:C945,"&gt;="&amp;(Settings!$B$5-Settings!$B$8+1),$C$5:C945,"&lt;="&amp;Settings!$B$5)=1),1,0)</f>
        <v>0</v>
      </c>
      <c r="M945" s="29" t="n">
        <f aca="false">IF(AND(C945&gt;=Settings!$B$5-Settings!$B$9+1,C945&lt;=Settings!$B$5,COUNTIFS($B$5:B945,B945,$C$5:C945,"&gt;="&amp;(Settings!$B$5-Settings!$B$9+1),$C$5:C945,"&lt;="&amp;Settings!$B$5)=1),1,0)</f>
        <v>0</v>
      </c>
      <c r="N945" s="29" t="n">
        <f aca="false">IF(AND(D945="Feature Use",COUNTIFS($B$5:B945,B945,$D$5:D945,"Feature Use")=1),1,0)</f>
        <v>0</v>
      </c>
    </row>
    <row r="946" customFormat="false" ht="15" hidden="false" customHeight="false" outlineLevel="0" collapsed="false">
      <c r="A946" s="22" t="s">
        <v>1253</v>
      </c>
      <c r="B946" s="22" t="s">
        <v>173</v>
      </c>
      <c r="C946" s="31" t="n">
        <v>46295</v>
      </c>
      <c r="D946" s="22" t="s">
        <v>300</v>
      </c>
      <c r="E946" s="22" t="s">
        <v>309</v>
      </c>
      <c r="F946" s="29" t="str">
        <f aca="false">IF(COUNTIF(Referral_Data!$C$5:$C$1000,B946)&gt;0,"Referred",IF(COUNTIF(Referral_Data!$B$5:$B$1000,B946)&gt;0,"Referrer","Organic"))</f>
        <v>Referrer</v>
      </c>
      <c r="G946" s="29" t="n">
        <f aca="false">IF(COUNTIFS($B$5:B946,B946,$C$5:C946,C946)=1,1,0)</f>
        <v>0</v>
      </c>
      <c r="H946" s="29" t="n">
        <f aca="false">IF(AND(G946=1,COUNTIFS($B$5:$B$1635,B946,$C$5:$C$1635,"&lt;"&amp;C946)&gt;0),1,0)</f>
        <v>0</v>
      </c>
      <c r="I946" s="29" t="n">
        <f aca="false">IF(AND(D946="Feature Use",COUNTIFS($B$5:B946,B946,$D$5:D946,"Feature Use",$E$5:E946,E946)=1),1,0)</f>
        <v>0</v>
      </c>
      <c r="J946" s="29" t="n">
        <f aca="false">IF(AND(D946="Feature Use",COUNTIFS($B$5:B946,B946,$D$5:D946,"Feature Use",$E$5:E946,E946)=2),1,0)</f>
        <v>0</v>
      </c>
      <c r="K946" s="29" t="n">
        <f aca="false">IF(COUNTIF($B$5:B946,B946)=1,1,0)</f>
        <v>0</v>
      </c>
      <c r="L946" s="29" t="n">
        <f aca="false">IF(AND(C946&gt;=Settings!$B$5-Settings!$B$8+1,C946&lt;=Settings!$B$5,COUNTIFS($B$5:B946,B946,$C$5:C946,"&gt;="&amp;(Settings!$B$5-Settings!$B$8+1),$C$5:C946,"&lt;="&amp;Settings!$B$5)=1),1,0)</f>
        <v>0</v>
      </c>
      <c r="M946" s="29" t="n">
        <f aca="false">IF(AND(C946&gt;=Settings!$B$5-Settings!$B$9+1,C946&lt;=Settings!$B$5,COUNTIFS($B$5:B946,B946,$C$5:C946,"&gt;="&amp;(Settings!$B$5-Settings!$B$9+1),$C$5:C946,"&lt;="&amp;Settings!$B$5)=1),1,0)</f>
        <v>0</v>
      </c>
      <c r="N946" s="29" t="n">
        <f aca="false">IF(AND(D946="Feature Use",COUNTIFS($B$5:B946,B946,$D$5:D946,"Feature Use")=1),1,0)</f>
        <v>0</v>
      </c>
    </row>
    <row r="947" customFormat="false" ht="15" hidden="false" customHeight="false" outlineLevel="0" collapsed="false">
      <c r="A947" s="22" t="s">
        <v>1254</v>
      </c>
      <c r="B947" s="22" t="s">
        <v>203</v>
      </c>
      <c r="C947" s="31" t="n">
        <v>46295</v>
      </c>
      <c r="D947" s="22" t="s">
        <v>297</v>
      </c>
      <c r="E947" s="22" t="s">
        <v>298</v>
      </c>
      <c r="F947" s="29" t="str">
        <f aca="false">IF(COUNTIF(Referral_Data!$C$5:$C$1000,B947)&gt;0,"Referred",IF(COUNTIF(Referral_Data!$B$5:$B$1000,B947)&gt;0,"Referrer","Organic"))</f>
        <v>Referrer</v>
      </c>
      <c r="G947" s="29" t="n">
        <f aca="false">IF(COUNTIFS($B$5:B947,B947,$C$5:C947,C947)=1,1,0)</f>
        <v>1</v>
      </c>
      <c r="H947" s="29" t="n">
        <f aca="false">IF(AND(G947=1,COUNTIFS($B$5:$B$1635,B947,$C$5:$C$1635,"&lt;"&amp;C947)&gt;0),1,0)</f>
        <v>1</v>
      </c>
      <c r="I947" s="29" t="n">
        <f aca="false">IF(AND(D947="Feature Use",COUNTIFS($B$5:B947,B947,$D$5:D947,"Feature Use",$E$5:E947,E947)=1),1,0)</f>
        <v>0</v>
      </c>
      <c r="J947" s="29" t="n">
        <f aca="false">IF(AND(D947="Feature Use",COUNTIFS($B$5:B947,B947,$D$5:D947,"Feature Use",$E$5:E947,E947)=2),1,0)</f>
        <v>0</v>
      </c>
      <c r="K947" s="29" t="n">
        <f aca="false">IF(COUNTIF($B$5:B947,B947)=1,1,0)</f>
        <v>0</v>
      </c>
      <c r="L947" s="29" t="n">
        <f aca="false">IF(AND(C947&gt;=Settings!$B$5-Settings!$B$8+1,C947&lt;=Settings!$B$5,COUNTIFS($B$5:B947,B947,$C$5:C947,"&gt;="&amp;(Settings!$B$5-Settings!$B$8+1),$C$5:C947,"&lt;="&amp;Settings!$B$5)=1),1,0)</f>
        <v>0</v>
      </c>
      <c r="M947" s="29" t="n">
        <f aca="false">IF(AND(C947&gt;=Settings!$B$5-Settings!$B$9+1,C947&lt;=Settings!$B$5,COUNTIFS($B$5:B947,B947,$C$5:C947,"&gt;="&amp;(Settings!$B$5-Settings!$B$9+1),$C$5:C947,"&lt;="&amp;Settings!$B$5)=1),1,0)</f>
        <v>0</v>
      </c>
      <c r="N947" s="29" t="n">
        <f aca="false">IF(AND(D947="Feature Use",COUNTIFS($B$5:B947,B947,$D$5:D947,"Feature Use")=1),1,0)</f>
        <v>0</v>
      </c>
    </row>
    <row r="948" customFormat="false" ht="15" hidden="false" customHeight="false" outlineLevel="0" collapsed="false">
      <c r="A948" s="22" t="s">
        <v>1255</v>
      </c>
      <c r="B948" s="22" t="s">
        <v>203</v>
      </c>
      <c r="C948" s="31" t="n">
        <v>46295</v>
      </c>
      <c r="D948" s="22" t="s">
        <v>300</v>
      </c>
      <c r="E948" s="22" t="s">
        <v>305</v>
      </c>
      <c r="F948" s="29" t="str">
        <f aca="false">IF(COUNTIF(Referral_Data!$C$5:$C$1000,B948)&gt;0,"Referred",IF(COUNTIF(Referral_Data!$B$5:$B$1000,B948)&gt;0,"Referrer","Organic"))</f>
        <v>Referrer</v>
      </c>
      <c r="G948" s="29" t="n">
        <f aca="false">IF(COUNTIFS($B$5:B948,B948,$C$5:C948,C948)=1,1,0)</f>
        <v>0</v>
      </c>
      <c r="H948" s="29" t="n">
        <f aca="false">IF(AND(G948=1,COUNTIFS($B$5:$B$1635,B948,$C$5:$C$1635,"&lt;"&amp;C948)&gt;0),1,0)</f>
        <v>0</v>
      </c>
      <c r="I948" s="29" t="n">
        <f aca="false">IF(AND(D948="Feature Use",COUNTIFS($B$5:B948,B948,$D$5:D948,"Feature Use",$E$5:E948,E948)=1),1,0)</f>
        <v>0</v>
      </c>
      <c r="J948" s="29" t="n">
        <f aca="false">IF(AND(D948="Feature Use",COUNTIFS($B$5:B948,B948,$D$5:D948,"Feature Use",$E$5:E948,E948)=2),1,0)</f>
        <v>0</v>
      </c>
      <c r="K948" s="29" t="n">
        <f aca="false">IF(COUNTIF($B$5:B948,B948)=1,1,0)</f>
        <v>0</v>
      </c>
      <c r="L948" s="29" t="n">
        <f aca="false">IF(AND(C948&gt;=Settings!$B$5-Settings!$B$8+1,C948&lt;=Settings!$B$5,COUNTIFS($B$5:B948,B948,$C$5:C948,"&gt;="&amp;(Settings!$B$5-Settings!$B$8+1),$C$5:C948,"&lt;="&amp;Settings!$B$5)=1),1,0)</f>
        <v>0</v>
      </c>
      <c r="M948" s="29" t="n">
        <f aca="false">IF(AND(C948&gt;=Settings!$B$5-Settings!$B$9+1,C948&lt;=Settings!$B$5,COUNTIFS($B$5:B948,B948,$C$5:C948,"&gt;="&amp;(Settings!$B$5-Settings!$B$9+1),$C$5:C948,"&lt;="&amp;Settings!$B$5)=1),1,0)</f>
        <v>0</v>
      </c>
      <c r="N948" s="29" t="n">
        <f aca="false">IF(AND(D948="Feature Use",COUNTIFS($B$5:B948,B948,$D$5:D948,"Feature Use")=1),1,0)</f>
        <v>0</v>
      </c>
    </row>
    <row r="949" customFormat="false" ht="15" hidden="false" customHeight="false" outlineLevel="0" collapsed="false">
      <c r="A949" s="22" t="s">
        <v>1256</v>
      </c>
      <c r="B949" s="22" t="s">
        <v>203</v>
      </c>
      <c r="C949" s="31" t="n">
        <v>46295</v>
      </c>
      <c r="D949" s="22" t="s">
        <v>308</v>
      </c>
      <c r="E949" s="22" t="s">
        <v>309</v>
      </c>
      <c r="F949" s="29" t="str">
        <f aca="false">IF(COUNTIF(Referral_Data!$C$5:$C$1000,B949)&gt;0,"Referred",IF(COUNTIF(Referral_Data!$B$5:$B$1000,B949)&gt;0,"Referrer","Organic"))</f>
        <v>Referrer</v>
      </c>
      <c r="G949" s="29" t="n">
        <f aca="false">IF(COUNTIFS($B$5:B949,B949,$C$5:C949,C949)=1,1,0)</f>
        <v>0</v>
      </c>
      <c r="H949" s="29" t="n">
        <f aca="false">IF(AND(G949=1,COUNTIFS($B$5:$B$1635,B949,$C$5:$C$1635,"&lt;"&amp;C949)&gt;0),1,0)</f>
        <v>0</v>
      </c>
      <c r="I949" s="29" t="n">
        <f aca="false">IF(AND(D949="Feature Use",COUNTIFS($B$5:B949,B949,$D$5:D949,"Feature Use",$E$5:E949,E949)=1),1,0)</f>
        <v>0</v>
      </c>
      <c r="J949" s="29" t="n">
        <f aca="false">IF(AND(D949="Feature Use",COUNTIFS($B$5:B949,B949,$D$5:D949,"Feature Use",$E$5:E949,E949)=2),1,0)</f>
        <v>0</v>
      </c>
      <c r="K949" s="29" t="n">
        <f aca="false">IF(COUNTIF($B$5:B949,B949)=1,1,0)</f>
        <v>0</v>
      </c>
      <c r="L949" s="29" t="n">
        <f aca="false">IF(AND(C949&gt;=Settings!$B$5-Settings!$B$8+1,C949&lt;=Settings!$B$5,COUNTIFS($B$5:B949,B949,$C$5:C949,"&gt;="&amp;(Settings!$B$5-Settings!$B$8+1),$C$5:C949,"&lt;="&amp;Settings!$B$5)=1),1,0)</f>
        <v>0</v>
      </c>
      <c r="M949" s="29" t="n">
        <f aca="false">IF(AND(C949&gt;=Settings!$B$5-Settings!$B$9+1,C949&lt;=Settings!$B$5,COUNTIFS($B$5:B949,B949,$C$5:C949,"&gt;="&amp;(Settings!$B$5-Settings!$B$9+1),$C$5:C949,"&lt;="&amp;Settings!$B$5)=1),1,0)</f>
        <v>0</v>
      </c>
      <c r="N949" s="29" t="n">
        <f aca="false">IF(AND(D949="Feature Use",COUNTIFS($B$5:B949,B949,$D$5:D949,"Feature Use")=1),1,0)</f>
        <v>0</v>
      </c>
    </row>
    <row r="950" customFormat="false" ht="15" hidden="false" customHeight="false" outlineLevel="0" collapsed="false">
      <c r="A950" s="22" t="s">
        <v>1257</v>
      </c>
      <c r="B950" s="22" t="s">
        <v>203</v>
      </c>
      <c r="C950" s="31" t="n">
        <v>46295</v>
      </c>
      <c r="D950" s="22" t="s">
        <v>308</v>
      </c>
      <c r="E950" s="22" t="s">
        <v>319</v>
      </c>
      <c r="F950" s="29" t="str">
        <f aca="false">IF(COUNTIF(Referral_Data!$C$5:$C$1000,B950)&gt;0,"Referred",IF(COUNTIF(Referral_Data!$B$5:$B$1000,B950)&gt;0,"Referrer","Organic"))</f>
        <v>Referrer</v>
      </c>
      <c r="G950" s="29" t="n">
        <f aca="false">IF(COUNTIFS($B$5:B950,B950,$C$5:C950,C950)=1,1,0)</f>
        <v>0</v>
      </c>
      <c r="H950" s="29" t="n">
        <f aca="false">IF(AND(G950=1,COUNTIFS($B$5:$B$1635,B950,$C$5:$C$1635,"&lt;"&amp;C950)&gt;0),1,0)</f>
        <v>0</v>
      </c>
      <c r="I950" s="29" t="n">
        <f aca="false">IF(AND(D950="Feature Use",COUNTIFS($B$5:B950,B950,$D$5:D950,"Feature Use",$E$5:E950,E950)=1),1,0)</f>
        <v>0</v>
      </c>
      <c r="J950" s="29" t="n">
        <f aca="false">IF(AND(D950="Feature Use",COUNTIFS($B$5:B950,B950,$D$5:D950,"Feature Use",$E$5:E950,E950)=2),1,0)</f>
        <v>0</v>
      </c>
      <c r="K950" s="29" t="n">
        <f aca="false">IF(COUNTIF($B$5:B950,B950)=1,1,0)</f>
        <v>0</v>
      </c>
      <c r="L950" s="29" t="n">
        <f aca="false">IF(AND(C950&gt;=Settings!$B$5-Settings!$B$8+1,C950&lt;=Settings!$B$5,COUNTIFS($B$5:B950,B950,$C$5:C950,"&gt;="&amp;(Settings!$B$5-Settings!$B$8+1),$C$5:C950,"&lt;="&amp;Settings!$B$5)=1),1,0)</f>
        <v>0</v>
      </c>
      <c r="M950" s="29" t="n">
        <f aca="false">IF(AND(C950&gt;=Settings!$B$5-Settings!$B$9+1,C950&lt;=Settings!$B$5,COUNTIFS($B$5:B950,B950,$C$5:C950,"&gt;="&amp;(Settings!$B$5-Settings!$B$9+1),$C$5:C950,"&lt;="&amp;Settings!$B$5)=1),1,0)</f>
        <v>0</v>
      </c>
      <c r="N950" s="29" t="n">
        <f aca="false">IF(AND(D950="Feature Use",COUNTIFS($B$5:B950,B950,$D$5:D950,"Feature Use")=1),1,0)</f>
        <v>0</v>
      </c>
    </row>
    <row r="951" customFormat="false" ht="15" hidden="false" customHeight="false" outlineLevel="0" collapsed="false">
      <c r="A951" s="22" t="s">
        <v>1258</v>
      </c>
      <c r="B951" s="22" t="s">
        <v>178</v>
      </c>
      <c r="C951" s="31" t="n">
        <v>46295</v>
      </c>
      <c r="D951" s="22" t="s">
        <v>297</v>
      </c>
      <c r="E951" s="22" t="s">
        <v>298</v>
      </c>
      <c r="F951" s="29" t="str">
        <f aca="false">IF(COUNTIF(Referral_Data!$C$5:$C$1000,B951)&gt;0,"Referred",IF(COUNTIF(Referral_Data!$B$5:$B$1000,B951)&gt;0,"Referrer","Organic"))</f>
        <v>Referrer</v>
      </c>
      <c r="G951" s="29" t="n">
        <f aca="false">IF(COUNTIFS($B$5:B951,B951,$C$5:C951,C951)=1,1,0)</f>
        <v>1</v>
      </c>
      <c r="H951" s="29" t="n">
        <f aca="false">IF(AND(G951=1,COUNTIFS($B$5:$B$1635,B951,$C$5:$C$1635,"&lt;"&amp;C951)&gt;0),1,0)</f>
        <v>1</v>
      </c>
      <c r="I951" s="29" t="n">
        <f aca="false">IF(AND(D951="Feature Use",COUNTIFS($B$5:B951,B951,$D$5:D951,"Feature Use",$E$5:E951,E951)=1),1,0)</f>
        <v>0</v>
      </c>
      <c r="J951" s="29" t="n">
        <f aca="false">IF(AND(D951="Feature Use",COUNTIFS($B$5:B951,B951,$D$5:D951,"Feature Use",$E$5:E951,E951)=2),1,0)</f>
        <v>0</v>
      </c>
      <c r="K951" s="29" t="n">
        <f aca="false">IF(COUNTIF($B$5:B951,B951)=1,1,0)</f>
        <v>0</v>
      </c>
      <c r="L951" s="29" t="n">
        <f aca="false">IF(AND(C951&gt;=Settings!$B$5-Settings!$B$8+1,C951&lt;=Settings!$B$5,COUNTIFS($B$5:B951,B951,$C$5:C951,"&gt;="&amp;(Settings!$B$5-Settings!$B$8+1),$C$5:C951,"&lt;="&amp;Settings!$B$5)=1),1,0)</f>
        <v>0</v>
      </c>
      <c r="M951" s="29" t="n">
        <f aca="false">IF(AND(C951&gt;=Settings!$B$5-Settings!$B$9+1,C951&lt;=Settings!$B$5,COUNTIFS($B$5:B951,B951,$C$5:C951,"&gt;="&amp;(Settings!$B$5-Settings!$B$9+1),$C$5:C951,"&lt;="&amp;Settings!$B$5)=1),1,0)</f>
        <v>0</v>
      </c>
      <c r="N951" s="29" t="n">
        <f aca="false">IF(AND(D951="Feature Use",COUNTIFS($B$5:B951,B951,$D$5:D951,"Feature Use")=1),1,0)</f>
        <v>0</v>
      </c>
    </row>
    <row r="952" customFormat="false" ht="15" hidden="false" customHeight="false" outlineLevel="0" collapsed="false">
      <c r="A952" s="22" t="s">
        <v>1259</v>
      </c>
      <c r="B952" s="22" t="s">
        <v>178</v>
      </c>
      <c r="C952" s="31" t="n">
        <v>46295</v>
      </c>
      <c r="D952" s="22" t="s">
        <v>300</v>
      </c>
      <c r="E952" s="22" t="s">
        <v>301</v>
      </c>
      <c r="F952" s="29" t="str">
        <f aca="false">IF(COUNTIF(Referral_Data!$C$5:$C$1000,B952)&gt;0,"Referred",IF(COUNTIF(Referral_Data!$B$5:$B$1000,B952)&gt;0,"Referrer","Organic"))</f>
        <v>Referrer</v>
      </c>
      <c r="G952" s="29" t="n">
        <f aca="false">IF(COUNTIFS($B$5:B952,B952,$C$5:C952,C952)=1,1,0)</f>
        <v>0</v>
      </c>
      <c r="H952" s="29" t="n">
        <f aca="false">IF(AND(G952=1,COUNTIFS($B$5:$B$1635,B952,$C$5:$C$1635,"&lt;"&amp;C952)&gt;0),1,0)</f>
        <v>0</v>
      </c>
      <c r="I952" s="29" t="n">
        <f aca="false">IF(AND(D952="Feature Use",COUNTIFS($B$5:B952,B952,$D$5:D952,"Feature Use",$E$5:E952,E952)=1),1,0)</f>
        <v>0</v>
      </c>
      <c r="J952" s="29" t="n">
        <f aca="false">IF(AND(D952="Feature Use",COUNTIFS($B$5:B952,B952,$D$5:D952,"Feature Use",$E$5:E952,E952)=2),1,0)</f>
        <v>1</v>
      </c>
      <c r="K952" s="29" t="n">
        <f aca="false">IF(COUNTIF($B$5:B952,B952)=1,1,0)</f>
        <v>0</v>
      </c>
      <c r="L952" s="29" t="n">
        <f aca="false">IF(AND(C952&gt;=Settings!$B$5-Settings!$B$8+1,C952&lt;=Settings!$B$5,COUNTIFS($B$5:B952,B952,$C$5:C952,"&gt;="&amp;(Settings!$B$5-Settings!$B$8+1),$C$5:C952,"&lt;="&amp;Settings!$B$5)=1),1,0)</f>
        <v>0</v>
      </c>
      <c r="M952" s="29" t="n">
        <f aca="false">IF(AND(C952&gt;=Settings!$B$5-Settings!$B$9+1,C952&lt;=Settings!$B$5,COUNTIFS($B$5:B952,B952,$C$5:C952,"&gt;="&amp;(Settings!$B$5-Settings!$B$9+1),$C$5:C952,"&lt;="&amp;Settings!$B$5)=1),1,0)</f>
        <v>0</v>
      </c>
      <c r="N952" s="29" t="n">
        <f aca="false">IF(AND(D952="Feature Use",COUNTIFS($B$5:B952,B952,$D$5:D952,"Feature Use")=1),1,0)</f>
        <v>0</v>
      </c>
    </row>
    <row r="953" customFormat="false" ht="15" hidden="false" customHeight="false" outlineLevel="0" collapsed="false">
      <c r="A953" s="22" t="s">
        <v>1260</v>
      </c>
      <c r="B953" s="22" t="s">
        <v>178</v>
      </c>
      <c r="C953" s="31" t="n">
        <v>46295</v>
      </c>
      <c r="D953" s="22" t="s">
        <v>308</v>
      </c>
      <c r="E953" s="22" t="s">
        <v>305</v>
      </c>
      <c r="F953" s="29" t="str">
        <f aca="false">IF(COUNTIF(Referral_Data!$C$5:$C$1000,B953)&gt;0,"Referred",IF(COUNTIF(Referral_Data!$B$5:$B$1000,B953)&gt;0,"Referrer","Organic"))</f>
        <v>Referrer</v>
      </c>
      <c r="G953" s="29" t="n">
        <f aca="false">IF(COUNTIFS($B$5:B953,B953,$C$5:C953,C953)=1,1,0)</f>
        <v>0</v>
      </c>
      <c r="H953" s="29" t="n">
        <f aca="false">IF(AND(G953=1,COUNTIFS($B$5:$B$1635,B953,$C$5:$C$1635,"&lt;"&amp;C953)&gt;0),1,0)</f>
        <v>0</v>
      </c>
      <c r="I953" s="29" t="n">
        <f aca="false">IF(AND(D953="Feature Use",COUNTIFS($B$5:B953,B953,$D$5:D953,"Feature Use",$E$5:E953,E953)=1),1,0)</f>
        <v>0</v>
      </c>
      <c r="J953" s="29" t="n">
        <f aca="false">IF(AND(D953="Feature Use",COUNTIFS($B$5:B953,B953,$D$5:D953,"Feature Use",$E$5:E953,E953)=2),1,0)</f>
        <v>0</v>
      </c>
      <c r="K953" s="29" t="n">
        <f aca="false">IF(COUNTIF($B$5:B953,B953)=1,1,0)</f>
        <v>0</v>
      </c>
      <c r="L953" s="29" t="n">
        <f aca="false">IF(AND(C953&gt;=Settings!$B$5-Settings!$B$8+1,C953&lt;=Settings!$B$5,COUNTIFS($B$5:B953,B953,$C$5:C953,"&gt;="&amp;(Settings!$B$5-Settings!$B$8+1),$C$5:C953,"&lt;="&amp;Settings!$B$5)=1),1,0)</f>
        <v>0</v>
      </c>
      <c r="M953" s="29" t="n">
        <f aca="false">IF(AND(C953&gt;=Settings!$B$5-Settings!$B$9+1,C953&lt;=Settings!$B$5,COUNTIFS($B$5:B953,B953,$C$5:C953,"&gt;="&amp;(Settings!$B$5-Settings!$B$9+1),$C$5:C953,"&lt;="&amp;Settings!$B$5)=1),1,0)</f>
        <v>0</v>
      </c>
      <c r="N953" s="29" t="n">
        <f aca="false">IF(AND(D953="Feature Use",COUNTIFS($B$5:B953,B953,$D$5:D953,"Feature Use")=1),1,0)</f>
        <v>0</v>
      </c>
    </row>
    <row r="954" customFormat="false" ht="15" hidden="false" customHeight="false" outlineLevel="0" collapsed="false">
      <c r="A954" s="22" t="s">
        <v>1261</v>
      </c>
      <c r="B954" s="22" t="s">
        <v>178</v>
      </c>
      <c r="C954" s="31" t="n">
        <v>46295</v>
      </c>
      <c r="D954" s="22" t="s">
        <v>308</v>
      </c>
      <c r="E954" s="22" t="s">
        <v>311</v>
      </c>
      <c r="F954" s="29" t="str">
        <f aca="false">IF(COUNTIF(Referral_Data!$C$5:$C$1000,B954)&gt;0,"Referred",IF(COUNTIF(Referral_Data!$B$5:$B$1000,B954)&gt;0,"Referrer","Organic"))</f>
        <v>Referrer</v>
      </c>
      <c r="G954" s="29" t="n">
        <f aca="false">IF(COUNTIFS($B$5:B954,B954,$C$5:C954,C954)=1,1,0)</f>
        <v>0</v>
      </c>
      <c r="H954" s="29" t="n">
        <f aca="false">IF(AND(G954=1,COUNTIFS($B$5:$B$1635,B954,$C$5:$C$1635,"&lt;"&amp;C954)&gt;0),1,0)</f>
        <v>0</v>
      </c>
      <c r="I954" s="29" t="n">
        <f aca="false">IF(AND(D954="Feature Use",COUNTIFS($B$5:B954,B954,$D$5:D954,"Feature Use",$E$5:E954,E954)=1),1,0)</f>
        <v>0</v>
      </c>
      <c r="J954" s="29" t="n">
        <f aca="false">IF(AND(D954="Feature Use",COUNTIFS($B$5:B954,B954,$D$5:D954,"Feature Use",$E$5:E954,E954)=2),1,0)</f>
        <v>0</v>
      </c>
      <c r="K954" s="29" t="n">
        <f aca="false">IF(COUNTIF($B$5:B954,B954)=1,1,0)</f>
        <v>0</v>
      </c>
      <c r="L954" s="29" t="n">
        <f aca="false">IF(AND(C954&gt;=Settings!$B$5-Settings!$B$8+1,C954&lt;=Settings!$B$5,COUNTIFS($B$5:B954,B954,$C$5:C954,"&gt;="&amp;(Settings!$B$5-Settings!$B$8+1),$C$5:C954,"&lt;="&amp;Settings!$B$5)=1),1,0)</f>
        <v>0</v>
      </c>
      <c r="M954" s="29" t="n">
        <f aca="false">IF(AND(C954&gt;=Settings!$B$5-Settings!$B$9+1,C954&lt;=Settings!$B$5,COUNTIFS($B$5:B954,B954,$C$5:C954,"&gt;="&amp;(Settings!$B$5-Settings!$B$9+1),$C$5:C954,"&lt;="&amp;Settings!$B$5)=1),1,0)</f>
        <v>0</v>
      </c>
      <c r="N954" s="29" t="n">
        <f aca="false">IF(AND(D954="Feature Use",COUNTIFS($B$5:B954,B954,$D$5:D954,"Feature Use")=1),1,0)</f>
        <v>0</v>
      </c>
    </row>
    <row r="955" customFormat="false" ht="15" hidden="false" customHeight="false" outlineLevel="0" collapsed="false">
      <c r="A955" s="22" t="s">
        <v>1262</v>
      </c>
      <c r="B955" s="22" t="s">
        <v>183</v>
      </c>
      <c r="C955" s="31" t="n">
        <v>46295</v>
      </c>
      <c r="D955" s="22" t="s">
        <v>297</v>
      </c>
      <c r="E955" s="22" t="s">
        <v>298</v>
      </c>
      <c r="F955" s="29" t="str">
        <f aca="false">IF(COUNTIF(Referral_Data!$C$5:$C$1000,B955)&gt;0,"Referred",IF(COUNTIF(Referral_Data!$B$5:$B$1000,B955)&gt;0,"Referrer","Organic"))</f>
        <v>Referrer</v>
      </c>
      <c r="G955" s="29" t="n">
        <f aca="false">IF(COUNTIFS($B$5:B955,B955,$C$5:C955,C955)=1,1,0)</f>
        <v>1</v>
      </c>
      <c r="H955" s="29" t="n">
        <f aca="false">IF(AND(G955=1,COUNTIFS($B$5:$B$1635,B955,$C$5:$C$1635,"&lt;"&amp;C955)&gt;0),1,0)</f>
        <v>1</v>
      </c>
      <c r="I955" s="29" t="n">
        <f aca="false">IF(AND(D955="Feature Use",COUNTIFS($B$5:B955,B955,$D$5:D955,"Feature Use",$E$5:E955,E955)=1),1,0)</f>
        <v>0</v>
      </c>
      <c r="J955" s="29" t="n">
        <f aca="false">IF(AND(D955="Feature Use",COUNTIFS($B$5:B955,B955,$D$5:D955,"Feature Use",$E$5:E955,E955)=2),1,0)</f>
        <v>0</v>
      </c>
      <c r="K955" s="29" t="n">
        <f aca="false">IF(COUNTIF($B$5:B955,B955)=1,1,0)</f>
        <v>0</v>
      </c>
      <c r="L955" s="29" t="n">
        <f aca="false">IF(AND(C955&gt;=Settings!$B$5-Settings!$B$8+1,C955&lt;=Settings!$B$5,COUNTIFS($B$5:B955,B955,$C$5:C955,"&gt;="&amp;(Settings!$B$5-Settings!$B$8+1),$C$5:C955,"&lt;="&amp;Settings!$B$5)=1),1,0)</f>
        <v>0</v>
      </c>
      <c r="M955" s="29" t="n">
        <f aca="false">IF(AND(C955&gt;=Settings!$B$5-Settings!$B$9+1,C955&lt;=Settings!$B$5,COUNTIFS($B$5:B955,B955,$C$5:C955,"&gt;="&amp;(Settings!$B$5-Settings!$B$9+1),$C$5:C955,"&lt;="&amp;Settings!$B$5)=1),1,0)</f>
        <v>0</v>
      </c>
      <c r="N955" s="29" t="n">
        <f aca="false">IF(AND(D955="Feature Use",COUNTIFS($B$5:B955,B955,$D$5:D955,"Feature Use")=1),1,0)</f>
        <v>0</v>
      </c>
    </row>
    <row r="956" customFormat="false" ht="15" hidden="false" customHeight="false" outlineLevel="0" collapsed="false">
      <c r="A956" s="22" t="s">
        <v>1263</v>
      </c>
      <c r="B956" s="22" t="s">
        <v>183</v>
      </c>
      <c r="C956" s="31" t="n">
        <v>46295</v>
      </c>
      <c r="D956" s="22" t="s">
        <v>300</v>
      </c>
      <c r="E956" s="22" t="s">
        <v>305</v>
      </c>
      <c r="F956" s="29" t="str">
        <f aca="false">IF(COUNTIF(Referral_Data!$C$5:$C$1000,B956)&gt;0,"Referred",IF(COUNTIF(Referral_Data!$B$5:$B$1000,B956)&gt;0,"Referrer","Organic"))</f>
        <v>Referrer</v>
      </c>
      <c r="G956" s="29" t="n">
        <f aca="false">IF(COUNTIFS($B$5:B956,B956,$C$5:C956,C956)=1,1,0)</f>
        <v>0</v>
      </c>
      <c r="H956" s="29" t="n">
        <f aca="false">IF(AND(G956=1,COUNTIFS($B$5:$B$1635,B956,$C$5:$C$1635,"&lt;"&amp;C956)&gt;0),1,0)</f>
        <v>0</v>
      </c>
      <c r="I956" s="29" t="n">
        <f aca="false">IF(AND(D956="Feature Use",COUNTIFS($B$5:B956,B956,$D$5:D956,"Feature Use",$E$5:E956,E956)=1),1,0)</f>
        <v>0</v>
      </c>
      <c r="J956" s="29" t="n">
        <f aca="false">IF(AND(D956="Feature Use",COUNTIFS($B$5:B956,B956,$D$5:D956,"Feature Use",$E$5:E956,E956)=2),1,0)</f>
        <v>0</v>
      </c>
      <c r="K956" s="29" t="n">
        <f aca="false">IF(COUNTIF($B$5:B956,B956)=1,1,0)</f>
        <v>0</v>
      </c>
      <c r="L956" s="29" t="n">
        <f aca="false">IF(AND(C956&gt;=Settings!$B$5-Settings!$B$8+1,C956&lt;=Settings!$B$5,COUNTIFS($B$5:B956,B956,$C$5:C956,"&gt;="&amp;(Settings!$B$5-Settings!$B$8+1),$C$5:C956,"&lt;="&amp;Settings!$B$5)=1),1,0)</f>
        <v>0</v>
      </c>
      <c r="M956" s="29" t="n">
        <f aca="false">IF(AND(C956&gt;=Settings!$B$5-Settings!$B$9+1,C956&lt;=Settings!$B$5,COUNTIFS($B$5:B956,B956,$C$5:C956,"&gt;="&amp;(Settings!$B$5-Settings!$B$9+1),$C$5:C956,"&lt;="&amp;Settings!$B$5)=1),1,0)</f>
        <v>0</v>
      </c>
      <c r="N956" s="29" t="n">
        <f aca="false">IF(AND(D956="Feature Use",COUNTIFS($B$5:B956,B956,$D$5:D956,"Feature Use")=1),1,0)</f>
        <v>0</v>
      </c>
    </row>
    <row r="957" customFormat="false" ht="15" hidden="false" customHeight="false" outlineLevel="0" collapsed="false">
      <c r="A957" s="22" t="s">
        <v>1264</v>
      </c>
      <c r="B957" s="22" t="s">
        <v>183</v>
      </c>
      <c r="C957" s="31" t="n">
        <v>46295</v>
      </c>
      <c r="D957" s="22" t="s">
        <v>300</v>
      </c>
      <c r="E957" s="22" t="s">
        <v>301</v>
      </c>
      <c r="F957" s="29" t="str">
        <f aca="false">IF(COUNTIF(Referral_Data!$C$5:$C$1000,B957)&gt;0,"Referred",IF(COUNTIF(Referral_Data!$B$5:$B$1000,B957)&gt;0,"Referrer","Organic"))</f>
        <v>Referrer</v>
      </c>
      <c r="G957" s="29" t="n">
        <f aca="false">IF(COUNTIFS($B$5:B957,B957,$C$5:C957,C957)=1,1,0)</f>
        <v>0</v>
      </c>
      <c r="H957" s="29" t="n">
        <f aca="false">IF(AND(G957=1,COUNTIFS($B$5:$B$1635,B957,$C$5:$C$1635,"&lt;"&amp;C957)&gt;0),1,0)</f>
        <v>0</v>
      </c>
      <c r="I957" s="29" t="n">
        <f aca="false">IF(AND(D957="Feature Use",COUNTIFS($B$5:B957,B957,$D$5:D957,"Feature Use",$E$5:E957,E957)=1),1,0)</f>
        <v>0</v>
      </c>
      <c r="J957" s="29" t="n">
        <f aca="false">IF(AND(D957="Feature Use",COUNTIFS($B$5:B957,B957,$D$5:D957,"Feature Use",$E$5:E957,E957)=2),1,0)</f>
        <v>0</v>
      </c>
      <c r="K957" s="29" t="n">
        <f aca="false">IF(COUNTIF($B$5:B957,B957)=1,1,0)</f>
        <v>0</v>
      </c>
      <c r="L957" s="29" t="n">
        <f aca="false">IF(AND(C957&gt;=Settings!$B$5-Settings!$B$8+1,C957&lt;=Settings!$B$5,COUNTIFS($B$5:B957,B957,$C$5:C957,"&gt;="&amp;(Settings!$B$5-Settings!$B$8+1),$C$5:C957,"&lt;="&amp;Settings!$B$5)=1),1,0)</f>
        <v>0</v>
      </c>
      <c r="M957" s="29" t="n">
        <f aca="false">IF(AND(C957&gt;=Settings!$B$5-Settings!$B$9+1,C957&lt;=Settings!$B$5,COUNTIFS($B$5:B957,B957,$C$5:C957,"&gt;="&amp;(Settings!$B$5-Settings!$B$9+1),$C$5:C957,"&lt;="&amp;Settings!$B$5)=1),1,0)</f>
        <v>0</v>
      </c>
      <c r="N957" s="29" t="n">
        <f aca="false">IF(AND(D957="Feature Use",COUNTIFS($B$5:B957,B957,$D$5:D957,"Feature Use")=1),1,0)</f>
        <v>0</v>
      </c>
    </row>
    <row r="958" customFormat="false" ht="15" hidden="false" customHeight="false" outlineLevel="0" collapsed="false">
      <c r="A958" s="22" t="s">
        <v>1265</v>
      </c>
      <c r="B958" s="22" t="s">
        <v>176</v>
      </c>
      <c r="C958" s="31" t="n">
        <v>46296</v>
      </c>
      <c r="D958" s="22" t="s">
        <v>297</v>
      </c>
      <c r="E958" s="22" t="s">
        <v>298</v>
      </c>
      <c r="F958" s="29" t="str">
        <f aca="false">IF(COUNTIF(Referral_Data!$C$5:$C$1000,B958)&gt;0,"Referred",IF(COUNTIF(Referral_Data!$B$5:$B$1000,B958)&gt;0,"Referrer","Organic"))</f>
        <v>Referred</v>
      </c>
      <c r="G958" s="29" t="n">
        <f aca="false">IF(COUNTIFS($B$5:B958,B958,$C$5:C958,C958)=1,1,0)</f>
        <v>1</v>
      </c>
      <c r="H958" s="29" t="n">
        <f aca="false">IF(AND(G958=1,COUNTIFS($B$5:$B$1635,B958,$C$5:$C$1635,"&lt;"&amp;C958)&gt;0),1,0)</f>
        <v>1</v>
      </c>
      <c r="I958" s="29" t="n">
        <f aca="false">IF(AND(D958="Feature Use",COUNTIFS($B$5:B958,B958,$D$5:D958,"Feature Use",$E$5:E958,E958)=1),1,0)</f>
        <v>0</v>
      </c>
      <c r="J958" s="29" t="n">
        <f aca="false">IF(AND(D958="Feature Use",COUNTIFS($B$5:B958,B958,$D$5:D958,"Feature Use",$E$5:E958,E958)=2),1,0)</f>
        <v>0</v>
      </c>
      <c r="K958" s="29" t="n">
        <f aca="false">IF(COUNTIF($B$5:B958,B958)=1,1,0)</f>
        <v>0</v>
      </c>
      <c r="L958" s="29" t="n">
        <f aca="false">IF(AND(C958&gt;=Settings!$B$5-Settings!$B$8+1,C958&lt;=Settings!$B$5,COUNTIFS($B$5:B958,B958,$C$5:C958,"&gt;="&amp;(Settings!$B$5-Settings!$B$8+1),$C$5:C958,"&lt;="&amp;Settings!$B$5)=1),1,0)</f>
        <v>0</v>
      </c>
      <c r="M958" s="29" t="n">
        <f aca="false">IF(AND(C958&gt;=Settings!$B$5-Settings!$B$9+1,C958&lt;=Settings!$B$5,COUNTIFS($B$5:B958,B958,$C$5:C958,"&gt;="&amp;(Settings!$B$5-Settings!$B$9+1),$C$5:C958,"&lt;="&amp;Settings!$B$5)=1),1,0)</f>
        <v>0</v>
      </c>
      <c r="N958" s="29" t="n">
        <f aca="false">IF(AND(D958="Feature Use",COUNTIFS($B$5:B958,B958,$D$5:D958,"Feature Use")=1),1,0)</f>
        <v>0</v>
      </c>
    </row>
    <row r="959" customFormat="false" ht="15" hidden="false" customHeight="false" outlineLevel="0" collapsed="false">
      <c r="A959" s="22" t="s">
        <v>1266</v>
      </c>
      <c r="B959" s="22" t="s">
        <v>176</v>
      </c>
      <c r="C959" s="31" t="n">
        <v>46296</v>
      </c>
      <c r="D959" s="22" t="s">
        <v>300</v>
      </c>
      <c r="E959" s="22" t="s">
        <v>319</v>
      </c>
      <c r="F959" s="29" t="str">
        <f aca="false">IF(COUNTIF(Referral_Data!$C$5:$C$1000,B959)&gt;0,"Referred",IF(COUNTIF(Referral_Data!$B$5:$B$1000,B959)&gt;0,"Referrer","Organic"))</f>
        <v>Referred</v>
      </c>
      <c r="G959" s="29" t="n">
        <f aca="false">IF(COUNTIFS($B$5:B959,B959,$C$5:C959,C959)=1,1,0)</f>
        <v>0</v>
      </c>
      <c r="H959" s="29" t="n">
        <f aca="false">IF(AND(G959=1,COUNTIFS($B$5:$B$1635,B959,$C$5:$C$1635,"&lt;"&amp;C959)&gt;0),1,0)</f>
        <v>0</v>
      </c>
      <c r="I959" s="29" t="n">
        <f aca="false">IF(AND(D959="Feature Use",COUNTIFS($B$5:B959,B959,$D$5:D959,"Feature Use",$E$5:E959,E959)=1),1,0)</f>
        <v>1</v>
      </c>
      <c r="J959" s="29" t="n">
        <f aca="false">IF(AND(D959="Feature Use",COUNTIFS($B$5:B959,B959,$D$5:D959,"Feature Use",$E$5:E959,E959)=2),1,0)</f>
        <v>0</v>
      </c>
      <c r="K959" s="29" t="n">
        <f aca="false">IF(COUNTIF($B$5:B959,B959)=1,1,0)</f>
        <v>0</v>
      </c>
      <c r="L959" s="29" t="n">
        <f aca="false">IF(AND(C959&gt;=Settings!$B$5-Settings!$B$8+1,C959&lt;=Settings!$B$5,COUNTIFS($B$5:B959,B959,$C$5:C959,"&gt;="&amp;(Settings!$B$5-Settings!$B$8+1),$C$5:C959,"&lt;="&amp;Settings!$B$5)=1),1,0)</f>
        <v>0</v>
      </c>
      <c r="M959" s="29" t="n">
        <f aca="false">IF(AND(C959&gt;=Settings!$B$5-Settings!$B$9+1,C959&lt;=Settings!$B$5,COUNTIFS($B$5:B959,B959,$C$5:C959,"&gt;="&amp;(Settings!$B$5-Settings!$B$9+1),$C$5:C959,"&lt;="&amp;Settings!$B$5)=1),1,0)</f>
        <v>0</v>
      </c>
      <c r="N959" s="29" t="n">
        <f aca="false">IF(AND(D959="Feature Use",COUNTIFS($B$5:B959,B959,$D$5:D959,"Feature Use")=1),1,0)</f>
        <v>0</v>
      </c>
    </row>
    <row r="960" customFormat="false" ht="15" hidden="false" customHeight="false" outlineLevel="0" collapsed="false">
      <c r="A960" s="22" t="s">
        <v>1267</v>
      </c>
      <c r="B960" s="22" t="s">
        <v>181</v>
      </c>
      <c r="C960" s="31" t="n">
        <v>46296</v>
      </c>
      <c r="D960" s="22" t="s">
        <v>297</v>
      </c>
      <c r="E960" s="22" t="s">
        <v>298</v>
      </c>
      <c r="F960" s="29" t="str">
        <f aca="false">IF(COUNTIF(Referral_Data!$C$5:$C$1000,B960)&gt;0,"Referred",IF(COUNTIF(Referral_Data!$B$5:$B$1000,B960)&gt;0,"Referrer","Organic"))</f>
        <v>Referred</v>
      </c>
      <c r="G960" s="29" t="n">
        <f aca="false">IF(COUNTIFS($B$5:B960,B960,$C$5:C960,C960)=1,1,0)</f>
        <v>1</v>
      </c>
      <c r="H960" s="29" t="n">
        <f aca="false">IF(AND(G960=1,COUNTIFS($B$5:$B$1635,B960,$C$5:$C$1635,"&lt;"&amp;C960)&gt;0),1,0)</f>
        <v>1</v>
      </c>
      <c r="I960" s="29" t="n">
        <f aca="false">IF(AND(D960="Feature Use",COUNTIFS($B$5:B960,B960,$D$5:D960,"Feature Use",$E$5:E960,E960)=1),1,0)</f>
        <v>0</v>
      </c>
      <c r="J960" s="29" t="n">
        <f aca="false">IF(AND(D960="Feature Use",COUNTIFS($B$5:B960,B960,$D$5:D960,"Feature Use",$E$5:E960,E960)=2),1,0)</f>
        <v>0</v>
      </c>
      <c r="K960" s="29" t="n">
        <f aca="false">IF(COUNTIF($B$5:B960,B960)=1,1,0)</f>
        <v>0</v>
      </c>
      <c r="L960" s="29" t="n">
        <f aca="false">IF(AND(C960&gt;=Settings!$B$5-Settings!$B$8+1,C960&lt;=Settings!$B$5,COUNTIFS($B$5:B960,B960,$C$5:C960,"&gt;="&amp;(Settings!$B$5-Settings!$B$8+1),$C$5:C960,"&lt;="&amp;Settings!$B$5)=1),1,0)</f>
        <v>0</v>
      </c>
      <c r="M960" s="29" t="n">
        <f aca="false">IF(AND(C960&gt;=Settings!$B$5-Settings!$B$9+1,C960&lt;=Settings!$B$5,COUNTIFS($B$5:B960,B960,$C$5:C960,"&gt;="&amp;(Settings!$B$5-Settings!$B$9+1),$C$5:C960,"&lt;="&amp;Settings!$B$5)=1),1,0)</f>
        <v>0</v>
      </c>
      <c r="N960" s="29" t="n">
        <f aca="false">IF(AND(D960="Feature Use",COUNTIFS($B$5:B960,B960,$D$5:D960,"Feature Use")=1),1,0)</f>
        <v>0</v>
      </c>
    </row>
    <row r="961" customFormat="false" ht="15" hidden="false" customHeight="false" outlineLevel="0" collapsed="false">
      <c r="A961" s="22" t="s">
        <v>1268</v>
      </c>
      <c r="B961" s="22" t="s">
        <v>181</v>
      </c>
      <c r="C961" s="31" t="n">
        <v>46296</v>
      </c>
      <c r="D961" s="22" t="s">
        <v>300</v>
      </c>
      <c r="E961" s="22" t="s">
        <v>301</v>
      </c>
      <c r="F961" s="29" t="str">
        <f aca="false">IF(COUNTIF(Referral_Data!$C$5:$C$1000,B961)&gt;0,"Referred",IF(COUNTIF(Referral_Data!$B$5:$B$1000,B961)&gt;0,"Referrer","Organic"))</f>
        <v>Referred</v>
      </c>
      <c r="G961" s="29" t="n">
        <f aca="false">IF(COUNTIFS($B$5:B961,B961,$C$5:C961,C961)=1,1,0)</f>
        <v>0</v>
      </c>
      <c r="H961" s="29" t="n">
        <f aca="false">IF(AND(G961=1,COUNTIFS($B$5:$B$1635,B961,$C$5:$C$1635,"&lt;"&amp;C961)&gt;0),1,0)</f>
        <v>0</v>
      </c>
      <c r="I961" s="29" t="n">
        <f aca="false">IF(AND(D961="Feature Use",COUNTIFS($B$5:B961,B961,$D$5:D961,"Feature Use",$E$5:E961,E961)=1),1,0)</f>
        <v>0</v>
      </c>
      <c r="J961" s="29" t="n">
        <f aca="false">IF(AND(D961="Feature Use",COUNTIFS($B$5:B961,B961,$D$5:D961,"Feature Use",$E$5:E961,E961)=2),1,0)</f>
        <v>0</v>
      </c>
      <c r="K961" s="29" t="n">
        <f aca="false">IF(COUNTIF($B$5:B961,B961)=1,1,0)</f>
        <v>0</v>
      </c>
      <c r="L961" s="29" t="n">
        <f aca="false">IF(AND(C961&gt;=Settings!$B$5-Settings!$B$8+1,C961&lt;=Settings!$B$5,COUNTIFS($B$5:B961,B961,$C$5:C961,"&gt;="&amp;(Settings!$B$5-Settings!$B$8+1),$C$5:C961,"&lt;="&amp;Settings!$B$5)=1),1,0)</f>
        <v>0</v>
      </c>
      <c r="M961" s="29" t="n">
        <f aca="false">IF(AND(C961&gt;=Settings!$B$5-Settings!$B$9+1,C961&lt;=Settings!$B$5,COUNTIFS($B$5:B961,B961,$C$5:C961,"&gt;="&amp;(Settings!$B$5-Settings!$B$9+1),$C$5:C961,"&lt;="&amp;Settings!$B$5)=1),1,0)</f>
        <v>0</v>
      </c>
      <c r="N961" s="29" t="n">
        <f aca="false">IF(AND(D961="Feature Use",COUNTIFS($B$5:B961,B961,$D$5:D961,"Feature Use")=1),1,0)</f>
        <v>0</v>
      </c>
    </row>
    <row r="962" customFormat="false" ht="15" hidden="false" customHeight="false" outlineLevel="0" collapsed="false">
      <c r="A962" s="22" t="s">
        <v>1269</v>
      </c>
      <c r="B962" s="22" t="s">
        <v>181</v>
      </c>
      <c r="C962" s="31" t="n">
        <v>46296</v>
      </c>
      <c r="D962" s="22" t="s">
        <v>300</v>
      </c>
      <c r="E962" s="22" t="s">
        <v>301</v>
      </c>
      <c r="F962" s="29" t="str">
        <f aca="false">IF(COUNTIF(Referral_Data!$C$5:$C$1000,B962)&gt;0,"Referred",IF(COUNTIF(Referral_Data!$B$5:$B$1000,B962)&gt;0,"Referrer","Organic"))</f>
        <v>Referred</v>
      </c>
      <c r="G962" s="29" t="n">
        <f aca="false">IF(COUNTIFS($B$5:B962,B962,$C$5:C962,C962)=1,1,0)</f>
        <v>0</v>
      </c>
      <c r="H962" s="29" t="n">
        <f aca="false">IF(AND(G962=1,COUNTIFS($B$5:$B$1635,B962,$C$5:$C$1635,"&lt;"&amp;C962)&gt;0),1,0)</f>
        <v>0</v>
      </c>
      <c r="I962" s="29" t="n">
        <f aca="false">IF(AND(D962="Feature Use",COUNTIFS($B$5:B962,B962,$D$5:D962,"Feature Use",$E$5:E962,E962)=1),1,0)</f>
        <v>0</v>
      </c>
      <c r="J962" s="29" t="n">
        <f aca="false">IF(AND(D962="Feature Use",COUNTIFS($B$5:B962,B962,$D$5:D962,"Feature Use",$E$5:E962,E962)=2),1,0)</f>
        <v>0</v>
      </c>
      <c r="K962" s="29" t="n">
        <f aca="false">IF(COUNTIF($B$5:B962,B962)=1,1,0)</f>
        <v>0</v>
      </c>
      <c r="L962" s="29" t="n">
        <f aca="false">IF(AND(C962&gt;=Settings!$B$5-Settings!$B$8+1,C962&lt;=Settings!$B$5,COUNTIFS($B$5:B962,B962,$C$5:C962,"&gt;="&amp;(Settings!$B$5-Settings!$B$8+1),$C$5:C962,"&lt;="&amp;Settings!$B$5)=1),1,0)</f>
        <v>0</v>
      </c>
      <c r="M962" s="29" t="n">
        <f aca="false">IF(AND(C962&gt;=Settings!$B$5-Settings!$B$9+1,C962&lt;=Settings!$B$5,COUNTIFS($B$5:B962,B962,$C$5:C962,"&gt;="&amp;(Settings!$B$5-Settings!$B$9+1),$C$5:C962,"&lt;="&amp;Settings!$B$5)=1),1,0)</f>
        <v>0</v>
      </c>
      <c r="N962" s="29" t="n">
        <f aca="false">IF(AND(D962="Feature Use",COUNTIFS($B$5:B962,B962,$D$5:D962,"Feature Use")=1),1,0)</f>
        <v>0</v>
      </c>
    </row>
    <row r="963" customFormat="false" ht="15" hidden="false" customHeight="false" outlineLevel="0" collapsed="false">
      <c r="A963" s="22" t="s">
        <v>1270</v>
      </c>
      <c r="B963" s="22" t="s">
        <v>181</v>
      </c>
      <c r="C963" s="31" t="n">
        <v>46296</v>
      </c>
      <c r="D963" s="22" t="s">
        <v>308</v>
      </c>
      <c r="E963" s="22" t="s">
        <v>311</v>
      </c>
      <c r="F963" s="29" t="str">
        <f aca="false">IF(COUNTIF(Referral_Data!$C$5:$C$1000,B963)&gt;0,"Referred",IF(COUNTIF(Referral_Data!$B$5:$B$1000,B963)&gt;0,"Referrer","Organic"))</f>
        <v>Referred</v>
      </c>
      <c r="G963" s="29" t="n">
        <f aca="false">IF(COUNTIFS($B$5:B963,B963,$C$5:C963,C963)=1,1,0)</f>
        <v>0</v>
      </c>
      <c r="H963" s="29" t="n">
        <f aca="false">IF(AND(G963=1,COUNTIFS($B$5:$B$1635,B963,$C$5:$C$1635,"&lt;"&amp;C963)&gt;0),1,0)</f>
        <v>0</v>
      </c>
      <c r="I963" s="29" t="n">
        <f aca="false">IF(AND(D963="Feature Use",COUNTIFS($B$5:B963,B963,$D$5:D963,"Feature Use",$E$5:E963,E963)=1),1,0)</f>
        <v>0</v>
      </c>
      <c r="J963" s="29" t="n">
        <f aca="false">IF(AND(D963="Feature Use",COUNTIFS($B$5:B963,B963,$D$5:D963,"Feature Use",$E$5:E963,E963)=2),1,0)</f>
        <v>0</v>
      </c>
      <c r="K963" s="29" t="n">
        <f aca="false">IF(COUNTIF($B$5:B963,B963)=1,1,0)</f>
        <v>0</v>
      </c>
      <c r="L963" s="29" t="n">
        <f aca="false">IF(AND(C963&gt;=Settings!$B$5-Settings!$B$8+1,C963&lt;=Settings!$B$5,COUNTIFS($B$5:B963,B963,$C$5:C963,"&gt;="&amp;(Settings!$B$5-Settings!$B$8+1),$C$5:C963,"&lt;="&amp;Settings!$B$5)=1),1,0)</f>
        <v>0</v>
      </c>
      <c r="M963" s="29" t="n">
        <f aca="false">IF(AND(C963&gt;=Settings!$B$5-Settings!$B$9+1,C963&lt;=Settings!$B$5,COUNTIFS($B$5:B963,B963,$C$5:C963,"&gt;="&amp;(Settings!$B$5-Settings!$B$9+1),$C$5:C963,"&lt;="&amp;Settings!$B$5)=1),1,0)</f>
        <v>0</v>
      </c>
      <c r="N963" s="29" t="n">
        <f aca="false">IF(AND(D963="Feature Use",COUNTIFS($B$5:B963,B963,$D$5:D963,"Feature Use")=1),1,0)</f>
        <v>0</v>
      </c>
    </row>
    <row r="964" customFormat="false" ht="15" hidden="false" customHeight="false" outlineLevel="0" collapsed="false">
      <c r="A964" s="22" t="s">
        <v>1271</v>
      </c>
      <c r="B964" s="22" t="s">
        <v>184</v>
      </c>
      <c r="C964" s="31" t="n">
        <v>46296</v>
      </c>
      <c r="D964" s="22" t="s">
        <v>297</v>
      </c>
      <c r="E964" s="22" t="s">
        <v>298</v>
      </c>
      <c r="F964" s="29" t="str">
        <f aca="false">IF(COUNTIF(Referral_Data!$C$5:$C$1000,B964)&gt;0,"Referred",IF(COUNTIF(Referral_Data!$B$5:$B$1000,B964)&gt;0,"Referrer","Organic"))</f>
        <v>Referred</v>
      </c>
      <c r="G964" s="29" t="n">
        <f aca="false">IF(COUNTIFS($B$5:B964,B964,$C$5:C964,C964)=1,1,0)</f>
        <v>1</v>
      </c>
      <c r="H964" s="29" t="n">
        <f aca="false">IF(AND(G964=1,COUNTIFS($B$5:$B$1635,B964,$C$5:$C$1635,"&lt;"&amp;C964)&gt;0),1,0)</f>
        <v>1</v>
      </c>
      <c r="I964" s="29" t="n">
        <f aca="false">IF(AND(D964="Feature Use",COUNTIFS($B$5:B964,B964,$D$5:D964,"Feature Use",$E$5:E964,E964)=1),1,0)</f>
        <v>0</v>
      </c>
      <c r="J964" s="29" t="n">
        <f aca="false">IF(AND(D964="Feature Use",COUNTIFS($B$5:B964,B964,$D$5:D964,"Feature Use",$E$5:E964,E964)=2),1,0)</f>
        <v>0</v>
      </c>
      <c r="K964" s="29" t="n">
        <f aca="false">IF(COUNTIF($B$5:B964,B964)=1,1,0)</f>
        <v>0</v>
      </c>
      <c r="L964" s="29" t="n">
        <f aca="false">IF(AND(C964&gt;=Settings!$B$5-Settings!$B$8+1,C964&lt;=Settings!$B$5,COUNTIFS($B$5:B964,B964,$C$5:C964,"&gt;="&amp;(Settings!$B$5-Settings!$B$8+1),$C$5:C964,"&lt;="&amp;Settings!$B$5)=1),1,0)</f>
        <v>0</v>
      </c>
      <c r="M964" s="29" t="n">
        <f aca="false">IF(AND(C964&gt;=Settings!$B$5-Settings!$B$9+1,C964&lt;=Settings!$B$5,COUNTIFS($B$5:B964,B964,$C$5:C964,"&gt;="&amp;(Settings!$B$5-Settings!$B$9+1),$C$5:C964,"&lt;="&amp;Settings!$B$5)=1),1,0)</f>
        <v>0</v>
      </c>
      <c r="N964" s="29" t="n">
        <f aca="false">IF(AND(D964="Feature Use",COUNTIFS($B$5:B964,B964,$D$5:D964,"Feature Use")=1),1,0)</f>
        <v>0</v>
      </c>
    </row>
    <row r="965" customFormat="false" ht="15" hidden="false" customHeight="false" outlineLevel="0" collapsed="false">
      <c r="A965" s="22" t="s">
        <v>1272</v>
      </c>
      <c r="B965" s="22" t="s">
        <v>184</v>
      </c>
      <c r="C965" s="31" t="n">
        <v>46296</v>
      </c>
      <c r="D965" s="22" t="s">
        <v>300</v>
      </c>
      <c r="E965" s="22" t="s">
        <v>311</v>
      </c>
      <c r="F965" s="29" t="str">
        <f aca="false">IF(COUNTIF(Referral_Data!$C$5:$C$1000,B965)&gt;0,"Referred",IF(COUNTIF(Referral_Data!$B$5:$B$1000,B965)&gt;0,"Referrer","Organic"))</f>
        <v>Referred</v>
      </c>
      <c r="G965" s="29" t="n">
        <f aca="false">IF(COUNTIFS($B$5:B965,B965,$C$5:C965,C965)=1,1,0)</f>
        <v>0</v>
      </c>
      <c r="H965" s="29" t="n">
        <f aca="false">IF(AND(G965=1,COUNTIFS($B$5:$B$1635,B965,$C$5:$C$1635,"&lt;"&amp;C965)&gt;0),1,0)</f>
        <v>0</v>
      </c>
      <c r="I965" s="29" t="n">
        <f aca="false">IF(AND(D965="Feature Use",COUNTIFS($B$5:B965,B965,$D$5:D965,"Feature Use",$E$5:E965,E965)=1),1,0)</f>
        <v>0</v>
      </c>
      <c r="J965" s="29" t="n">
        <f aca="false">IF(AND(D965="Feature Use",COUNTIFS($B$5:B965,B965,$D$5:D965,"Feature Use",$E$5:E965,E965)=2),1,0)</f>
        <v>0</v>
      </c>
      <c r="K965" s="29" t="n">
        <f aca="false">IF(COUNTIF($B$5:B965,B965)=1,1,0)</f>
        <v>0</v>
      </c>
      <c r="L965" s="29" t="n">
        <f aca="false">IF(AND(C965&gt;=Settings!$B$5-Settings!$B$8+1,C965&lt;=Settings!$B$5,COUNTIFS($B$5:B965,B965,$C$5:C965,"&gt;="&amp;(Settings!$B$5-Settings!$B$8+1),$C$5:C965,"&lt;="&amp;Settings!$B$5)=1),1,0)</f>
        <v>0</v>
      </c>
      <c r="M965" s="29" t="n">
        <f aca="false">IF(AND(C965&gt;=Settings!$B$5-Settings!$B$9+1,C965&lt;=Settings!$B$5,COUNTIFS($B$5:B965,B965,$C$5:C965,"&gt;="&amp;(Settings!$B$5-Settings!$B$9+1),$C$5:C965,"&lt;="&amp;Settings!$B$5)=1),1,0)</f>
        <v>0</v>
      </c>
      <c r="N965" s="29" t="n">
        <f aca="false">IF(AND(D965="Feature Use",COUNTIFS($B$5:B965,B965,$D$5:D965,"Feature Use")=1),1,0)</f>
        <v>0</v>
      </c>
    </row>
    <row r="966" customFormat="false" ht="15" hidden="false" customHeight="false" outlineLevel="0" collapsed="false">
      <c r="A966" s="22" t="s">
        <v>1273</v>
      </c>
      <c r="B966" s="22" t="s">
        <v>184</v>
      </c>
      <c r="C966" s="31" t="n">
        <v>46296</v>
      </c>
      <c r="D966" s="22" t="s">
        <v>300</v>
      </c>
      <c r="E966" s="22" t="s">
        <v>309</v>
      </c>
      <c r="F966" s="29" t="str">
        <f aca="false">IF(COUNTIF(Referral_Data!$C$5:$C$1000,B966)&gt;0,"Referred",IF(COUNTIF(Referral_Data!$B$5:$B$1000,B966)&gt;0,"Referrer","Organic"))</f>
        <v>Referred</v>
      </c>
      <c r="G966" s="29" t="n">
        <f aca="false">IF(COUNTIFS($B$5:B966,B966,$C$5:C966,C966)=1,1,0)</f>
        <v>0</v>
      </c>
      <c r="H966" s="29" t="n">
        <f aca="false">IF(AND(G966=1,COUNTIFS($B$5:$B$1635,B966,$C$5:$C$1635,"&lt;"&amp;C966)&gt;0),1,0)</f>
        <v>0</v>
      </c>
      <c r="I966" s="29" t="n">
        <f aca="false">IF(AND(D966="Feature Use",COUNTIFS($B$5:B966,B966,$D$5:D966,"Feature Use",$E$5:E966,E966)=1),1,0)</f>
        <v>0</v>
      </c>
      <c r="J966" s="29" t="n">
        <f aca="false">IF(AND(D966="Feature Use",COUNTIFS($B$5:B966,B966,$D$5:D966,"Feature Use",$E$5:E966,E966)=2),1,0)</f>
        <v>0</v>
      </c>
      <c r="K966" s="29" t="n">
        <f aca="false">IF(COUNTIF($B$5:B966,B966)=1,1,0)</f>
        <v>0</v>
      </c>
      <c r="L966" s="29" t="n">
        <f aca="false">IF(AND(C966&gt;=Settings!$B$5-Settings!$B$8+1,C966&lt;=Settings!$B$5,COUNTIFS($B$5:B966,B966,$C$5:C966,"&gt;="&amp;(Settings!$B$5-Settings!$B$8+1),$C$5:C966,"&lt;="&amp;Settings!$B$5)=1),1,0)</f>
        <v>0</v>
      </c>
      <c r="M966" s="29" t="n">
        <f aca="false">IF(AND(C966&gt;=Settings!$B$5-Settings!$B$9+1,C966&lt;=Settings!$B$5,COUNTIFS($B$5:B966,B966,$C$5:C966,"&gt;="&amp;(Settings!$B$5-Settings!$B$9+1),$C$5:C966,"&lt;="&amp;Settings!$B$5)=1),1,0)</f>
        <v>0</v>
      </c>
      <c r="N966" s="29" t="n">
        <f aca="false">IF(AND(D966="Feature Use",COUNTIFS($B$5:B966,B966,$D$5:D966,"Feature Use")=1),1,0)</f>
        <v>0</v>
      </c>
    </row>
    <row r="967" customFormat="false" ht="15" hidden="false" customHeight="false" outlineLevel="0" collapsed="false">
      <c r="A967" s="22" t="s">
        <v>1274</v>
      </c>
      <c r="B967" s="22" t="s">
        <v>194</v>
      </c>
      <c r="C967" s="31" t="n">
        <v>46296</v>
      </c>
      <c r="D967" s="22" t="s">
        <v>297</v>
      </c>
      <c r="E967" s="22" t="s">
        <v>298</v>
      </c>
      <c r="F967" s="29" t="str">
        <f aca="false">IF(COUNTIF(Referral_Data!$C$5:$C$1000,B967)&gt;0,"Referred",IF(COUNTIF(Referral_Data!$B$5:$B$1000,B967)&gt;0,"Referrer","Organic"))</f>
        <v>Referred</v>
      </c>
      <c r="G967" s="29" t="n">
        <f aca="false">IF(COUNTIFS($B$5:B967,B967,$C$5:C967,C967)=1,1,0)</f>
        <v>1</v>
      </c>
      <c r="H967" s="29" t="n">
        <f aca="false">IF(AND(G967=1,COUNTIFS($B$5:$B$1635,B967,$C$5:$C$1635,"&lt;"&amp;C967)&gt;0),1,0)</f>
        <v>1</v>
      </c>
      <c r="I967" s="29" t="n">
        <f aca="false">IF(AND(D967="Feature Use",COUNTIFS($B$5:B967,B967,$D$5:D967,"Feature Use",$E$5:E967,E967)=1),1,0)</f>
        <v>0</v>
      </c>
      <c r="J967" s="29" t="n">
        <f aca="false">IF(AND(D967="Feature Use",COUNTIFS($B$5:B967,B967,$D$5:D967,"Feature Use",$E$5:E967,E967)=2),1,0)</f>
        <v>0</v>
      </c>
      <c r="K967" s="29" t="n">
        <f aca="false">IF(COUNTIF($B$5:B967,B967)=1,1,0)</f>
        <v>0</v>
      </c>
      <c r="L967" s="29" t="n">
        <f aca="false">IF(AND(C967&gt;=Settings!$B$5-Settings!$B$8+1,C967&lt;=Settings!$B$5,COUNTIFS($B$5:B967,B967,$C$5:C967,"&gt;="&amp;(Settings!$B$5-Settings!$B$8+1),$C$5:C967,"&lt;="&amp;Settings!$B$5)=1),1,0)</f>
        <v>0</v>
      </c>
      <c r="M967" s="29" t="n">
        <f aca="false">IF(AND(C967&gt;=Settings!$B$5-Settings!$B$9+1,C967&lt;=Settings!$B$5,COUNTIFS($B$5:B967,B967,$C$5:C967,"&gt;="&amp;(Settings!$B$5-Settings!$B$9+1),$C$5:C967,"&lt;="&amp;Settings!$B$5)=1),1,0)</f>
        <v>0</v>
      </c>
      <c r="N967" s="29" t="n">
        <f aca="false">IF(AND(D967="Feature Use",COUNTIFS($B$5:B967,B967,$D$5:D967,"Feature Use")=1),1,0)</f>
        <v>0</v>
      </c>
    </row>
    <row r="968" customFormat="false" ht="15" hidden="false" customHeight="false" outlineLevel="0" collapsed="false">
      <c r="A968" s="22" t="s">
        <v>1275</v>
      </c>
      <c r="B968" s="22" t="s">
        <v>194</v>
      </c>
      <c r="C968" s="31" t="n">
        <v>46296</v>
      </c>
      <c r="D968" s="22" t="s">
        <v>300</v>
      </c>
      <c r="E968" s="22" t="s">
        <v>305</v>
      </c>
      <c r="F968" s="29" t="str">
        <f aca="false">IF(COUNTIF(Referral_Data!$C$5:$C$1000,B968)&gt;0,"Referred",IF(COUNTIF(Referral_Data!$B$5:$B$1000,B968)&gt;0,"Referrer","Organic"))</f>
        <v>Referred</v>
      </c>
      <c r="G968" s="29" t="n">
        <f aca="false">IF(COUNTIFS($B$5:B968,B968,$C$5:C968,C968)=1,1,0)</f>
        <v>0</v>
      </c>
      <c r="H968" s="29" t="n">
        <f aca="false">IF(AND(G968=1,COUNTIFS($B$5:$B$1635,B968,$C$5:$C$1635,"&lt;"&amp;C968)&gt;0),1,0)</f>
        <v>0</v>
      </c>
      <c r="I968" s="29" t="n">
        <f aca="false">IF(AND(D968="Feature Use",COUNTIFS($B$5:B968,B968,$D$5:D968,"Feature Use",$E$5:E968,E968)=1),1,0)</f>
        <v>0</v>
      </c>
      <c r="J968" s="29" t="n">
        <f aca="false">IF(AND(D968="Feature Use",COUNTIFS($B$5:B968,B968,$D$5:D968,"Feature Use",$E$5:E968,E968)=2),1,0)</f>
        <v>0</v>
      </c>
      <c r="K968" s="29" t="n">
        <f aca="false">IF(COUNTIF($B$5:B968,B968)=1,1,0)</f>
        <v>0</v>
      </c>
      <c r="L968" s="29" t="n">
        <f aca="false">IF(AND(C968&gt;=Settings!$B$5-Settings!$B$8+1,C968&lt;=Settings!$B$5,COUNTIFS($B$5:B968,B968,$C$5:C968,"&gt;="&amp;(Settings!$B$5-Settings!$B$8+1),$C$5:C968,"&lt;="&amp;Settings!$B$5)=1),1,0)</f>
        <v>0</v>
      </c>
      <c r="M968" s="29" t="n">
        <f aca="false">IF(AND(C968&gt;=Settings!$B$5-Settings!$B$9+1,C968&lt;=Settings!$B$5,COUNTIFS($B$5:B968,B968,$C$5:C968,"&gt;="&amp;(Settings!$B$5-Settings!$B$9+1),$C$5:C968,"&lt;="&amp;Settings!$B$5)=1),1,0)</f>
        <v>0</v>
      </c>
      <c r="N968" s="29" t="n">
        <f aca="false">IF(AND(D968="Feature Use",COUNTIFS($B$5:B968,B968,$D$5:D968,"Feature Use")=1),1,0)</f>
        <v>0</v>
      </c>
    </row>
    <row r="969" customFormat="false" ht="15" hidden="false" customHeight="false" outlineLevel="0" collapsed="false">
      <c r="A969" s="22" t="s">
        <v>1276</v>
      </c>
      <c r="B969" s="22" t="s">
        <v>194</v>
      </c>
      <c r="C969" s="31" t="n">
        <v>46296</v>
      </c>
      <c r="D969" s="22" t="s">
        <v>300</v>
      </c>
      <c r="E969" s="22" t="s">
        <v>301</v>
      </c>
      <c r="F969" s="29" t="str">
        <f aca="false">IF(COUNTIF(Referral_Data!$C$5:$C$1000,B969)&gt;0,"Referred",IF(COUNTIF(Referral_Data!$B$5:$B$1000,B969)&gt;0,"Referrer","Organic"))</f>
        <v>Referred</v>
      </c>
      <c r="G969" s="29" t="n">
        <f aca="false">IF(COUNTIFS($B$5:B969,B969,$C$5:C969,C969)=1,1,0)</f>
        <v>0</v>
      </c>
      <c r="H969" s="29" t="n">
        <f aca="false">IF(AND(G969=1,COUNTIFS($B$5:$B$1635,B969,$C$5:$C$1635,"&lt;"&amp;C969)&gt;0),1,0)</f>
        <v>0</v>
      </c>
      <c r="I969" s="29" t="n">
        <f aca="false">IF(AND(D969="Feature Use",COUNTIFS($B$5:B969,B969,$D$5:D969,"Feature Use",$E$5:E969,E969)=1),1,0)</f>
        <v>1</v>
      </c>
      <c r="J969" s="29" t="n">
        <f aca="false">IF(AND(D969="Feature Use",COUNTIFS($B$5:B969,B969,$D$5:D969,"Feature Use",$E$5:E969,E969)=2),1,0)</f>
        <v>0</v>
      </c>
      <c r="K969" s="29" t="n">
        <f aca="false">IF(COUNTIF($B$5:B969,B969)=1,1,0)</f>
        <v>0</v>
      </c>
      <c r="L969" s="29" t="n">
        <f aca="false">IF(AND(C969&gt;=Settings!$B$5-Settings!$B$8+1,C969&lt;=Settings!$B$5,COUNTIFS($B$5:B969,B969,$C$5:C969,"&gt;="&amp;(Settings!$B$5-Settings!$B$8+1),$C$5:C969,"&lt;="&amp;Settings!$B$5)=1),1,0)</f>
        <v>0</v>
      </c>
      <c r="M969" s="29" t="n">
        <f aca="false">IF(AND(C969&gt;=Settings!$B$5-Settings!$B$9+1,C969&lt;=Settings!$B$5,COUNTIFS($B$5:B969,B969,$C$5:C969,"&gt;="&amp;(Settings!$B$5-Settings!$B$9+1),$C$5:C969,"&lt;="&amp;Settings!$B$5)=1),1,0)</f>
        <v>0</v>
      </c>
      <c r="N969" s="29" t="n">
        <f aca="false">IF(AND(D969="Feature Use",COUNTIFS($B$5:B969,B969,$D$5:D969,"Feature Use")=1),1,0)</f>
        <v>0</v>
      </c>
    </row>
    <row r="970" customFormat="false" ht="15" hidden="false" customHeight="false" outlineLevel="0" collapsed="false">
      <c r="A970" s="22" t="s">
        <v>1277</v>
      </c>
      <c r="B970" s="22" t="s">
        <v>194</v>
      </c>
      <c r="C970" s="31" t="n">
        <v>46296</v>
      </c>
      <c r="D970" s="22" t="s">
        <v>308</v>
      </c>
      <c r="E970" s="22" t="s">
        <v>311</v>
      </c>
      <c r="F970" s="29" t="str">
        <f aca="false">IF(COUNTIF(Referral_Data!$C$5:$C$1000,B970)&gt;0,"Referred",IF(COUNTIF(Referral_Data!$B$5:$B$1000,B970)&gt;0,"Referrer","Organic"))</f>
        <v>Referred</v>
      </c>
      <c r="G970" s="29" t="n">
        <f aca="false">IF(COUNTIFS($B$5:B970,B970,$C$5:C970,C970)=1,1,0)</f>
        <v>0</v>
      </c>
      <c r="H970" s="29" t="n">
        <f aca="false">IF(AND(G970=1,COUNTIFS($B$5:$B$1635,B970,$C$5:$C$1635,"&lt;"&amp;C970)&gt;0),1,0)</f>
        <v>0</v>
      </c>
      <c r="I970" s="29" t="n">
        <f aca="false">IF(AND(D970="Feature Use",COUNTIFS($B$5:B970,B970,$D$5:D970,"Feature Use",$E$5:E970,E970)=1),1,0)</f>
        <v>0</v>
      </c>
      <c r="J970" s="29" t="n">
        <f aca="false">IF(AND(D970="Feature Use",COUNTIFS($B$5:B970,B970,$D$5:D970,"Feature Use",$E$5:E970,E970)=2),1,0)</f>
        <v>0</v>
      </c>
      <c r="K970" s="29" t="n">
        <f aca="false">IF(COUNTIF($B$5:B970,B970)=1,1,0)</f>
        <v>0</v>
      </c>
      <c r="L970" s="29" t="n">
        <f aca="false">IF(AND(C970&gt;=Settings!$B$5-Settings!$B$8+1,C970&lt;=Settings!$B$5,COUNTIFS($B$5:B970,B970,$C$5:C970,"&gt;="&amp;(Settings!$B$5-Settings!$B$8+1),$C$5:C970,"&lt;="&amp;Settings!$B$5)=1),1,0)</f>
        <v>0</v>
      </c>
      <c r="M970" s="29" t="n">
        <f aca="false">IF(AND(C970&gt;=Settings!$B$5-Settings!$B$9+1,C970&lt;=Settings!$B$5,COUNTIFS($B$5:B970,B970,$C$5:C970,"&gt;="&amp;(Settings!$B$5-Settings!$B$9+1),$C$5:C970,"&lt;="&amp;Settings!$B$5)=1),1,0)</f>
        <v>0</v>
      </c>
      <c r="N970" s="29" t="n">
        <f aca="false">IF(AND(D970="Feature Use",COUNTIFS($B$5:B970,B970,$D$5:D970,"Feature Use")=1),1,0)</f>
        <v>0</v>
      </c>
    </row>
    <row r="971" customFormat="false" ht="15" hidden="false" customHeight="false" outlineLevel="0" collapsed="false">
      <c r="A971" s="22" t="s">
        <v>1278</v>
      </c>
      <c r="B971" s="22" t="s">
        <v>204</v>
      </c>
      <c r="C971" s="31" t="n">
        <v>46296</v>
      </c>
      <c r="D971" s="22" t="s">
        <v>297</v>
      </c>
      <c r="E971" s="22" t="s">
        <v>298</v>
      </c>
      <c r="F971" s="29" t="str">
        <f aca="false">IF(COUNTIF(Referral_Data!$C$5:$C$1000,B971)&gt;0,"Referred",IF(COUNTIF(Referral_Data!$B$5:$B$1000,B971)&gt;0,"Referrer","Organic"))</f>
        <v>Referred</v>
      </c>
      <c r="G971" s="29" t="n">
        <f aca="false">IF(COUNTIFS($B$5:B971,B971,$C$5:C971,C971)=1,1,0)</f>
        <v>1</v>
      </c>
      <c r="H971" s="29" t="n">
        <f aca="false">IF(AND(G971=1,COUNTIFS($B$5:$B$1635,B971,$C$5:$C$1635,"&lt;"&amp;C971)&gt;0),1,0)</f>
        <v>1</v>
      </c>
      <c r="I971" s="29" t="n">
        <f aca="false">IF(AND(D971="Feature Use",COUNTIFS($B$5:B971,B971,$D$5:D971,"Feature Use",$E$5:E971,E971)=1),1,0)</f>
        <v>0</v>
      </c>
      <c r="J971" s="29" t="n">
        <f aca="false">IF(AND(D971="Feature Use",COUNTIFS($B$5:B971,B971,$D$5:D971,"Feature Use",$E$5:E971,E971)=2),1,0)</f>
        <v>0</v>
      </c>
      <c r="K971" s="29" t="n">
        <f aca="false">IF(COUNTIF($B$5:B971,B971)=1,1,0)</f>
        <v>0</v>
      </c>
      <c r="L971" s="29" t="n">
        <f aca="false">IF(AND(C971&gt;=Settings!$B$5-Settings!$B$8+1,C971&lt;=Settings!$B$5,COUNTIFS($B$5:B971,B971,$C$5:C971,"&gt;="&amp;(Settings!$B$5-Settings!$B$8+1),$C$5:C971,"&lt;="&amp;Settings!$B$5)=1),1,0)</f>
        <v>0</v>
      </c>
      <c r="M971" s="29" t="n">
        <f aca="false">IF(AND(C971&gt;=Settings!$B$5-Settings!$B$9+1,C971&lt;=Settings!$B$5,COUNTIFS($B$5:B971,B971,$C$5:C971,"&gt;="&amp;(Settings!$B$5-Settings!$B$9+1),$C$5:C971,"&lt;="&amp;Settings!$B$5)=1),1,0)</f>
        <v>0</v>
      </c>
      <c r="N971" s="29" t="n">
        <f aca="false">IF(AND(D971="Feature Use",COUNTIFS($B$5:B971,B971,$D$5:D971,"Feature Use")=1),1,0)</f>
        <v>0</v>
      </c>
    </row>
    <row r="972" customFormat="false" ht="15" hidden="false" customHeight="false" outlineLevel="0" collapsed="false">
      <c r="A972" s="22" t="s">
        <v>1279</v>
      </c>
      <c r="B972" s="22" t="s">
        <v>204</v>
      </c>
      <c r="C972" s="31" t="n">
        <v>46296</v>
      </c>
      <c r="D972" s="22" t="s">
        <v>300</v>
      </c>
      <c r="E972" s="22" t="s">
        <v>305</v>
      </c>
      <c r="F972" s="29" t="str">
        <f aca="false">IF(COUNTIF(Referral_Data!$C$5:$C$1000,B972)&gt;0,"Referred",IF(COUNTIF(Referral_Data!$B$5:$B$1000,B972)&gt;0,"Referrer","Organic"))</f>
        <v>Referred</v>
      </c>
      <c r="G972" s="29" t="n">
        <f aca="false">IF(COUNTIFS($B$5:B972,B972,$C$5:C972,C972)=1,1,0)</f>
        <v>0</v>
      </c>
      <c r="H972" s="29" t="n">
        <f aca="false">IF(AND(G972=1,COUNTIFS($B$5:$B$1635,B972,$C$5:$C$1635,"&lt;"&amp;C972)&gt;0),1,0)</f>
        <v>0</v>
      </c>
      <c r="I972" s="29" t="n">
        <f aca="false">IF(AND(D972="Feature Use",COUNTIFS($B$5:B972,B972,$D$5:D972,"Feature Use",$E$5:E972,E972)=1),1,0)</f>
        <v>0</v>
      </c>
      <c r="J972" s="29" t="n">
        <f aca="false">IF(AND(D972="Feature Use",COUNTIFS($B$5:B972,B972,$D$5:D972,"Feature Use",$E$5:E972,E972)=2),1,0)</f>
        <v>0</v>
      </c>
      <c r="K972" s="29" t="n">
        <f aca="false">IF(COUNTIF($B$5:B972,B972)=1,1,0)</f>
        <v>0</v>
      </c>
      <c r="L972" s="29" t="n">
        <f aca="false">IF(AND(C972&gt;=Settings!$B$5-Settings!$B$8+1,C972&lt;=Settings!$B$5,COUNTIFS($B$5:B972,B972,$C$5:C972,"&gt;="&amp;(Settings!$B$5-Settings!$B$8+1),$C$5:C972,"&lt;="&amp;Settings!$B$5)=1),1,0)</f>
        <v>0</v>
      </c>
      <c r="M972" s="29" t="n">
        <f aca="false">IF(AND(C972&gt;=Settings!$B$5-Settings!$B$9+1,C972&lt;=Settings!$B$5,COUNTIFS($B$5:B972,B972,$C$5:C972,"&gt;="&amp;(Settings!$B$5-Settings!$B$9+1),$C$5:C972,"&lt;="&amp;Settings!$B$5)=1),1,0)</f>
        <v>0</v>
      </c>
      <c r="N972" s="29" t="n">
        <f aca="false">IF(AND(D972="Feature Use",COUNTIFS($B$5:B972,B972,$D$5:D972,"Feature Use")=1),1,0)</f>
        <v>0</v>
      </c>
    </row>
    <row r="973" customFormat="false" ht="15" hidden="false" customHeight="false" outlineLevel="0" collapsed="false">
      <c r="A973" s="22" t="s">
        <v>1280</v>
      </c>
      <c r="B973" s="22" t="s">
        <v>239</v>
      </c>
      <c r="C973" s="31" t="n">
        <v>46296</v>
      </c>
      <c r="D973" s="22" t="s">
        <v>297</v>
      </c>
      <c r="E973" s="22" t="s">
        <v>298</v>
      </c>
      <c r="F973" s="29" t="str">
        <f aca="false">IF(COUNTIF(Referral_Data!$C$5:$C$1000,B973)&gt;0,"Referred",IF(COUNTIF(Referral_Data!$B$5:$B$1000,B973)&gt;0,"Referrer","Organic"))</f>
        <v>Referred</v>
      </c>
      <c r="G973" s="29" t="n">
        <f aca="false">IF(COUNTIFS($B$5:B973,B973,$C$5:C973,C973)=1,1,0)</f>
        <v>1</v>
      </c>
      <c r="H973" s="29" t="n">
        <f aca="false">IF(AND(G973=1,COUNTIFS($B$5:$B$1635,B973,$C$5:$C$1635,"&lt;"&amp;C973)&gt;0),1,0)</f>
        <v>0</v>
      </c>
      <c r="I973" s="29" t="n">
        <f aca="false">IF(AND(D973="Feature Use",COUNTIFS($B$5:B973,B973,$D$5:D973,"Feature Use",$E$5:E973,E973)=1),1,0)</f>
        <v>0</v>
      </c>
      <c r="J973" s="29" t="n">
        <f aca="false">IF(AND(D973="Feature Use",COUNTIFS($B$5:B973,B973,$D$5:D973,"Feature Use",$E$5:E973,E973)=2),1,0)</f>
        <v>0</v>
      </c>
      <c r="K973" s="29" t="n">
        <f aca="false">IF(COUNTIF($B$5:B973,B973)=1,1,0)</f>
        <v>1</v>
      </c>
      <c r="L973" s="29" t="n">
        <f aca="false">IF(AND(C973&gt;=Settings!$B$5-Settings!$B$8+1,C973&lt;=Settings!$B$5,COUNTIFS($B$5:B973,B973,$C$5:C973,"&gt;="&amp;(Settings!$B$5-Settings!$B$8+1),$C$5:C973,"&lt;="&amp;Settings!$B$5)=1),1,0)</f>
        <v>0</v>
      </c>
      <c r="M973" s="29" t="n">
        <f aca="false">IF(AND(C973&gt;=Settings!$B$5-Settings!$B$9+1,C973&lt;=Settings!$B$5,COUNTIFS($B$5:B973,B973,$C$5:C973,"&gt;="&amp;(Settings!$B$5-Settings!$B$9+1),$C$5:C973,"&lt;="&amp;Settings!$B$5)=1),1,0)</f>
        <v>1</v>
      </c>
      <c r="N973" s="29" t="n">
        <f aca="false">IF(AND(D973="Feature Use",COUNTIFS($B$5:B973,B973,$D$5:D973,"Feature Use")=1),1,0)</f>
        <v>0</v>
      </c>
    </row>
    <row r="974" customFormat="false" ht="15" hidden="false" customHeight="false" outlineLevel="0" collapsed="false">
      <c r="A974" s="22" t="s">
        <v>1281</v>
      </c>
      <c r="B974" s="22" t="s">
        <v>239</v>
      </c>
      <c r="C974" s="31" t="n">
        <v>46296</v>
      </c>
      <c r="D974" s="22" t="s">
        <v>300</v>
      </c>
      <c r="E974" s="22" t="s">
        <v>319</v>
      </c>
      <c r="F974" s="29" t="str">
        <f aca="false">IF(COUNTIF(Referral_Data!$C$5:$C$1000,B974)&gt;0,"Referred",IF(COUNTIF(Referral_Data!$B$5:$B$1000,B974)&gt;0,"Referrer","Organic"))</f>
        <v>Referred</v>
      </c>
      <c r="G974" s="29" t="n">
        <f aca="false">IF(COUNTIFS($B$5:B974,B974,$C$5:C974,C974)=1,1,0)</f>
        <v>0</v>
      </c>
      <c r="H974" s="29" t="n">
        <f aca="false">IF(AND(G974=1,COUNTIFS($B$5:$B$1635,B974,$C$5:$C$1635,"&lt;"&amp;C974)&gt;0),1,0)</f>
        <v>0</v>
      </c>
      <c r="I974" s="29" t="n">
        <f aca="false">IF(AND(D974="Feature Use",COUNTIFS($B$5:B974,B974,$D$5:D974,"Feature Use",$E$5:E974,E974)=1),1,0)</f>
        <v>1</v>
      </c>
      <c r="J974" s="29" t="n">
        <f aca="false">IF(AND(D974="Feature Use",COUNTIFS($B$5:B974,B974,$D$5:D974,"Feature Use",$E$5:E974,E974)=2),1,0)</f>
        <v>0</v>
      </c>
      <c r="K974" s="29" t="n">
        <f aca="false">IF(COUNTIF($B$5:B974,B974)=1,1,0)</f>
        <v>0</v>
      </c>
      <c r="L974" s="29" t="n">
        <f aca="false">IF(AND(C974&gt;=Settings!$B$5-Settings!$B$8+1,C974&lt;=Settings!$B$5,COUNTIFS($B$5:B974,B974,$C$5:C974,"&gt;="&amp;(Settings!$B$5-Settings!$B$8+1),$C$5:C974,"&lt;="&amp;Settings!$B$5)=1),1,0)</f>
        <v>0</v>
      </c>
      <c r="M974" s="29" t="n">
        <f aca="false">IF(AND(C974&gt;=Settings!$B$5-Settings!$B$9+1,C974&lt;=Settings!$B$5,COUNTIFS($B$5:B974,B974,$C$5:C974,"&gt;="&amp;(Settings!$B$5-Settings!$B$9+1),$C$5:C974,"&lt;="&amp;Settings!$B$5)=1),1,0)</f>
        <v>0</v>
      </c>
      <c r="N974" s="29" t="n">
        <f aca="false">IF(AND(D974="Feature Use",COUNTIFS($B$5:B974,B974,$D$5:D974,"Feature Use")=1),1,0)</f>
        <v>1</v>
      </c>
    </row>
    <row r="975" customFormat="false" ht="15" hidden="false" customHeight="false" outlineLevel="0" collapsed="false">
      <c r="A975" s="22" t="s">
        <v>1282</v>
      </c>
      <c r="B975" s="22" t="s">
        <v>254</v>
      </c>
      <c r="C975" s="31" t="n">
        <v>46296</v>
      </c>
      <c r="D975" s="22" t="s">
        <v>297</v>
      </c>
      <c r="E975" s="22" t="s">
        <v>298</v>
      </c>
      <c r="F975" s="29" t="str">
        <f aca="false">IF(COUNTIF(Referral_Data!$C$5:$C$1000,B975)&gt;0,"Referred",IF(COUNTIF(Referral_Data!$B$5:$B$1000,B975)&gt;0,"Referrer","Organic"))</f>
        <v>Referred</v>
      </c>
      <c r="G975" s="29" t="n">
        <f aca="false">IF(COUNTIFS($B$5:B975,B975,$C$5:C975,C975)=1,1,0)</f>
        <v>1</v>
      </c>
      <c r="H975" s="29" t="n">
        <f aca="false">IF(AND(G975=1,COUNTIFS($B$5:$B$1635,B975,$C$5:$C$1635,"&lt;"&amp;C975)&gt;0),1,0)</f>
        <v>1</v>
      </c>
      <c r="I975" s="29" t="n">
        <f aca="false">IF(AND(D975="Feature Use",COUNTIFS($B$5:B975,B975,$D$5:D975,"Feature Use",$E$5:E975,E975)=1),1,0)</f>
        <v>0</v>
      </c>
      <c r="J975" s="29" t="n">
        <f aca="false">IF(AND(D975="Feature Use",COUNTIFS($B$5:B975,B975,$D$5:D975,"Feature Use",$E$5:E975,E975)=2),1,0)</f>
        <v>0</v>
      </c>
      <c r="K975" s="29" t="n">
        <f aca="false">IF(COUNTIF($B$5:B975,B975)=1,1,0)</f>
        <v>0</v>
      </c>
      <c r="L975" s="29" t="n">
        <f aca="false">IF(AND(C975&gt;=Settings!$B$5-Settings!$B$8+1,C975&lt;=Settings!$B$5,COUNTIFS($B$5:B975,B975,$C$5:C975,"&gt;="&amp;(Settings!$B$5-Settings!$B$8+1),$C$5:C975,"&lt;="&amp;Settings!$B$5)=1),1,0)</f>
        <v>0</v>
      </c>
      <c r="M975" s="29" t="n">
        <f aca="false">IF(AND(C975&gt;=Settings!$B$5-Settings!$B$9+1,C975&lt;=Settings!$B$5,COUNTIFS($B$5:B975,B975,$C$5:C975,"&gt;="&amp;(Settings!$B$5-Settings!$B$9+1),$C$5:C975,"&lt;="&amp;Settings!$B$5)=1),1,0)</f>
        <v>0</v>
      </c>
      <c r="N975" s="29" t="n">
        <f aca="false">IF(AND(D975="Feature Use",COUNTIFS($B$5:B975,B975,$D$5:D975,"Feature Use")=1),1,0)</f>
        <v>0</v>
      </c>
    </row>
    <row r="976" customFormat="false" ht="15" hidden="false" customHeight="false" outlineLevel="0" collapsed="false">
      <c r="A976" s="22" t="s">
        <v>1283</v>
      </c>
      <c r="B976" s="22" t="s">
        <v>254</v>
      </c>
      <c r="C976" s="31" t="n">
        <v>46296</v>
      </c>
      <c r="D976" s="22" t="s">
        <v>300</v>
      </c>
      <c r="E976" s="22" t="s">
        <v>305</v>
      </c>
      <c r="F976" s="29" t="str">
        <f aca="false">IF(COUNTIF(Referral_Data!$C$5:$C$1000,B976)&gt;0,"Referred",IF(COUNTIF(Referral_Data!$B$5:$B$1000,B976)&gt;0,"Referrer","Organic"))</f>
        <v>Referred</v>
      </c>
      <c r="G976" s="29" t="n">
        <f aca="false">IF(COUNTIFS($B$5:B976,B976,$C$5:C976,C976)=1,1,0)</f>
        <v>0</v>
      </c>
      <c r="H976" s="29" t="n">
        <f aca="false">IF(AND(G976=1,COUNTIFS($B$5:$B$1635,B976,$C$5:$C$1635,"&lt;"&amp;C976)&gt;0),1,0)</f>
        <v>0</v>
      </c>
      <c r="I976" s="29" t="n">
        <f aca="false">IF(AND(D976="Feature Use",COUNTIFS($B$5:B976,B976,$D$5:D976,"Feature Use",$E$5:E976,E976)=1),1,0)</f>
        <v>1</v>
      </c>
      <c r="J976" s="29" t="n">
        <f aca="false">IF(AND(D976="Feature Use",COUNTIFS($B$5:B976,B976,$D$5:D976,"Feature Use",$E$5:E976,E976)=2),1,0)</f>
        <v>0</v>
      </c>
      <c r="K976" s="29" t="n">
        <f aca="false">IF(COUNTIF($B$5:B976,B976)=1,1,0)</f>
        <v>0</v>
      </c>
      <c r="L976" s="29" t="n">
        <f aca="false">IF(AND(C976&gt;=Settings!$B$5-Settings!$B$8+1,C976&lt;=Settings!$B$5,COUNTIFS($B$5:B976,B976,$C$5:C976,"&gt;="&amp;(Settings!$B$5-Settings!$B$8+1),$C$5:C976,"&lt;="&amp;Settings!$B$5)=1),1,0)</f>
        <v>0</v>
      </c>
      <c r="M976" s="29" t="n">
        <f aca="false">IF(AND(C976&gt;=Settings!$B$5-Settings!$B$9+1,C976&lt;=Settings!$B$5,COUNTIFS($B$5:B976,B976,$C$5:C976,"&gt;="&amp;(Settings!$B$5-Settings!$B$9+1),$C$5:C976,"&lt;="&amp;Settings!$B$5)=1),1,0)</f>
        <v>0</v>
      </c>
      <c r="N976" s="29" t="n">
        <f aca="false">IF(AND(D976="Feature Use",COUNTIFS($B$5:B976,B976,$D$5:D976,"Feature Use")=1),1,0)</f>
        <v>0</v>
      </c>
    </row>
    <row r="977" customFormat="false" ht="15" hidden="false" customHeight="false" outlineLevel="0" collapsed="false">
      <c r="A977" s="22" t="s">
        <v>1284</v>
      </c>
      <c r="B977" s="22" t="s">
        <v>254</v>
      </c>
      <c r="C977" s="31" t="n">
        <v>46296</v>
      </c>
      <c r="D977" s="22" t="s">
        <v>300</v>
      </c>
      <c r="E977" s="22" t="s">
        <v>311</v>
      </c>
      <c r="F977" s="29" t="str">
        <f aca="false">IF(COUNTIF(Referral_Data!$C$5:$C$1000,B977)&gt;0,"Referred",IF(COUNTIF(Referral_Data!$B$5:$B$1000,B977)&gt;0,"Referrer","Organic"))</f>
        <v>Referred</v>
      </c>
      <c r="G977" s="29" t="n">
        <f aca="false">IF(COUNTIFS($B$5:B977,B977,$C$5:C977,C977)=1,1,0)</f>
        <v>0</v>
      </c>
      <c r="H977" s="29" t="n">
        <f aca="false">IF(AND(G977=1,COUNTIFS($B$5:$B$1635,B977,$C$5:$C$1635,"&lt;"&amp;C977)&gt;0),1,0)</f>
        <v>0</v>
      </c>
      <c r="I977" s="29" t="n">
        <f aca="false">IF(AND(D977="Feature Use",COUNTIFS($B$5:B977,B977,$D$5:D977,"Feature Use",$E$5:E977,E977)=1),1,0)</f>
        <v>1</v>
      </c>
      <c r="J977" s="29" t="n">
        <f aca="false">IF(AND(D977="Feature Use",COUNTIFS($B$5:B977,B977,$D$5:D977,"Feature Use",$E$5:E977,E977)=2),1,0)</f>
        <v>0</v>
      </c>
      <c r="K977" s="29" t="n">
        <f aca="false">IF(COUNTIF($B$5:B977,B977)=1,1,0)</f>
        <v>0</v>
      </c>
      <c r="L977" s="29" t="n">
        <f aca="false">IF(AND(C977&gt;=Settings!$B$5-Settings!$B$8+1,C977&lt;=Settings!$B$5,COUNTIFS($B$5:B977,B977,$C$5:C977,"&gt;="&amp;(Settings!$B$5-Settings!$B$8+1),$C$5:C977,"&lt;="&amp;Settings!$B$5)=1),1,0)</f>
        <v>0</v>
      </c>
      <c r="M977" s="29" t="n">
        <f aca="false">IF(AND(C977&gt;=Settings!$B$5-Settings!$B$9+1,C977&lt;=Settings!$B$5,COUNTIFS($B$5:B977,B977,$C$5:C977,"&gt;="&amp;(Settings!$B$5-Settings!$B$9+1),$C$5:C977,"&lt;="&amp;Settings!$B$5)=1),1,0)</f>
        <v>0</v>
      </c>
      <c r="N977" s="29" t="n">
        <f aca="false">IF(AND(D977="Feature Use",COUNTIFS($B$5:B977,B977,$D$5:D977,"Feature Use")=1),1,0)</f>
        <v>0</v>
      </c>
    </row>
    <row r="978" customFormat="false" ht="15" hidden="false" customHeight="false" outlineLevel="0" collapsed="false">
      <c r="A978" s="22" t="s">
        <v>1285</v>
      </c>
      <c r="B978" s="22" t="s">
        <v>263</v>
      </c>
      <c r="C978" s="31" t="n">
        <v>46296</v>
      </c>
      <c r="D978" s="22" t="s">
        <v>297</v>
      </c>
      <c r="E978" s="22" t="s">
        <v>298</v>
      </c>
      <c r="F978" s="29" t="str">
        <f aca="false">IF(COUNTIF(Referral_Data!$C$5:$C$1000,B978)&gt;0,"Referred",IF(COUNTIF(Referral_Data!$B$5:$B$1000,B978)&gt;0,"Referrer","Organic"))</f>
        <v>Referred</v>
      </c>
      <c r="G978" s="29" t="n">
        <f aca="false">IF(COUNTIFS($B$5:B978,B978,$C$5:C978,C978)=1,1,0)</f>
        <v>1</v>
      </c>
      <c r="H978" s="29" t="n">
        <f aca="false">IF(AND(G978=1,COUNTIFS($B$5:$B$1635,B978,$C$5:$C$1635,"&lt;"&amp;C978)&gt;0),1,0)</f>
        <v>1</v>
      </c>
      <c r="I978" s="29" t="n">
        <f aca="false">IF(AND(D978="Feature Use",COUNTIFS($B$5:B978,B978,$D$5:D978,"Feature Use",$E$5:E978,E978)=1),1,0)</f>
        <v>0</v>
      </c>
      <c r="J978" s="29" t="n">
        <f aca="false">IF(AND(D978="Feature Use",COUNTIFS($B$5:B978,B978,$D$5:D978,"Feature Use",$E$5:E978,E978)=2),1,0)</f>
        <v>0</v>
      </c>
      <c r="K978" s="29" t="n">
        <f aca="false">IF(COUNTIF($B$5:B978,B978)=1,1,0)</f>
        <v>0</v>
      </c>
      <c r="L978" s="29" t="n">
        <f aca="false">IF(AND(C978&gt;=Settings!$B$5-Settings!$B$8+1,C978&lt;=Settings!$B$5,COUNTIFS($B$5:B978,B978,$C$5:C978,"&gt;="&amp;(Settings!$B$5-Settings!$B$8+1),$C$5:C978,"&lt;="&amp;Settings!$B$5)=1),1,0)</f>
        <v>0</v>
      </c>
      <c r="M978" s="29" t="n">
        <f aca="false">IF(AND(C978&gt;=Settings!$B$5-Settings!$B$9+1,C978&lt;=Settings!$B$5,COUNTIFS($B$5:B978,B978,$C$5:C978,"&gt;="&amp;(Settings!$B$5-Settings!$B$9+1),$C$5:C978,"&lt;="&amp;Settings!$B$5)=1),1,0)</f>
        <v>0</v>
      </c>
      <c r="N978" s="29" t="n">
        <f aca="false">IF(AND(D978="Feature Use",COUNTIFS($B$5:B978,B978,$D$5:D978,"Feature Use")=1),1,0)</f>
        <v>0</v>
      </c>
    </row>
    <row r="979" customFormat="false" ht="15" hidden="false" customHeight="false" outlineLevel="0" collapsed="false">
      <c r="A979" s="22" t="s">
        <v>1286</v>
      </c>
      <c r="B979" s="22" t="s">
        <v>263</v>
      </c>
      <c r="C979" s="31" t="n">
        <v>46296</v>
      </c>
      <c r="D979" s="22" t="s">
        <v>300</v>
      </c>
      <c r="E979" s="22" t="s">
        <v>305</v>
      </c>
      <c r="F979" s="29" t="str">
        <f aca="false">IF(COUNTIF(Referral_Data!$C$5:$C$1000,B979)&gt;0,"Referred",IF(COUNTIF(Referral_Data!$B$5:$B$1000,B979)&gt;0,"Referrer","Organic"))</f>
        <v>Referred</v>
      </c>
      <c r="G979" s="29" t="n">
        <f aca="false">IF(COUNTIFS($B$5:B979,B979,$C$5:C979,C979)=1,1,0)</f>
        <v>0</v>
      </c>
      <c r="H979" s="29" t="n">
        <f aca="false">IF(AND(G979=1,COUNTIFS($B$5:$B$1635,B979,$C$5:$C$1635,"&lt;"&amp;C979)&gt;0),1,0)</f>
        <v>0</v>
      </c>
      <c r="I979" s="29" t="n">
        <f aca="false">IF(AND(D979="Feature Use",COUNTIFS($B$5:B979,B979,$D$5:D979,"Feature Use",$E$5:E979,E979)=1),1,0)</f>
        <v>0</v>
      </c>
      <c r="J979" s="29" t="n">
        <f aca="false">IF(AND(D979="Feature Use",COUNTIFS($B$5:B979,B979,$D$5:D979,"Feature Use",$E$5:E979,E979)=2),1,0)</f>
        <v>0</v>
      </c>
      <c r="K979" s="29" t="n">
        <f aca="false">IF(COUNTIF($B$5:B979,B979)=1,1,0)</f>
        <v>0</v>
      </c>
      <c r="L979" s="29" t="n">
        <f aca="false">IF(AND(C979&gt;=Settings!$B$5-Settings!$B$8+1,C979&lt;=Settings!$B$5,COUNTIFS($B$5:B979,B979,$C$5:C979,"&gt;="&amp;(Settings!$B$5-Settings!$B$8+1),$C$5:C979,"&lt;="&amp;Settings!$B$5)=1),1,0)</f>
        <v>0</v>
      </c>
      <c r="M979" s="29" t="n">
        <f aca="false">IF(AND(C979&gt;=Settings!$B$5-Settings!$B$9+1,C979&lt;=Settings!$B$5,COUNTIFS($B$5:B979,B979,$C$5:C979,"&gt;="&amp;(Settings!$B$5-Settings!$B$9+1),$C$5:C979,"&lt;="&amp;Settings!$B$5)=1),1,0)</f>
        <v>0</v>
      </c>
      <c r="N979" s="29" t="n">
        <f aca="false">IF(AND(D979="Feature Use",COUNTIFS($B$5:B979,B979,$D$5:D979,"Feature Use")=1),1,0)</f>
        <v>0</v>
      </c>
    </row>
    <row r="980" customFormat="false" ht="15" hidden="false" customHeight="false" outlineLevel="0" collapsed="false">
      <c r="A980" s="22" t="s">
        <v>1287</v>
      </c>
      <c r="B980" s="22" t="s">
        <v>263</v>
      </c>
      <c r="C980" s="31" t="n">
        <v>46296</v>
      </c>
      <c r="D980" s="22" t="s">
        <v>300</v>
      </c>
      <c r="E980" s="22" t="s">
        <v>305</v>
      </c>
      <c r="F980" s="29" t="str">
        <f aca="false">IF(COUNTIF(Referral_Data!$C$5:$C$1000,B980)&gt;0,"Referred",IF(COUNTIF(Referral_Data!$B$5:$B$1000,B980)&gt;0,"Referrer","Organic"))</f>
        <v>Referred</v>
      </c>
      <c r="G980" s="29" t="n">
        <f aca="false">IF(COUNTIFS($B$5:B980,B980,$C$5:C980,C980)=1,1,0)</f>
        <v>0</v>
      </c>
      <c r="H980" s="29" t="n">
        <f aca="false">IF(AND(G980=1,COUNTIFS($B$5:$B$1635,B980,$C$5:$C$1635,"&lt;"&amp;C980)&gt;0),1,0)</f>
        <v>0</v>
      </c>
      <c r="I980" s="29" t="n">
        <f aca="false">IF(AND(D980="Feature Use",COUNTIFS($B$5:B980,B980,$D$5:D980,"Feature Use",$E$5:E980,E980)=1),1,0)</f>
        <v>0</v>
      </c>
      <c r="J980" s="29" t="n">
        <f aca="false">IF(AND(D980="Feature Use",COUNTIFS($B$5:B980,B980,$D$5:D980,"Feature Use",$E$5:E980,E980)=2),1,0)</f>
        <v>0</v>
      </c>
      <c r="K980" s="29" t="n">
        <f aca="false">IF(COUNTIF($B$5:B980,B980)=1,1,0)</f>
        <v>0</v>
      </c>
      <c r="L980" s="29" t="n">
        <f aca="false">IF(AND(C980&gt;=Settings!$B$5-Settings!$B$8+1,C980&lt;=Settings!$B$5,COUNTIFS($B$5:B980,B980,$C$5:C980,"&gt;="&amp;(Settings!$B$5-Settings!$B$8+1),$C$5:C980,"&lt;="&amp;Settings!$B$5)=1),1,0)</f>
        <v>0</v>
      </c>
      <c r="M980" s="29" t="n">
        <f aca="false">IF(AND(C980&gt;=Settings!$B$5-Settings!$B$9+1,C980&lt;=Settings!$B$5,COUNTIFS($B$5:B980,B980,$C$5:C980,"&gt;="&amp;(Settings!$B$5-Settings!$B$9+1),$C$5:C980,"&lt;="&amp;Settings!$B$5)=1),1,0)</f>
        <v>0</v>
      </c>
      <c r="N980" s="29" t="n">
        <f aca="false">IF(AND(D980="Feature Use",COUNTIFS($B$5:B980,B980,$D$5:D980,"Feature Use")=1),1,0)</f>
        <v>0</v>
      </c>
    </row>
    <row r="981" customFormat="false" ht="15" hidden="false" customHeight="false" outlineLevel="0" collapsed="false">
      <c r="A981" s="22" t="s">
        <v>1288</v>
      </c>
      <c r="B981" s="22" t="s">
        <v>263</v>
      </c>
      <c r="C981" s="31" t="n">
        <v>46296</v>
      </c>
      <c r="D981" s="22" t="s">
        <v>308</v>
      </c>
      <c r="E981" s="22" t="s">
        <v>301</v>
      </c>
      <c r="F981" s="29" t="str">
        <f aca="false">IF(COUNTIF(Referral_Data!$C$5:$C$1000,B981)&gt;0,"Referred",IF(COUNTIF(Referral_Data!$B$5:$B$1000,B981)&gt;0,"Referrer","Organic"))</f>
        <v>Referred</v>
      </c>
      <c r="G981" s="29" t="n">
        <f aca="false">IF(COUNTIFS($B$5:B981,B981,$C$5:C981,C981)=1,1,0)</f>
        <v>0</v>
      </c>
      <c r="H981" s="29" t="n">
        <f aca="false">IF(AND(G981=1,COUNTIFS($B$5:$B$1635,B981,$C$5:$C$1635,"&lt;"&amp;C981)&gt;0),1,0)</f>
        <v>0</v>
      </c>
      <c r="I981" s="29" t="n">
        <f aca="false">IF(AND(D981="Feature Use",COUNTIFS($B$5:B981,B981,$D$5:D981,"Feature Use",$E$5:E981,E981)=1),1,0)</f>
        <v>0</v>
      </c>
      <c r="J981" s="29" t="n">
        <f aca="false">IF(AND(D981="Feature Use",COUNTIFS($B$5:B981,B981,$D$5:D981,"Feature Use",$E$5:E981,E981)=2),1,0)</f>
        <v>0</v>
      </c>
      <c r="K981" s="29" t="n">
        <f aca="false">IF(COUNTIF($B$5:B981,B981)=1,1,0)</f>
        <v>0</v>
      </c>
      <c r="L981" s="29" t="n">
        <f aca="false">IF(AND(C981&gt;=Settings!$B$5-Settings!$B$8+1,C981&lt;=Settings!$B$5,COUNTIFS($B$5:B981,B981,$C$5:C981,"&gt;="&amp;(Settings!$B$5-Settings!$B$8+1),$C$5:C981,"&lt;="&amp;Settings!$B$5)=1),1,0)</f>
        <v>0</v>
      </c>
      <c r="M981" s="29" t="n">
        <f aca="false">IF(AND(C981&gt;=Settings!$B$5-Settings!$B$9+1,C981&lt;=Settings!$B$5,COUNTIFS($B$5:B981,B981,$C$5:C981,"&gt;="&amp;(Settings!$B$5-Settings!$B$9+1),$C$5:C981,"&lt;="&amp;Settings!$B$5)=1),1,0)</f>
        <v>0</v>
      </c>
      <c r="N981" s="29" t="n">
        <f aca="false">IF(AND(D981="Feature Use",COUNTIFS($B$5:B981,B981,$D$5:D981,"Feature Use")=1),1,0)</f>
        <v>0</v>
      </c>
    </row>
    <row r="982" customFormat="false" ht="15" hidden="false" customHeight="false" outlineLevel="0" collapsed="false">
      <c r="A982" s="22" t="s">
        <v>1289</v>
      </c>
      <c r="B982" s="22" t="s">
        <v>167</v>
      </c>
      <c r="C982" s="31" t="n">
        <v>46296</v>
      </c>
      <c r="D982" s="22" t="s">
        <v>297</v>
      </c>
      <c r="E982" s="22" t="s">
        <v>298</v>
      </c>
      <c r="F982" s="29" t="str">
        <f aca="false">IF(COUNTIF(Referral_Data!$C$5:$C$1000,B982)&gt;0,"Referred",IF(COUNTIF(Referral_Data!$B$5:$B$1000,B982)&gt;0,"Referrer","Organic"))</f>
        <v>Referrer</v>
      </c>
      <c r="G982" s="29" t="n">
        <f aca="false">IF(COUNTIFS($B$5:B982,B982,$C$5:C982,C982)=1,1,0)</f>
        <v>1</v>
      </c>
      <c r="H982" s="29" t="n">
        <f aca="false">IF(AND(G982=1,COUNTIFS($B$5:$B$1635,B982,$C$5:$C$1635,"&lt;"&amp;C982)&gt;0),1,0)</f>
        <v>1</v>
      </c>
      <c r="I982" s="29" t="n">
        <f aca="false">IF(AND(D982="Feature Use",COUNTIFS($B$5:B982,B982,$D$5:D982,"Feature Use",$E$5:E982,E982)=1),1,0)</f>
        <v>0</v>
      </c>
      <c r="J982" s="29" t="n">
        <f aca="false">IF(AND(D982="Feature Use",COUNTIFS($B$5:B982,B982,$D$5:D982,"Feature Use",$E$5:E982,E982)=2),1,0)</f>
        <v>0</v>
      </c>
      <c r="K982" s="29" t="n">
        <f aca="false">IF(COUNTIF($B$5:B982,B982)=1,1,0)</f>
        <v>0</v>
      </c>
      <c r="L982" s="29" t="n">
        <f aca="false">IF(AND(C982&gt;=Settings!$B$5-Settings!$B$8+1,C982&lt;=Settings!$B$5,COUNTIFS($B$5:B982,B982,$C$5:C982,"&gt;="&amp;(Settings!$B$5-Settings!$B$8+1),$C$5:C982,"&lt;="&amp;Settings!$B$5)=1),1,0)</f>
        <v>0</v>
      </c>
      <c r="M982" s="29" t="n">
        <f aca="false">IF(AND(C982&gt;=Settings!$B$5-Settings!$B$9+1,C982&lt;=Settings!$B$5,COUNTIFS($B$5:B982,B982,$C$5:C982,"&gt;="&amp;(Settings!$B$5-Settings!$B$9+1),$C$5:C982,"&lt;="&amp;Settings!$B$5)=1),1,0)</f>
        <v>0</v>
      </c>
      <c r="N982" s="29" t="n">
        <f aca="false">IF(AND(D982="Feature Use",COUNTIFS($B$5:B982,B982,$D$5:D982,"Feature Use")=1),1,0)</f>
        <v>0</v>
      </c>
    </row>
    <row r="983" customFormat="false" ht="15" hidden="false" customHeight="false" outlineLevel="0" collapsed="false">
      <c r="A983" s="22" t="s">
        <v>1290</v>
      </c>
      <c r="B983" s="22" t="s">
        <v>167</v>
      </c>
      <c r="C983" s="31" t="n">
        <v>46296</v>
      </c>
      <c r="D983" s="22" t="s">
        <v>300</v>
      </c>
      <c r="E983" s="22" t="s">
        <v>305</v>
      </c>
      <c r="F983" s="29" t="str">
        <f aca="false">IF(COUNTIF(Referral_Data!$C$5:$C$1000,B983)&gt;0,"Referred",IF(COUNTIF(Referral_Data!$B$5:$B$1000,B983)&gt;0,"Referrer","Organic"))</f>
        <v>Referrer</v>
      </c>
      <c r="G983" s="29" t="n">
        <f aca="false">IF(COUNTIFS($B$5:B983,B983,$C$5:C983,C983)=1,1,0)</f>
        <v>0</v>
      </c>
      <c r="H983" s="29" t="n">
        <f aca="false">IF(AND(G983=1,COUNTIFS($B$5:$B$1635,B983,$C$5:$C$1635,"&lt;"&amp;C983)&gt;0),1,0)</f>
        <v>0</v>
      </c>
      <c r="I983" s="29" t="n">
        <f aca="false">IF(AND(D983="Feature Use",COUNTIFS($B$5:B983,B983,$D$5:D983,"Feature Use",$E$5:E983,E983)=1),1,0)</f>
        <v>0</v>
      </c>
      <c r="J983" s="29" t="n">
        <f aca="false">IF(AND(D983="Feature Use",COUNTIFS($B$5:B983,B983,$D$5:D983,"Feature Use",$E$5:E983,E983)=2),1,0)</f>
        <v>0</v>
      </c>
      <c r="K983" s="29" t="n">
        <f aca="false">IF(COUNTIF($B$5:B983,B983)=1,1,0)</f>
        <v>0</v>
      </c>
      <c r="L983" s="29" t="n">
        <f aca="false">IF(AND(C983&gt;=Settings!$B$5-Settings!$B$8+1,C983&lt;=Settings!$B$5,COUNTIFS($B$5:B983,B983,$C$5:C983,"&gt;="&amp;(Settings!$B$5-Settings!$B$8+1),$C$5:C983,"&lt;="&amp;Settings!$B$5)=1),1,0)</f>
        <v>0</v>
      </c>
      <c r="M983" s="29" t="n">
        <f aca="false">IF(AND(C983&gt;=Settings!$B$5-Settings!$B$9+1,C983&lt;=Settings!$B$5,COUNTIFS($B$5:B983,B983,$C$5:C983,"&gt;="&amp;(Settings!$B$5-Settings!$B$9+1),$C$5:C983,"&lt;="&amp;Settings!$B$5)=1),1,0)</f>
        <v>0</v>
      </c>
      <c r="N983" s="29" t="n">
        <f aca="false">IF(AND(D983="Feature Use",COUNTIFS($B$5:B983,B983,$D$5:D983,"Feature Use")=1),1,0)</f>
        <v>0</v>
      </c>
    </row>
    <row r="984" customFormat="false" ht="15" hidden="false" customHeight="false" outlineLevel="0" collapsed="false">
      <c r="A984" s="22" t="s">
        <v>1291</v>
      </c>
      <c r="B984" s="22" t="s">
        <v>178</v>
      </c>
      <c r="C984" s="31" t="n">
        <v>46296</v>
      </c>
      <c r="D984" s="22" t="s">
        <v>297</v>
      </c>
      <c r="E984" s="22" t="s">
        <v>298</v>
      </c>
      <c r="F984" s="29" t="str">
        <f aca="false">IF(COUNTIF(Referral_Data!$C$5:$C$1000,B984)&gt;0,"Referred",IF(COUNTIF(Referral_Data!$B$5:$B$1000,B984)&gt;0,"Referrer","Organic"))</f>
        <v>Referrer</v>
      </c>
      <c r="G984" s="29" t="n">
        <f aca="false">IF(COUNTIFS($B$5:B984,B984,$C$5:C984,C984)=1,1,0)</f>
        <v>1</v>
      </c>
      <c r="H984" s="29" t="n">
        <f aca="false">IF(AND(G984=1,COUNTIFS($B$5:$B$1635,B984,$C$5:$C$1635,"&lt;"&amp;C984)&gt;0),1,0)</f>
        <v>1</v>
      </c>
      <c r="I984" s="29" t="n">
        <f aca="false">IF(AND(D984="Feature Use",COUNTIFS($B$5:B984,B984,$D$5:D984,"Feature Use",$E$5:E984,E984)=1),1,0)</f>
        <v>0</v>
      </c>
      <c r="J984" s="29" t="n">
        <f aca="false">IF(AND(D984="Feature Use",COUNTIFS($B$5:B984,B984,$D$5:D984,"Feature Use",$E$5:E984,E984)=2),1,0)</f>
        <v>0</v>
      </c>
      <c r="K984" s="29" t="n">
        <f aca="false">IF(COUNTIF($B$5:B984,B984)=1,1,0)</f>
        <v>0</v>
      </c>
      <c r="L984" s="29" t="n">
        <f aca="false">IF(AND(C984&gt;=Settings!$B$5-Settings!$B$8+1,C984&lt;=Settings!$B$5,COUNTIFS($B$5:B984,B984,$C$5:C984,"&gt;="&amp;(Settings!$B$5-Settings!$B$8+1),$C$5:C984,"&lt;="&amp;Settings!$B$5)=1),1,0)</f>
        <v>0</v>
      </c>
      <c r="M984" s="29" t="n">
        <f aca="false">IF(AND(C984&gt;=Settings!$B$5-Settings!$B$9+1,C984&lt;=Settings!$B$5,COUNTIFS($B$5:B984,B984,$C$5:C984,"&gt;="&amp;(Settings!$B$5-Settings!$B$9+1),$C$5:C984,"&lt;="&amp;Settings!$B$5)=1),1,0)</f>
        <v>0</v>
      </c>
      <c r="N984" s="29" t="n">
        <f aca="false">IF(AND(D984="Feature Use",COUNTIFS($B$5:B984,B984,$D$5:D984,"Feature Use")=1),1,0)</f>
        <v>0</v>
      </c>
    </row>
    <row r="985" customFormat="false" ht="15" hidden="false" customHeight="false" outlineLevel="0" collapsed="false">
      <c r="A985" s="22" t="s">
        <v>1292</v>
      </c>
      <c r="B985" s="22" t="s">
        <v>178</v>
      </c>
      <c r="C985" s="31" t="n">
        <v>46296</v>
      </c>
      <c r="D985" s="22" t="s">
        <v>300</v>
      </c>
      <c r="E985" s="22" t="s">
        <v>301</v>
      </c>
      <c r="F985" s="29" t="str">
        <f aca="false">IF(COUNTIF(Referral_Data!$C$5:$C$1000,B985)&gt;0,"Referred",IF(COUNTIF(Referral_Data!$B$5:$B$1000,B985)&gt;0,"Referrer","Organic"))</f>
        <v>Referrer</v>
      </c>
      <c r="G985" s="29" t="n">
        <f aca="false">IF(COUNTIFS($B$5:B985,B985,$C$5:C985,C985)=1,1,0)</f>
        <v>0</v>
      </c>
      <c r="H985" s="29" t="n">
        <f aca="false">IF(AND(G985=1,COUNTIFS($B$5:$B$1635,B985,$C$5:$C$1635,"&lt;"&amp;C985)&gt;0),1,0)</f>
        <v>0</v>
      </c>
      <c r="I985" s="29" t="n">
        <f aca="false">IF(AND(D985="Feature Use",COUNTIFS($B$5:B985,B985,$D$5:D985,"Feature Use",$E$5:E985,E985)=1),1,0)</f>
        <v>0</v>
      </c>
      <c r="J985" s="29" t="n">
        <f aca="false">IF(AND(D985="Feature Use",COUNTIFS($B$5:B985,B985,$D$5:D985,"Feature Use",$E$5:E985,E985)=2),1,0)</f>
        <v>0</v>
      </c>
      <c r="K985" s="29" t="n">
        <f aca="false">IF(COUNTIF($B$5:B985,B985)=1,1,0)</f>
        <v>0</v>
      </c>
      <c r="L985" s="29" t="n">
        <f aca="false">IF(AND(C985&gt;=Settings!$B$5-Settings!$B$8+1,C985&lt;=Settings!$B$5,COUNTIFS($B$5:B985,B985,$C$5:C985,"&gt;="&amp;(Settings!$B$5-Settings!$B$8+1),$C$5:C985,"&lt;="&amp;Settings!$B$5)=1),1,0)</f>
        <v>0</v>
      </c>
      <c r="M985" s="29" t="n">
        <f aca="false">IF(AND(C985&gt;=Settings!$B$5-Settings!$B$9+1,C985&lt;=Settings!$B$5,COUNTIFS($B$5:B985,B985,$C$5:C985,"&gt;="&amp;(Settings!$B$5-Settings!$B$9+1),$C$5:C985,"&lt;="&amp;Settings!$B$5)=1),1,0)</f>
        <v>0</v>
      </c>
      <c r="N985" s="29" t="n">
        <f aca="false">IF(AND(D985="Feature Use",COUNTIFS($B$5:B985,B985,$D$5:D985,"Feature Use")=1),1,0)</f>
        <v>0</v>
      </c>
    </row>
    <row r="986" customFormat="false" ht="15" hidden="false" customHeight="false" outlineLevel="0" collapsed="false">
      <c r="A986" s="22" t="s">
        <v>1293</v>
      </c>
      <c r="B986" s="22" t="s">
        <v>178</v>
      </c>
      <c r="C986" s="31" t="n">
        <v>46296</v>
      </c>
      <c r="D986" s="22" t="s">
        <v>300</v>
      </c>
      <c r="E986" s="22" t="s">
        <v>311</v>
      </c>
      <c r="F986" s="29" t="str">
        <f aca="false">IF(COUNTIF(Referral_Data!$C$5:$C$1000,B986)&gt;0,"Referred",IF(COUNTIF(Referral_Data!$B$5:$B$1000,B986)&gt;0,"Referrer","Organic"))</f>
        <v>Referrer</v>
      </c>
      <c r="G986" s="29" t="n">
        <f aca="false">IF(COUNTIFS($B$5:B986,B986,$C$5:C986,C986)=1,1,0)</f>
        <v>0</v>
      </c>
      <c r="H986" s="29" t="n">
        <f aca="false">IF(AND(G986=1,COUNTIFS($B$5:$B$1635,B986,$C$5:$C$1635,"&lt;"&amp;C986)&gt;0),1,0)</f>
        <v>0</v>
      </c>
      <c r="I986" s="29" t="n">
        <f aca="false">IF(AND(D986="Feature Use",COUNTIFS($B$5:B986,B986,$D$5:D986,"Feature Use",$E$5:E986,E986)=1),1,0)</f>
        <v>0</v>
      </c>
      <c r="J986" s="29" t="n">
        <f aca="false">IF(AND(D986="Feature Use",COUNTIFS($B$5:B986,B986,$D$5:D986,"Feature Use",$E$5:E986,E986)=2),1,0)</f>
        <v>0</v>
      </c>
      <c r="K986" s="29" t="n">
        <f aca="false">IF(COUNTIF($B$5:B986,B986)=1,1,0)</f>
        <v>0</v>
      </c>
      <c r="L986" s="29" t="n">
        <f aca="false">IF(AND(C986&gt;=Settings!$B$5-Settings!$B$8+1,C986&lt;=Settings!$B$5,COUNTIFS($B$5:B986,B986,$C$5:C986,"&gt;="&amp;(Settings!$B$5-Settings!$B$8+1),$C$5:C986,"&lt;="&amp;Settings!$B$5)=1),1,0)</f>
        <v>0</v>
      </c>
      <c r="M986" s="29" t="n">
        <f aca="false">IF(AND(C986&gt;=Settings!$B$5-Settings!$B$9+1,C986&lt;=Settings!$B$5,COUNTIFS($B$5:B986,B986,$C$5:C986,"&gt;="&amp;(Settings!$B$5-Settings!$B$9+1),$C$5:C986,"&lt;="&amp;Settings!$B$5)=1),1,0)</f>
        <v>0</v>
      </c>
      <c r="N986" s="29" t="n">
        <f aca="false">IF(AND(D986="Feature Use",COUNTIFS($B$5:B986,B986,$D$5:D986,"Feature Use")=1),1,0)</f>
        <v>0</v>
      </c>
    </row>
    <row r="987" customFormat="false" ht="15" hidden="false" customHeight="false" outlineLevel="0" collapsed="false">
      <c r="A987" s="22" t="s">
        <v>1294</v>
      </c>
      <c r="B987" s="22" t="s">
        <v>190</v>
      </c>
      <c r="C987" s="31" t="n">
        <v>46296</v>
      </c>
      <c r="D987" s="22" t="s">
        <v>297</v>
      </c>
      <c r="E987" s="22" t="s">
        <v>298</v>
      </c>
      <c r="F987" s="29" t="str">
        <f aca="false">IF(COUNTIF(Referral_Data!$C$5:$C$1000,B987)&gt;0,"Referred",IF(COUNTIF(Referral_Data!$B$5:$B$1000,B987)&gt;0,"Referrer","Organic"))</f>
        <v>Referrer</v>
      </c>
      <c r="G987" s="29" t="n">
        <f aca="false">IF(COUNTIFS($B$5:B987,B987,$C$5:C987,C987)=1,1,0)</f>
        <v>1</v>
      </c>
      <c r="H987" s="29" t="n">
        <f aca="false">IF(AND(G987=1,COUNTIFS($B$5:$B$1635,B987,$C$5:$C$1635,"&lt;"&amp;C987)&gt;0),1,0)</f>
        <v>1</v>
      </c>
      <c r="I987" s="29" t="n">
        <f aca="false">IF(AND(D987="Feature Use",COUNTIFS($B$5:B987,B987,$D$5:D987,"Feature Use",$E$5:E987,E987)=1),1,0)</f>
        <v>0</v>
      </c>
      <c r="J987" s="29" t="n">
        <f aca="false">IF(AND(D987="Feature Use",COUNTIFS($B$5:B987,B987,$D$5:D987,"Feature Use",$E$5:E987,E987)=2),1,0)</f>
        <v>0</v>
      </c>
      <c r="K987" s="29" t="n">
        <f aca="false">IF(COUNTIF($B$5:B987,B987)=1,1,0)</f>
        <v>0</v>
      </c>
      <c r="L987" s="29" t="n">
        <f aca="false">IF(AND(C987&gt;=Settings!$B$5-Settings!$B$8+1,C987&lt;=Settings!$B$5,COUNTIFS($B$5:B987,B987,$C$5:C987,"&gt;="&amp;(Settings!$B$5-Settings!$B$8+1),$C$5:C987,"&lt;="&amp;Settings!$B$5)=1),1,0)</f>
        <v>0</v>
      </c>
      <c r="M987" s="29" t="n">
        <f aca="false">IF(AND(C987&gt;=Settings!$B$5-Settings!$B$9+1,C987&lt;=Settings!$B$5,COUNTIFS($B$5:B987,B987,$C$5:C987,"&gt;="&amp;(Settings!$B$5-Settings!$B$9+1),$C$5:C987,"&lt;="&amp;Settings!$B$5)=1),1,0)</f>
        <v>0</v>
      </c>
      <c r="N987" s="29" t="n">
        <f aca="false">IF(AND(D987="Feature Use",COUNTIFS($B$5:B987,B987,$D$5:D987,"Feature Use")=1),1,0)</f>
        <v>0</v>
      </c>
    </row>
    <row r="988" customFormat="false" ht="15" hidden="false" customHeight="false" outlineLevel="0" collapsed="false">
      <c r="A988" s="22" t="s">
        <v>1295</v>
      </c>
      <c r="B988" s="22" t="s">
        <v>190</v>
      </c>
      <c r="C988" s="31" t="n">
        <v>46296</v>
      </c>
      <c r="D988" s="22" t="s">
        <v>300</v>
      </c>
      <c r="E988" s="22" t="s">
        <v>305</v>
      </c>
      <c r="F988" s="29" t="str">
        <f aca="false">IF(COUNTIF(Referral_Data!$C$5:$C$1000,B988)&gt;0,"Referred",IF(COUNTIF(Referral_Data!$B$5:$B$1000,B988)&gt;0,"Referrer","Organic"))</f>
        <v>Referrer</v>
      </c>
      <c r="G988" s="29" t="n">
        <f aca="false">IF(COUNTIFS($B$5:B988,B988,$C$5:C988,C988)=1,1,0)</f>
        <v>0</v>
      </c>
      <c r="H988" s="29" t="n">
        <f aca="false">IF(AND(G988=1,COUNTIFS($B$5:$B$1635,B988,$C$5:$C$1635,"&lt;"&amp;C988)&gt;0),1,0)</f>
        <v>0</v>
      </c>
      <c r="I988" s="29" t="n">
        <f aca="false">IF(AND(D988="Feature Use",COUNTIFS($B$5:B988,B988,$D$5:D988,"Feature Use",$E$5:E988,E988)=1),1,0)</f>
        <v>0</v>
      </c>
      <c r="J988" s="29" t="n">
        <f aca="false">IF(AND(D988="Feature Use",COUNTIFS($B$5:B988,B988,$D$5:D988,"Feature Use",$E$5:E988,E988)=2),1,0)</f>
        <v>0</v>
      </c>
      <c r="K988" s="29" t="n">
        <f aca="false">IF(COUNTIF($B$5:B988,B988)=1,1,0)</f>
        <v>0</v>
      </c>
      <c r="L988" s="29" t="n">
        <f aca="false">IF(AND(C988&gt;=Settings!$B$5-Settings!$B$8+1,C988&lt;=Settings!$B$5,COUNTIFS($B$5:B988,B988,$C$5:C988,"&gt;="&amp;(Settings!$B$5-Settings!$B$8+1),$C$5:C988,"&lt;="&amp;Settings!$B$5)=1),1,0)</f>
        <v>0</v>
      </c>
      <c r="M988" s="29" t="n">
        <f aca="false">IF(AND(C988&gt;=Settings!$B$5-Settings!$B$9+1,C988&lt;=Settings!$B$5,COUNTIFS($B$5:B988,B988,$C$5:C988,"&gt;="&amp;(Settings!$B$5-Settings!$B$9+1),$C$5:C988,"&lt;="&amp;Settings!$B$5)=1),1,0)</f>
        <v>0</v>
      </c>
      <c r="N988" s="29" t="n">
        <f aca="false">IF(AND(D988="Feature Use",COUNTIFS($B$5:B988,B988,$D$5:D988,"Feature Use")=1),1,0)</f>
        <v>0</v>
      </c>
    </row>
    <row r="989" customFormat="false" ht="15" hidden="false" customHeight="false" outlineLevel="0" collapsed="false">
      <c r="A989" s="22" t="s">
        <v>1296</v>
      </c>
      <c r="B989" s="22" t="s">
        <v>183</v>
      </c>
      <c r="C989" s="31" t="n">
        <v>46296</v>
      </c>
      <c r="D989" s="22" t="s">
        <v>297</v>
      </c>
      <c r="E989" s="22" t="s">
        <v>298</v>
      </c>
      <c r="F989" s="29" t="str">
        <f aca="false">IF(COUNTIF(Referral_Data!$C$5:$C$1000,B989)&gt;0,"Referred",IF(COUNTIF(Referral_Data!$B$5:$B$1000,B989)&gt;0,"Referrer","Organic"))</f>
        <v>Referrer</v>
      </c>
      <c r="G989" s="29" t="n">
        <f aca="false">IF(COUNTIFS($B$5:B989,B989,$C$5:C989,C989)=1,1,0)</f>
        <v>1</v>
      </c>
      <c r="H989" s="29" t="n">
        <f aca="false">IF(AND(G989=1,COUNTIFS($B$5:$B$1635,B989,$C$5:$C$1635,"&lt;"&amp;C989)&gt;0),1,0)</f>
        <v>1</v>
      </c>
      <c r="I989" s="29" t="n">
        <f aca="false">IF(AND(D989="Feature Use",COUNTIFS($B$5:B989,B989,$D$5:D989,"Feature Use",$E$5:E989,E989)=1),1,0)</f>
        <v>0</v>
      </c>
      <c r="J989" s="29" t="n">
        <f aca="false">IF(AND(D989="Feature Use",COUNTIFS($B$5:B989,B989,$D$5:D989,"Feature Use",$E$5:E989,E989)=2),1,0)</f>
        <v>0</v>
      </c>
      <c r="K989" s="29" t="n">
        <f aca="false">IF(COUNTIF($B$5:B989,B989)=1,1,0)</f>
        <v>0</v>
      </c>
      <c r="L989" s="29" t="n">
        <f aca="false">IF(AND(C989&gt;=Settings!$B$5-Settings!$B$8+1,C989&lt;=Settings!$B$5,COUNTIFS($B$5:B989,B989,$C$5:C989,"&gt;="&amp;(Settings!$B$5-Settings!$B$8+1),$C$5:C989,"&lt;="&amp;Settings!$B$5)=1),1,0)</f>
        <v>0</v>
      </c>
      <c r="M989" s="29" t="n">
        <f aca="false">IF(AND(C989&gt;=Settings!$B$5-Settings!$B$9+1,C989&lt;=Settings!$B$5,COUNTIFS($B$5:B989,B989,$C$5:C989,"&gt;="&amp;(Settings!$B$5-Settings!$B$9+1),$C$5:C989,"&lt;="&amp;Settings!$B$5)=1),1,0)</f>
        <v>0</v>
      </c>
      <c r="N989" s="29" t="n">
        <f aca="false">IF(AND(D989="Feature Use",COUNTIFS($B$5:B989,B989,$D$5:D989,"Feature Use")=1),1,0)</f>
        <v>0</v>
      </c>
    </row>
    <row r="990" customFormat="false" ht="15" hidden="false" customHeight="false" outlineLevel="0" collapsed="false">
      <c r="A990" s="22" t="s">
        <v>1297</v>
      </c>
      <c r="B990" s="22" t="s">
        <v>183</v>
      </c>
      <c r="C990" s="31" t="n">
        <v>46296</v>
      </c>
      <c r="D990" s="22" t="s">
        <v>300</v>
      </c>
      <c r="E990" s="22" t="s">
        <v>309</v>
      </c>
      <c r="F990" s="29" t="str">
        <f aca="false">IF(COUNTIF(Referral_Data!$C$5:$C$1000,B990)&gt;0,"Referred",IF(COUNTIF(Referral_Data!$B$5:$B$1000,B990)&gt;0,"Referrer","Organic"))</f>
        <v>Referrer</v>
      </c>
      <c r="G990" s="29" t="n">
        <f aca="false">IF(COUNTIFS($B$5:B990,B990,$C$5:C990,C990)=1,1,0)</f>
        <v>0</v>
      </c>
      <c r="H990" s="29" t="n">
        <f aca="false">IF(AND(G990=1,COUNTIFS($B$5:$B$1635,B990,$C$5:$C$1635,"&lt;"&amp;C990)&gt;0),1,0)</f>
        <v>0</v>
      </c>
      <c r="I990" s="29" t="n">
        <f aca="false">IF(AND(D990="Feature Use",COUNTIFS($B$5:B990,B990,$D$5:D990,"Feature Use",$E$5:E990,E990)=1),1,0)</f>
        <v>0</v>
      </c>
      <c r="J990" s="29" t="n">
        <f aca="false">IF(AND(D990="Feature Use",COUNTIFS($B$5:B990,B990,$D$5:D990,"Feature Use",$E$5:E990,E990)=2),1,0)</f>
        <v>0</v>
      </c>
      <c r="K990" s="29" t="n">
        <f aca="false">IF(COUNTIF($B$5:B990,B990)=1,1,0)</f>
        <v>0</v>
      </c>
      <c r="L990" s="29" t="n">
        <f aca="false">IF(AND(C990&gt;=Settings!$B$5-Settings!$B$8+1,C990&lt;=Settings!$B$5,COUNTIFS($B$5:B990,B990,$C$5:C990,"&gt;="&amp;(Settings!$B$5-Settings!$B$8+1),$C$5:C990,"&lt;="&amp;Settings!$B$5)=1),1,0)</f>
        <v>0</v>
      </c>
      <c r="M990" s="29" t="n">
        <f aca="false">IF(AND(C990&gt;=Settings!$B$5-Settings!$B$9+1,C990&lt;=Settings!$B$5,COUNTIFS($B$5:B990,B990,$C$5:C990,"&gt;="&amp;(Settings!$B$5-Settings!$B$9+1),$C$5:C990,"&lt;="&amp;Settings!$B$5)=1),1,0)</f>
        <v>0</v>
      </c>
      <c r="N990" s="29" t="n">
        <f aca="false">IF(AND(D990="Feature Use",COUNTIFS($B$5:B990,B990,$D$5:D990,"Feature Use")=1),1,0)</f>
        <v>0</v>
      </c>
    </row>
    <row r="991" customFormat="false" ht="15" hidden="false" customHeight="false" outlineLevel="0" collapsed="false">
      <c r="A991" s="22" t="s">
        <v>1298</v>
      </c>
      <c r="B991" s="22" t="s">
        <v>183</v>
      </c>
      <c r="C991" s="31" t="n">
        <v>46296</v>
      </c>
      <c r="D991" s="22" t="s">
        <v>308</v>
      </c>
      <c r="E991" s="22" t="s">
        <v>309</v>
      </c>
      <c r="F991" s="29" t="str">
        <f aca="false">IF(COUNTIF(Referral_Data!$C$5:$C$1000,B991)&gt;0,"Referred",IF(COUNTIF(Referral_Data!$B$5:$B$1000,B991)&gt;0,"Referrer","Organic"))</f>
        <v>Referrer</v>
      </c>
      <c r="G991" s="29" t="n">
        <f aca="false">IF(COUNTIFS($B$5:B991,B991,$C$5:C991,C991)=1,1,0)</f>
        <v>0</v>
      </c>
      <c r="H991" s="29" t="n">
        <f aca="false">IF(AND(G991=1,COUNTIFS($B$5:$B$1635,B991,$C$5:$C$1635,"&lt;"&amp;C991)&gt;0),1,0)</f>
        <v>0</v>
      </c>
      <c r="I991" s="29" t="n">
        <f aca="false">IF(AND(D991="Feature Use",COUNTIFS($B$5:B991,B991,$D$5:D991,"Feature Use",$E$5:E991,E991)=1),1,0)</f>
        <v>0</v>
      </c>
      <c r="J991" s="29" t="n">
        <f aca="false">IF(AND(D991="Feature Use",COUNTIFS($B$5:B991,B991,$D$5:D991,"Feature Use",$E$5:E991,E991)=2),1,0)</f>
        <v>0</v>
      </c>
      <c r="K991" s="29" t="n">
        <f aca="false">IF(COUNTIF($B$5:B991,B991)=1,1,0)</f>
        <v>0</v>
      </c>
      <c r="L991" s="29" t="n">
        <f aca="false">IF(AND(C991&gt;=Settings!$B$5-Settings!$B$8+1,C991&lt;=Settings!$B$5,COUNTIFS($B$5:B991,B991,$C$5:C991,"&gt;="&amp;(Settings!$B$5-Settings!$B$8+1),$C$5:C991,"&lt;="&amp;Settings!$B$5)=1),1,0)</f>
        <v>0</v>
      </c>
      <c r="M991" s="29" t="n">
        <f aca="false">IF(AND(C991&gt;=Settings!$B$5-Settings!$B$9+1,C991&lt;=Settings!$B$5,COUNTIFS($B$5:B991,B991,$C$5:C991,"&gt;="&amp;(Settings!$B$5-Settings!$B$9+1),$C$5:C991,"&lt;="&amp;Settings!$B$5)=1),1,0)</f>
        <v>0</v>
      </c>
      <c r="N991" s="29" t="n">
        <f aca="false">IF(AND(D991="Feature Use",COUNTIFS($B$5:B991,B991,$D$5:D991,"Feature Use")=1),1,0)</f>
        <v>0</v>
      </c>
    </row>
    <row r="992" customFormat="false" ht="15" hidden="false" customHeight="false" outlineLevel="0" collapsed="false">
      <c r="A992" s="22" t="s">
        <v>1299</v>
      </c>
      <c r="B992" s="22" t="s">
        <v>183</v>
      </c>
      <c r="C992" s="31" t="n">
        <v>46296</v>
      </c>
      <c r="D992" s="22" t="s">
        <v>308</v>
      </c>
      <c r="E992" s="22" t="s">
        <v>305</v>
      </c>
      <c r="F992" s="29" t="str">
        <f aca="false">IF(COUNTIF(Referral_Data!$C$5:$C$1000,B992)&gt;0,"Referred",IF(COUNTIF(Referral_Data!$B$5:$B$1000,B992)&gt;0,"Referrer","Organic"))</f>
        <v>Referrer</v>
      </c>
      <c r="G992" s="29" t="n">
        <f aca="false">IF(COUNTIFS($B$5:B992,B992,$C$5:C992,C992)=1,1,0)</f>
        <v>0</v>
      </c>
      <c r="H992" s="29" t="n">
        <f aca="false">IF(AND(G992=1,COUNTIFS($B$5:$B$1635,B992,$C$5:$C$1635,"&lt;"&amp;C992)&gt;0),1,0)</f>
        <v>0</v>
      </c>
      <c r="I992" s="29" t="n">
        <f aca="false">IF(AND(D992="Feature Use",COUNTIFS($B$5:B992,B992,$D$5:D992,"Feature Use",$E$5:E992,E992)=1),1,0)</f>
        <v>0</v>
      </c>
      <c r="J992" s="29" t="n">
        <f aca="false">IF(AND(D992="Feature Use",COUNTIFS($B$5:B992,B992,$D$5:D992,"Feature Use",$E$5:E992,E992)=2),1,0)</f>
        <v>0</v>
      </c>
      <c r="K992" s="29" t="n">
        <f aca="false">IF(COUNTIF($B$5:B992,B992)=1,1,0)</f>
        <v>0</v>
      </c>
      <c r="L992" s="29" t="n">
        <f aca="false">IF(AND(C992&gt;=Settings!$B$5-Settings!$B$8+1,C992&lt;=Settings!$B$5,COUNTIFS($B$5:B992,B992,$C$5:C992,"&gt;="&amp;(Settings!$B$5-Settings!$B$8+1),$C$5:C992,"&lt;="&amp;Settings!$B$5)=1),1,0)</f>
        <v>0</v>
      </c>
      <c r="M992" s="29" t="n">
        <f aca="false">IF(AND(C992&gt;=Settings!$B$5-Settings!$B$9+1,C992&lt;=Settings!$B$5,COUNTIFS($B$5:B992,B992,$C$5:C992,"&gt;="&amp;(Settings!$B$5-Settings!$B$9+1),$C$5:C992,"&lt;="&amp;Settings!$B$5)=1),1,0)</f>
        <v>0</v>
      </c>
      <c r="N992" s="29" t="n">
        <f aca="false">IF(AND(D992="Feature Use",COUNTIFS($B$5:B992,B992,$D$5:D992,"Feature Use")=1),1,0)</f>
        <v>0</v>
      </c>
    </row>
    <row r="993" customFormat="false" ht="15" hidden="false" customHeight="false" outlineLevel="0" collapsed="false">
      <c r="A993" s="22" t="s">
        <v>1300</v>
      </c>
      <c r="B993" s="22" t="s">
        <v>175</v>
      </c>
      <c r="C993" s="31" t="n">
        <v>46296</v>
      </c>
      <c r="D993" s="22" t="s">
        <v>297</v>
      </c>
      <c r="E993" s="22" t="s">
        <v>298</v>
      </c>
      <c r="F993" s="29" t="str">
        <f aca="false">IF(COUNTIF(Referral_Data!$C$5:$C$1000,B993)&gt;0,"Referred",IF(COUNTIF(Referral_Data!$B$5:$B$1000,B993)&gt;0,"Referrer","Organic"))</f>
        <v>Referrer</v>
      </c>
      <c r="G993" s="29" t="n">
        <f aca="false">IF(COUNTIFS($B$5:B993,B993,$C$5:C993,C993)=1,1,0)</f>
        <v>1</v>
      </c>
      <c r="H993" s="29" t="n">
        <f aca="false">IF(AND(G993=1,COUNTIFS($B$5:$B$1635,B993,$C$5:$C$1635,"&lt;"&amp;C993)&gt;0),1,0)</f>
        <v>1</v>
      </c>
      <c r="I993" s="29" t="n">
        <f aca="false">IF(AND(D993="Feature Use",COUNTIFS($B$5:B993,B993,$D$5:D993,"Feature Use",$E$5:E993,E993)=1),1,0)</f>
        <v>0</v>
      </c>
      <c r="J993" s="29" t="n">
        <f aca="false">IF(AND(D993="Feature Use",COUNTIFS($B$5:B993,B993,$D$5:D993,"Feature Use",$E$5:E993,E993)=2),1,0)</f>
        <v>0</v>
      </c>
      <c r="K993" s="29" t="n">
        <f aca="false">IF(COUNTIF($B$5:B993,B993)=1,1,0)</f>
        <v>0</v>
      </c>
      <c r="L993" s="29" t="n">
        <f aca="false">IF(AND(C993&gt;=Settings!$B$5-Settings!$B$8+1,C993&lt;=Settings!$B$5,COUNTIFS($B$5:B993,B993,$C$5:C993,"&gt;="&amp;(Settings!$B$5-Settings!$B$8+1),$C$5:C993,"&lt;="&amp;Settings!$B$5)=1),1,0)</f>
        <v>0</v>
      </c>
      <c r="M993" s="29" t="n">
        <f aca="false">IF(AND(C993&gt;=Settings!$B$5-Settings!$B$9+1,C993&lt;=Settings!$B$5,COUNTIFS($B$5:B993,B993,$C$5:C993,"&gt;="&amp;(Settings!$B$5-Settings!$B$9+1),$C$5:C993,"&lt;="&amp;Settings!$B$5)=1),1,0)</f>
        <v>0</v>
      </c>
      <c r="N993" s="29" t="n">
        <f aca="false">IF(AND(D993="Feature Use",COUNTIFS($B$5:B993,B993,$D$5:D993,"Feature Use")=1),1,0)</f>
        <v>0</v>
      </c>
    </row>
    <row r="994" customFormat="false" ht="15" hidden="false" customHeight="false" outlineLevel="0" collapsed="false">
      <c r="A994" s="22" t="s">
        <v>1301</v>
      </c>
      <c r="B994" s="22" t="s">
        <v>175</v>
      </c>
      <c r="C994" s="31" t="n">
        <v>46296</v>
      </c>
      <c r="D994" s="22" t="s">
        <v>300</v>
      </c>
      <c r="E994" s="22" t="s">
        <v>305</v>
      </c>
      <c r="F994" s="29" t="str">
        <f aca="false">IF(COUNTIF(Referral_Data!$C$5:$C$1000,B994)&gt;0,"Referred",IF(COUNTIF(Referral_Data!$B$5:$B$1000,B994)&gt;0,"Referrer","Organic"))</f>
        <v>Referrer</v>
      </c>
      <c r="G994" s="29" t="n">
        <f aca="false">IF(COUNTIFS($B$5:B994,B994,$C$5:C994,C994)=1,1,0)</f>
        <v>0</v>
      </c>
      <c r="H994" s="29" t="n">
        <f aca="false">IF(AND(G994=1,COUNTIFS($B$5:$B$1635,B994,$C$5:$C$1635,"&lt;"&amp;C994)&gt;0),1,0)</f>
        <v>0</v>
      </c>
      <c r="I994" s="29" t="n">
        <f aca="false">IF(AND(D994="Feature Use",COUNTIFS($B$5:B994,B994,$D$5:D994,"Feature Use",$E$5:E994,E994)=1),1,0)</f>
        <v>0</v>
      </c>
      <c r="J994" s="29" t="n">
        <f aca="false">IF(AND(D994="Feature Use",COUNTIFS($B$5:B994,B994,$D$5:D994,"Feature Use",$E$5:E994,E994)=2),1,0)</f>
        <v>0</v>
      </c>
      <c r="K994" s="29" t="n">
        <f aca="false">IF(COUNTIF($B$5:B994,B994)=1,1,0)</f>
        <v>0</v>
      </c>
      <c r="L994" s="29" t="n">
        <f aca="false">IF(AND(C994&gt;=Settings!$B$5-Settings!$B$8+1,C994&lt;=Settings!$B$5,COUNTIFS($B$5:B994,B994,$C$5:C994,"&gt;="&amp;(Settings!$B$5-Settings!$B$8+1),$C$5:C994,"&lt;="&amp;Settings!$B$5)=1),1,0)</f>
        <v>0</v>
      </c>
      <c r="M994" s="29" t="n">
        <f aca="false">IF(AND(C994&gt;=Settings!$B$5-Settings!$B$9+1,C994&lt;=Settings!$B$5,COUNTIFS($B$5:B994,B994,$C$5:C994,"&gt;="&amp;(Settings!$B$5-Settings!$B$9+1),$C$5:C994,"&lt;="&amp;Settings!$B$5)=1),1,0)</f>
        <v>0</v>
      </c>
      <c r="N994" s="29" t="n">
        <f aca="false">IF(AND(D994="Feature Use",COUNTIFS($B$5:B994,B994,$D$5:D994,"Feature Use")=1),1,0)</f>
        <v>0</v>
      </c>
    </row>
    <row r="995" customFormat="false" ht="15" hidden="false" customHeight="false" outlineLevel="0" collapsed="false">
      <c r="A995" s="22" t="s">
        <v>1302</v>
      </c>
      <c r="B995" s="22" t="s">
        <v>176</v>
      </c>
      <c r="C995" s="31" t="n">
        <v>46297</v>
      </c>
      <c r="D995" s="22" t="s">
        <v>297</v>
      </c>
      <c r="E995" s="22" t="s">
        <v>298</v>
      </c>
      <c r="F995" s="29" t="str">
        <f aca="false">IF(COUNTIF(Referral_Data!$C$5:$C$1000,B995)&gt;0,"Referred",IF(COUNTIF(Referral_Data!$B$5:$B$1000,B995)&gt;0,"Referrer","Organic"))</f>
        <v>Referred</v>
      </c>
      <c r="G995" s="29" t="n">
        <f aca="false">IF(COUNTIFS($B$5:B995,B995,$C$5:C995,C995)=1,1,0)</f>
        <v>1</v>
      </c>
      <c r="H995" s="29" t="n">
        <f aca="false">IF(AND(G995=1,COUNTIFS($B$5:$B$1635,B995,$C$5:$C$1635,"&lt;"&amp;C995)&gt;0),1,0)</f>
        <v>1</v>
      </c>
      <c r="I995" s="29" t="n">
        <f aca="false">IF(AND(D995="Feature Use",COUNTIFS($B$5:B995,B995,$D$5:D995,"Feature Use",$E$5:E995,E995)=1),1,0)</f>
        <v>0</v>
      </c>
      <c r="J995" s="29" t="n">
        <f aca="false">IF(AND(D995="Feature Use",COUNTIFS($B$5:B995,B995,$D$5:D995,"Feature Use",$E$5:E995,E995)=2),1,0)</f>
        <v>0</v>
      </c>
      <c r="K995" s="29" t="n">
        <f aca="false">IF(COUNTIF($B$5:B995,B995)=1,1,0)</f>
        <v>0</v>
      </c>
      <c r="L995" s="29" t="n">
        <f aca="false">IF(AND(C995&gt;=Settings!$B$5-Settings!$B$8+1,C995&lt;=Settings!$B$5,COUNTIFS($B$5:B995,B995,$C$5:C995,"&gt;="&amp;(Settings!$B$5-Settings!$B$8+1),$C$5:C995,"&lt;="&amp;Settings!$B$5)=1),1,0)</f>
        <v>0</v>
      </c>
      <c r="M995" s="29" t="n">
        <f aca="false">IF(AND(C995&gt;=Settings!$B$5-Settings!$B$9+1,C995&lt;=Settings!$B$5,COUNTIFS($B$5:B995,B995,$C$5:C995,"&gt;="&amp;(Settings!$B$5-Settings!$B$9+1),$C$5:C995,"&lt;="&amp;Settings!$B$5)=1),1,0)</f>
        <v>0</v>
      </c>
      <c r="N995" s="29" t="n">
        <f aca="false">IF(AND(D995="Feature Use",COUNTIFS($B$5:B995,B995,$D$5:D995,"Feature Use")=1),1,0)</f>
        <v>0</v>
      </c>
    </row>
    <row r="996" customFormat="false" ht="15" hidden="false" customHeight="false" outlineLevel="0" collapsed="false">
      <c r="A996" s="22" t="s">
        <v>1303</v>
      </c>
      <c r="B996" s="22" t="s">
        <v>176</v>
      </c>
      <c r="C996" s="31" t="n">
        <v>46297</v>
      </c>
      <c r="D996" s="22" t="s">
        <v>300</v>
      </c>
      <c r="E996" s="22" t="s">
        <v>305</v>
      </c>
      <c r="F996" s="29" t="str">
        <f aca="false">IF(COUNTIF(Referral_Data!$C$5:$C$1000,B996)&gt;0,"Referred",IF(COUNTIF(Referral_Data!$B$5:$B$1000,B996)&gt;0,"Referrer","Organic"))</f>
        <v>Referred</v>
      </c>
      <c r="G996" s="29" t="n">
        <f aca="false">IF(COUNTIFS($B$5:B996,B996,$C$5:C996,C996)=1,1,0)</f>
        <v>0</v>
      </c>
      <c r="H996" s="29" t="n">
        <f aca="false">IF(AND(G996=1,COUNTIFS($B$5:$B$1635,B996,$C$5:$C$1635,"&lt;"&amp;C996)&gt;0),1,0)</f>
        <v>0</v>
      </c>
      <c r="I996" s="29" t="n">
        <f aca="false">IF(AND(D996="Feature Use",COUNTIFS($B$5:B996,B996,$D$5:D996,"Feature Use",$E$5:E996,E996)=1),1,0)</f>
        <v>0</v>
      </c>
      <c r="J996" s="29" t="n">
        <f aca="false">IF(AND(D996="Feature Use",COUNTIFS($B$5:B996,B996,$D$5:D996,"Feature Use",$E$5:E996,E996)=2),1,0)</f>
        <v>0</v>
      </c>
      <c r="K996" s="29" t="n">
        <f aca="false">IF(COUNTIF($B$5:B996,B996)=1,1,0)</f>
        <v>0</v>
      </c>
      <c r="L996" s="29" t="n">
        <f aca="false">IF(AND(C996&gt;=Settings!$B$5-Settings!$B$8+1,C996&lt;=Settings!$B$5,COUNTIFS($B$5:B996,B996,$C$5:C996,"&gt;="&amp;(Settings!$B$5-Settings!$B$8+1),$C$5:C996,"&lt;="&amp;Settings!$B$5)=1),1,0)</f>
        <v>0</v>
      </c>
      <c r="M996" s="29" t="n">
        <f aca="false">IF(AND(C996&gt;=Settings!$B$5-Settings!$B$9+1,C996&lt;=Settings!$B$5,COUNTIFS($B$5:B996,B996,$C$5:C996,"&gt;="&amp;(Settings!$B$5-Settings!$B$9+1),$C$5:C996,"&lt;="&amp;Settings!$B$5)=1),1,0)</f>
        <v>0</v>
      </c>
      <c r="N996" s="29" t="n">
        <f aca="false">IF(AND(D996="Feature Use",COUNTIFS($B$5:B996,B996,$D$5:D996,"Feature Use")=1),1,0)</f>
        <v>0</v>
      </c>
    </row>
    <row r="997" customFormat="false" ht="15" hidden="false" customHeight="false" outlineLevel="0" collapsed="false">
      <c r="A997" s="22" t="s">
        <v>1304</v>
      </c>
      <c r="B997" s="22" t="s">
        <v>176</v>
      </c>
      <c r="C997" s="31" t="n">
        <v>46297</v>
      </c>
      <c r="D997" s="22" t="s">
        <v>300</v>
      </c>
      <c r="E997" s="22" t="s">
        <v>305</v>
      </c>
      <c r="F997" s="29" t="str">
        <f aca="false">IF(COUNTIF(Referral_Data!$C$5:$C$1000,B997)&gt;0,"Referred",IF(COUNTIF(Referral_Data!$B$5:$B$1000,B997)&gt;0,"Referrer","Organic"))</f>
        <v>Referred</v>
      </c>
      <c r="G997" s="29" t="n">
        <f aca="false">IF(COUNTIFS($B$5:B997,B997,$C$5:C997,C997)=1,1,0)</f>
        <v>0</v>
      </c>
      <c r="H997" s="29" t="n">
        <f aca="false">IF(AND(G997=1,COUNTIFS($B$5:$B$1635,B997,$C$5:$C$1635,"&lt;"&amp;C997)&gt;0),1,0)</f>
        <v>0</v>
      </c>
      <c r="I997" s="29" t="n">
        <f aca="false">IF(AND(D997="Feature Use",COUNTIFS($B$5:B997,B997,$D$5:D997,"Feature Use",$E$5:E997,E997)=1),1,0)</f>
        <v>0</v>
      </c>
      <c r="J997" s="29" t="n">
        <f aca="false">IF(AND(D997="Feature Use",COUNTIFS($B$5:B997,B997,$D$5:D997,"Feature Use",$E$5:E997,E997)=2),1,0)</f>
        <v>0</v>
      </c>
      <c r="K997" s="29" t="n">
        <f aca="false">IF(COUNTIF($B$5:B997,B997)=1,1,0)</f>
        <v>0</v>
      </c>
      <c r="L997" s="29" t="n">
        <f aca="false">IF(AND(C997&gt;=Settings!$B$5-Settings!$B$8+1,C997&lt;=Settings!$B$5,COUNTIFS($B$5:B997,B997,$C$5:C997,"&gt;="&amp;(Settings!$B$5-Settings!$B$8+1),$C$5:C997,"&lt;="&amp;Settings!$B$5)=1),1,0)</f>
        <v>0</v>
      </c>
      <c r="M997" s="29" t="n">
        <f aca="false">IF(AND(C997&gt;=Settings!$B$5-Settings!$B$9+1,C997&lt;=Settings!$B$5,COUNTIFS($B$5:B997,B997,$C$5:C997,"&gt;="&amp;(Settings!$B$5-Settings!$B$9+1),$C$5:C997,"&lt;="&amp;Settings!$B$5)=1),1,0)</f>
        <v>0</v>
      </c>
      <c r="N997" s="29" t="n">
        <f aca="false">IF(AND(D997="Feature Use",COUNTIFS($B$5:B997,B997,$D$5:D997,"Feature Use")=1),1,0)</f>
        <v>0</v>
      </c>
    </row>
    <row r="998" customFormat="false" ht="15" hidden="false" customHeight="false" outlineLevel="0" collapsed="false">
      <c r="A998" s="22" t="s">
        <v>1305</v>
      </c>
      <c r="B998" s="22" t="s">
        <v>176</v>
      </c>
      <c r="C998" s="31" t="n">
        <v>46297</v>
      </c>
      <c r="D998" s="22" t="s">
        <v>308</v>
      </c>
      <c r="E998" s="22" t="s">
        <v>311</v>
      </c>
      <c r="F998" s="29" t="str">
        <f aca="false">IF(COUNTIF(Referral_Data!$C$5:$C$1000,B998)&gt;0,"Referred",IF(COUNTIF(Referral_Data!$B$5:$B$1000,B998)&gt;0,"Referrer","Organic"))</f>
        <v>Referred</v>
      </c>
      <c r="G998" s="29" t="n">
        <f aca="false">IF(COUNTIFS($B$5:B998,B998,$C$5:C998,C998)=1,1,0)</f>
        <v>0</v>
      </c>
      <c r="H998" s="29" t="n">
        <f aca="false">IF(AND(G998=1,COUNTIFS($B$5:$B$1635,B998,$C$5:$C$1635,"&lt;"&amp;C998)&gt;0),1,0)</f>
        <v>0</v>
      </c>
      <c r="I998" s="29" t="n">
        <f aca="false">IF(AND(D998="Feature Use",COUNTIFS($B$5:B998,B998,$D$5:D998,"Feature Use",$E$5:E998,E998)=1),1,0)</f>
        <v>0</v>
      </c>
      <c r="J998" s="29" t="n">
        <f aca="false">IF(AND(D998="Feature Use",COUNTIFS($B$5:B998,B998,$D$5:D998,"Feature Use",$E$5:E998,E998)=2),1,0)</f>
        <v>0</v>
      </c>
      <c r="K998" s="29" t="n">
        <f aca="false">IF(COUNTIF($B$5:B998,B998)=1,1,0)</f>
        <v>0</v>
      </c>
      <c r="L998" s="29" t="n">
        <f aca="false">IF(AND(C998&gt;=Settings!$B$5-Settings!$B$8+1,C998&lt;=Settings!$B$5,COUNTIFS($B$5:B998,B998,$C$5:C998,"&gt;="&amp;(Settings!$B$5-Settings!$B$8+1),$C$5:C998,"&lt;="&amp;Settings!$B$5)=1),1,0)</f>
        <v>0</v>
      </c>
      <c r="M998" s="29" t="n">
        <f aca="false">IF(AND(C998&gt;=Settings!$B$5-Settings!$B$9+1,C998&lt;=Settings!$B$5,COUNTIFS($B$5:B998,B998,$C$5:C998,"&gt;="&amp;(Settings!$B$5-Settings!$B$9+1),$C$5:C998,"&lt;="&amp;Settings!$B$5)=1),1,0)</f>
        <v>0</v>
      </c>
      <c r="N998" s="29" t="n">
        <f aca="false">IF(AND(D998="Feature Use",COUNTIFS($B$5:B998,B998,$D$5:D998,"Feature Use")=1),1,0)</f>
        <v>0</v>
      </c>
    </row>
    <row r="999" customFormat="false" ht="15" hidden="false" customHeight="false" outlineLevel="0" collapsed="false">
      <c r="A999" s="22" t="s">
        <v>1306</v>
      </c>
      <c r="B999" s="22" t="s">
        <v>176</v>
      </c>
      <c r="C999" s="31" t="n">
        <v>46297</v>
      </c>
      <c r="D999" s="22" t="s">
        <v>308</v>
      </c>
      <c r="E999" s="22" t="s">
        <v>305</v>
      </c>
      <c r="F999" s="29" t="str">
        <f aca="false">IF(COUNTIF(Referral_Data!$C$5:$C$1000,B999)&gt;0,"Referred",IF(COUNTIF(Referral_Data!$B$5:$B$1000,B999)&gt;0,"Referrer","Organic"))</f>
        <v>Referred</v>
      </c>
      <c r="G999" s="29" t="n">
        <f aca="false">IF(COUNTIFS($B$5:B999,B999,$C$5:C999,C999)=1,1,0)</f>
        <v>0</v>
      </c>
      <c r="H999" s="29" t="n">
        <f aca="false">IF(AND(G999=1,COUNTIFS($B$5:$B$1635,B999,$C$5:$C$1635,"&lt;"&amp;C999)&gt;0),1,0)</f>
        <v>0</v>
      </c>
      <c r="I999" s="29" t="n">
        <f aca="false">IF(AND(D999="Feature Use",COUNTIFS($B$5:B999,B999,$D$5:D999,"Feature Use",$E$5:E999,E999)=1),1,0)</f>
        <v>0</v>
      </c>
      <c r="J999" s="29" t="n">
        <f aca="false">IF(AND(D999="Feature Use",COUNTIFS($B$5:B999,B999,$D$5:D999,"Feature Use",$E$5:E999,E999)=2),1,0)</f>
        <v>0</v>
      </c>
      <c r="K999" s="29" t="n">
        <f aca="false">IF(COUNTIF($B$5:B999,B999)=1,1,0)</f>
        <v>0</v>
      </c>
      <c r="L999" s="29" t="n">
        <f aca="false">IF(AND(C999&gt;=Settings!$B$5-Settings!$B$8+1,C999&lt;=Settings!$B$5,COUNTIFS($B$5:B999,B999,$C$5:C999,"&gt;="&amp;(Settings!$B$5-Settings!$B$8+1),$C$5:C999,"&lt;="&amp;Settings!$B$5)=1),1,0)</f>
        <v>0</v>
      </c>
      <c r="M999" s="29" t="n">
        <f aca="false">IF(AND(C999&gt;=Settings!$B$5-Settings!$B$9+1,C999&lt;=Settings!$B$5,COUNTIFS($B$5:B999,B999,$C$5:C999,"&gt;="&amp;(Settings!$B$5-Settings!$B$9+1),$C$5:C999,"&lt;="&amp;Settings!$B$5)=1),1,0)</f>
        <v>0</v>
      </c>
      <c r="N999" s="29" t="n">
        <f aca="false">IF(AND(D999="Feature Use",COUNTIFS($B$5:B999,B999,$D$5:D999,"Feature Use")=1),1,0)</f>
        <v>0</v>
      </c>
    </row>
    <row r="1000" customFormat="false" ht="15" hidden="false" customHeight="false" outlineLevel="0" collapsed="false">
      <c r="A1000" s="22" t="s">
        <v>1307</v>
      </c>
      <c r="B1000" s="22" t="s">
        <v>181</v>
      </c>
      <c r="C1000" s="31" t="n">
        <v>46297</v>
      </c>
      <c r="D1000" s="22" t="s">
        <v>297</v>
      </c>
      <c r="E1000" s="22" t="s">
        <v>298</v>
      </c>
      <c r="F1000" s="29" t="str">
        <f aca="false">IF(COUNTIF(Referral_Data!$C$5:$C$1000,B1000)&gt;0,"Referred",IF(COUNTIF(Referral_Data!$B$5:$B$1000,B1000)&gt;0,"Referrer","Organic"))</f>
        <v>Referred</v>
      </c>
      <c r="G1000" s="29" t="n">
        <f aca="false">IF(COUNTIFS($B$5:B1000,B1000,$C$5:C1000,C1000)=1,1,0)</f>
        <v>1</v>
      </c>
      <c r="H1000" s="29" t="n">
        <f aca="false">IF(AND(G1000=1,COUNTIFS($B$5:$B$1635,B1000,$C$5:$C$1635,"&lt;"&amp;C1000)&gt;0),1,0)</f>
        <v>1</v>
      </c>
      <c r="I1000" s="29" t="n">
        <f aca="false">IF(AND(D1000="Feature Use",COUNTIFS($B$5:B1000,B1000,$D$5:D1000,"Feature Use",$E$5:E1000,E1000)=1),1,0)</f>
        <v>0</v>
      </c>
      <c r="J1000" s="29" t="n">
        <f aca="false">IF(AND(D1000="Feature Use",COUNTIFS($B$5:B1000,B1000,$D$5:D1000,"Feature Use",$E$5:E1000,E1000)=2),1,0)</f>
        <v>0</v>
      </c>
      <c r="K1000" s="29" t="n">
        <f aca="false">IF(COUNTIF($B$5:B1000,B1000)=1,1,0)</f>
        <v>0</v>
      </c>
      <c r="L1000" s="29" t="n">
        <f aca="false">IF(AND(C1000&gt;=Settings!$B$5-Settings!$B$8+1,C1000&lt;=Settings!$B$5,COUNTIFS($B$5:B1000,B1000,$C$5:C1000,"&gt;="&amp;(Settings!$B$5-Settings!$B$8+1),$C$5:C1000,"&lt;="&amp;Settings!$B$5)=1),1,0)</f>
        <v>0</v>
      </c>
      <c r="M1000" s="29" t="n">
        <f aca="false">IF(AND(C1000&gt;=Settings!$B$5-Settings!$B$9+1,C1000&lt;=Settings!$B$5,COUNTIFS($B$5:B1000,B1000,$C$5:C1000,"&gt;="&amp;(Settings!$B$5-Settings!$B$9+1),$C$5:C1000,"&lt;="&amp;Settings!$B$5)=1),1,0)</f>
        <v>0</v>
      </c>
      <c r="N1000" s="29" t="n">
        <f aca="false">IF(AND(D1000="Feature Use",COUNTIFS($B$5:B1000,B1000,$D$5:D1000,"Feature Use")=1),1,0)</f>
        <v>0</v>
      </c>
    </row>
    <row r="1001" customFormat="false" ht="15" hidden="false" customHeight="false" outlineLevel="0" collapsed="false">
      <c r="A1001" s="22" t="s">
        <v>1308</v>
      </c>
      <c r="B1001" s="22" t="s">
        <v>181</v>
      </c>
      <c r="C1001" s="31" t="n">
        <v>46297</v>
      </c>
      <c r="D1001" s="22" t="s">
        <v>300</v>
      </c>
      <c r="E1001" s="22" t="s">
        <v>301</v>
      </c>
      <c r="F1001" s="29" t="str">
        <f aca="false">IF(COUNTIF(Referral_Data!$C$5:$C$1000,B1001)&gt;0,"Referred",IF(COUNTIF(Referral_Data!$B$5:$B$1000,B1001)&gt;0,"Referrer","Organic"))</f>
        <v>Referred</v>
      </c>
      <c r="G1001" s="29" t="n">
        <f aca="false">IF(COUNTIFS($B$5:B1001,B1001,$C$5:C1001,C1001)=1,1,0)</f>
        <v>0</v>
      </c>
      <c r="H1001" s="29" t="n">
        <f aca="false">IF(AND(G1001=1,COUNTIFS($B$5:$B$1635,B1001,$C$5:$C$1635,"&lt;"&amp;C1001)&gt;0),1,0)</f>
        <v>0</v>
      </c>
      <c r="I1001" s="29" t="n">
        <f aca="false">IF(AND(D1001="Feature Use",COUNTIFS($B$5:B1001,B1001,$D$5:D1001,"Feature Use",$E$5:E1001,E1001)=1),1,0)</f>
        <v>0</v>
      </c>
      <c r="J1001" s="29" t="n">
        <f aca="false">IF(AND(D1001="Feature Use",COUNTIFS($B$5:B1001,B1001,$D$5:D1001,"Feature Use",$E$5:E1001,E1001)=2),1,0)</f>
        <v>0</v>
      </c>
      <c r="K1001" s="29" t="n">
        <f aca="false">IF(COUNTIF($B$5:B1001,B1001)=1,1,0)</f>
        <v>0</v>
      </c>
      <c r="L1001" s="29" t="n">
        <f aca="false">IF(AND(C1001&gt;=Settings!$B$5-Settings!$B$8+1,C1001&lt;=Settings!$B$5,COUNTIFS($B$5:B1001,B1001,$C$5:C1001,"&gt;="&amp;(Settings!$B$5-Settings!$B$8+1),$C$5:C1001,"&lt;="&amp;Settings!$B$5)=1),1,0)</f>
        <v>0</v>
      </c>
      <c r="M1001" s="29" t="n">
        <f aca="false">IF(AND(C1001&gt;=Settings!$B$5-Settings!$B$9+1,C1001&lt;=Settings!$B$5,COUNTIFS($B$5:B1001,B1001,$C$5:C1001,"&gt;="&amp;(Settings!$B$5-Settings!$B$9+1),$C$5:C1001,"&lt;="&amp;Settings!$B$5)=1),1,0)</f>
        <v>0</v>
      </c>
      <c r="N1001" s="29" t="n">
        <f aca="false">IF(AND(D1001="Feature Use",COUNTIFS($B$5:B1001,B1001,$D$5:D1001,"Feature Use")=1),1,0)</f>
        <v>0</v>
      </c>
    </row>
    <row r="1002" customFormat="false" ht="15" hidden="false" customHeight="false" outlineLevel="0" collapsed="false">
      <c r="A1002" s="22" t="s">
        <v>1309</v>
      </c>
      <c r="B1002" s="22" t="s">
        <v>181</v>
      </c>
      <c r="C1002" s="31" t="n">
        <v>46297</v>
      </c>
      <c r="D1002" s="22" t="s">
        <v>300</v>
      </c>
      <c r="E1002" s="22" t="s">
        <v>301</v>
      </c>
      <c r="F1002" s="29" t="str">
        <f aca="false">IF(COUNTIF(Referral_Data!$C$5:$C$1000,B1002)&gt;0,"Referred",IF(COUNTIF(Referral_Data!$B$5:$B$1000,B1002)&gt;0,"Referrer","Organic"))</f>
        <v>Referred</v>
      </c>
      <c r="G1002" s="29" t="n">
        <f aca="false">IF(COUNTIFS($B$5:B1002,B1002,$C$5:C1002,C1002)=1,1,0)</f>
        <v>0</v>
      </c>
      <c r="H1002" s="29" t="n">
        <f aca="false">IF(AND(G1002=1,COUNTIFS($B$5:$B$1635,B1002,$C$5:$C$1635,"&lt;"&amp;C1002)&gt;0),1,0)</f>
        <v>0</v>
      </c>
      <c r="I1002" s="29" t="n">
        <f aca="false">IF(AND(D1002="Feature Use",COUNTIFS($B$5:B1002,B1002,$D$5:D1002,"Feature Use",$E$5:E1002,E1002)=1),1,0)</f>
        <v>0</v>
      </c>
      <c r="J1002" s="29" t="n">
        <f aca="false">IF(AND(D1002="Feature Use",COUNTIFS($B$5:B1002,B1002,$D$5:D1002,"Feature Use",$E$5:E1002,E1002)=2),1,0)</f>
        <v>0</v>
      </c>
      <c r="K1002" s="29" t="n">
        <f aca="false">IF(COUNTIF($B$5:B1002,B1002)=1,1,0)</f>
        <v>0</v>
      </c>
      <c r="L1002" s="29" t="n">
        <f aca="false">IF(AND(C1002&gt;=Settings!$B$5-Settings!$B$8+1,C1002&lt;=Settings!$B$5,COUNTIFS($B$5:B1002,B1002,$C$5:C1002,"&gt;="&amp;(Settings!$B$5-Settings!$B$8+1),$C$5:C1002,"&lt;="&amp;Settings!$B$5)=1),1,0)</f>
        <v>0</v>
      </c>
      <c r="M1002" s="29" t="n">
        <f aca="false">IF(AND(C1002&gt;=Settings!$B$5-Settings!$B$9+1,C1002&lt;=Settings!$B$5,COUNTIFS($B$5:B1002,B1002,$C$5:C1002,"&gt;="&amp;(Settings!$B$5-Settings!$B$9+1),$C$5:C1002,"&lt;="&amp;Settings!$B$5)=1),1,0)</f>
        <v>0</v>
      </c>
      <c r="N1002" s="29" t="n">
        <f aca="false">IF(AND(D1002="Feature Use",COUNTIFS($B$5:B1002,B1002,$D$5:D1002,"Feature Use")=1),1,0)</f>
        <v>0</v>
      </c>
    </row>
    <row r="1003" customFormat="false" ht="15" hidden="false" customHeight="false" outlineLevel="0" collapsed="false">
      <c r="A1003" s="22" t="s">
        <v>1310</v>
      </c>
      <c r="B1003" s="22" t="s">
        <v>181</v>
      </c>
      <c r="C1003" s="31" t="n">
        <v>46297</v>
      </c>
      <c r="D1003" s="22" t="s">
        <v>308</v>
      </c>
      <c r="E1003" s="22" t="s">
        <v>305</v>
      </c>
      <c r="F1003" s="29" t="str">
        <f aca="false">IF(COUNTIF(Referral_Data!$C$5:$C$1000,B1003)&gt;0,"Referred",IF(COUNTIF(Referral_Data!$B$5:$B$1000,B1003)&gt;0,"Referrer","Organic"))</f>
        <v>Referred</v>
      </c>
      <c r="G1003" s="29" t="n">
        <f aca="false">IF(COUNTIFS($B$5:B1003,B1003,$C$5:C1003,C1003)=1,1,0)</f>
        <v>0</v>
      </c>
      <c r="H1003" s="29" t="n">
        <f aca="false">IF(AND(G1003=1,COUNTIFS($B$5:$B$1635,B1003,$C$5:$C$1635,"&lt;"&amp;C1003)&gt;0),1,0)</f>
        <v>0</v>
      </c>
      <c r="I1003" s="29" t="n">
        <f aca="false">IF(AND(D1003="Feature Use",COUNTIFS($B$5:B1003,B1003,$D$5:D1003,"Feature Use",$E$5:E1003,E1003)=1),1,0)</f>
        <v>0</v>
      </c>
      <c r="J1003" s="29" t="n">
        <f aca="false">IF(AND(D1003="Feature Use",COUNTIFS($B$5:B1003,B1003,$D$5:D1003,"Feature Use",$E$5:E1003,E1003)=2),1,0)</f>
        <v>0</v>
      </c>
      <c r="K1003" s="29" t="n">
        <f aca="false">IF(COUNTIF($B$5:B1003,B1003)=1,1,0)</f>
        <v>0</v>
      </c>
      <c r="L1003" s="29" t="n">
        <f aca="false">IF(AND(C1003&gt;=Settings!$B$5-Settings!$B$8+1,C1003&lt;=Settings!$B$5,COUNTIFS($B$5:B1003,B1003,$C$5:C1003,"&gt;="&amp;(Settings!$B$5-Settings!$B$8+1),$C$5:C1003,"&lt;="&amp;Settings!$B$5)=1),1,0)</f>
        <v>0</v>
      </c>
      <c r="M1003" s="29" t="n">
        <f aca="false">IF(AND(C1003&gt;=Settings!$B$5-Settings!$B$9+1,C1003&lt;=Settings!$B$5,COUNTIFS($B$5:B1003,B1003,$C$5:C1003,"&gt;="&amp;(Settings!$B$5-Settings!$B$9+1),$C$5:C1003,"&lt;="&amp;Settings!$B$5)=1),1,0)</f>
        <v>0</v>
      </c>
      <c r="N1003" s="29" t="n">
        <f aca="false">IF(AND(D1003="Feature Use",COUNTIFS($B$5:B1003,B1003,$D$5:D1003,"Feature Use")=1),1,0)</f>
        <v>0</v>
      </c>
    </row>
    <row r="1004" customFormat="false" ht="15" hidden="false" customHeight="false" outlineLevel="0" collapsed="false">
      <c r="A1004" s="22" t="s">
        <v>1311</v>
      </c>
      <c r="B1004" s="22" t="s">
        <v>181</v>
      </c>
      <c r="C1004" s="31" t="n">
        <v>46297</v>
      </c>
      <c r="D1004" s="22" t="s">
        <v>308</v>
      </c>
      <c r="E1004" s="22" t="s">
        <v>305</v>
      </c>
      <c r="F1004" s="29" t="str">
        <f aca="false">IF(COUNTIF(Referral_Data!$C$5:$C$1000,B1004)&gt;0,"Referred",IF(COUNTIF(Referral_Data!$B$5:$B$1000,B1004)&gt;0,"Referrer","Organic"))</f>
        <v>Referred</v>
      </c>
      <c r="G1004" s="29" t="n">
        <f aca="false">IF(COUNTIFS($B$5:B1004,B1004,$C$5:C1004,C1004)=1,1,0)</f>
        <v>0</v>
      </c>
      <c r="H1004" s="29" t="n">
        <f aca="false">IF(AND(G1004=1,COUNTIFS($B$5:$B$1635,B1004,$C$5:$C$1635,"&lt;"&amp;C1004)&gt;0),1,0)</f>
        <v>0</v>
      </c>
      <c r="I1004" s="29" t="n">
        <f aca="false">IF(AND(D1004="Feature Use",COUNTIFS($B$5:B1004,B1004,$D$5:D1004,"Feature Use",$E$5:E1004,E1004)=1),1,0)</f>
        <v>0</v>
      </c>
      <c r="J1004" s="29" t="n">
        <f aca="false">IF(AND(D1004="Feature Use",COUNTIFS($B$5:B1004,B1004,$D$5:D1004,"Feature Use",$E$5:E1004,E1004)=2),1,0)</f>
        <v>0</v>
      </c>
      <c r="K1004" s="29" t="n">
        <f aca="false">IF(COUNTIF($B$5:B1004,B1004)=1,1,0)</f>
        <v>0</v>
      </c>
      <c r="L1004" s="29" t="n">
        <f aca="false">IF(AND(C1004&gt;=Settings!$B$5-Settings!$B$8+1,C1004&lt;=Settings!$B$5,COUNTIFS($B$5:B1004,B1004,$C$5:C1004,"&gt;="&amp;(Settings!$B$5-Settings!$B$8+1),$C$5:C1004,"&lt;="&amp;Settings!$B$5)=1),1,0)</f>
        <v>0</v>
      </c>
      <c r="M1004" s="29" t="n">
        <f aca="false">IF(AND(C1004&gt;=Settings!$B$5-Settings!$B$9+1,C1004&lt;=Settings!$B$5,COUNTIFS($B$5:B1004,B1004,$C$5:C1004,"&gt;="&amp;(Settings!$B$5-Settings!$B$9+1),$C$5:C1004,"&lt;="&amp;Settings!$B$5)=1),1,0)</f>
        <v>0</v>
      </c>
      <c r="N1004" s="29" t="n">
        <f aca="false">IF(AND(D1004="Feature Use",COUNTIFS($B$5:B1004,B1004,$D$5:D1004,"Feature Use")=1),1,0)</f>
        <v>0</v>
      </c>
    </row>
    <row r="1005" customFormat="false" ht="15" hidden="false" customHeight="false" outlineLevel="0" collapsed="false">
      <c r="A1005" s="22" t="s">
        <v>1312</v>
      </c>
      <c r="B1005" s="22" t="s">
        <v>184</v>
      </c>
      <c r="C1005" s="31" t="n">
        <v>46297</v>
      </c>
      <c r="D1005" s="22" t="s">
        <v>297</v>
      </c>
      <c r="E1005" s="22" t="s">
        <v>298</v>
      </c>
      <c r="F1005" s="29" t="str">
        <f aca="false">IF(COUNTIF(Referral_Data!$C$5:$C$1000,B1005)&gt;0,"Referred",IF(COUNTIF(Referral_Data!$B$5:$B$1000,B1005)&gt;0,"Referrer","Organic"))</f>
        <v>Referred</v>
      </c>
      <c r="G1005" s="29" t="n">
        <f aca="false">IF(COUNTIFS($B$5:B1005,B1005,$C$5:C1005,C1005)=1,1,0)</f>
        <v>1</v>
      </c>
      <c r="H1005" s="29" t="n">
        <f aca="false">IF(AND(G1005=1,COUNTIFS($B$5:$B$1635,B1005,$C$5:$C$1635,"&lt;"&amp;C1005)&gt;0),1,0)</f>
        <v>1</v>
      </c>
      <c r="I1005" s="29" t="n">
        <f aca="false">IF(AND(D1005="Feature Use",COUNTIFS($B$5:B1005,B1005,$D$5:D1005,"Feature Use",$E$5:E1005,E1005)=1),1,0)</f>
        <v>0</v>
      </c>
      <c r="J1005" s="29" t="n">
        <f aca="false">IF(AND(D1005="Feature Use",COUNTIFS($B$5:B1005,B1005,$D$5:D1005,"Feature Use",$E$5:E1005,E1005)=2),1,0)</f>
        <v>0</v>
      </c>
      <c r="K1005" s="29" t="n">
        <f aca="false">IF(COUNTIF($B$5:B1005,B1005)=1,1,0)</f>
        <v>0</v>
      </c>
      <c r="L1005" s="29" t="n">
        <f aca="false">IF(AND(C1005&gt;=Settings!$B$5-Settings!$B$8+1,C1005&lt;=Settings!$B$5,COUNTIFS($B$5:B1005,B1005,$C$5:C1005,"&gt;="&amp;(Settings!$B$5-Settings!$B$8+1),$C$5:C1005,"&lt;="&amp;Settings!$B$5)=1),1,0)</f>
        <v>0</v>
      </c>
      <c r="M1005" s="29" t="n">
        <f aca="false">IF(AND(C1005&gt;=Settings!$B$5-Settings!$B$9+1,C1005&lt;=Settings!$B$5,COUNTIFS($B$5:B1005,B1005,$C$5:C1005,"&gt;="&amp;(Settings!$B$5-Settings!$B$9+1),$C$5:C1005,"&lt;="&amp;Settings!$B$5)=1),1,0)</f>
        <v>0</v>
      </c>
      <c r="N1005" s="29" t="n">
        <f aca="false">IF(AND(D1005="Feature Use",COUNTIFS($B$5:B1005,B1005,$D$5:D1005,"Feature Use")=1),1,0)</f>
        <v>0</v>
      </c>
    </row>
    <row r="1006" customFormat="false" ht="15" hidden="false" customHeight="false" outlineLevel="0" collapsed="false">
      <c r="A1006" s="22" t="s">
        <v>1313</v>
      </c>
      <c r="B1006" s="22" t="s">
        <v>184</v>
      </c>
      <c r="C1006" s="31" t="n">
        <v>46297</v>
      </c>
      <c r="D1006" s="22" t="s">
        <v>300</v>
      </c>
      <c r="E1006" s="22" t="s">
        <v>309</v>
      </c>
      <c r="F1006" s="29" t="str">
        <f aca="false">IF(COUNTIF(Referral_Data!$C$5:$C$1000,B1006)&gt;0,"Referred",IF(COUNTIF(Referral_Data!$B$5:$B$1000,B1006)&gt;0,"Referrer","Organic"))</f>
        <v>Referred</v>
      </c>
      <c r="G1006" s="29" t="n">
        <f aca="false">IF(COUNTIFS($B$5:B1006,B1006,$C$5:C1006,C1006)=1,1,0)</f>
        <v>0</v>
      </c>
      <c r="H1006" s="29" t="n">
        <f aca="false">IF(AND(G1006=1,COUNTIFS($B$5:$B$1635,B1006,$C$5:$C$1635,"&lt;"&amp;C1006)&gt;0),1,0)</f>
        <v>0</v>
      </c>
      <c r="I1006" s="29" t="n">
        <f aca="false">IF(AND(D1006="Feature Use",COUNTIFS($B$5:B1006,B1006,$D$5:D1006,"Feature Use",$E$5:E1006,E1006)=1),1,0)</f>
        <v>0</v>
      </c>
      <c r="J1006" s="29" t="n">
        <f aca="false">IF(AND(D1006="Feature Use",COUNTIFS($B$5:B1006,B1006,$D$5:D1006,"Feature Use",$E$5:E1006,E1006)=2),1,0)</f>
        <v>0</v>
      </c>
      <c r="K1006" s="29" t="n">
        <f aca="false">IF(COUNTIF($B$5:B1006,B1006)=1,1,0)</f>
        <v>0</v>
      </c>
      <c r="L1006" s="29" t="n">
        <f aca="false">IF(AND(C1006&gt;=Settings!$B$5-Settings!$B$8+1,C1006&lt;=Settings!$B$5,COUNTIFS($B$5:B1006,B1006,$C$5:C1006,"&gt;="&amp;(Settings!$B$5-Settings!$B$8+1),$C$5:C1006,"&lt;="&amp;Settings!$B$5)=1),1,0)</f>
        <v>0</v>
      </c>
      <c r="M1006" s="29" t="n">
        <f aca="false">IF(AND(C1006&gt;=Settings!$B$5-Settings!$B$9+1,C1006&lt;=Settings!$B$5,COUNTIFS($B$5:B1006,B1006,$C$5:C1006,"&gt;="&amp;(Settings!$B$5-Settings!$B$9+1),$C$5:C1006,"&lt;="&amp;Settings!$B$5)=1),1,0)</f>
        <v>0</v>
      </c>
      <c r="N1006" s="29" t="n">
        <f aca="false">IF(AND(D1006="Feature Use",COUNTIFS($B$5:B1006,B1006,$D$5:D1006,"Feature Use")=1),1,0)</f>
        <v>0</v>
      </c>
    </row>
    <row r="1007" customFormat="false" ht="15" hidden="false" customHeight="false" outlineLevel="0" collapsed="false">
      <c r="A1007" s="22" t="s">
        <v>1314</v>
      </c>
      <c r="B1007" s="22" t="s">
        <v>184</v>
      </c>
      <c r="C1007" s="31" t="n">
        <v>46297</v>
      </c>
      <c r="D1007" s="22" t="s">
        <v>300</v>
      </c>
      <c r="E1007" s="22" t="s">
        <v>305</v>
      </c>
      <c r="F1007" s="29" t="str">
        <f aca="false">IF(COUNTIF(Referral_Data!$C$5:$C$1000,B1007)&gt;0,"Referred",IF(COUNTIF(Referral_Data!$B$5:$B$1000,B1007)&gt;0,"Referrer","Organic"))</f>
        <v>Referred</v>
      </c>
      <c r="G1007" s="29" t="n">
        <f aca="false">IF(COUNTIFS($B$5:B1007,B1007,$C$5:C1007,C1007)=1,1,0)</f>
        <v>0</v>
      </c>
      <c r="H1007" s="29" t="n">
        <f aca="false">IF(AND(G1007=1,COUNTIFS($B$5:$B$1635,B1007,$C$5:$C$1635,"&lt;"&amp;C1007)&gt;0),1,0)</f>
        <v>0</v>
      </c>
      <c r="I1007" s="29" t="n">
        <f aca="false">IF(AND(D1007="Feature Use",COUNTIFS($B$5:B1007,B1007,$D$5:D1007,"Feature Use",$E$5:E1007,E1007)=1),1,0)</f>
        <v>0</v>
      </c>
      <c r="J1007" s="29" t="n">
        <f aca="false">IF(AND(D1007="Feature Use",COUNTIFS($B$5:B1007,B1007,$D$5:D1007,"Feature Use",$E$5:E1007,E1007)=2),1,0)</f>
        <v>0</v>
      </c>
      <c r="K1007" s="29" t="n">
        <f aca="false">IF(COUNTIF($B$5:B1007,B1007)=1,1,0)</f>
        <v>0</v>
      </c>
      <c r="L1007" s="29" t="n">
        <f aca="false">IF(AND(C1007&gt;=Settings!$B$5-Settings!$B$8+1,C1007&lt;=Settings!$B$5,COUNTIFS($B$5:B1007,B1007,$C$5:C1007,"&gt;="&amp;(Settings!$B$5-Settings!$B$8+1),$C$5:C1007,"&lt;="&amp;Settings!$B$5)=1),1,0)</f>
        <v>0</v>
      </c>
      <c r="M1007" s="29" t="n">
        <f aca="false">IF(AND(C1007&gt;=Settings!$B$5-Settings!$B$9+1,C1007&lt;=Settings!$B$5,COUNTIFS($B$5:B1007,B1007,$C$5:C1007,"&gt;="&amp;(Settings!$B$5-Settings!$B$9+1),$C$5:C1007,"&lt;="&amp;Settings!$B$5)=1),1,0)</f>
        <v>0</v>
      </c>
      <c r="N1007" s="29" t="n">
        <f aca="false">IF(AND(D1007="Feature Use",COUNTIFS($B$5:B1007,B1007,$D$5:D1007,"Feature Use")=1),1,0)</f>
        <v>0</v>
      </c>
    </row>
    <row r="1008" customFormat="false" ht="15" hidden="false" customHeight="false" outlineLevel="0" collapsed="false">
      <c r="A1008" s="22" t="s">
        <v>1315</v>
      </c>
      <c r="B1008" s="22" t="s">
        <v>188</v>
      </c>
      <c r="C1008" s="31" t="n">
        <v>46297</v>
      </c>
      <c r="D1008" s="22" t="s">
        <v>297</v>
      </c>
      <c r="E1008" s="22" t="s">
        <v>298</v>
      </c>
      <c r="F1008" s="29" t="str">
        <f aca="false">IF(COUNTIF(Referral_Data!$C$5:$C$1000,B1008)&gt;0,"Referred",IF(COUNTIF(Referral_Data!$B$5:$B$1000,B1008)&gt;0,"Referrer","Organic"))</f>
        <v>Referred</v>
      </c>
      <c r="G1008" s="29" t="n">
        <f aca="false">IF(COUNTIFS($B$5:B1008,B1008,$C$5:C1008,C1008)=1,1,0)</f>
        <v>1</v>
      </c>
      <c r="H1008" s="29" t="n">
        <f aca="false">IF(AND(G1008=1,COUNTIFS($B$5:$B$1635,B1008,$C$5:$C$1635,"&lt;"&amp;C1008)&gt;0),1,0)</f>
        <v>1</v>
      </c>
      <c r="I1008" s="29" t="n">
        <f aca="false">IF(AND(D1008="Feature Use",COUNTIFS($B$5:B1008,B1008,$D$5:D1008,"Feature Use",$E$5:E1008,E1008)=1),1,0)</f>
        <v>0</v>
      </c>
      <c r="J1008" s="29" t="n">
        <f aca="false">IF(AND(D1008="Feature Use",COUNTIFS($B$5:B1008,B1008,$D$5:D1008,"Feature Use",$E$5:E1008,E1008)=2),1,0)</f>
        <v>0</v>
      </c>
      <c r="K1008" s="29" t="n">
        <f aca="false">IF(COUNTIF($B$5:B1008,B1008)=1,1,0)</f>
        <v>0</v>
      </c>
      <c r="L1008" s="29" t="n">
        <f aca="false">IF(AND(C1008&gt;=Settings!$B$5-Settings!$B$8+1,C1008&lt;=Settings!$B$5,COUNTIFS($B$5:B1008,B1008,$C$5:C1008,"&gt;="&amp;(Settings!$B$5-Settings!$B$8+1),$C$5:C1008,"&lt;="&amp;Settings!$B$5)=1),1,0)</f>
        <v>0</v>
      </c>
      <c r="M1008" s="29" t="n">
        <f aca="false">IF(AND(C1008&gt;=Settings!$B$5-Settings!$B$9+1,C1008&lt;=Settings!$B$5,COUNTIFS($B$5:B1008,B1008,$C$5:C1008,"&gt;="&amp;(Settings!$B$5-Settings!$B$9+1),$C$5:C1008,"&lt;="&amp;Settings!$B$5)=1),1,0)</f>
        <v>0</v>
      </c>
      <c r="N1008" s="29" t="n">
        <f aca="false">IF(AND(D1008="Feature Use",COUNTIFS($B$5:B1008,B1008,$D$5:D1008,"Feature Use")=1),1,0)</f>
        <v>0</v>
      </c>
    </row>
    <row r="1009" customFormat="false" ht="15" hidden="false" customHeight="false" outlineLevel="0" collapsed="false">
      <c r="A1009" s="22" t="s">
        <v>1316</v>
      </c>
      <c r="B1009" s="22" t="s">
        <v>188</v>
      </c>
      <c r="C1009" s="31" t="n">
        <v>46297</v>
      </c>
      <c r="D1009" s="22" t="s">
        <v>300</v>
      </c>
      <c r="E1009" s="22" t="s">
        <v>305</v>
      </c>
      <c r="F1009" s="29" t="str">
        <f aca="false">IF(COUNTIF(Referral_Data!$C$5:$C$1000,B1009)&gt;0,"Referred",IF(COUNTIF(Referral_Data!$B$5:$B$1000,B1009)&gt;0,"Referrer","Organic"))</f>
        <v>Referred</v>
      </c>
      <c r="G1009" s="29" t="n">
        <f aca="false">IF(COUNTIFS($B$5:B1009,B1009,$C$5:C1009,C1009)=1,1,0)</f>
        <v>0</v>
      </c>
      <c r="H1009" s="29" t="n">
        <f aca="false">IF(AND(G1009=1,COUNTIFS($B$5:$B$1635,B1009,$C$5:$C$1635,"&lt;"&amp;C1009)&gt;0),1,0)</f>
        <v>0</v>
      </c>
      <c r="I1009" s="29" t="n">
        <f aca="false">IF(AND(D1009="Feature Use",COUNTIFS($B$5:B1009,B1009,$D$5:D1009,"Feature Use",$E$5:E1009,E1009)=1),1,0)</f>
        <v>0</v>
      </c>
      <c r="J1009" s="29" t="n">
        <f aca="false">IF(AND(D1009="Feature Use",COUNTIFS($B$5:B1009,B1009,$D$5:D1009,"Feature Use",$E$5:E1009,E1009)=2),1,0)</f>
        <v>0</v>
      </c>
      <c r="K1009" s="29" t="n">
        <f aca="false">IF(COUNTIF($B$5:B1009,B1009)=1,1,0)</f>
        <v>0</v>
      </c>
      <c r="L1009" s="29" t="n">
        <f aca="false">IF(AND(C1009&gt;=Settings!$B$5-Settings!$B$8+1,C1009&lt;=Settings!$B$5,COUNTIFS($B$5:B1009,B1009,$C$5:C1009,"&gt;="&amp;(Settings!$B$5-Settings!$B$8+1),$C$5:C1009,"&lt;="&amp;Settings!$B$5)=1),1,0)</f>
        <v>0</v>
      </c>
      <c r="M1009" s="29" t="n">
        <f aca="false">IF(AND(C1009&gt;=Settings!$B$5-Settings!$B$9+1,C1009&lt;=Settings!$B$5,COUNTIFS($B$5:B1009,B1009,$C$5:C1009,"&gt;="&amp;(Settings!$B$5-Settings!$B$9+1),$C$5:C1009,"&lt;="&amp;Settings!$B$5)=1),1,0)</f>
        <v>0</v>
      </c>
      <c r="N1009" s="29" t="n">
        <f aca="false">IF(AND(D1009="Feature Use",COUNTIFS($B$5:B1009,B1009,$D$5:D1009,"Feature Use")=1),1,0)</f>
        <v>0</v>
      </c>
    </row>
    <row r="1010" customFormat="false" ht="15" hidden="false" customHeight="false" outlineLevel="0" collapsed="false">
      <c r="A1010" s="22" t="s">
        <v>1317</v>
      </c>
      <c r="B1010" s="22" t="s">
        <v>188</v>
      </c>
      <c r="C1010" s="31" t="n">
        <v>46297</v>
      </c>
      <c r="D1010" s="22" t="s">
        <v>300</v>
      </c>
      <c r="E1010" s="22" t="s">
        <v>305</v>
      </c>
      <c r="F1010" s="29" t="str">
        <f aca="false">IF(COUNTIF(Referral_Data!$C$5:$C$1000,B1010)&gt;0,"Referred",IF(COUNTIF(Referral_Data!$B$5:$B$1000,B1010)&gt;0,"Referrer","Organic"))</f>
        <v>Referred</v>
      </c>
      <c r="G1010" s="29" t="n">
        <f aca="false">IF(COUNTIFS($B$5:B1010,B1010,$C$5:C1010,C1010)=1,1,0)</f>
        <v>0</v>
      </c>
      <c r="H1010" s="29" t="n">
        <f aca="false">IF(AND(G1010=1,COUNTIFS($B$5:$B$1635,B1010,$C$5:$C$1635,"&lt;"&amp;C1010)&gt;0),1,0)</f>
        <v>0</v>
      </c>
      <c r="I1010" s="29" t="n">
        <f aca="false">IF(AND(D1010="Feature Use",COUNTIFS($B$5:B1010,B1010,$D$5:D1010,"Feature Use",$E$5:E1010,E1010)=1),1,0)</f>
        <v>0</v>
      </c>
      <c r="J1010" s="29" t="n">
        <f aca="false">IF(AND(D1010="Feature Use",COUNTIFS($B$5:B1010,B1010,$D$5:D1010,"Feature Use",$E$5:E1010,E1010)=2),1,0)</f>
        <v>0</v>
      </c>
      <c r="K1010" s="29" t="n">
        <f aca="false">IF(COUNTIF($B$5:B1010,B1010)=1,1,0)</f>
        <v>0</v>
      </c>
      <c r="L1010" s="29" t="n">
        <f aca="false">IF(AND(C1010&gt;=Settings!$B$5-Settings!$B$8+1,C1010&lt;=Settings!$B$5,COUNTIFS($B$5:B1010,B1010,$C$5:C1010,"&gt;="&amp;(Settings!$B$5-Settings!$B$8+1),$C$5:C1010,"&lt;="&amp;Settings!$B$5)=1),1,0)</f>
        <v>0</v>
      </c>
      <c r="M1010" s="29" t="n">
        <f aca="false">IF(AND(C1010&gt;=Settings!$B$5-Settings!$B$9+1,C1010&lt;=Settings!$B$5,COUNTIFS($B$5:B1010,B1010,$C$5:C1010,"&gt;="&amp;(Settings!$B$5-Settings!$B$9+1),$C$5:C1010,"&lt;="&amp;Settings!$B$5)=1),1,0)</f>
        <v>0</v>
      </c>
      <c r="N1010" s="29" t="n">
        <f aca="false">IF(AND(D1010="Feature Use",COUNTIFS($B$5:B1010,B1010,$D$5:D1010,"Feature Use")=1),1,0)</f>
        <v>0</v>
      </c>
    </row>
    <row r="1011" customFormat="false" ht="15" hidden="false" customHeight="false" outlineLevel="0" collapsed="false">
      <c r="A1011" s="22" t="s">
        <v>1318</v>
      </c>
      <c r="B1011" s="22" t="s">
        <v>194</v>
      </c>
      <c r="C1011" s="31" t="n">
        <v>46297</v>
      </c>
      <c r="D1011" s="22" t="s">
        <v>297</v>
      </c>
      <c r="E1011" s="22" t="s">
        <v>298</v>
      </c>
      <c r="F1011" s="29" t="str">
        <f aca="false">IF(COUNTIF(Referral_Data!$C$5:$C$1000,B1011)&gt;0,"Referred",IF(COUNTIF(Referral_Data!$B$5:$B$1000,B1011)&gt;0,"Referrer","Organic"))</f>
        <v>Referred</v>
      </c>
      <c r="G1011" s="29" t="n">
        <f aca="false">IF(COUNTIFS($B$5:B1011,B1011,$C$5:C1011,C1011)=1,1,0)</f>
        <v>1</v>
      </c>
      <c r="H1011" s="29" t="n">
        <f aca="false">IF(AND(G1011=1,COUNTIFS($B$5:$B$1635,B1011,$C$5:$C$1635,"&lt;"&amp;C1011)&gt;0),1,0)</f>
        <v>1</v>
      </c>
      <c r="I1011" s="29" t="n">
        <f aca="false">IF(AND(D1011="Feature Use",COUNTIFS($B$5:B1011,B1011,$D$5:D1011,"Feature Use",$E$5:E1011,E1011)=1),1,0)</f>
        <v>0</v>
      </c>
      <c r="J1011" s="29" t="n">
        <f aca="false">IF(AND(D1011="Feature Use",COUNTIFS($B$5:B1011,B1011,$D$5:D1011,"Feature Use",$E$5:E1011,E1011)=2),1,0)</f>
        <v>0</v>
      </c>
      <c r="K1011" s="29" t="n">
        <f aca="false">IF(COUNTIF($B$5:B1011,B1011)=1,1,0)</f>
        <v>0</v>
      </c>
      <c r="L1011" s="29" t="n">
        <f aca="false">IF(AND(C1011&gt;=Settings!$B$5-Settings!$B$8+1,C1011&lt;=Settings!$B$5,COUNTIFS($B$5:B1011,B1011,$C$5:C1011,"&gt;="&amp;(Settings!$B$5-Settings!$B$8+1),$C$5:C1011,"&lt;="&amp;Settings!$B$5)=1),1,0)</f>
        <v>0</v>
      </c>
      <c r="M1011" s="29" t="n">
        <f aca="false">IF(AND(C1011&gt;=Settings!$B$5-Settings!$B$9+1,C1011&lt;=Settings!$B$5,COUNTIFS($B$5:B1011,B1011,$C$5:C1011,"&gt;="&amp;(Settings!$B$5-Settings!$B$9+1),$C$5:C1011,"&lt;="&amp;Settings!$B$5)=1),1,0)</f>
        <v>0</v>
      </c>
      <c r="N1011" s="29" t="n">
        <f aca="false">IF(AND(D1011="Feature Use",COUNTIFS($B$5:B1011,B1011,$D$5:D1011,"Feature Use")=1),1,0)</f>
        <v>0</v>
      </c>
    </row>
    <row r="1012" customFormat="false" ht="15" hidden="false" customHeight="false" outlineLevel="0" collapsed="false">
      <c r="A1012" s="22" t="s">
        <v>1319</v>
      </c>
      <c r="B1012" s="22" t="s">
        <v>194</v>
      </c>
      <c r="C1012" s="31" t="n">
        <v>46297</v>
      </c>
      <c r="D1012" s="22" t="s">
        <v>300</v>
      </c>
      <c r="E1012" s="22" t="s">
        <v>311</v>
      </c>
      <c r="F1012" s="29" t="str">
        <f aca="false">IF(COUNTIF(Referral_Data!$C$5:$C$1000,B1012)&gt;0,"Referred",IF(COUNTIF(Referral_Data!$B$5:$B$1000,B1012)&gt;0,"Referrer","Organic"))</f>
        <v>Referred</v>
      </c>
      <c r="G1012" s="29" t="n">
        <f aca="false">IF(COUNTIFS($B$5:B1012,B1012,$C$5:C1012,C1012)=1,1,0)</f>
        <v>0</v>
      </c>
      <c r="H1012" s="29" t="n">
        <f aca="false">IF(AND(G1012=1,COUNTIFS($B$5:$B$1635,B1012,$C$5:$C$1635,"&lt;"&amp;C1012)&gt;0),1,0)</f>
        <v>0</v>
      </c>
      <c r="I1012" s="29" t="n">
        <f aca="false">IF(AND(D1012="Feature Use",COUNTIFS($B$5:B1012,B1012,$D$5:D1012,"Feature Use",$E$5:E1012,E1012)=1),1,0)</f>
        <v>0</v>
      </c>
      <c r="J1012" s="29" t="n">
        <f aca="false">IF(AND(D1012="Feature Use",COUNTIFS($B$5:B1012,B1012,$D$5:D1012,"Feature Use",$E$5:E1012,E1012)=2),1,0)</f>
        <v>0</v>
      </c>
      <c r="K1012" s="29" t="n">
        <f aca="false">IF(COUNTIF($B$5:B1012,B1012)=1,1,0)</f>
        <v>0</v>
      </c>
      <c r="L1012" s="29" t="n">
        <f aca="false">IF(AND(C1012&gt;=Settings!$B$5-Settings!$B$8+1,C1012&lt;=Settings!$B$5,COUNTIFS($B$5:B1012,B1012,$C$5:C1012,"&gt;="&amp;(Settings!$B$5-Settings!$B$8+1),$C$5:C1012,"&lt;="&amp;Settings!$B$5)=1),1,0)</f>
        <v>0</v>
      </c>
      <c r="M1012" s="29" t="n">
        <f aca="false">IF(AND(C1012&gt;=Settings!$B$5-Settings!$B$9+1,C1012&lt;=Settings!$B$5,COUNTIFS($B$5:B1012,B1012,$C$5:C1012,"&gt;="&amp;(Settings!$B$5-Settings!$B$9+1),$C$5:C1012,"&lt;="&amp;Settings!$B$5)=1),1,0)</f>
        <v>0</v>
      </c>
      <c r="N1012" s="29" t="n">
        <f aca="false">IF(AND(D1012="Feature Use",COUNTIFS($B$5:B1012,B1012,$D$5:D1012,"Feature Use")=1),1,0)</f>
        <v>0</v>
      </c>
    </row>
    <row r="1013" customFormat="false" ht="15" hidden="false" customHeight="false" outlineLevel="0" collapsed="false">
      <c r="A1013" s="22" t="s">
        <v>1320</v>
      </c>
      <c r="B1013" s="22" t="s">
        <v>194</v>
      </c>
      <c r="C1013" s="31" t="n">
        <v>46297</v>
      </c>
      <c r="D1013" s="22" t="s">
        <v>300</v>
      </c>
      <c r="E1013" s="22" t="s">
        <v>309</v>
      </c>
      <c r="F1013" s="29" t="str">
        <f aca="false">IF(COUNTIF(Referral_Data!$C$5:$C$1000,B1013)&gt;0,"Referred",IF(COUNTIF(Referral_Data!$B$5:$B$1000,B1013)&gt;0,"Referrer","Organic"))</f>
        <v>Referred</v>
      </c>
      <c r="G1013" s="29" t="n">
        <f aca="false">IF(COUNTIFS($B$5:B1013,B1013,$C$5:C1013,C1013)=1,1,0)</f>
        <v>0</v>
      </c>
      <c r="H1013" s="29" t="n">
        <f aca="false">IF(AND(G1013=1,COUNTIFS($B$5:$B$1635,B1013,$C$5:$C$1635,"&lt;"&amp;C1013)&gt;0),1,0)</f>
        <v>0</v>
      </c>
      <c r="I1013" s="29" t="n">
        <f aca="false">IF(AND(D1013="Feature Use",COUNTIFS($B$5:B1013,B1013,$D$5:D1013,"Feature Use",$E$5:E1013,E1013)=1),1,0)</f>
        <v>0</v>
      </c>
      <c r="J1013" s="29" t="n">
        <f aca="false">IF(AND(D1013="Feature Use",COUNTIFS($B$5:B1013,B1013,$D$5:D1013,"Feature Use",$E$5:E1013,E1013)=2),1,0)</f>
        <v>1</v>
      </c>
      <c r="K1013" s="29" t="n">
        <f aca="false">IF(COUNTIF($B$5:B1013,B1013)=1,1,0)</f>
        <v>0</v>
      </c>
      <c r="L1013" s="29" t="n">
        <f aca="false">IF(AND(C1013&gt;=Settings!$B$5-Settings!$B$8+1,C1013&lt;=Settings!$B$5,COUNTIFS($B$5:B1013,B1013,$C$5:C1013,"&gt;="&amp;(Settings!$B$5-Settings!$B$8+1),$C$5:C1013,"&lt;="&amp;Settings!$B$5)=1),1,0)</f>
        <v>0</v>
      </c>
      <c r="M1013" s="29" t="n">
        <f aca="false">IF(AND(C1013&gt;=Settings!$B$5-Settings!$B$9+1,C1013&lt;=Settings!$B$5,COUNTIFS($B$5:B1013,B1013,$C$5:C1013,"&gt;="&amp;(Settings!$B$5-Settings!$B$9+1),$C$5:C1013,"&lt;="&amp;Settings!$B$5)=1),1,0)</f>
        <v>0</v>
      </c>
      <c r="N1013" s="29" t="n">
        <f aca="false">IF(AND(D1013="Feature Use",COUNTIFS($B$5:B1013,B1013,$D$5:D1013,"Feature Use")=1),1,0)</f>
        <v>0</v>
      </c>
    </row>
    <row r="1014" customFormat="false" ht="15" hidden="false" customHeight="false" outlineLevel="0" collapsed="false">
      <c r="A1014" s="22" t="s">
        <v>1321</v>
      </c>
      <c r="B1014" s="22" t="s">
        <v>220</v>
      </c>
      <c r="C1014" s="31" t="n">
        <v>46297</v>
      </c>
      <c r="D1014" s="22" t="s">
        <v>297</v>
      </c>
      <c r="E1014" s="22" t="s">
        <v>298</v>
      </c>
      <c r="F1014" s="29" t="str">
        <f aca="false">IF(COUNTIF(Referral_Data!$C$5:$C$1000,B1014)&gt;0,"Referred",IF(COUNTIF(Referral_Data!$B$5:$B$1000,B1014)&gt;0,"Referrer","Organic"))</f>
        <v>Referred</v>
      </c>
      <c r="G1014" s="29" t="n">
        <f aca="false">IF(COUNTIFS($B$5:B1014,B1014,$C$5:C1014,C1014)=1,1,0)</f>
        <v>1</v>
      </c>
      <c r="H1014" s="29" t="n">
        <f aca="false">IF(AND(G1014=1,COUNTIFS($B$5:$B$1635,B1014,$C$5:$C$1635,"&lt;"&amp;C1014)&gt;0),1,0)</f>
        <v>1</v>
      </c>
      <c r="I1014" s="29" t="n">
        <f aca="false">IF(AND(D1014="Feature Use",COUNTIFS($B$5:B1014,B1014,$D$5:D1014,"Feature Use",$E$5:E1014,E1014)=1),1,0)</f>
        <v>0</v>
      </c>
      <c r="J1014" s="29" t="n">
        <f aca="false">IF(AND(D1014="Feature Use",COUNTIFS($B$5:B1014,B1014,$D$5:D1014,"Feature Use",$E$5:E1014,E1014)=2),1,0)</f>
        <v>0</v>
      </c>
      <c r="K1014" s="29" t="n">
        <f aca="false">IF(COUNTIF($B$5:B1014,B1014)=1,1,0)</f>
        <v>0</v>
      </c>
      <c r="L1014" s="29" t="n">
        <f aca="false">IF(AND(C1014&gt;=Settings!$B$5-Settings!$B$8+1,C1014&lt;=Settings!$B$5,COUNTIFS($B$5:B1014,B1014,$C$5:C1014,"&gt;="&amp;(Settings!$B$5-Settings!$B$8+1),$C$5:C1014,"&lt;="&amp;Settings!$B$5)=1),1,0)</f>
        <v>0</v>
      </c>
      <c r="M1014" s="29" t="n">
        <f aca="false">IF(AND(C1014&gt;=Settings!$B$5-Settings!$B$9+1,C1014&lt;=Settings!$B$5,COUNTIFS($B$5:B1014,B1014,$C$5:C1014,"&gt;="&amp;(Settings!$B$5-Settings!$B$9+1),$C$5:C1014,"&lt;="&amp;Settings!$B$5)=1),1,0)</f>
        <v>0</v>
      </c>
      <c r="N1014" s="29" t="n">
        <f aca="false">IF(AND(D1014="Feature Use",COUNTIFS($B$5:B1014,B1014,$D$5:D1014,"Feature Use")=1),1,0)</f>
        <v>0</v>
      </c>
    </row>
    <row r="1015" customFormat="false" ht="15" hidden="false" customHeight="false" outlineLevel="0" collapsed="false">
      <c r="A1015" s="22" t="s">
        <v>1322</v>
      </c>
      <c r="B1015" s="22" t="s">
        <v>220</v>
      </c>
      <c r="C1015" s="31" t="n">
        <v>46297</v>
      </c>
      <c r="D1015" s="22" t="s">
        <v>300</v>
      </c>
      <c r="E1015" s="22" t="s">
        <v>301</v>
      </c>
      <c r="F1015" s="29" t="str">
        <f aca="false">IF(COUNTIF(Referral_Data!$C$5:$C$1000,B1015)&gt;0,"Referred",IF(COUNTIF(Referral_Data!$B$5:$B$1000,B1015)&gt;0,"Referrer","Organic"))</f>
        <v>Referred</v>
      </c>
      <c r="G1015" s="29" t="n">
        <f aca="false">IF(COUNTIFS($B$5:B1015,B1015,$C$5:C1015,C1015)=1,1,0)</f>
        <v>0</v>
      </c>
      <c r="H1015" s="29" t="n">
        <f aca="false">IF(AND(G1015=1,COUNTIFS($B$5:$B$1635,B1015,$C$5:$C$1635,"&lt;"&amp;C1015)&gt;0),1,0)</f>
        <v>0</v>
      </c>
      <c r="I1015" s="29" t="n">
        <f aca="false">IF(AND(D1015="Feature Use",COUNTIFS($B$5:B1015,B1015,$D$5:D1015,"Feature Use",$E$5:E1015,E1015)=1),1,0)</f>
        <v>0</v>
      </c>
      <c r="J1015" s="29" t="n">
        <f aca="false">IF(AND(D1015="Feature Use",COUNTIFS($B$5:B1015,B1015,$D$5:D1015,"Feature Use",$E$5:E1015,E1015)=2),1,0)</f>
        <v>0</v>
      </c>
      <c r="K1015" s="29" t="n">
        <f aca="false">IF(COUNTIF($B$5:B1015,B1015)=1,1,0)</f>
        <v>0</v>
      </c>
      <c r="L1015" s="29" t="n">
        <f aca="false">IF(AND(C1015&gt;=Settings!$B$5-Settings!$B$8+1,C1015&lt;=Settings!$B$5,COUNTIFS($B$5:B1015,B1015,$C$5:C1015,"&gt;="&amp;(Settings!$B$5-Settings!$B$8+1),$C$5:C1015,"&lt;="&amp;Settings!$B$5)=1),1,0)</f>
        <v>0</v>
      </c>
      <c r="M1015" s="29" t="n">
        <f aca="false">IF(AND(C1015&gt;=Settings!$B$5-Settings!$B$9+1,C1015&lt;=Settings!$B$5,COUNTIFS($B$5:B1015,B1015,$C$5:C1015,"&gt;="&amp;(Settings!$B$5-Settings!$B$9+1),$C$5:C1015,"&lt;="&amp;Settings!$B$5)=1),1,0)</f>
        <v>0</v>
      </c>
      <c r="N1015" s="29" t="n">
        <f aca="false">IF(AND(D1015="Feature Use",COUNTIFS($B$5:B1015,B1015,$D$5:D1015,"Feature Use")=1),1,0)</f>
        <v>0</v>
      </c>
    </row>
    <row r="1016" customFormat="false" ht="15" hidden="false" customHeight="false" outlineLevel="0" collapsed="false">
      <c r="A1016" s="22" t="s">
        <v>1323</v>
      </c>
      <c r="B1016" s="22" t="s">
        <v>220</v>
      </c>
      <c r="C1016" s="31" t="n">
        <v>46297</v>
      </c>
      <c r="D1016" s="22" t="s">
        <v>308</v>
      </c>
      <c r="E1016" s="22" t="s">
        <v>305</v>
      </c>
      <c r="F1016" s="29" t="str">
        <f aca="false">IF(COUNTIF(Referral_Data!$C$5:$C$1000,B1016)&gt;0,"Referred",IF(COUNTIF(Referral_Data!$B$5:$B$1000,B1016)&gt;0,"Referrer","Organic"))</f>
        <v>Referred</v>
      </c>
      <c r="G1016" s="29" t="n">
        <f aca="false">IF(COUNTIFS($B$5:B1016,B1016,$C$5:C1016,C1016)=1,1,0)</f>
        <v>0</v>
      </c>
      <c r="H1016" s="29" t="n">
        <f aca="false">IF(AND(G1016=1,COUNTIFS($B$5:$B$1635,B1016,$C$5:$C$1635,"&lt;"&amp;C1016)&gt;0),1,0)</f>
        <v>0</v>
      </c>
      <c r="I1016" s="29" t="n">
        <f aca="false">IF(AND(D1016="Feature Use",COUNTIFS($B$5:B1016,B1016,$D$5:D1016,"Feature Use",$E$5:E1016,E1016)=1),1,0)</f>
        <v>0</v>
      </c>
      <c r="J1016" s="29" t="n">
        <f aca="false">IF(AND(D1016="Feature Use",COUNTIFS($B$5:B1016,B1016,$D$5:D1016,"Feature Use",$E$5:E1016,E1016)=2),1,0)</f>
        <v>0</v>
      </c>
      <c r="K1016" s="29" t="n">
        <f aca="false">IF(COUNTIF($B$5:B1016,B1016)=1,1,0)</f>
        <v>0</v>
      </c>
      <c r="L1016" s="29" t="n">
        <f aca="false">IF(AND(C1016&gt;=Settings!$B$5-Settings!$B$8+1,C1016&lt;=Settings!$B$5,COUNTIFS($B$5:B1016,B1016,$C$5:C1016,"&gt;="&amp;(Settings!$B$5-Settings!$B$8+1),$C$5:C1016,"&lt;="&amp;Settings!$B$5)=1),1,0)</f>
        <v>0</v>
      </c>
      <c r="M1016" s="29" t="n">
        <f aca="false">IF(AND(C1016&gt;=Settings!$B$5-Settings!$B$9+1,C1016&lt;=Settings!$B$5,COUNTIFS($B$5:B1016,B1016,$C$5:C1016,"&gt;="&amp;(Settings!$B$5-Settings!$B$9+1),$C$5:C1016,"&lt;="&amp;Settings!$B$5)=1),1,0)</f>
        <v>0</v>
      </c>
      <c r="N1016" s="29" t="n">
        <f aca="false">IF(AND(D1016="Feature Use",COUNTIFS($B$5:B1016,B1016,$D$5:D1016,"Feature Use")=1),1,0)</f>
        <v>0</v>
      </c>
    </row>
    <row r="1017" customFormat="false" ht="15" hidden="false" customHeight="false" outlineLevel="0" collapsed="false">
      <c r="A1017" s="22" t="s">
        <v>1324</v>
      </c>
      <c r="B1017" s="22" t="s">
        <v>220</v>
      </c>
      <c r="C1017" s="31" t="n">
        <v>46297</v>
      </c>
      <c r="D1017" s="22" t="s">
        <v>308</v>
      </c>
      <c r="E1017" s="22" t="s">
        <v>319</v>
      </c>
      <c r="F1017" s="29" t="str">
        <f aca="false">IF(COUNTIF(Referral_Data!$C$5:$C$1000,B1017)&gt;0,"Referred",IF(COUNTIF(Referral_Data!$B$5:$B$1000,B1017)&gt;0,"Referrer","Organic"))</f>
        <v>Referred</v>
      </c>
      <c r="G1017" s="29" t="n">
        <f aca="false">IF(COUNTIFS($B$5:B1017,B1017,$C$5:C1017,C1017)=1,1,0)</f>
        <v>0</v>
      </c>
      <c r="H1017" s="29" t="n">
        <f aca="false">IF(AND(G1017=1,COUNTIFS($B$5:$B$1635,B1017,$C$5:$C$1635,"&lt;"&amp;C1017)&gt;0),1,0)</f>
        <v>0</v>
      </c>
      <c r="I1017" s="29" t="n">
        <f aca="false">IF(AND(D1017="Feature Use",COUNTIFS($B$5:B1017,B1017,$D$5:D1017,"Feature Use",$E$5:E1017,E1017)=1),1,0)</f>
        <v>0</v>
      </c>
      <c r="J1017" s="29" t="n">
        <f aca="false">IF(AND(D1017="Feature Use",COUNTIFS($B$5:B1017,B1017,$D$5:D1017,"Feature Use",$E$5:E1017,E1017)=2),1,0)</f>
        <v>0</v>
      </c>
      <c r="K1017" s="29" t="n">
        <f aca="false">IF(COUNTIF($B$5:B1017,B1017)=1,1,0)</f>
        <v>0</v>
      </c>
      <c r="L1017" s="29" t="n">
        <f aca="false">IF(AND(C1017&gt;=Settings!$B$5-Settings!$B$8+1,C1017&lt;=Settings!$B$5,COUNTIFS($B$5:B1017,B1017,$C$5:C1017,"&gt;="&amp;(Settings!$B$5-Settings!$B$8+1),$C$5:C1017,"&lt;="&amp;Settings!$B$5)=1),1,0)</f>
        <v>0</v>
      </c>
      <c r="M1017" s="29" t="n">
        <f aca="false">IF(AND(C1017&gt;=Settings!$B$5-Settings!$B$9+1,C1017&lt;=Settings!$B$5,COUNTIFS($B$5:B1017,B1017,$C$5:C1017,"&gt;="&amp;(Settings!$B$5-Settings!$B$9+1),$C$5:C1017,"&lt;="&amp;Settings!$B$5)=1),1,0)</f>
        <v>0</v>
      </c>
      <c r="N1017" s="29" t="n">
        <f aca="false">IF(AND(D1017="Feature Use",COUNTIFS($B$5:B1017,B1017,$D$5:D1017,"Feature Use")=1),1,0)</f>
        <v>0</v>
      </c>
    </row>
    <row r="1018" customFormat="false" ht="15" hidden="false" customHeight="false" outlineLevel="0" collapsed="false">
      <c r="A1018" s="22" t="s">
        <v>1325</v>
      </c>
      <c r="B1018" s="22" t="s">
        <v>234</v>
      </c>
      <c r="C1018" s="31" t="n">
        <v>46297</v>
      </c>
      <c r="D1018" s="22" t="s">
        <v>297</v>
      </c>
      <c r="E1018" s="22" t="s">
        <v>298</v>
      </c>
      <c r="F1018" s="29" t="str">
        <f aca="false">IF(COUNTIF(Referral_Data!$C$5:$C$1000,B1018)&gt;0,"Referred",IF(COUNTIF(Referral_Data!$B$5:$B$1000,B1018)&gt;0,"Referrer","Organic"))</f>
        <v>Referred</v>
      </c>
      <c r="G1018" s="29" t="n">
        <f aca="false">IF(COUNTIFS($B$5:B1018,B1018,$C$5:C1018,C1018)=1,1,0)</f>
        <v>1</v>
      </c>
      <c r="H1018" s="29" t="n">
        <f aca="false">IF(AND(G1018=1,COUNTIFS($B$5:$B$1635,B1018,$C$5:$C$1635,"&lt;"&amp;C1018)&gt;0),1,0)</f>
        <v>1</v>
      </c>
      <c r="I1018" s="29" t="n">
        <f aca="false">IF(AND(D1018="Feature Use",COUNTIFS($B$5:B1018,B1018,$D$5:D1018,"Feature Use",$E$5:E1018,E1018)=1),1,0)</f>
        <v>0</v>
      </c>
      <c r="J1018" s="29" t="n">
        <f aca="false">IF(AND(D1018="Feature Use",COUNTIFS($B$5:B1018,B1018,$D$5:D1018,"Feature Use",$E$5:E1018,E1018)=2),1,0)</f>
        <v>0</v>
      </c>
      <c r="K1018" s="29" t="n">
        <f aca="false">IF(COUNTIF($B$5:B1018,B1018)=1,1,0)</f>
        <v>0</v>
      </c>
      <c r="L1018" s="29" t="n">
        <f aca="false">IF(AND(C1018&gt;=Settings!$B$5-Settings!$B$8+1,C1018&lt;=Settings!$B$5,COUNTIFS($B$5:B1018,B1018,$C$5:C1018,"&gt;="&amp;(Settings!$B$5-Settings!$B$8+1),$C$5:C1018,"&lt;="&amp;Settings!$B$5)=1),1,0)</f>
        <v>0</v>
      </c>
      <c r="M1018" s="29" t="n">
        <f aca="false">IF(AND(C1018&gt;=Settings!$B$5-Settings!$B$9+1,C1018&lt;=Settings!$B$5,COUNTIFS($B$5:B1018,B1018,$C$5:C1018,"&gt;="&amp;(Settings!$B$5-Settings!$B$9+1),$C$5:C1018,"&lt;="&amp;Settings!$B$5)=1),1,0)</f>
        <v>0</v>
      </c>
      <c r="N1018" s="29" t="n">
        <f aca="false">IF(AND(D1018="Feature Use",COUNTIFS($B$5:B1018,B1018,$D$5:D1018,"Feature Use")=1),1,0)</f>
        <v>0</v>
      </c>
    </row>
    <row r="1019" customFormat="false" ht="15" hidden="false" customHeight="false" outlineLevel="0" collapsed="false">
      <c r="A1019" s="22" t="s">
        <v>1326</v>
      </c>
      <c r="B1019" s="22" t="s">
        <v>234</v>
      </c>
      <c r="C1019" s="31" t="n">
        <v>46297</v>
      </c>
      <c r="D1019" s="22" t="s">
        <v>300</v>
      </c>
      <c r="E1019" s="22" t="s">
        <v>309</v>
      </c>
      <c r="F1019" s="29" t="str">
        <f aca="false">IF(COUNTIF(Referral_Data!$C$5:$C$1000,B1019)&gt;0,"Referred",IF(COUNTIF(Referral_Data!$B$5:$B$1000,B1019)&gt;0,"Referrer","Organic"))</f>
        <v>Referred</v>
      </c>
      <c r="G1019" s="29" t="n">
        <f aca="false">IF(COUNTIFS($B$5:B1019,B1019,$C$5:C1019,C1019)=1,1,0)</f>
        <v>0</v>
      </c>
      <c r="H1019" s="29" t="n">
        <f aca="false">IF(AND(G1019=1,COUNTIFS($B$5:$B$1635,B1019,$C$5:$C$1635,"&lt;"&amp;C1019)&gt;0),1,0)</f>
        <v>0</v>
      </c>
      <c r="I1019" s="29" t="n">
        <f aca="false">IF(AND(D1019="Feature Use",COUNTIFS($B$5:B1019,B1019,$D$5:D1019,"Feature Use",$E$5:E1019,E1019)=1),1,0)</f>
        <v>0</v>
      </c>
      <c r="J1019" s="29" t="n">
        <f aca="false">IF(AND(D1019="Feature Use",COUNTIFS($B$5:B1019,B1019,$D$5:D1019,"Feature Use",$E$5:E1019,E1019)=2),1,0)</f>
        <v>0</v>
      </c>
      <c r="K1019" s="29" t="n">
        <f aca="false">IF(COUNTIF($B$5:B1019,B1019)=1,1,0)</f>
        <v>0</v>
      </c>
      <c r="L1019" s="29" t="n">
        <f aca="false">IF(AND(C1019&gt;=Settings!$B$5-Settings!$B$8+1,C1019&lt;=Settings!$B$5,COUNTIFS($B$5:B1019,B1019,$C$5:C1019,"&gt;="&amp;(Settings!$B$5-Settings!$B$8+1),$C$5:C1019,"&lt;="&amp;Settings!$B$5)=1),1,0)</f>
        <v>0</v>
      </c>
      <c r="M1019" s="29" t="n">
        <f aca="false">IF(AND(C1019&gt;=Settings!$B$5-Settings!$B$9+1,C1019&lt;=Settings!$B$5,COUNTIFS($B$5:B1019,B1019,$C$5:C1019,"&gt;="&amp;(Settings!$B$5-Settings!$B$9+1),$C$5:C1019,"&lt;="&amp;Settings!$B$5)=1),1,0)</f>
        <v>0</v>
      </c>
      <c r="N1019" s="29" t="n">
        <f aca="false">IF(AND(D1019="Feature Use",COUNTIFS($B$5:B1019,B1019,$D$5:D1019,"Feature Use")=1),1,0)</f>
        <v>0</v>
      </c>
    </row>
    <row r="1020" customFormat="false" ht="15" hidden="false" customHeight="false" outlineLevel="0" collapsed="false">
      <c r="A1020" s="22" t="s">
        <v>1327</v>
      </c>
      <c r="B1020" s="22" t="s">
        <v>234</v>
      </c>
      <c r="C1020" s="31" t="n">
        <v>46297</v>
      </c>
      <c r="D1020" s="22" t="s">
        <v>300</v>
      </c>
      <c r="E1020" s="22" t="s">
        <v>319</v>
      </c>
      <c r="F1020" s="29" t="str">
        <f aca="false">IF(COUNTIF(Referral_Data!$C$5:$C$1000,B1020)&gt;0,"Referred",IF(COUNTIF(Referral_Data!$B$5:$B$1000,B1020)&gt;0,"Referrer","Organic"))</f>
        <v>Referred</v>
      </c>
      <c r="G1020" s="29" t="n">
        <f aca="false">IF(COUNTIFS($B$5:B1020,B1020,$C$5:C1020,C1020)=1,1,0)</f>
        <v>0</v>
      </c>
      <c r="H1020" s="29" t="n">
        <f aca="false">IF(AND(G1020=1,COUNTIFS($B$5:$B$1635,B1020,$C$5:$C$1635,"&lt;"&amp;C1020)&gt;0),1,0)</f>
        <v>0</v>
      </c>
      <c r="I1020" s="29" t="n">
        <f aca="false">IF(AND(D1020="Feature Use",COUNTIFS($B$5:B1020,B1020,$D$5:D1020,"Feature Use",$E$5:E1020,E1020)=1),1,0)</f>
        <v>0</v>
      </c>
      <c r="J1020" s="29" t="n">
        <f aca="false">IF(AND(D1020="Feature Use",COUNTIFS($B$5:B1020,B1020,$D$5:D1020,"Feature Use",$E$5:E1020,E1020)=2),1,0)</f>
        <v>0</v>
      </c>
      <c r="K1020" s="29" t="n">
        <f aca="false">IF(COUNTIF($B$5:B1020,B1020)=1,1,0)</f>
        <v>0</v>
      </c>
      <c r="L1020" s="29" t="n">
        <f aca="false">IF(AND(C1020&gt;=Settings!$B$5-Settings!$B$8+1,C1020&lt;=Settings!$B$5,COUNTIFS($B$5:B1020,B1020,$C$5:C1020,"&gt;="&amp;(Settings!$B$5-Settings!$B$8+1),$C$5:C1020,"&lt;="&amp;Settings!$B$5)=1),1,0)</f>
        <v>0</v>
      </c>
      <c r="M1020" s="29" t="n">
        <f aca="false">IF(AND(C1020&gt;=Settings!$B$5-Settings!$B$9+1,C1020&lt;=Settings!$B$5,COUNTIFS($B$5:B1020,B1020,$C$5:C1020,"&gt;="&amp;(Settings!$B$5-Settings!$B$9+1),$C$5:C1020,"&lt;="&amp;Settings!$B$5)=1),1,0)</f>
        <v>0</v>
      </c>
      <c r="N1020" s="29" t="n">
        <f aca="false">IF(AND(D1020="Feature Use",COUNTIFS($B$5:B1020,B1020,$D$5:D1020,"Feature Use")=1),1,0)</f>
        <v>0</v>
      </c>
    </row>
    <row r="1021" customFormat="false" ht="15" hidden="false" customHeight="false" outlineLevel="0" collapsed="false">
      <c r="A1021" s="22" t="s">
        <v>1328</v>
      </c>
      <c r="B1021" s="22" t="s">
        <v>234</v>
      </c>
      <c r="C1021" s="31" t="n">
        <v>46297</v>
      </c>
      <c r="D1021" s="22" t="s">
        <v>308</v>
      </c>
      <c r="E1021" s="22" t="s">
        <v>305</v>
      </c>
      <c r="F1021" s="29" t="str">
        <f aca="false">IF(COUNTIF(Referral_Data!$C$5:$C$1000,B1021)&gt;0,"Referred",IF(COUNTIF(Referral_Data!$B$5:$B$1000,B1021)&gt;0,"Referrer","Organic"))</f>
        <v>Referred</v>
      </c>
      <c r="G1021" s="29" t="n">
        <f aca="false">IF(COUNTIFS($B$5:B1021,B1021,$C$5:C1021,C1021)=1,1,0)</f>
        <v>0</v>
      </c>
      <c r="H1021" s="29" t="n">
        <f aca="false">IF(AND(G1021=1,COUNTIFS($B$5:$B$1635,B1021,$C$5:$C$1635,"&lt;"&amp;C1021)&gt;0),1,0)</f>
        <v>0</v>
      </c>
      <c r="I1021" s="29" t="n">
        <f aca="false">IF(AND(D1021="Feature Use",COUNTIFS($B$5:B1021,B1021,$D$5:D1021,"Feature Use",$E$5:E1021,E1021)=1),1,0)</f>
        <v>0</v>
      </c>
      <c r="J1021" s="29" t="n">
        <f aca="false">IF(AND(D1021="Feature Use",COUNTIFS($B$5:B1021,B1021,$D$5:D1021,"Feature Use",$E$5:E1021,E1021)=2),1,0)</f>
        <v>0</v>
      </c>
      <c r="K1021" s="29" t="n">
        <f aca="false">IF(COUNTIF($B$5:B1021,B1021)=1,1,0)</f>
        <v>0</v>
      </c>
      <c r="L1021" s="29" t="n">
        <f aca="false">IF(AND(C1021&gt;=Settings!$B$5-Settings!$B$8+1,C1021&lt;=Settings!$B$5,COUNTIFS($B$5:B1021,B1021,$C$5:C1021,"&gt;="&amp;(Settings!$B$5-Settings!$B$8+1),$C$5:C1021,"&lt;="&amp;Settings!$B$5)=1),1,0)</f>
        <v>0</v>
      </c>
      <c r="M1021" s="29" t="n">
        <f aca="false">IF(AND(C1021&gt;=Settings!$B$5-Settings!$B$9+1,C1021&lt;=Settings!$B$5,COUNTIFS($B$5:B1021,B1021,$C$5:C1021,"&gt;="&amp;(Settings!$B$5-Settings!$B$9+1),$C$5:C1021,"&lt;="&amp;Settings!$B$5)=1),1,0)</f>
        <v>0</v>
      </c>
      <c r="N1021" s="29" t="n">
        <f aca="false">IF(AND(D1021="Feature Use",COUNTIFS($B$5:B1021,B1021,$D$5:D1021,"Feature Use")=1),1,0)</f>
        <v>0</v>
      </c>
    </row>
    <row r="1022" customFormat="false" ht="15" hidden="false" customHeight="false" outlineLevel="0" collapsed="false">
      <c r="A1022" s="22" t="s">
        <v>1329</v>
      </c>
      <c r="B1022" s="22" t="s">
        <v>237</v>
      </c>
      <c r="C1022" s="31" t="n">
        <v>46297</v>
      </c>
      <c r="D1022" s="22" t="s">
        <v>297</v>
      </c>
      <c r="E1022" s="22" t="s">
        <v>298</v>
      </c>
      <c r="F1022" s="29" t="str">
        <f aca="false">IF(COUNTIF(Referral_Data!$C$5:$C$1000,B1022)&gt;0,"Referred",IF(COUNTIF(Referral_Data!$B$5:$B$1000,B1022)&gt;0,"Referrer","Organic"))</f>
        <v>Referred</v>
      </c>
      <c r="G1022" s="29" t="n">
        <f aca="false">IF(COUNTIFS($B$5:B1022,B1022,$C$5:C1022,C1022)=1,1,0)</f>
        <v>1</v>
      </c>
      <c r="H1022" s="29" t="n">
        <f aca="false">IF(AND(G1022=1,COUNTIFS($B$5:$B$1635,B1022,$C$5:$C$1635,"&lt;"&amp;C1022)&gt;0),1,0)</f>
        <v>1</v>
      </c>
      <c r="I1022" s="29" t="n">
        <f aca="false">IF(AND(D1022="Feature Use",COUNTIFS($B$5:B1022,B1022,$D$5:D1022,"Feature Use",$E$5:E1022,E1022)=1),1,0)</f>
        <v>0</v>
      </c>
      <c r="J1022" s="29" t="n">
        <f aca="false">IF(AND(D1022="Feature Use",COUNTIFS($B$5:B1022,B1022,$D$5:D1022,"Feature Use",$E$5:E1022,E1022)=2),1,0)</f>
        <v>0</v>
      </c>
      <c r="K1022" s="29" t="n">
        <f aca="false">IF(COUNTIF($B$5:B1022,B1022)=1,1,0)</f>
        <v>0</v>
      </c>
      <c r="L1022" s="29" t="n">
        <f aca="false">IF(AND(C1022&gt;=Settings!$B$5-Settings!$B$8+1,C1022&lt;=Settings!$B$5,COUNTIFS($B$5:B1022,B1022,$C$5:C1022,"&gt;="&amp;(Settings!$B$5-Settings!$B$8+1),$C$5:C1022,"&lt;="&amp;Settings!$B$5)=1),1,0)</f>
        <v>0</v>
      </c>
      <c r="M1022" s="29" t="n">
        <f aca="false">IF(AND(C1022&gt;=Settings!$B$5-Settings!$B$9+1,C1022&lt;=Settings!$B$5,COUNTIFS($B$5:B1022,B1022,$C$5:C1022,"&gt;="&amp;(Settings!$B$5-Settings!$B$9+1),$C$5:C1022,"&lt;="&amp;Settings!$B$5)=1),1,0)</f>
        <v>0</v>
      </c>
      <c r="N1022" s="29" t="n">
        <f aca="false">IF(AND(D1022="Feature Use",COUNTIFS($B$5:B1022,B1022,$D$5:D1022,"Feature Use")=1),1,0)</f>
        <v>0</v>
      </c>
    </row>
    <row r="1023" customFormat="false" ht="15" hidden="false" customHeight="false" outlineLevel="0" collapsed="false">
      <c r="A1023" s="22" t="s">
        <v>1330</v>
      </c>
      <c r="B1023" s="22" t="s">
        <v>237</v>
      </c>
      <c r="C1023" s="31" t="n">
        <v>46297</v>
      </c>
      <c r="D1023" s="22" t="s">
        <v>300</v>
      </c>
      <c r="E1023" s="22" t="s">
        <v>305</v>
      </c>
      <c r="F1023" s="29" t="str">
        <f aca="false">IF(COUNTIF(Referral_Data!$C$5:$C$1000,B1023)&gt;0,"Referred",IF(COUNTIF(Referral_Data!$B$5:$B$1000,B1023)&gt;0,"Referrer","Organic"))</f>
        <v>Referred</v>
      </c>
      <c r="G1023" s="29" t="n">
        <f aca="false">IF(COUNTIFS($B$5:B1023,B1023,$C$5:C1023,C1023)=1,1,0)</f>
        <v>0</v>
      </c>
      <c r="H1023" s="29" t="n">
        <f aca="false">IF(AND(G1023=1,COUNTIFS($B$5:$B$1635,B1023,$C$5:$C$1635,"&lt;"&amp;C1023)&gt;0),1,0)</f>
        <v>0</v>
      </c>
      <c r="I1023" s="29" t="n">
        <f aca="false">IF(AND(D1023="Feature Use",COUNTIFS($B$5:B1023,B1023,$D$5:D1023,"Feature Use",$E$5:E1023,E1023)=1),1,0)</f>
        <v>0</v>
      </c>
      <c r="J1023" s="29" t="n">
        <f aca="false">IF(AND(D1023="Feature Use",COUNTIFS($B$5:B1023,B1023,$D$5:D1023,"Feature Use",$E$5:E1023,E1023)=2),1,0)</f>
        <v>1</v>
      </c>
      <c r="K1023" s="29" t="n">
        <f aca="false">IF(COUNTIF($B$5:B1023,B1023)=1,1,0)</f>
        <v>0</v>
      </c>
      <c r="L1023" s="29" t="n">
        <f aca="false">IF(AND(C1023&gt;=Settings!$B$5-Settings!$B$8+1,C1023&lt;=Settings!$B$5,COUNTIFS($B$5:B1023,B1023,$C$5:C1023,"&gt;="&amp;(Settings!$B$5-Settings!$B$8+1),$C$5:C1023,"&lt;="&amp;Settings!$B$5)=1),1,0)</f>
        <v>0</v>
      </c>
      <c r="M1023" s="29" t="n">
        <f aca="false">IF(AND(C1023&gt;=Settings!$B$5-Settings!$B$9+1,C1023&lt;=Settings!$B$5,COUNTIFS($B$5:B1023,B1023,$C$5:C1023,"&gt;="&amp;(Settings!$B$5-Settings!$B$9+1),$C$5:C1023,"&lt;="&amp;Settings!$B$5)=1),1,0)</f>
        <v>0</v>
      </c>
      <c r="N1023" s="29" t="n">
        <f aca="false">IF(AND(D1023="Feature Use",COUNTIFS($B$5:B1023,B1023,$D$5:D1023,"Feature Use")=1),1,0)</f>
        <v>0</v>
      </c>
    </row>
    <row r="1024" customFormat="false" ht="15" hidden="false" customHeight="false" outlineLevel="0" collapsed="false">
      <c r="A1024" s="22" t="s">
        <v>1331</v>
      </c>
      <c r="B1024" s="22" t="s">
        <v>237</v>
      </c>
      <c r="C1024" s="31" t="n">
        <v>46297</v>
      </c>
      <c r="D1024" s="22" t="s">
        <v>300</v>
      </c>
      <c r="E1024" s="22" t="s">
        <v>309</v>
      </c>
      <c r="F1024" s="29" t="str">
        <f aca="false">IF(COUNTIF(Referral_Data!$C$5:$C$1000,B1024)&gt;0,"Referred",IF(COUNTIF(Referral_Data!$B$5:$B$1000,B1024)&gt;0,"Referrer","Organic"))</f>
        <v>Referred</v>
      </c>
      <c r="G1024" s="29" t="n">
        <f aca="false">IF(COUNTIFS($B$5:B1024,B1024,$C$5:C1024,C1024)=1,1,0)</f>
        <v>0</v>
      </c>
      <c r="H1024" s="29" t="n">
        <f aca="false">IF(AND(G1024=1,COUNTIFS($B$5:$B$1635,B1024,$C$5:$C$1635,"&lt;"&amp;C1024)&gt;0),1,0)</f>
        <v>0</v>
      </c>
      <c r="I1024" s="29" t="n">
        <f aca="false">IF(AND(D1024="Feature Use",COUNTIFS($B$5:B1024,B1024,$D$5:D1024,"Feature Use",$E$5:E1024,E1024)=1),1,0)</f>
        <v>1</v>
      </c>
      <c r="J1024" s="29" t="n">
        <f aca="false">IF(AND(D1024="Feature Use",COUNTIFS($B$5:B1024,B1024,$D$5:D1024,"Feature Use",$E$5:E1024,E1024)=2),1,0)</f>
        <v>0</v>
      </c>
      <c r="K1024" s="29" t="n">
        <f aca="false">IF(COUNTIF($B$5:B1024,B1024)=1,1,0)</f>
        <v>0</v>
      </c>
      <c r="L1024" s="29" t="n">
        <f aca="false">IF(AND(C1024&gt;=Settings!$B$5-Settings!$B$8+1,C1024&lt;=Settings!$B$5,COUNTIFS($B$5:B1024,B1024,$C$5:C1024,"&gt;="&amp;(Settings!$B$5-Settings!$B$8+1),$C$5:C1024,"&lt;="&amp;Settings!$B$5)=1),1,0)</f>
        <v>0</v>
      </c>
      <c r="M1024" s="29" t="n">
        <f aca="false">IF(AND(C1024&gt;=Settings!$B$5-Settings!$B$9+1,C1024&lt;=Settings!$B$5,COUNTIFS($B$5:B1024,B1024,$C$5:C1024,"&gt;="&amp;(Settings!$B$5-Settings!$B$9+1),$C$5:C1024,"&lt;="&amp;Settings!$B$5)=1),1,0)</f>
        <v>0</v>
      </c>
      <c r="N1024" s="29" t="n">
        <f aca="false">IF(AND(D1024="Feature Use",COUNTIFS($B$5:B1024,B1024,$D$5:D1024,"Feature Use")=1),1,0)</f>
        <v>0</v>
      </c>
    </row>
    <row r="1025" customFormat="false" ht="15" hidden="false" customHeight="false" outlineLevel="0" collapsed="false">
      <c r="A1025" s="22" t="s">
        <v>1332</v>
      </c>
      <c r="B1025" s="22" t="s">
        <v>178</v>
      </c>
      <c r="C1025" s="31" t="n">
        <v>46297</v>
      </c>
      <c r="D1025" s="22" t="s">
        <v>297</v>
      </c>
      <c r="E1025" s="22" t="s">
        <v>298</v>
      </c>
      <c r="F1025" s="29" t="str">
        <f aca="false">IF(COUNTIF(Referral_Data!$C$5:$C$1000,B1025)&gt;0,"Referred",IF(COUNTIF(Referral_Data!$B$5:$B$1000,B1025)&gt;0,"Referrer","Organic"))</f>
        <v>Referrer</v>
      </c>
      <c r="G1025" s="29" t="n">
        <f aca="false">IF(COUNTIFS($B$5:B1025,B1025,$C$5:C1025,C1025)=1,1,0)</f>
        <v>1</v>
      </c>
      <c r="H1025" s="29" t="n">
        <f aca="false">IF(AND(G1025=1,COUNTIFS($B$5:$B$1635,B1025,$C$5:$C$1635,"&lt;"&amp;C1025)&gt;0),1,0)</f>
        <v>1</v>
      </c>
      <c r="I1025" s="29" t="n">
        <f aca="false">IF(AND(D1025="Feature Use",COUNTIFS($B$5:B1025,B1025,$D$5:D1025,"Feature Use",$E$5:E1025,E1025)=1),1,0)</f>
        <v>0</v>
      </c>
      <c r="J1025" s="29" t="n">
        <f aca="false">IF(AND(D1025="Feature Use",COUNTIFS($B$5:B1025,B1025,$D$5:D1025,"Feature Use",$E$5:E1025,E1025)=2),1,0)</f>
        <v>0</v>
      </c>
      <c r="K1025" s="29" t="n">
        <f aca="false">IF(COUNTIF($B$5:B1025,B1025)=1,1,0)</f>
        <v>0</v>
      </c>
      <c r="L1025" s="29" t="n">
        <f aca="false">IF(AND(C1025&gt;=Settings!$B$5-Settings!$B$8+1,C1025&lt;=Settings!$B$5,COUNTIFS($B$5:B1025,B1025,$C$5:C1025,"&gt;="&amp;(Settings!$B$5-Settings!$B$8+1),$C$5:C1025,"&lt;="&amp;Settings!$B$5)=1),1,0)</f>
        <v>0</v>
      </c>
      <c r="M1025" s="29" t="n">
        <f aca="false">IF(AND(C1025&gt;=Settings!$B$5-Settings!$B$9+1,C1025&lt;=Settings!$B$5,COUNTIFS($B$5:B1025,B1025,$C$5:C1025,"&gt;="&amp;(Settings!$B$5-Settings!$B$9+1),$C$5:C1025,"&lt;="&amp;Settings!$B$5)=1),1,0)</f>
        <v>0</v>
      </c>
      <c r="N1025" s="29" t="n">
        <f aca="false">IF(AND(D1025="Feature Use",COUNTIFS($B$5:B1025,B1025,$D$5:D1025,"Feature Use")=1),1,0)</f>
        <v>0</v>
      </c>
    </row>
    <row r="1026" customFormat="false" ht="15" hidden="false" customHeight="false" outlineLevel="0" collapsed="false">
      <c r="A1026" s="22" t="s">
        <v>1333</v>
      </c>
      <c r="B1026" s="22" t="s">
        <v>178</v>
      </c>
      <c r="C1026" s="31" t="n">
        <v>46297</v>
      </c>
      <c r="D1026" s="22" t="s">
        <v>300</v>
      </c>
      <c r="E1026" s="22" t="s">
        <v>305</v>
      </c>
      <c r="F1026" s="29" t="str">
        <f aca="false">IF(COUNTIF(Referral_Data!$C$5:$C$1000,B1026)&gt;0,"Referred",IF(COUNTIF(Referral_Data!$B$5:$B$1000,B1026)&gt;0,"Referrer","Organic"))</f>
        <v>Referrer</v>
      </c>
      <c r="G1026" s="29" t="n">
        <f aca="false">IF(COUNTIFS($B$5:B1026,B1026,$C$5:C1026,C1026)=1,1,0)</f>
        <v>0</v>
      </c>
      <c r="H1026" s="29" t="n">
        <f aca="false">IF(AND(G1026=1,COUNTIFS($B$5:$B$1635,B1026,$C$5:$C$1635,"&lt;"&amp;C1026)&gt;0),1,0)</f>
        <v>0</v>
      </c>
      <c r="I1026" s="29" t="n">
        <f aca="false">IF(AND(D1026="Feature Use",COUNTIFS($B$5:B1026,B1026,$D$5:D1026,"Feature Use",$E$5:E1026,E1026)=1),1,0)</f>
        <v>0</v>
      </c>
      <c r="J1026" s="29" t="n">
        <f aca="false">IF(AND(D1026="Feature Use",COUNTIFS($B$5:B1026,B1026,$D$5:D1026,"Feature Use",$E$5:E1026,E1026)=2),1,0)</f>
        <v>0</v>
      </c>
      <c r="K1026" s="29" t="n">
        <f aca="false">IF(COUNTIF($B$5:B1026,B1026)=1,1,0)</f>
        <v>0</v>
      </c>
      <c r="L1026" s="29" t="n">
        <f aca="false">IF(AND(C1026&gt;=Settings!$B$5-Settings!$B$8+1,C1026&lt;=Settings!$B$5,COUNTIFS($B$5:B1026,B1026,$C$5:C1026,"&gt;="&amp;(Settings!$B$5-Settings!$B$8+1),$C$5:C1026,"&lt;="&amp;Settings!$B$5)=1),1,0)</f>
        <v>0</v>
      </c>
      <c r="M1026" s="29" t="n">
        <f aca="false">IF(AND(C1026&gt;=Settings!$B$5-Settings!$B$9+1,C1026&lt;=Settings!$B$5,COUNTIFS($B$5:B1026,B1026,$C$5:C1026,"&gt;="&amp;(Settings!$B$5-Settings!$B$9+1),$C$5:C1026,"&lt;="&amp;Settings!$B$5)=1),1,0)</f>
        <v>0</v>
      </c>
      <c r="N1026" s="29" t="n">
        <f aca="false">IF(AND(D1026="Feature Use",COUNTIFS($B$5:B1026,B1026,$D$5:D1026,"Feature Use")=1),1,0)</f>
        <v>0</v>
      </c>
    </row>
    <row r="1027" customFormat="false" ht="15" hidden="false" customHeight="false" outlineLevel="0" collapsed="false">
      <c r="A1027" s="22" t="s">
        <v>1334</v>
      </c>
      <c r="B1027" s="22" t="s">
        <v>200</v>
      </c>
      <c r="C1027" s="31" t="n">
        <v>46297</v>
      </c>
      <c r="D1027" s="22" t="s">
        <v>297</v>
      </c>
      <c r="E1027" s="22" t="s">
        <v>298</v>
      </c>
      <c r="F1027" s="29" t="str">
        <f aca="false">IF(COUNTIF(Referral_Data!$C$5:$C$1000,B1027)&gt;0,"Referred",IF(COUNTIF(Referral_Data!$B$5:$B$1000,B1027)&gt;0,"Referrer","Organic"))</f>
        <v>Referrer</v>
      </c>
      <c r="G1027" s="29" t="n">
        <f aca="false">IF(COUNTIFS($B$5:B1027,B1027,$C$5:C1027,C1027)=1,1,0)</f>
        <v>1</v>
      </c>
      <c r="H1027" s="29" t="n">
        <f aca="false">IF(AND(G1027=1,COUNTIFS($B$5:$B$1635,B1027,$C$5:$C$1635,"&lt;"&amp;C1027)&gt;0),1,0)</f>
        <v>1</v>
      </c>
      <c r="I1027" s="29" t="n">
        <f aca="false">IF(AND(D1027="Feature Use",COUNTIFS($B$5:B1027,B1027,$D$5:D1027,"Feature Use",$E$5:E1027,E1027)=1),1,0)</f>
        <v>0</v>
      </c>
      <c r="J1027" s="29" t="n">
        <f aca="false">IF(AND(D1027="Feature Use",COUNTIFS($B$5:B1027,B1027,$D$5:D1027,"Feature Use",$E$5:E1027,E1027)=2),1,0)</f>
        <v>0</v>
      </c>
      <c r="K1027" s="29" t="n">
        <f aca="false">IF(COUNTIF($B$5:B1027,B1027)=1,1,0)</f>
        <v>0</v>
      </c>
      <c r="L1027" s="29" t="n">
        <f aca="false">IF(AND(C1027&gt;=Settings!$B$5-Settings!$B$8+1,C1027&lt;=Settings!$B$5,COUNTIFS($B$5:B1027,B1027,$C$5:C1027,"&gt;="&amp;(Settings!$B$5-Settings!$B$8+1),$C$5:C1027,"&lt;="&amp;Settings!$B$5)=1),1,0)</f>
        <v>0</v>
      </c>
      <c r="M1027" s="29" t="n">
        <f aca="false">IF(AND(C1027&gt;=Settings!$B$5-Settings!$B$9+1,C1027&lt;=Settings!$B$5,COUNTIFS($B$5:B1027,B1027,$C$5:C1027,"&gt;="&amp;(Settings!$B$5-Settings!$B$9+1),$C$5:C1027,"&lt;="&amp;Settings!$B$5)=1),1,0)</f>
        <v>0</v>
      </c>
      <c r="N1027" s="29" t="n">
        <f aca="false">IF(AND(D1027="Feature Use",COUNTIFS($B$5:B1027,B1027,$D$5:D1027,"Feature Use")=1),1,0)</f>
        <v>0</v>
      </c>
    </row>
    <row r="1028" customFormat="false" ht="15" hidden="false" customHeight="false" outlineLevel="0" collapsed="false">
      <c r="A1028" s="22" t="s">
        <v>1335</v>
      </c>
      <c r="B1028" s="22" t="s">
        <v>200</v>
      </c>
      <c r="C1028" s="31" t="n">
        <v>46297</v>
      </c>
      <c r="D1028" s="22" t="s">
        <v>300</v>
      </c>
      <c r="E1028" s="22" t="s">
        <v>305</v>
      </c>
      <c r="F1028" s="29" t="str">
        <f aca="false">IF(COUNTIF(Referral_Data!$C$5:$C$1000,B1028)&gt;0,"Referred",IF(COUNTIF(Referral_Data!$B$5:$B$1000,B1028)&gt;0,"Referrer","Organic"))</f>
        <v>Referrer</v>
      </c>
      <c r="G1028" s="29" t="n">
        <f aca="false">IF(COUNTIFS($B$5:B1028,B1028,$C$5:C1028,C1028)=1,1,0)</f>
        <v>0</v>
      </c>
      <c r="H1028" s="29" t="n">
        <f aca="false">IF(AND(G1028=1,COUNTIFS($B$5:$B$1635,B1028,$C$5:$C$1635,"&lt;"&amp;C1028)&gt;0),1,0)</f>
        <v>0</v>
      </c>
      <c r="I1028" s="29" t="n">
        <f aca="false">IF(AND(D1028="Feature Use",COUNTIFS($B$5:B1028,B1028,$D$5:D1028,"Feature Use",$E$5:E1028,E1028)=1),1,0)</f>
        <v>0</v>
      </c>
      <c r="J1028" s="29" t="n">
        <f aca="false">IF(AND(D1028="Feature Use",COUNTIFS($B$5:B1028,B1028,$D$5:D1028,"Feature Use",$E$5:E1028,E1028)=2),1,0)</f>
        <v>0</v>
      </c>
      <c r="K1028" s="29" t="n">
        <f aca="false">IF(COUNTIF($B$5:B1028,B1028)=1,1,0)</f>
        <v>0</v>
      </c>
      <c r="L1028" s="29" t="n">
        <f aca="false">IF(AND(C1028&gt;=Settings!$B$5-Settings!$B$8+1,C1028&lt;=Settings!$B$5,COUNTIFS($B$5:B1028,B1028,$C$5:C1028,"&gt;="&amp;(Settings!$B$5-Settings!$B$8+1),$C$5:C1028,"&lt;="&amp;Settings!$B$5)=1),1,0)</f>
        <v>0</v>
      </c>
      <c r="M1028" s="29" t="n">
        <f aca="false">IF(AND(C1028&gt;=Settings!$B$5-Settings!$B$9+1,C1028&lt;=Settings!$B$5,COUNTIFS($B$5:B1028,B1028,$C$5:C1028,"&gt;="&amp;(Settings!$B$5-Settings!$B$9+1),$C$5:C1028,"&lt;="&amp;Settings!$B$5)=1),1,0)</f>
        <v>0</v>
      </c>
      <c r="N1028" s="29" t="n">
        <f aca="false">IF(AND(D1028="Feature Use",COUNTIFS($B$5:B1028,B1028,$D$5:D1028,"Feature Use")=1),1,0)</f>
        <v>0</v>
      </c>
    </row>
    <row r="1029" customFormat="false" ht="15" hidden="false" customHeight="false" outlineLevel="0" collapsed="false">
      <c r="A1029" s="22" t="s">
        <v>1336</v>
      </c>
      <c r="B1029" s="22" t="s">
        <v>200</v>
      </c>
      <c r="C1029" s="31" t="n">
        <v>46297</v>
      </c>
      <c r="D1029" s="22" t="s">
        <v>300</v>
      </c>
      <c r="E1029" s="22" t="s">
        <v>301</v>
      </c>
      <c r="F1029" s="29" t="str">
        <f aca="false">IF(COUNTIF(Referral_Data!$C$5:$C$1000,B1029)&gt;0,"Referred",IF(COUNTIF(Referral_Data!$B$5:$B$1000,B1029)&gt;0,"Referrer","Organic"))</f>
        <v>Referrer</v>
      </c>
      <c r="G1029" s="29" t="n">
        <f aca="false">IF(COUNTIFS($B$5:B1029,B1029,$C$5:C1029,C1029)=1,1,0)</f>
        <v>0</v>
      </c>
      <c r="H1029" s="29" t="n">
        <f aca="false">IF(AND(G1029=1,COUNTIFS($B$5:$B$1635,B1029,$C$5:$C$1635,"&lt;"&amp;C1029)&gt;0),1,0)</f>
        <v>0</v>
      </c>
      <c r="I1029" s="29" t="n">
        <f aca="false">IF(AND(D1029="Feature Use",COUNTIFS($B$5:B1029,B1029,$D$5:D1029,"Feature Use",$E$5:E1029,E1029)=1),1,0)</f>
        <v>0</v>
      </c>
      <c r="J1029" s="29" t="n">
        <f aca="false">IF(AND(D1029="Feature Use",COUNTIFS($B$5:B1029,B1029,$D$5:D1029,"Feature Use",$E$5:E1029,E1029)=2),1,0)</f>
        <v>1</v>
      </c>
      <c r="K1029" s="29" t="n">
        <f aca="false">IF(COUNTIF($B$5:B1029,B1029)=1,1,0)</f>
        <v>0</v>
      </c>
      <c r="L1029" s="29" t="n">
        <f aca="false">IF(AND(C1029&gt;=Settings!$B$5-Settings!$B$8+1,C1029&lt;=Settings!$B$5,COUNTIFS($B$5:B1029,B1029,$C$5:C1029,"&gt;="&amp;(Settings!$B$5-Settings!$B$8+1),$C$5:C1029,"&lt;="&amp;Settings!$B$5)=1),1,0)</f>
        <v>0</v>
      </c>
      <c r="M1029" s="29" t="n">
        <f aca="false">IF(AND(C1029&gt;=Settings!$B$5-Settings!$B$9+1,C1029&lt;=Settings!$B$5,COUNTIFS($B$5:B1029,B1029,$C$5:C1029,"&gt;="&amp;(Settings!$B$5-Settings!$B$9+1),$C$5:C1029,"&lt;="&amp;Settings!$B$5)=1),1,0)</f>
        <v>0</v>
      </c>
      <c r="N1029" s="29" t="n">
        <f aca="false">IF(AND(D1029="Feature Use",COUNTIFS($B$5:B1029,B1029,$D$5:D1029,"Feature Use")=1),1,0)</f>
        <v>0</v>
      </c>
    </row>
    <row r="1030" customFormat="false" ht="15" hidden="false" customHeight="false" outlineLevel="0" collapsed="false">
      <c r="A1030" s="22" t="s">
        <v>1337</v>
      </c>
      <c r="B1030" s="22" t="s">
        <v>215</v>
      </c>
      <c r="C1030" s="31" t="n">
        <v>46297</v>
      </c>
      <c r="D1030" s="22" t="s">
        <v>297</v>
      </c>
      <c r="E1030" s="22" t="s">
        <v>298</v>
      </c>
      <c r="F1030" s="29" t="str">
        <f aca="false">IF(COUNTIF(Referral_Data!$C$5:$C$1000,B1030)&gt;0,"Referred",IF(COUNTIF(Referral_Data!$B$5:$B$1000,B1030)&gt;0,"Referrer","Organic"))</f>
        <v>Referrer</v>
      </c>
      <c r="G1030" s="29" t="n">
        <f aca="false">IF(COUNTIFS($B$5:B1030,B1030,$C$5:C1030,C1030)=1,1,0)</f>
        <v>1</v>
      </c>
      <c r="H1030" s="29" t="n">
        <f aca="false">IF(AND(G1030=1,COUNTIFS($B$5:$B$1635,B1030,$C$5:$C$1635,"&lt;"&amp;C1030)&gt;0),1,0)</f>
        <v>1</v>
      </c>
      <c r="I1030" s="29" t="n">
        <f aca="false">IF(AND(D1030="Feature Use",COUNTIFS($B$5:B1030,B1030,$D$5:D1030,"Feature Use",$E$5:E1030,E1030)=1),1,0)</f>
        <v>0</v>
      </c>
      <c r="J1030" s="29" t="n">
        <f aca="false">IF(AND(D1030="Feature Use",COUNTIFS($B$5:B1030,B1030,$D$5:D1030,"Feature Use",$E$5:E1030,E1030)=2),1,0)</f>
        <v>0</v>
      </c>
      <c r="K1030" s="29" t="n">
        <f aca="false">IF(COUNTIF($B$5:B1030,B1030)=1,1,0)</f>
        <v>0</v>
      </c>
      <c r="L1030" s="29" t="n">
        <f aca="false">IF(AND(C1030&gt;=Settings!$B$5-Settings!$B$8+1,C1030&lt;=Settings!$B$5,COUNTIFS($B$5:B1030,B1030,$C$5:C1030,"&gt;="&amp;(Settings!$B$5-Settings!$B$8+1),$C$5:C1030,"&lt;="&amp;Settings!$B$5)=1),1,0)</f>
        <v>0</v>
      </c>
      <c r="M1030" s="29" t="n">
        <f aca="false">IF(AND(C1030&gt;=Settings!$B$5-Settings!$B$9+1,C1030&lt;=Settings!$B$5,COUNTIFS($B$5:B1030,B1030,$C$5:C1030,"&gt;="&amp;(Settings!$B$5-Settings!$B$9+1),$C$5:C1030,"&lt;="&amp;Settings!$B$5)=1),1,0)</f>
        <v>0</v>
      </c>
      <c r="N1030" s="29" t="n">
        <f aca="false">IF(AND(D1030="Feature Use",COUNTIFS($B$5:B1030,B1030,$D$5:D1030,"Feature Use")=1),1,0)</f>
        <v>0</v>
      </c>
    </row>
    <row r="1031" customFormat="false" ht="15" hidden="false" customHeight="false" outlineLevel="0" collapsed="false">
      <c r="A1031" s="22" t="s">
        <v>1338</v>
      </c>
      <c r="B1031" s="22" t="s">
        <v>215</v>
      </c>
      <c r="C1031" s="31" t="n">
        <v>46297</v>
      </c>
      <c r="D1031" s="22" t="s">
        <v>300</v>
      </c>
      <c r="E1031" s="22" t="s">
        <v>305</v>
      </c>
      <c r="F1031" s="29" t="str">
        <f aca="false">IF(COUNTIF(Referral_Data!$C$5:$C$1000,B1031)&gt;0,"Referred",IF(COUNTIF(Referral_Data!$B$5:$B$1000,B1031)&gt;0,"Referrer","Organic"))</f>
        <v>Referrer</v>
      </c>
      <c r="G1031" s="29" t="n">
        <f aca="false">IF(COUNTIFS($B$5:B1031,B1031,$C$5:C1031,C1031)=1,1,0)</f>
        <v>0</v>
      </c>
      <c r="H1031" s="29" t="n">
        <f aca="false">IF(AND(G1031=1,COUNTIFS($B$5:$B$1635,B1031,$C$5:$C$1635,"&lt;"&amp;C1031)&gt;0),1,0)</f>
        <v>0</v>
      </c>
      <c r="I1031" s="29" t="n">
        <f aca="false">IF(AND(D1031="Feature Use",COUNTIFS($B$5:B1031,B1031,$D$5:D1031,"Feature Use",$E$5:E1031,E1031)=1),1,0)</f>
        <v>0</v>
      </c>
      <c r="J1031" s="29" t="n">
        <f aca="false">IF(AND(D1031="Feature Use",COUNTIFS($B$5:B1031,B1031,$D$5:D1031,"Feature Use",$E$5:E1031,E1031)=2),1,0)</f>
        <v>0</v>
      </c>
      <c r="K1031" s="29" t="n">
        <f aca="false">IF(COUNTIF($B$5:B1031,B1031)=1,1,0)</f>
        <v>0</v>
      </c>
      <c r="L1031" s="29" t="n">
        <f aca="false">IF(AND(C1031&gt;=Settings!$B$5-Settings!$B$8+1,C1031&lt;=Settings!$B$5,COUNTIFS($B$5:B1031,B1031,$C$5:C1031,"&gt;="&amp;(Settings!$B$5-Settings!$B$8+1),$C$5:C1031,"&lt;="&amp;Settings!$B$5)=1),1,0)</f>
        <v>0</v>
      </c>
      <c r="M1031" s="29" t="n">
        <f aca="false">IF(AND(C1031&gt;=Settings!$B$5-Settings!$B$9+1,C1031&lt;=Settings!$B$5,COUNTIFS($B$5:B1031,B1031,$C$5:C1031,"&gt;="&amp;(Settings!$B$5-Settings!$B$9+1),$C$5:C1031,"&lt;="&amp;Settings!$B$5)=1),1,0)</f>
        <v>0</v>
      </c>
      <c r="N1031" s="29" t="n">
        <f aca="false">IF(AND(D1031="Feature Use",COUNTIFS($B$5:B1031,B1031,$D$5:D1031,"Feature Use")=1),1,0)</f>
        <v>0</v>
      </c>
    </row>
    <row r="1032" customFormat="false" ht="15" hidden="false" customHeight="false" outlineLevel="0" collapsed="false">
      <c r="A1032" s="22" t="s">
        <v>1339</v>
      </c>
      <c r="B1032" s="22" t="s">
        <v>215</v>
      </c>
      <c r="C1032" s="31" t="n">
        <v>46297</v>
      </c>
      <c r="D1032" s="22" t="s">
        <v>300</v>
      </c>
      <c r="E1032" s="22" t="s">
        <v>319</v>
      </c>
      <c r="F1032" s="29" t="str">
        <f aca="false">IF(COUNTIF(Referral_Data!$C$5:$C$1000,B1032)&gt;0,"Referred",IF(COUNTIF(Referral_Data!$B$5:$B$1000,B1032)&gt;0,"Referrer","Organic"))</f>
        <v>Referrer</v>
      </c>
      <c r="G1032" s="29" t="n">
        <f aca="false">IF(COUNTIFS($B$5:B1032,B1032,$C$5:C1032,C1032)=1,1,0)</f>
        <v>0</v>
      </c>
      <c r="H1032" s="29" t="n">
        <f aca="false">IF(AND(G1032=1,COUNTIFS($B$5:$B$1635,B1032,$C$5:$C$1635,"&lt;"&amp;C1032)&gt;0),1,0)</f>
        <v>0</v>
      </c>
      <c r="I1032" s="29" t="n">
        <f aca="false">IF(AND(D1032="Feature Use",COUNTIFS($B$5:B1032,B1032,$D$5:D1032,"Feature Use",$E$5:E1032,E1032)=1),1,0)</f>
        <v>1</v>
      </c>
      <c r="J1032" s="29" t="n">
        <f aca="false">IF(AND(D1032="Feature Use",COUNTIFS($B$5:B1032,B1032,$D$5:D1032,"Feature Use",$E$5:E1032,E1032)=2),1,0)</f>
        <v>0</v>
      </c>
      <c r="K1032" s="29" t="n">
        <f aca="false">IF(COUNTIF($B$5:B1032,B1032)=1,1,0)</f>
        <v>0</v>
      </c>
      <c r="L1032" s="29" t="n">
        <f aca="false">IF(AND(C1032&gt;=Settings!$B$5-Settings!$B$8+1,C1032&lt;=Settings!$B$5,COUNTIFS($B$5:B1032,B1032,$C$5:C1032,"&gt;="&amp;(Settings!$B$5-Settings!$B$8+1),$C$5:C1032,"&lt;="&amp;Settings!$B$5)=1),1,0)</f>
        <v>0</v>
      </c>
      <c r="M1032" s="29" t="n">
        <f aca="false">IF(AND(C1032&gt;=Settings!$B$5-Settings!$B$9+1,C1032&lt;=Settings!$B$5,COUNTIFS($B$5:B1032,B1032,$C$5:C1032,"&gt;="&amp;(Settings!$B$5-Settings!$B$9+1),$C$5:C1032,"&lt;="&amp;Settings!$B$5)=1),1,0)</f>
        <v>0</v>
      </c>
      <c r="N1032" s="29" t="n">
        <f aca="false">IF(AND(D1032="Feature Use",COUNTIFS($B$5:B1032,B1032,$D$5:D1032,"Feature Use")=1),1,0)</f>
        <v>0</v>
      </c>
    </row>
    <row r="1033" customFormat="false" ht="15" hidden="false" customHeight="false" outlineLevel="0" collapsed="false">
      <c r="A1033" s="22" t="s">
        <v>1340</v>
      </c>
      <c r="B1033" s="22" t="s">
        <v>175</v>
      </c>
      <c r="C1033" s="31" t="n">
        <v>46297</v>
      </c>
      <c r="D1033" s="22" t="s">
        <v>297</v>
      </c>
      <c r="E1033" s="22" t="s">
        <v>298</v>
      </c>
      <c r="F1033" s="29" t="str">
        <f aca="false">IF(COUNTIF(Referral_Data!$C$5:$C$1000,B1033)&gt;0,"Referred",IF(COUNTIF(Referral_Data!$B$5:$B$1000,B1033)&gt;0,"Referrer","Organic"))</f>
        <v>Referrer</v>
      </c>
      <c r="G1033" s="29" t="n">
        <f aca="false">IF(COUNTIFS($B$5:B1033,B1033,$C$5:C1033,C1033)=1,1,0)</f>
        <v>1</v>
      </c>
      <c r="H1033" s="29" t="n">
        <f aca="false">IF(AND(G1033=1,COUNTIFS($B$5:$B$1635,B1033,$C$5:$C$1635,"&lt;"&amp;C1033)&gt;0),1,0)</f>
        <v>1</v>
      </c>
      <c r="I1033" s="29" t="n">
        <f aca="false">IF(AND(D1033="Feature Use",COUNTIFS($B$5:B1033,B1033,$D$5:D1033,"Feature Use",$E$5:E1033,E1033)=1),1,0)</f>
        <v>0</v>
      </c>
      <c r="J1033" s="29" t="n">
        <f aca="false">IF(AND(D1033="Feature Use",COUNTIFS($B$5:B1033,B1033,$D$5:D1033,"Feature Use",$E$5:E1033,E1033)=2),1,0)</f>
        <v>0</v>
      </c>
      <c r="K1033" s="29" t="n">
        <f aca="false">IF(COUNTIF($B$5:B1033,B1033)=1,1,0)</f>
        <v>0</v>
      </c>
      <c r="L1033" s="29" t="n">
        <f aca="false">IF(AND(C1033&gt;=Settings!$B$5-Settings!$B$8+1,C1033&lt;=Settings!$B$5,COUNTIFS($B$5:B1033,B1033,$C$5:C1033,"&gt;="&amp;(Settings!$B$5-Settings!$B$8+1),$C$5:C1033,"&lt;="&amp;Settings!$B$5)=1),1,0)</f>
        <v>0</v>
      </c>
      <c r="M1033" s="29" t="n">
        <f aca="false">IF(AND(C1033&gt;=Settings!$B$5-Settings!$B$9+1,C1033&lt;=Settings!$B$5,COUNTIFS($B$5:B1033,B1033,$C$5:C1033,"&gt;="&amp;(Settings!$B$5-Settings!$B$9+1),$C$5:C1033,"&lt;="&amp;Settings!$B$5)=1),1,0)</f>
        <v>0</v>
      </c>
      <c r="N1033" s="29" t="n">
        <f aca="false">IF(AND(D1033="Feature Use",COUNTIFS($B$5:B1033,B1033,$D$5:D1033,"Feature Use")=1),1,0)</f>
        <v>0</v>
      </c>
    </row>
    <row r="1034" customFormat="false" ht="15" hidden="false" customHeight="false" outlineLevel="0" collapsed="false">
      <c r="A1034" s="22" t="s">
        <v>1341</v>
      </c>
      <c r="B1034" s="22" t="s">
        <v>175</v>
      </c>
      <c r="C1034" s="31" t="n">
        <v>46297</v>
      </c>
      <c r="D1034" s="22" t="s">
        <v>300</v>
      </c>
      <c r="E1034" s="22" t="s">
        <v>305</v>
      </c>
      <c r="F1034" s="29" t="str">
        <f aca="false">IF(COUNTIF(Referral_Data!$C$5:$C$1000,B1034)&gt;0,"Referred",IF(COUNTIF(Referral_Data!$B$5:$B$1000,B1034)&gt;0,"Referrer","Organic"))</f>
        <v>Referrer</v>
      </c>
      <c r="G1034" s="29" t="n">
        <f aca="false">IF(COUNTIFS($B$5:B1034,B1034,$C$5:C1034,C1034)=1,1,0)</f>
        <v>0</v>
      </c>
      <c r="H1034" s="29" t="n">
        <f aca="false">IF(AND(G1034=1,COUNTIFS($B$5:$B$1635,B1034,$C$5:$C$1635,"&lt;"&amp;C1034)&gt;0),1,0)</f>
        <v>0</v>
      </c>
      <c r="I1034" s="29" t="n">
        <f aca="false">IF(AND(D1034="Feature Use",COUNTIFS($B$5:B1034,B1034,$D$5:D1034,"Feature Use",$E$5:E1034,E1034)=1),1,0)</f>
        <v>0</v>
      </c>
      <c r="J1034" s="29" t="n">
        <f aca="false">IF(AND(D1034="Feature Use",COUNTIFS($B$5:B1034,B1034,$D$5:D1034,"Feature Use",$E$5:E1034,E1034)=2),1,0)</f>
        <v>0</v>
      </c>
      <c r="K1034" s="29" t="n">
        <f aca="false">IF(COUNTIF($B$5:B1034,B1034)=1,1,0)</f>
        <v>0</v>
      </c>
      <c r="L1034" s="29" t="n">
        <f aca="false">IF(AND(C1034&gt;=Settings!$B$5-Settings!$B$8+1,C1034&lt;=Settings!$B$5,COUNTIFS($B$5:B1034,B1034,$C$5:C1034,"&gt;="&amp;(Settings!$B$5-Settings!$B$8+1),$C$5:C1034,"&lt;="&amp;Settings!$B$5)=1),1,0)</f>
        <v>0</v>
      </c>
      <c r="M1034" s="29" t="n">
        <f aca="false">IF(AND(C1034&gt;=Settings!$B$5-Settings!$B$9+1,C1034&lt;=Settings!$B$5,COUNTIFS($B$5:B1034,B1034,$C$5:C1034,"&gt;="&amp;(Settings!$B$5-Settings!$B$9+1),$C$5:C1034,"&lt;="&amp;Settings!$B$5)=1),1,0)</f>
        <v>0</v>
      </c>
      <c r="N1034" s="29" t="n">
        <f aca="false">IF(AND(D1034="Feature Use",COUNTIFS($B$5:B1034,B1034,$D$5:D1034,"Feature Use")=1),1,0)</f>
        <v>0</v>
      </c>
    </row>
    <row r="1035" customFormat="false" ht="15" hidden="false" customHeight="false" outlineLevel="0" collapsed="false">
      <c r="A1035" s="22" t="s">
        <v>1342</v>
      </c>
      <c r="B1035" s="22" t="s">
        <v>329</v>
      </c>
      <c r="C1035" s="31" t="n">
        <v>46298</v>
      </c>
      <c r="D1035" s="22" t="s">
        <v>297</v>
      </c>
      <c r="E1035" s="22" t="s">
        <v>298</v>
      </c>
      <c r="F1035" s="29" t="str">
        <f aca="false">IF(COUNTIF(Referral_Data!$C$5:$C$1000,B1035)&gt;0,"Referred",IF(COUNTIF(Referral_Data!$B$5:$B$1000,B1035)&gt;0,"Referrer","Organic"))</f>
        <v>Organic</v>
      </c>
      <c r="G1035" s="29" t="n">
        <f aca="false">IF(COUNTIFS($B$5:B1035,B1035,$C$5:C1035,C1035)=1,1,0)</f>
        <v>1</v>
      </c>
      <c r="H1035" s="29" t="n">
        <f aca="false">IF(AND(G1035=1,COUNTIFS($B$5:$B$1635,B1035,$C$5:$C$1635,"&lt;"&amp;C1035)&gt;0),1,0)</f>
        <v>1</v>
      </c>
      <c r="I1035" s="29" t="n">
        <f aca="false">IF(AND(D1035="Feature Use",COUNTIFS($B$5:B1035,B1035,$D$5:D1035,"Feature Use",$E$5:E1035,E1035)=1),1,0)</f>
        <v>0</v>
      </c>
      <c r="J1035" s="29" t="n">
        <f aca="false">IF(AND(D1035="Feature Use",COUNTIFS($B$5:B1035,B1035,$D$5:D1035,"Feature Use",$E$5:E1035,E1035)=2),1,0)</f>
        <v>0</v>
      </c>
      <c r="K1035" s="29" t="n">
        <f aca="false">IF(COUNTIF($B$5:B1035,B1035)=1,1,0)</f>
        <v>0</v>
      </c>
      <c r="L1035" s="29" t="n">
        <f aca="false">IF(AND(C1035&gt;=Settings!$B$5-Settings!$B$8+1,C1035&lt;=Settings!$B$5,COUNTIFS($B$5:B1035,B1035,$C$5:C1035,"&gt;="&amp;(Settings!$B$5-Settings!$B$8+1),$C$5:C1035,"&lt;="&amp;Settings!$B$5)=1),1,0)</f>
        <v>0</v>
      </c>
      <c r="M1035" s="29" t="n">
        <f aca="false">IF(AND(C1035&gt;=Settings!$B$5-Settings!$B$9+1,C1035&lt;=Settings!$B$5,COUNTIFS($B$5:B1035,B1035,$C$5:C1035,"&gt;="&amp;(Settings!$B$5-Settings!$B$9+1),$C$5:C1035,"&lt;="&amp;Settings!$B$5)=1),1,0)</f>
        <v>0</v>
      </c>
      <c r="N1035" s="29" t="n">
        <f aca="false">IF(AND(D1035="Feature Use",COUNTIFS($B$5:B1035,B1035,$D$5:D1035,"Feature Use")=1),1,0)</f>
        <v>0</v>
      </c>
    </row>
    <row r="1036" customFormat="false" ht="15" hidden="false" customHeight="false" outlineLevel="0" collapsed="false">
      <c r="A1036" s="22" t="s">
        <v>1343</v>
      </c>
      <c r="B1036" s="22" t="s">
        <v>329</v>
      </c>
      <c r="C1036" s="31" t="n">
        <v>46298</v>
      </c>
      <c r="D1036" s="22" t="s">
        <v>300</v>
      </c>
      <c r="E1036" s="22" t="s">
        <v>305</v>
      </c>
      <c r="F1036" s="29" t="str">
        <f aca="false">IF(COUNTIF(Referral_Data!$C$5:$C$1000,B1036)&gt;0,"Referred",IF(COUNTIF(Referral_Data!$B$5:$B$1000,B1036)&gt;0,"Referrer","Organic"))</f>
        <v>Organic</v>
      </c>
      <c r="G1036" s="29" t="n">
        <f aca="false">IF(COUNTIFS($B$5:B1036,B1036,$C$5:C1036,C1036)=1,1,0)</f>
        <v>0</v>
      </c>
      <c r="H1036" s="29" t="n">
        <f aca="false">IF(AND(G1036=1,COUNTIFS($B$5:$B$1635,B1036,$C$5:$C$1635,"&lt;"&amp;C1036)&gt;0),1,0)</f>
        <v>0</v>
      </c>
      <c r="I1036" s="29" t="n">
        <f aca="false">IF(AND(D1036="Feature Use",COUNTIFS($B$5:B1036,B1036,$D$5:D1036,"Feature Use",$E$5:E1036,E1036)=1),1,0)</f>
        <v>0</v>
      </c>
      <c r="J1036" s="29" t="n">
        <f aca="false">IF(AND(D1036="Feature Use",COUNTIFS($B$5:B1036,B1036,$D$5:D1036,"Feature Use",$E$5:E1036,E1036)=2),1,0)</f>
        <v>0</v>
      </c>
      <c r="K1036" s="29" t="n">
        <f aca="false">IF(COUNTIF($B$5:B1036,B1036)=1,1,0)</f>
        <v>0</v>
      </c>
      <c r="L1036" s="29" t="n">
        <f aca="false">IF(AND(C1036&gt;=Settings!$B$5-Settings!$B$8+1,C1036&lt;=Settings!$B$5,COUNTIFS($B$5:B1036,B1036,$C$5:C1036,"&gt;="&amp;(Settings!$B$5-Settings!$B$8+1),$C$5:C1036,"&lt;="&amp;Settings!$B$5)=1),1,0)</f>
        <v>0</v>
      </c>
      <c r="M1036" s="29" t="n">
        <f aca="false">IF(AND(C1036&gt;=Settings!$B$5-Settings!$B$9+1,C1036&lt;=Settings!$B$5,COUNTIFS($B$5:B1036,B1036,$C$5:C1036,"&gt;="&amp;(Settings!$B$5-Settings!$B$9+1),$C$5:C1036,"&lt;="&amp;Settings!$B$5)=1),1,0)</f>
        <v>0</v>
      </c>
      <c r="N1036" s="29" t="n">
        <f aca="false">IF(AND(D1036="Feature Use",COUNTIFS($B$5:B1036,B1036,$D$5:D1036,"Feature Use")=1),1,0)</f>
        <v>0</v>
      </c>
    </row>
    <row r="1037" customFormat="false" ht="15" hidden="false" customHeight="false" outlineLevel="0" collapsed="false">
      <c r="A1037" s="22" t="s">
        <v>1344</v>
      </c>
      <c r="B1037" s="22" t="s">
        <v>329</v>
      </c>
      <c r="C1037" s="31" t="n">
        <v>46298</v>
      </c>
      <c r="D1037" s="22" t="s">
        <v>300</v>
      </c>
      <c r="E1037" s="22" t="s">
        <v>319</v>
      </c>
      <c r="F1037" s="29" t="str">
        <f aca="false">IF(COUNTIF(Referral_Data!$C$5:$C$1000,B1037)&gt;0,"Referred",IF(COUNTIF(Referral_Data!$B$5:$B$1000,B1037)&gt;0,"Referrer","Organic"))</f>
        <v>Organic</v>
      </c>
      <c r="G1037" s="29" t="n">
        <f aca="false">IF(COUNTIFS($B$5:B1037,B1037,$C$5:C1037,C1037)=1,1,0)</f>
        <v>0</v>
      </c>
      <c r="H1037" s="29" t="n">
        <f aca="false">IF(AND(G1037=1,COUNTIFS($B$5:$B$1635,B1037,$C$5:$C$1635,"&lt;"&amp;C1037)&gt;0),1,0)</f>
        <v>0</v>
      </c>
      <c r="I1037" s="29" t="n">
        <f aca="false">IF(AND(D1037="Feature Use",COUNTIFS($B$5:B1037,B1037,$D$5:D1037,"Feature Use",$E$5:E1037,E1037)=1),1,0)</f>
        <v>0</v>
      </c>
      <c r="J1037" s="29" t="n">
        <f aca="false">IF(AND(D1037="Feature Use",COUNTIFS($B$5:B1037,B1037,$D$5:D1037,"Feature Use",$E$5:E1037,E1037)=2),1,0)</f>
        <v>0</v>
      </c>
      <c r="K1037" s="29" t="n">
        <f aca="false">IF(COUNTIF($B$5:B1037,B1037)=1,1,0)</f>
        <v>0</v>
      </c>
      <c r="L1037" s="29" t="n">
        <f aca="false">IF(AND(C1037&gt;=Settings!$B$5-Settings!$B$8+1,C1037&lt;=Settings!$B$5,COUNTIFS($B$5:B1037,B1037,$C$5:C1037,"&gt;="&amp;(Settings!$B$5-Settings!$B$8+1),$C$5:C1037,"&lt;="&amp;Settings!$B$5)=1),1,0)</f>
        <v>0</v>
      </c>
      <c r="M1037" s="29" t="n">
        <f aca="false">IF(AND(C1037&gt;=Settings!$B$5-Settings!$B$9+1,C1037&lt;=Settings!$B$5,COUNTIFS($B$5:B1037,B1037,$C$5:C1037,"&gt;="&amp;(Settings!$B$5-Settings!$B$9+1),$C$5:C1037,"&lt;="&amp;Settings!$B$5)=1),1,0)</f>
        <v>0</v>
      </c>
      <c r="N1037" s="29" t="n">
        <f aca="false">IF(AND(D1037="Feature Use",COUNTIFS($B$5:B1037,B1037,$D$5:D1037,"Feature Use")=1),1,0)</f>
        <v>0</v>
      </c>
    </row>
    <row r="1038" customFormat="false" ht="15" hidden="false" customHeight="false" outlineLevel="0" collapsed="false">
      <c r="A1038" s="22" t="s">
        <v>1345</v>
      </c>
      <c r="B1038" s="22" t="s">
        <v>333</v>
      </c>
      <c r="C1038" s="31" t="n">
        <v>46298</v>
      </c>
      <c r="D1038" s="22" t="s">
        <v>297</v>
      </c>
      <c r="E1038" s="22" t="s">
        <v>298</v>
      </c>
      <c r="F1038" s="29" t="str">
        <f aca="false">IF(COUNTIF(Referral_Data!$C$5:$C$1000,B1038)&gt;0,"Referred",IF(COUNTIF(Referral_Data!$B$5:$B$1000,B1038)&gt;0,"Referrer","Organic"))</f>
        <v>Organic</v>
      </c>
      <c r="G1038" s="29" t="n">
        <f aca="false">IF(COUNTIFS($B$5:B1038,B1038,$C$5:C1038,C1038)=1,1,0)</f>
        <v>1</v>
      </c>
      <c r="H1038" s="29" t="n">
        <f aca="false">IF(AND(G1038=1,COUNTIFS($B$5:$B$1635,B1038,$C$5:$C$1635,"&lt;"&amp;C1038)&gt;0),1,0)</f>
        <v>1</v>
      </c>
      <c r="I1038" s="29" t="n">
        <f aca="false">IF(AND(D1038="Feature Use",COUNTIFS($B$5:B1038,B1038,$D$5:D1038,"Feature Use",$E$5:E1038,E1038)=1),1,0)</f>
        <v>0</v>
      </c>
      <c r="J1038" s="29" t="n">
        <f aca="false">IF(AND(D1038="Feature Use",COUNTIFS($B$5:B1038,B1038,$D$5:D1038,"Feature Use",$E$5:E1038,E1038)=2),1,0)</f>
        <v>0</v>
      </c>
      <c r="K1038" s="29" t="n">
        <f aca="false">IF(COUNTIF($B$5:B1038,B1038)=1,1,0)</f>
        <v>0</v>
      </c>
      <c r="L1038" s="29" t="n">
        <f aca="false">IF(AND(C1038&gt;=Settings!$B$5-Settings!$B$8+1,C1038&lt;=Settings!$B$5,COUNTIFS($B$5:B1038,B1038,$C$5:C1038,"&gt;="&amp;(Settings!$B$5-Settings!$B$8+1),$C$5:C1038,"&lt;="&amp;Settings!$B$5)=1),1,0)</f>
        <v>0</v>
      </c>
      <c r="M1038" s="29" t="n">
        <f aca="false">IF(AND(C1038&gt;=Settings!$B$5-Settings!$B$9+1,C1038&lt;=Settings!$B$5,COUNTIFS($B$5:B1038,B1038,$C$5:C1038,"&gt;="&amp;(Settings!$B$5-Settings!$B$9+1),$C$5:C1038,"&lt;="&amp;Settings!$B$5)=1),1,0)</f>
        <v>0</v>
      </c>
      <c r="N1038" s="29" t="n">
        <f aca="false">IF(AND(D1038="Feature Use",COUNTIFS($B$5:B1038,B1038,$D$5:D1038,"Feature Use")=1),1,0)</f>
        <v>0</v>
      </c>
    </row>
    <row r="1039" customFormat="false" ht="15" hidden="false" customHeight="false" outlineLevel="0" collapsed="false">
      <c r="A1039" s="22" t="s">
        <v>1346</v>
      </c>
      <c r="B1039" s="22" t="s">
        <v>333</v>
      </c>
      <c r="C1039" s="31" t="n">
        <v>46298</v>
      </c>
      <c r="D1039" s="22" t="s">
        <v>300</v>
      </c>
      <c r="E1039" s="22" t="s">
        <v>311</v>
      </c>
      <c r="F1039" s="29" t="str">
        <f aca="false">IF(COUNTIF(Referral_Data!$C$5:$C$1000,B1039)&gt;0,"Referred",IF(COUNTIF(Referral_Data!$B$5:$B$1000,B1039)&gt;0,"Referrer","Organic"))</f>
        <v>Organic</v>
      </c>
      <c r="G1039" s="29" t="n">
        <f aca="false">IF(COUNTIFS($B$5:B1039,B1039,$C$5:C1039,C1039)=1,1,0)</f>
        <v>0</v>
      </c>
      <c r="H1039" s="29" t="n">
        <f aca="false">IF(AND(G1039=1,COUNTIFS($B$5:$B$1635,B1039,$C$5:$C$1635,"&lt;"&amp;C1039)&gt;0),1,0)</f>
        <v>0</v>
      </c>
      <c r="I1039" s="29" t="n">
        <f aca="false">IF(AND(D1039="Feature Use",COUNTIFS($B$5:B1039,B1039,$D$5:D1039,"Feature Use",$E$5:E1039,E1039)=1),1,0)</f>
        <v>0</v>
      </c>
      <c r="J1039" s="29" t="n">
        <f aca="false">IF(AND(D1039="Feature Use",COUNTIFS($B$5:B1039,B1039,$D$5:D1039,"Feature Use",$E$5:E1039,E1039)=2),1,0)</f>
        <v>0</v>
      </c>
      <c r="K1039" s="29" t="n">
        <f aca="false">IF(COUNTIF($B$5:B1039,B1039)=1,1,0)</f>
        <v>0</v>
      </c>
      <c r="L1039" s="29" t="n">
        <f aca="false">IF(AND(C1039&gt;=Settings!$B$5-Settings!$B$8+1,C1039&lt;=Settings!$B$5,COUNTIFS($B$5:B1039,B1039,$C$5:C1039,"&gt;="&amp;(Settings!$B$5-Settings!$B$8+1),$C$5:C1039,"&lt;="&amp;Settings!$B$5)=1),1,0)</f>
        <v>0</v>
      </c>
      <c r="M1039" s="29" t="n">
        <f aca="false">IF(AND(C1039&gt;=Settings!$B$5-Settings!$B$9+1,C1039&lt;=Settings!$B$5,COUNTIFS($B$5:B1039,B1039,$C$5:C1039,"&gt;="&amp;(Settings!$B$5-Settings!$B$9+1),$C$5:C1039,"&lt;="&amp;Settings!$B$5)=1),1,0)</f>
        <v>0</v>
      </c>
      <c r="N1039" s="29" t="n">
        <f aca="false">IF(AND(D1039="Feature Use",COUNTIFS($B$5:B1039,B1039,$D$5:D1039,"Feature Use")=1),1,0)</f>
        <v>0</v>
      </c>
    </row>
    <row r="1040" customFormat="false" ht="15" hidden="false" customHeight="false" outlineLevel="0" collapsed="false">
      <c r="A1040" s="22" t="s">
        <v>1347</v>
      </c>
      <c r="B1040" s="22" t="s">
        <v>333</v>
      </c>
      <c r="C1040" s="31" t="n">
        <v>46298</v>
      </c>
      <c r="D1040" s="22" t="s">
        <v>308</v>
      </c>
      <c r="E1040" s="22" t="s">
        <v>311</v>
      </c>
      <c r="F1040" s="29" t="str">
        <f aca="false">IF(COUNTIF(Referral_Data!$C$5:$C$1000,B1040)&gt;0,"Referred",IF(COUNTIF(Referral_Data!$B$5:$B$1000,B1040)&gt;0,"Referrer","Organic"))</f>
        <v>Organic</v>
      </c>
      <c r="G1040" s="29" t="n">
        <f aca="false">IF(COUNTIFS($B$5:B1040,B1040,$C$5:C1040,C1040)=1,1,0)</f>
        <v>0</v>
      </c>
      <c r="H1040" s="29" t="n">
        <f aca="false">IF(AND(G1040=1,COUNTIFS($B$5:$B$1635,B1040,$C$5:$C$1635,"&lt;"&amp;C1040)&gt;0),1,0)</f>
        <v>0</v>
      </c>
      <c r="I1040" s="29" t="n">
        <f aca="false">IF(AND(D1040="Feature Use",COUNTIFS($B$5:B1040,B1040,$D$5:D1040,"Feature Use",$E$5:E1040,E1040)=1),1,0)</f>
        <v>0</v>
      </c>
      <c r="J1040" s="29" t="n">
        <f aca="false">IF(AND(D1040="Feature Use",COUNTIFS($B$5:B1040,B1040,$D$5:D1040,"Feature Use",$E$5:E1040,E1040)=2),1,0)</f>
        <v>0</v>
      </c>
      <c r="K1040" s="29" t="n">
        <f aca="false">IF(COUNTIF($B$5:B1040,B1040)=1,1,0)</f>
        <v>0</v>
      </c>
      <c r="L1040" s="29" t="n">
        <f aca="false">IF(AND(C1040&gt;=Settings!$B$5-Settings!$B$8+1,C1040&lt;=Settings!$B$5,COUNTIFS($B$5:B1040,B1040,$C$5:C1040,"&gt;="&amp;(Settings!$B$5-Settings!$B$8+1),$C$5:C1040,"&lt;="&amp;Settings!$B$5)=1),1,0)</f>
        <v>0</v>
      </c>
      <c r="M1040" s="29" t="n">
        <f aca="false">IF(AND(C1040&gt;=Settings!$B$5-Settings!$B$9+1,C1040&lt;=Settings!$B$5,COUNTIFS($B$5:B1040,B1040,$C$5:C1040,"&gt;="&amp;(Settings!$B$5-Settings!$B$9+1),$C$5:C1040,"&lt;="&amp;Settings!$B$5)=1),1,0)</f>
        <v>0</v>
      </c>
      <c r="N1040" s="29" t="n">
        <f aca="false">IF(AND(D1040="Feature Use",COUNTIFS($B$5:B1040,B1040,$D$5:D1040,"Feature Use")=1),1,0)</f>
        <v>0</v>
      </c>
    </row>
    <row r="1041" customFormat="false" ht="15" hidden="false" customHeight="false" outlineLevel="0" collapsed="false">
      <c r="A1041" s="22" t="s">
        <v>1348</v>
      </c>
      <c r="B1041" s="22" t="s">
        <v>333</v>
      </c>
      <c r="C1041" s="31" t="n">
        <v>46298</v>
      </c>
      <c r="D1041" s="22" t="s">
        <v>308</v>
      </c>
      <c r="E1041" s="22" t="s">
        <v>309</v>
      </c>
      <c r="F1041" s="29" t="str">
        <f aca="false">IF(COUNTIF(Referral_Data!$C$5:$C$1000,B1041)&gt;0,"Referred",IF(COUNTIF(Referral_Data!$B$5:$B$1000,B1041)&gt;0,"Referrer","Organic"))</f>
        <v>Organic</v>
      </c>
      <c r="G1041" s="29" t="n">
        <f aca="false">IF(COUNTIFS($B$5:B1041,B1041,$C$5:C1041,C1041)=1,1,0)</f>
        <v>0</v>
      </c>
      <c r="H1041" s="29" t="n">
        <f aca="false">IF(AND(G1041=1,COUNTIFS($B$5:$B$1635,B1041,$C$5:$C$1635,"&lt;"&amp;C1041)&gt;0),1,0)</f>
        <v>0</v>
      </c>
      <c r="I1041" s="29" t="n">
        <f aca="false">IF(AND(D1041="Feature Use",COUNTIFS($B$5:B1041,B1041,$D$5:D1041,"Feature Use",$E$5:E1041,E1041)=1),1,0)</f>
        <v>0</v>
      </c>
      <c r="J1041" s="29" t="n">
        <f aca="false">IF(AND(D1041="Feature Use",COUNTIFS($B$5:B1041,B1041,$D$5:D1041,"Feature Use",$E$5:E1041,E1041)=2),1,0)</f>
        <v>0</v>
      </c>
      <c r="K1041" s="29" t="n">
        <f aca="false">IF(COUNTIF($B$5:B1041,B1041)=1,1,0)</f>
        <v>0</v>
      </c>
      <c r="L1041" s="29" t="n">
        <f aca="false">IF(AND(C1041&gt;=Settings!$B$5-Settings!$B$8+1,C1041&lt;=Settings!$B$5,COUNTIFS($B$5:B1041,B1041,$C$5:C1041,"&gt;="&amp;(Settings!$B$5-Settings!$B$8+1),$C$5:C1041,"&lt;="&amp;Settings!$B$5)=1),1,0)</f>
        <v>0</v>
      </c>
      <c r="M1041" s="29" t="n">
        <f aca="false">IF(AND(C1041&gt;=Settings!$B$5-Settings!$B$9+1,C1041&lt;=Settings!$B$5,COUNTIFS($B$5:B1041,B1041,$C$5:C1041,"&gt;="&amp;(Settings!$B$5-Settings!$B$9+1),$C$5:C1041,"&lt;="&amp;Settings!$B$5)=1),1,0)</f>
        <v>0</v>
      </c>
      <c r="N1041" s="29" t="n">
        <f aca="false">IF(AND(D1041="Feature Use",COUNTIFS($B$5:B1041,B1041,$D$5:D1041,"Feature Use")=1),1,0)</f>
        <v>0</v>
      </c>
    </row>
    <row r="1042" customFormat="false" ht="15" hidden="false" customHeight="false" outlineLevel="0" collapsed="false">
      <c r="A1042" s="22" t="s">
        <v>1349</v>
      </c>
      <c r="B1042" s="22" t="s">
        <v>385</v>
      </c>
      <c r="C1042" s="31" t="n">
        <v>46298</v>
      </c>
      <c r="D1042" s="22" t="s">
        <v>297</v>
      </c>
      <c r="E1042" s="22" t="s">
        <v>298</v>
      </c>
      <c r="F1042" s="29" t="str">
        <f aca="false">IF(COUNTIF(Referral_Data!$C$5:$C$1000,B1042)&gt;0,"Referred",IF(COUNTIF(Referral_Data!$B$5:$B$1000,B1042)&gt;0,"Referrer","Organic"))</f>
        <v>Organic</v>
      </c>
      <c r="G1042" s="29" t="n">
        <f aca="false">IF(COUNTIFS($B$5:B1042,B1042,$C$5:C1042,C1042)=1,1,0)</f>
        <v>1</v>
      </c>
      <c r="H1042" s="29" t="n">
        <f aca="false">IF(AND(G1042=1,COUNTIFS($B$5:$B$1635,B1042,$C$5:$C$1635,"&lt;"&amp;C1042)&gt;0),1,0)</f>
        <v>1</v>
      </c>
      <c r="I1042" s="29" t="n">
        <f aca="false">IF(AND(D1042="Feature Use",COUNTIFS($B$5:B1042,B1042,$D$5:D1042,"Feature Use",$E$5:E1042,E1042)=1),1,0)</f>
        <v>0</v>
      </c>
      <c r="J1042" s="29" t="n">
        <f aca="false">IF(AND(D1042="Feature Use",COUNTIFS($B$5:B1042,B1042,$D$5:D1042,"Feature Use",$E$5:E1042,E1042)=2),1,0)</f>
        <v>0</v>
      </c>
      <c r="K1042" s="29" t="n">
        <f aca="false">IF(COUNTIF($B$5:B1042,B1042)=1,1,0)</f>
        <v>0</v>
      </c>
      <c r="L1042" s="29" t="n">
        <f aca="false">IF(AND(C1042&gt;=Settings!$B$5-Settings!$B$8+1,C1042&lt;=Settings!$B$5,COUNTIFS($B$5:B1042,B1042,$C$5:C1042,"&gt;="&amp;(Settings!$B$5-Settings!$B$8+1),$C$5:C1042,"&lt;="&amp;Settings!$B$5)=1),1,0)</f>
        <v>0</v>
      </c>
      <c r="M1042" s="29" t="n">
        <f aca="false">IF(AND(C1042&gt;=Settings!$B$5-Settings!$B$9+1,C1042&lt;=Settings!$B$5,COUNTIFS($B$5:B1042,B1042,$C$5:C1042,"&gt;="&amp;(Settings!$B$5-Settings!$B$9+1),$C$5:C1042,"&lt;="&amp;Settings!$B$5)=1),1,0)</f>
        <v>0</v>
      </c>
      <c r="N1042" s="29" t="n">
        <f aca="false">IF(AND(D1042="Feature Use",COUNTIFS($B$5:B1042,B1042,$D$5:D1042,"Feature Use")=1),1,0)</f>
        <v>0</v>
      </c>
    </row>
    <row r="1043" customFormat="false" ht="15" hidden="false" customHeight="false" outlineLevel="0" collapsed="false">
      <c r="A1043" s="22" t="s">
        <v>1350</v>
      </c>
      <c r="B1043" s="22" t="s">
        <v>385</v>
      </c>
      <c r="C1043" s="31" t="n">
        <v>46298</v>
      </c>
      <c r="D1043" s="22" t="s">
        <v>300</v>
      </c>
      <c r="E1043" s="22" t="s">
        <v>319</v>
      </c>
      <c r="F1043" s="29" t="str">
        <f aca="false">IF(COUNTIF(Referral_Data!$C$5:$C$1000,B1043)&gt;0,"Referred",IF(COUNTIF(Referral_Data!$B$5:$B$1000,B1043)&gt;0,"Referrer","Organic"))</f>
        <v>Organic</v>
      </c>
      <c r="G1043" s="29" t="n">
        <f aca="false">IF(COUNTIFS($B$5:B1043,B1043,$C$5:C1043,C1043)=1,1,0)</f>
        <v>0</v>
      </c>
      <c r="H1043" s="29" t="n">
        <f aca="false">IF(AND(G1043=1,COUNTIFS($B$5:$B$1635,B1043,$C$5:$C$1635,"&lt;"&amp;C1043)&gt;0),1,0)</f>
        <v>0</v>
      </c>
      <c r="I1043" s="29" t="n">
        <f aca="false">IF(AND(D1043="Feature Use",COUNTIFS($B$5:B1043,B1043,$D$5:D1043,"Feature Use",$E$5:E1043,E1043)=1),1,0)</f>
        <v>1</v>
      </c>
      <c r="J1043" s="29" t="n">
        <f aca="false">IF(AND(D1043="Feature Use",COUNTIFS($B$5:B1043,B1043,$D$5:D1043,"Feature Use",$E$5:E1043,E1043)=2),1,0)</f>
        <v>0</v>
      </c>
      <c r="K1043" s="29" t="n">
        <f aca="false">IF(COUNTIF($B$5:B1043,B1043)=1,1,0)</f>
        <v>0</v>
      </c>
      <c r="L1043" s="29" t="n">
        <f aca="false">IF(AND(C1043&gt;=Settings!$B$5-Settings!$B$8+1,C1043&lt;=Settings!$B$5,COUNTIFS($B$5:B1043,B1043,$C$5:C1043,"&gt;="&amp;(Settings!$B$5-Settings!$B$8+1),$C$5:C1043,"&lt;="&amp;Settings!$B$5)=1),1,0)</f>
        <v>0</v>
      </c>
      <c r="M1043" s="29" t="n">
        <f aca="false">IF(AND(C1043&gt;=Settings!$B$5-Settings!$B$9+1,C1043&lt;=Settings!$B$5,COUNTIFS($B$5:B1043,B1043,$C$5:C1043,"&gt;="&amp;(Settings!$B$5-Settings!$B$9+1),$C$5:C1043,"&lt;="&amp;Settings!$B$5)=1),1,0)</f>
        <v>0</v>
      </c>
      <c r="N1043" s="29" t="n">
        <f aca="false">IF(AND(D1043="Feature Use",COUNTIFS($B$5:B1043,B1043,$D$5:D1043,"Feature Use")=1),1,0)</f>
        <v>0</v>
      </c>
    </row>
    <row r="1044" customFormat="false" ht="15" hidden="false" customHeight="false" outlineLevel="0" collapsed="false">
      <c r="A1044" s="22" t="s">
        <v>1351</v>
      </c>
      <c r="B1044" s="22" t="s">
        <v>385</v>
      </c>
      <c r="C1044" s="31" t="n">
        <v>46298</v>
      </c>
      <c r="D1044" s="22" t="s">
        <v>300</v>
      </c>
      <c r="E1044" s="22" t="s">
        <v>305</v>
      </c>
      <c r="F1044" s="29" t="str">
        <f aca="false">IF(COUNTIF(Referral_Data!$C$5:$C$1000,B1044)&gt;0,"Referred",IF(COUNTIF(Referral_Data!$B$5:$B$1000,B1044)&gt;0,"Referrer","Organic"))</f>
        <v>Organic</v>
      </c>
      <c r="G1044" s="29" t="n">
        <f aca="false">IF(COUNTIFS($B$5:B1044,B1044,$C$5:C1044,C1044)=1,1,0)</f>
        <v>0</v>
      </c>
      <c r="H1044" s="29" t="n">
        <f aca="false">IF(AND(G1044=1,COUNTIFS($B$5:$B$1635,B1044,$C$5:$C$1635,"&lt;"&amp;C1044)&gt;0),1,0)</f>
        <v>0</v>
      </c>
      <c r="I1044" s="29" t="n">
        <f aca="false">IF(AND(D1044="Feature Use",COUNTIFS($B$5:B1044,B1044,$D$5:D1044,"Feature Use",$E$5:E1044,E1044)=1),1,0)</f>
        <v>0</v>
      </c>
      <c r="J1044" s="29" t="n">
        <f aca="false">IF(AND(D1044="Feature Use",COUNTIFS($B$5:B1044,B1044,$D$5:D1044,"Feature Use",$E$5:E1044,E1044)=2),1,0)</f>
        <v>0</v>
      </c>
      <c r="K1044" s="29" t="n">
        <f aca="false">IF(COUNTIF($B$5:B1044,B1044)=1,1,0)</f>
        <v>0</v>
      </c>
      <c r="L1044" s="29" t="n">
        <f aca="false">IF(AND(C1044&gt;=Settings!$B$5-Settings!$B$8+1,C1044&lt;=Settings!$B$5,COUNTIFS($B$5:B1044,B1044,$C$5:C1044,"&gt;="&amp;(Settings!$B$5-Settings!$B$8+1),$C$5:C1044,"&lt;="&amp;Settings!$B$5)=1),1,0)</f>
        <v>0</v>
      </c>
      <c r="M1044" s="29" t="n">
        <f aca="false">IF(AND(C1044&gt;=Settings!$B$5-Settings!$B$9+1,C1044&lt;=Settings!$B$5,COUNTIFS($B$5:B1044,B1044,$C$5:C1044,"&gt;="&amp;(Settings!$B$5-Settings!$B$9+1),$C$5:C1044,"&lt;="&amp;Settings!$B$5)=1),1,0)</f>
        <v>0</v>
      </c>
      <c r="N1044" s="29" t="n">
        <f aca="false">IF(AND(D1044="Feature Use",COUNTIFS($B$5:B1044,B1044,$D$5:D1044,"Feature Use")=1),1,0)</f>
        <v>0</v>
      </c>
    </row>
    <row r="1045" customFormat="false" ht="15" hidden="false" customHeight="false" outlineLevel="0" collapsed="false">
      <c r="A1045" s="22" t="s">
        <v>1352</v>
      </c>
      <c r="B1045" s="22" t="s">
        <v>168</v>
      </c>
      <c r="C1045" s="31" t="n">
        <v>46298</v>
      </c>
      <c r="D1045" s="22" t="s">
        <v>297</v>
      </c>
      <c r="E1045" s="22" t="s">
        <v>298</v>
      </c>
      <c r="F1045" s="29" t="str">
        <f aca="false">IF(COUNTIF(Referral_Data!$C$5:$C$1000,B1045)&gt;0,"Referred",IF(COUNTIF(Referral_Data!$B$5:$B$1000,B1045)&gt;0,"Referrer","Organic"))</f>
        <v>Referred</v>
      </c>
      <c r="G1045" s="29" t="n">
        <f aca="false">IF(COUNTIFS($B$5:B1045,B1045,$C$5:C1045,C1045)=1,1,0)</f>
        <v>1</v>
      </c>
      <c r="H1045" s="29" t="n">
        <f aca="false">IF(AND(G1045=1,COUNTIFS($B$5:$B$1635,B1045,$C$5:$C$1635,"&lt;"&amp;C1045)&gt;0),1,0)</f>
        <v>1</v>
      </c>
      <c r="I1045" s="29" t="n">
        <f aca="false">IF(AND(D1045="Feature Use",COUNTIFS($B$5:B1045,B1045,$D$5:D1045,"Feature Use",$E$5:E1045,E1045)=1),1,0)</f>
        <v>0</v>
      </c>
      <c r="J1045" s="29" t="n">
        <f aca="false">IF(AND(D1045="Feature Use",COUNTIFS($B$5:B1045,B1045,$D$5:D1045,"Feature Use",$E$5:E1045,E1045)=2),1,0)</f>
        <v>0</v>
      </c>
      <c r="K1045" s="29" t="n">
        <f aca="false">IF(COUNTIF($B$5:B1045,B1045)=1,1,0)</f>
        <v>0</v>
      </c>
      <c r="L1045" s="29" t="n">
        <f aca="false">IF(AND(C1045&gt;=Settings!$B$5-Settings!$B$8+1,C1045&lt;=Settings!$B$5,COUNTIFS($B$5:B1045,B1045,$C$5:C1045,"&gt;="&amp;(Settings!$B$5-Settings!$B$8+1),$C$5:C1045,"&lt;="&amp;Settings!$B$5)=1),1,0)</f>
        <v>0</v>
      </c>
      <c r="M1045" s="29" t="n">
        <f aca="false">IF(AND(C1045&gt;=Settings!$B$5-Settings!$B$9+1,C1045&lt;=Settings!$B$5,COUNTIFS($B$5:B1045,B1045,$C$5:C1045,"&gt;="&amp;(Settings!$B$5-Settings!$B$9+1),$C$5:C1045,"&lt;="&amp;Settings!$B$5)=1),1,0)</f>
        <v>0</v>
      </c>
      <c r="N1045" s="29" t="n">
        <f aca="false">IF(AND(D1045="Feature Use",COUNTIFS($B$5:B1045,B1045,$D$5:D1045,"Feature Use")=1),1,0)</f>
        <v>0</v>
      </c>
    </row>
    <row r="1046" customFormat="false" ht="15" hidden="false" customHeight="false" outlineLevel="0" collapsed="false">
      <c r="A1046" s="22" t="s">
        <v>1353</v>
      </c>
      <c r="B1046" s="22" t="s">
        <v>168</v>
      </c>
      <c r="C1046" s="31" t="n">
        <v>46298</v>
      </c>
      <c r="D1046" s="22" t="s">
        <v>300</v>
      </c>
      <c r="E1046" s="22" t="s">
        <v>309</v>
      </c>
      <c r="F1046" s="29" t="str">
        <f aca="false">IF(COUNTIF(Referral_Data!$C$5:$C$1000,B1046)&gt;0,"Referred",IF(COUNTIF(Referral_Data!$B$5:$B$1000,B1046)&gt;0,"Referrer","Organic"))</f>
        <v>Referred</v>
      </c>
      <c r="G1046" s="29" t="n">
        <f aca="false">IF(COUNTIFS($B$5:B1046,B1046,$C$5:C1046,C1046)=1,1,0)</f>
        <v>0</v>
      </c>
      <c r="H1046" s="29" t="n">
        <f aca="false">IF(AND(G1046=1,COUNTIFS($B$5:$B$1635,B1046,$C$5:$C$1635,"&lt;"&amp;C1046)&gt;0),1,0)</f>
        <v>0</v>
      </c>
      <c r="I1046" s="29" t="n">
        <f aca="false">IF(AND(D1046="Feature Use",COUNTIFS($B$5:B1046,B1046,$D$5:D1046,"Feature Use",$E$5:E1046,E1046)=1),1,0)</f>
        <v>0</v>
      </c>
      <c r="J1046" s="29" t="n">
        <f aca="false">IF(AND(D1046="Feature Use",COUNTIFS($B$5:B1046,B1046,$D$5:D1046,"Feature Use",$E$5:E1046,E1046)=2),1,0)</f>
        <v>0</v>
      </c>
      <c r="K1046" s="29" t="n">
        <f aca="false">IF(COUNTIF($B$5:B1046,B1046)=1,1,0)</f>
        <v>0</v>
      </c>
      <c r="L1046" s="29" t="n">
        <f aca="false">IF(AND(C1046&gt;=Settings!$B$5-Settings!$B$8+1,C1046&lt;=Settings!$B$5,COUNTIFS($B$5:B1046,B1046,$C$5:C1046,"&gt;="&amp;(Settings!$B$5-Settings!$B$8+1),$C$5:C1046,"&lt;="&amp;Settings!$B$5)=1),1,0)</f>
        <v>0</v>
      </c>
      <c r="M1046" s="29" t="n">
        <f aca="false">IF(AND(C1046&gt;=Settings!$B$5-Settings!$B$9+1,C1046&lt;=Settings!$B$5,COUNTIFS($B$5:B1046,B1046,$C$5:C1046,"&gt;="&amp;(Settings!$B$5-Settings!$B$9+1),$C$5:C1046,"&lt;="&amp;Settings!$B$5)=1),1,0)</f>
        <v>0</v>
      </c>
      <c r="N1046" s="29" t="n">
        <f aca="false">IF(AND(D1046="Feature Use",COUNTIFS($B$5:B1046,B1046,$D$5:D1046,"Feature Use")=1),1,0)</f>
        <v>0</v>
      </c>
    </row>
    <row r="1047" customFormat="false" ht="15" hidden="false" customHeight="false" outlineLevel="0" collapsed="false">
      <c r="A1047" s="22" t="s">
        <v>1354</v>
      </c>
      <c r="B1047" s="22" t="s">
        <v>168</v>
      </c>
      <c r="C1047" s="31" t="n">
        <v>46298</v>
      </c>
      <c r="D1047" s="22" t="s">
        <v>308</v>
      </c>
      <c r="E1047" s="22" t="s">
        <v>309</v>
      </c>
      <c r="F1047" s="29" t="str">
        <f aca="false">IF(COUNTIF(Referral_Data!$C$5:$C$1000,B1047)&gt;0,"Referred",IF(COUNTIF(Referral_Data!$B$5:$B$1000,B1047)&gt;0,"Referrer","Organic"))</f>
        <v>Referred</v>
      </c>
      <c r="G1047" s="29" t="n">
        <f aca="false">IF(COUNTIFS($B$5:B1047,B1047,$C$5:C1047,C1047)=1,1,0)</f>
        <v>0</v>
      </c>
      <c r="H1047" s="29" t="n">
        <f aca="false">IF(AND(G1047=1,COUNTIFS($B$5:$B$1635,B1047,$C$5:$C$1635,"&lt;"&amp;C1047)&gt;0),1,0)</f>
        <v>0</v>
      </c>
      <c r="I1047" s="29" t="n">
        <f aca="false">IF(AND(D1047="Feature Use",COUNTIFS($B$5:B1047,B1047,$D$5:D1047,"Feature Use",$E$5:E1047,E1047)=1),1,0)</f>
        <v>0</v>
      </c>
      <c r="J1047" s="29" t="n">
        <f aca="false">IF(AND(D1047="Feature Use",COUNTIFS($B$5:B1047,B1047,$D$5:D1047,"Feature Use",$E$5:E1047,E1047)=2),1,0)</f>
        <v>0</v>
      </c>
      <c r="K1047" s="29" t="n">
        <f aca="false">IF(COUNTIF($B$5:B1047,B1047)=1,1,0)</f>
        <v>0</v>
      </c>
      <c r="L1047" s="29" t="n">
        <f aca="false">IF(AND(C1047&gt;=Settings!$B$5-Settings!$B$8+1,C1047&lt;=Settings!$B$5,COUNTIFS($B$5:B1047,B1047,$C$5:C1047,"&gt;="&amp;(Settings!$B$5-Settings!$B$8+1),$C$5:C1047,"&lt;="&amp;Settings!$B$5)=1),1,0)</f>
        <v>0</v>
      </c>
      <c r="M1047" s="29" t="n">
        <f aca="false">IF(AND(C1047&gt;=Settings!$B$5-Settings!$B$9+1,C1047&lt;=Settings!$B$5,COUNTIFS($B$5:B1047,B1047,$C$5:C1047,"&gt;="&amp;(Settings!$B$5-Settings!$B$9+1),$C$5:C1047,"&lt;="&amp;Settings!$B$5)=1),1,0)</f>
        <v>0</v>
      </c>
      <c r="N1047" s="29" t="n">
        <f aca="false">IF(AND(D1047="Feature Use",COUNTIFS($B$5:B1047,B1047,$D$5:D1047,"Feature Use")=1),1,0)</f>
        <v>0</v>
      </c>
    </row>
    <row r="1048" customFormat="false" ht="15" hidden="false" customHeight="false" outlineLevel="0" collapsed="false">
      <c r="A1048" s="22" t="s">
        <v>1355</v>
      </c>
      <c r="B1048" s="22" t="s">
        <v>176</v>
      </c>
      <c r="C1048" s="31" t="n">
        <v>46298</v>
      </c>
      <c r="D1048" s="22" t="s">
        <v>297</v>
      </c>
      <c r="E1048" s="22" t="s">
        <v>298</v>
      </c>
      <c r="F1048" s="29" t="str">
        <f aca="false">IF(COUNTIF(Referral_Data!$C$5:$C$1000,B1048)&gt;0,"Referred",IF(COUNTIF(Referral_Data!$B$5:$B$1000,B1048)&gt;0,"Referrer","Organic"))</f>
        <v>Referred</v>
      </c>
      <c r="G1048" s="29" t="n">
        <f aca="false">IF(COUNTIFS($B$5:B1048,B1048,$C$5:C1048,C1048)=1,1,0)</f>
        <v>1</v>
      </c>
      <c r="H1048" s="29" t="n">
        <f aca="false">IF(AND(G1048=1,COUNTIFS($B$5:$B$1635,B1048,$C$5:$C$1635,"&lt;"&amp;C1048)&gt;0),1,0)</f>
        <v>1</v>
      </c>
      <c r="I1048" s="29" t="n">
        <f aca="false">IF(AND(D1048="Feature Use",COUNTIFS($B$5:B1048,B1048,$D$5:D1048,"Feature Use",$E$5:E1048,E1048)=1),1,0)</f>
        <v>0</v>
      </c>
      <c r="J1048" s="29" t="n">
        <f aca="false">IF(AND(D1048="Feature Use",COUNTIFS($B$5:B1048,B1048,$D$5:D1048,"Feature Use",$E$5:E1048,E1048)=2),1,0)</f>
        <v>0</v>
      </c>
      <c r="K1048" s="29" t="n">
        <f aca="false">IF(COUNTIF($B$5:B1048,B1048)=1,1,0)</f>
        <v>0</v>
      </c>
      <c r="L1048" s="29" t="n">
        <f aca="false">IF(AND(C1048&gt;=Settings!$B$5-Settings!$B$8+1,C1048&lt;=Settings!$B$5,COUNTIFS($B$5:B1048,B1048,$C$5:C1048,"&gt;="&amp;(Settings!$B$5-Settings!$B$8+1),$C$5:C1048,"&lt;="&amp;Settings!$B$5)=1),1,0)</f>
        <v>0</v>
      </c>
      <c r="M1048" s="29" t="n">
        <f aca="false">IF(AND(C1048&gt;=Settings!$B$5-Settings!$B$9+1,C1048&lt;=Settings!$B$5,COUNTIFS($B$5:B1048,B1048,$C$5:C1048,"&gt;="&amp;(Settings!$B$5-Settings!$B$9+1),$C$5:C1048,"&lt;="&amp;Settings!$B$5)=1),1,0)</f>
        <v>0</v>
      </c>
      <c r="N1048" s="29" t="n">
        <f aca="false">IF(AND(D1048="Feature Use",COUNTIFS($B$5:B1048,B1048,$D$5:D1048,"Feature Use")=1),1,0)</f>
        <v>0</v>
      </c>
    </row>
    <row r="1049" customFormat="false" ht="15" hidden="false" customHeight="false" outlineLevel="0" collapsed="false">
      <c r="A1049" s="22" t="s">
        <v>1356</v>
      </c>
      <c r="B1049" s="22" t="s">
        <v>176</v>
      </c>
      <c r="C1049" s="31" t="n">
        <v>46298</v>
      </c>
      <c r="D1049" s="22" t="s">
        <v>300</v>
      </c>
      <c r="E1049" s="22" t="s">
        <v>305</v>
      </c>
      <c r="F1049" s="29" t="str">
        <f aca="false">IF(COUNTIF(Referral_Data!$C$5:$C$1000,B1049)&gt;0,"Referred",IF(COUNTIF(Referral_Data!$B$5:$B$1000,B1049)&gt;0,"Referrer","Organic"))</f>
        <v>Referred</v>
      </c>
      <c r="G1049" s="29" t="n">
        <f aca="false">IF(COUNTIFS($B$5:B1049,B1049,$C$5:C1049,C1049)=1,1,0)</f>
        <v>0</v>
      </c>
      <c r="H1049" s="29" t="n">
        <f aca="false">IF(AND(G1049=1,COUNTIFS($B$5:$B$1635,B1049,$C$5:$C$1635,"&lt;"&amp;C1049)&gt;0),1,0)</f>
        <v>0</v>
      </c>
      <c r="I1049" s="29" t="n">
        <f aca="false">IF(AND(D1049="Feature Use",COUNTIFS($B$5:B1049,B1049,$D$5:D1049,"Feature Use",$E$5:E1049,E1049)=1),1,0)</f>
        <v>0</v>
      </c>
      <c r="J1049" s="29" t="n">
        <f aca="false">IF(AND(D1049="Feature Use",COUNTIFS($B$5:B1049,B1049,$D$5:D1049,"Feature Use",$E$5:E1049,E1049)=2),1,0)</f>
        <v>0</v>
      </c>
      <c r="K1049" s="29" t="n">
        <f aca="false">IF(COUNTIF($B$5:B1049,B1049)=1,1,0)</f>
        <v>0</v>
      </c>
      <c r="L1049" s="29" t="n">
        <f aca="false">IF(AND(C1049&gt;=Settings!$B$5-Settings!$B$8+1,C1049&lt;=Settings!$B$5,COUNTIFS($B$5:B1049,B1049,$C$5:C1049,"&gt;="&amp;(Settings!$B$5-Settings!$B$8+1),$C$5:C1049,"&lt;="&amp;Settings!$B$5)=1),1,0)</f>
        <v>0</v>
      </c>
      <c r="M1049" s="29" t="n">
        <f aca="false">IF(AND(C1049&gt;=Settings!$B$5-Settings!$B$9+1,C1049&lt;=Settings!$B$5,COUNTIFS($B$5:B1049,B1049,$C$5:C1049,"&gt;="&amp;(Settings!$B$5-Settings!$B$9+1),$C$5:C1049,"&lt;="&amp;Settings!$B$5)=1),1,0)</f>
        <v>0</v>
      </c>
      <c r="N1049" s="29" t="n">
        <f aca="false">IF(AND(D1049="Feature Use",COUNTIFS($B$5:B1049,B1049,$D$5:D1049,"Feature Use")=1),1,0)</f>
        <v>0</v>
      </c>
    </row>
    <row r="1050" customFormat="false" ht="15" hidden="false" customHeight="false" outlineLevel="0" collapsed="false">
      <c r="A1050" s="22" t="s">
        <v>1357</v>
      </c>
      <c r="B1050" s="22" t="s">
        <v>176</v>
      </c>
      <c r="C1050" s="31" t="n">
        <v>46298</v>
      </c>
      <c r="D1050" s="22" t="s">
        <v>300</v>
      </c>
      <c r="E1050" s="22" t="s">
        <v>305</v>
      </c>
      <c r="F1050" s="29" t="str">
        <f aca="false">IF(COUNTIF(Referral_Data!$C$5:$C$1000,B1050)&gt;0,"Referred",IF(COUNTIF(Referral_Data!$B$5:$B$1000,B1050)&gt;0,"Referrer","Organic"))</f>
        <v>Referred</v>
      </c>
      <c r="G1050" s="29" t="n">
        <f aca="false">IF(COUNTIFS($B$5:B1050,B1050,$C$5:C1050,C1050)=1,1,0)</f>
        <v>0</v>
      </c>
      <c r="H1050" s="29" t="n">
        <f aca="false">IF(AND(G1050=1,COUNTIFS($B$5:$B$1635,B1050,$C$5:$C$1635,"&lt;"&amp;C1050)&gt;0),1,0)</f>
        <v>0</v>
      </c>
      <c r="I1050" s="29" t="n">
        <f aca="false">IF(AND(D1050="Feature Use",COUNTIFS($B$5:B1050,B1050,$D$5:D1050,"Feature Use",$E$5:E1050,E1050)=1),1,0)</f>
        <v>0</v>
      </c>
      <c r="J1050" s="29" t="n">
        <f aca="false">IF(AND(D1050="Feature Use",COUNTIFS($B$5:B1050,B1050,$D$5:D1050,"Feature Use",$E$5:E1050,E1050)=2),1,0)</f>
        <v>0</v>
      </c>
      <c r="K1050" s="29" t="n">
        <f aca="false">IF(COUNTIF($B$5:B1050,B1050)=1,1,0)</f>
        <v>0</v>
      </c>
      <c r="L1050" s="29" t="n">
        <f aca="false">IF(AND(C1050&gt;=Settings!$B$5-Settings!$B$8+1,C1050&lt;=Settings!$B$5,COUNTIFS($B$5:B1050,B1050,$C$5:C1050,"&gt;="&amp;(Settings!$B$5-Settings!$B$8+1),$C$5:C1050,"&lt;="&amp;Settings!$B$5)=1),1,0)</f>
        <v>0</v>
      </c>
      <c r="M1050" s="29" t="n">
        <f aca="false">IF(AND(C1050&gt;=Settings!$B$5-Settings!$B$9+1,C1050&lt;=Settings!$B$5,COUNTIFS($B$5:B1050,B1050,$C$5:C1050,"&gt;="&amp;(Settings!$B$5-Settings!$B$9+1),$C$5:C1050,"&lt;="&amp;Settings!$B$5)=1),1,0)</f>
        <v>0</v>
      </c>
      <c r="N1050" s="29" t="n">
        <f aca="false">IF(AND(D1050="Feature Use",COUNTIFS($B$5:B1050,B1050,$D$5:D1050,"Feature Use")=1),1,0)</f>
        <v>0</v>
      </c>
    </row>
    <row r="1051" customFormat="false" ht="15" hidden="false" customHeight="false" outlineLevel="0" collapsed="false">
      <c r="A1051" s="22" t="s">
        <v>1358</v>
      </c>
      <c r="B1051" s="22" t="s">
        <v>176</v>
      </c>
      <c r="C1051" s="31" t="n">
        <v>46298</v>
      </c>
      <c r="D1051" s="22" t="s">
        <v>308</v>
      </c>
      <c r="E1051" s="22" t="s">
        <v>305</v>
      </c>
      <c r="F1051" s="29" t="str">
        <f aca="false">IF(COUNTIF(Referral_Data!$C$5:$C$1000,B1051)&gt;0,"Referred",IF(COUNTIF(Referral_Data!$B$5:$B$1000,B1051)&gt;0,"Referrer","Organic"))</f>
        <v>Referred</v>
      </c>
      <c r="G1051" s="29" t="n">
        <f aca="false">IF(COUNTIFS($B$5:B1051,B1051,$C$5:C1051,C1051)=1,1,0)</f>
        <v>0</v>
      </c>
      <c r="H1051" s="29" t="n">
        <f aca="false">IF(AND(G1051=1,COUNTIFS($B$5:$B$1635,B1051,$C$5:$C$1635,"&lt;"&amp;C1051)&gt;0),1,0)</f>
        <v>0</v>
      </c>
      <c r="I1051" s="29" t="n">
        <f aca="false">IF(AND(D1051="Feature Use",COUNTIFS($B$5:B1051,B1051,$D$5:D1051,"Feature Use",$E$5:E1051,E1051)=1),1,0)</f>
        <v>0</v>
      </c>
      <c r="J1051" s="29" t="n">
        <f aca="false">IF(AND(D1051="Feature Use",COUNTIFS($B$5:B1051,B1051,$D$5:D1051,"Feature Use",$E$5:E1051,E1051)=2),1,0)</f>
        <v>0</v>
      </c>
      <c r="K1051" s="29" t="n">
        <f aca="false">IF(COUNTIF($B$5:B1051,B1051)=1,1,0)</f>
        <v>0</v>
      </c>
      <c r="L1051" s="29" t="n">
        <f aca="false">IF(AND(C1051&gt;=Settings!$B$5-Settings!$B$8+1,C1051&lt;=Settings!$B$5,COUNTIFS($B$5:B1051,B1051,$C$5:C1051,"&gt;="&amp;(Settings!$B$5-Settings!$B$8+1),$C$5:C1051,"&lt;="&amp;Settings!$B$5)=1),1,0)</f>
        <v>0</v>
      </c>
      <c r="M1051" s="29" t="n">
        <f aca="false">IF(AND(C1051&gt;=Settings!$B$5-Settings!$B$9+1,C1051&lt;=Settings!$B$5,COUNTIFS($B$5:B1051,B1051,$C$5:C1051,"&gt;="&amp;(Settings!$B$5-Settings!$B$9+1),$C$5:C1051,"&lt;="&amp;Settings!$B$5)=1),1,0)</f>
        <v>0</v>
      </c>
      <c r="N1051" s="29" t="n">
        <f aca="false">IF(AND(D1051="Feature Use",COUNTIFS($B$5:B1051,B1051,$D$5:D1051,"Feature Use")=1),1,0)</f>
        <v>0</v>
      </c>
    </row>
    <row r="1052" customFormat="false" ht="15" hidden="false" customHeight="false" outlineLevel="0" collapsed="false">
      <c r="A1052" s="22" t="s">
        <v>1359</v>
      </c>
      <c r="B1052" s="22" t="s">
        <v>192</v>
      </c>
      <c r="C1052" s="31" t="n">
        <v>46298</v>
      </c>
      <c r="D1052" s="22" t="s">
        <v>297</v>
      </c>
      <c r="E1052" s="22" t="s">
        <v>298</v>
      </c>
      <c r="F1052" s="29" t="str">
        <f aca="false">IF(COUNTIF(Referral_Data!$C$5:$C$1000,B1052)&gt;0,"Referred",IF(COUNTIF(Referral_Data!$B$5:$B$1000,B1052)&gt;0,"Referrer","Organic"))</f>
        <v>Referred</v>
      </c>
      <c r="G1052" s="29" t="n">
        <f aca="false">IF(COUNTIFS($B$5:B1052,B1052,$C$5:C1052,C1052)=1,1,0)</f>
        <v>1</v>
      </c>
      <c r="H1052" s="29" t="n">
        <f aca="false">IF(AND(G1052=1,COUNTIFS($B$5:$B$1635,B1052,$C$5:$C$1635,"&lt;"&amp;C1052)&gt;0),1,0)</f>
        <v>1</v>
      </c>
      <c r="I1052" s="29" t="n">
        <f aca="false">IF(AND(D1052="Feature Use",COUNTIFS($B$5:B1052,B1052,$D$5:D1052,"Feature Use",$E$5:E1052,E1052)=1),1,0)</f>
        <v>0</v>
      </c>
      <c r="J1052" s="29" t="n">
        <f aca="false">IF(AND(D1052="Feature Use",COUNTIFS($B$5:B1052,B1052,$D$5:D1052,"Feature Use",$E$5:E1052,E1052)=2),1,0)</f>
        <v>0</v>
      </c>
      <c r="K1052" s="29" t="n">
        <f aca="false">IF(COUNTIF($B$5:B1052,B1052)=1,1,0)</f>
        <v>0</v>
      </c>
      <c r="L1052" s="29" t="n">
        <f aca="false">IF(AND(C1052&gt;=Settings!$B$5-Settings!$B$8+1,C1052&lt;=Settings!$B$5,COUNTIFS($B$5:B1052,B1052,$C$5:C1052,"&gt;="&amp;(Settings!$B$5-Settings!$B$8+1),$C$5:C1052,"&lt;="&amp;Settings!$B$5)=1),1,0)</f>
        <v>0</v>
      </c>
      <c r="M1052" s="29" t="n">
        <f aca="false">IF(AND(C1052&gt;=Settings!$B$5-Settings!$B$9+1,C1052&lt;=Settings!$B$5,COUNTIFS($B$5:B1052,B1052,$C$5:C1052,"&gt;="&amp;(Settings!$B$5-Settings!$B$9+1),$C$5:C1052,"&lt;="&amp;Settings!$B$5)=1),1,0)</f>
        <v>0</v>
      </c>
      <c r="N1052" s="29" t="n">
        <f aca="false">IF(AND(D1052="Feature Use",COUNTIFS($B$5:B1052,B1052,$D$5:D1052,"Feature Use")=1),1,0)</f>
        <v>0</v>
      </c>
    </row>
    <row r="1053" customFormat="false" ht="15" hidden="false" customHeight="false" outlineLevel="0" collapsed="false">
      <c r="A1053" s="22" t="s">
        <v>1360</v>
      </c>
      <c r="B1053" s="22" t="s">
        <v>192</v>
      </c>
      <c r="C1053" s="31" t="n">
        <v>46298</v>
      </c>
      <c r="D1053" s="22" t="s">
        <v>300</v>
      </c>
      <c r="E1053" s="22" t="s">
        <v>311</v>
      </c>
      <c r="F1053" s="29" t="str">
        <f aca="false">IF(COUNTIF(Referral_Data!$C$5:$C$1000,B1053)&gt;0,"Referred",IF(COUNTIF(Referral_Data!$B$5:$B$1000,B1053)&gt;0,"Referrer","Organic"))</f>
        <v>Referred</v>
      </c>
      <c r="G1053" s="29" t="n">
        <f aca="false">IF(COUNTIFS($B$5:B1053,B1053,$C$5:C1053,C1053)=1,1,0)</f>
        <v>0</v>
      </c>
      <c r="H1053" s="29" t="n">
        <f aca="false">IF(AND(G1053=1,COUNTIFS($B$5:$B$1635,B1053,$C$5:$C$1635,"&lt;"&amp;C1053)&gt;0),1,0)</f>
        <v>0</v>
      </c>
      <c r="I1053" s="29" t="n">
        <f aca="false">IF(AND(D1053="Feature Use",COUNTIFS($B$5:B1053,B1053,$D$5:D1053,"Feature Use",$E$5:E1053,E1053)=1),1,0)</f>
        <v>0</v>
      </c>
      <c r="J1053" s="29" t="n">
        <f aca="false">IF(AND(D1053="Feature Use",COUNTIFS($B$5:B1053,B1053,$D$5:D1053,"Feature Use",$E$5:E1053,E1053)=2),1,0)</f>
        <v>0</v>
      </c>
      <c r="K1053" s="29" t="n">
        <f aca="false">IF(COUNTIF($B$5:B1053,B1053)=1,1,0)</f>
        <v>0</v>
      </c>
      <c r="L1053" s="29" t="n">
        <f aca="false">IF(AND(C1053&gt;=Settings!$B$5-Settings!$B$8+1,C1053&lt;=Settings!$B$5,COUNTIFS($B$5:B1053,B1053,$C$5:C1053,"&gt;="&amp;(Settings!$B$5-Settings!$B$8+1),$C$5:C1053,"&lt;="&amp;Settings!$B$5)=1),1,0)</f>
        <v>0</v>
      </c>
      <c r="M1053" s="29" t="n">
        <f aca="false">IF(AND(C1053&gt;=Settings!$B$5-Settings!$B$9+1,C1053&lt;=Settings!$B$5,COUNTIFS($B$5:B1053,B1053,$C$5:C1053,"&gt;="&amp;(Settings!$B$5-Settings!$B$9+1),$C$5:C1053,"&lt;="&amp;Settings!$B$5)=1),1,0)</f>
        <v>0</v>
      </c>
      <c r="N1053" s="29" t="n">
        <f aca="false">IF(AND(D1053="Feature Use",COUNTIFS($B$5:B1053,B1053,$D$5:D1053,"Feature Use")=1),1,0)</f>
        <v>0</v>
      </c>
    </row>
    <row r="1054" customFormat="false" ht="15" hidden="false" customHeight="false" outlineLevel="0" collapsed="false">
      <c r="A1054" s="22" t="s">
        <v>1361</v>
      </c>
      <c r="B1054" s="22" t="s">
        <v>194</v>
      </c>
      <c r="C1054" s="31" t="n">
        <v>46298</v>
      </c>
      <c r="D1054" s="22" t="s">
        <v>297</v>
      </c>
      <c r="E1054" s="22" t="s">
        <v>298</v>
      </c>
      <c r="F1054" s="29" t="str">
        <f aca="false">IF(COUNTIF(Referral_Data!$C$5:$C$1000,B1054)&gt;0,"Referred",IF(COUNTIF(Referral_Data!$B$5:$B$1000,B1054)&gt;0,"Referrer","Organic"))</f>
        <v>Referred</v>
      </c>
      <c r="G1054" s="29" t="n">
        <f aca="false">IF(COUNTIFS($B$5:B1054,B1054,$C$5:C1054,C1054)=1,1,0)</f>
        <v>1</v>
      </c>
      <c r="H1054" s="29" t="n">
        <f aca="false">IF(AND(G1054=1,COUNTIFS($B$5:$B$1635,B1054,$C$5:$C$1635,"&lt;"&amp;C1054)&gt;0),1,0)</f>
        <v>1</v>
      </c>
      <c r="I1054" s="29" t="n">
        <f aca="false">IF(AND(D1054="Feature Use",COUNTIFS($B$5:B1054,B1054,$D$5:D1054,"Feature Use",$E$5:E1054,E1054)=1),1,0)</f>
        <v>0</v>
      </c>
      <c r="J1054" s="29" t="n">
        <f aca="false">IF(AND(D1054="Feature Use",COUNTIFS($B$5:B1054,B1054,$D$5:D1054,"Feature Use",$E$5:E1054,E1054)=2),1,0)</f>
        <v>0</v>
      </c>
      <c r="K1054" s="29" t="n">
        <f aca="false">IF(COUNTIF($B$5:B1054,B1054)=1,1,0)</f>
        <v>0</v>
      </c>
      <c r="L1054" s="29" t="n">
        <f aca="false">IF(AND(C1054&gt;=Settings!$B$5-Settings!$B$8+1,C1054&lt;=Settings!$B$5,COUNTIFS($B$5:B1054,B1054,$C$5:C1054,"&gt;="&amp;(Settings!$B$5-Settings!$B$8+1),$C$5:C1054,"&lt;="&amp;Settings!$B$5)=1),1,0)</f>
        <v>0</v>
      </c>
      <c r="M1054" s="29" t="n">
        <f aca="false">IF(AND(C1054&gt;=Settings!$B$5-Settings!$B$9+1,C1054&lt;=Settings!$B$5,COUNTIFS($B$5:B1054,B1054,$C$5:C1054,"&gt;="&amp;(Settings!$B$5-Settings!$B$9+1),$C$5:C1054,"&lt;="&amp;Settings!$B$5)=1),1,0)</f>
        <v>0</v>
      </c>
      <c r="N1054" s="29" t="n">
        <f aca="false">IF(AND(D1054="Feature Use",COUNTIFS($B$5:B1054,B1054,$D$5:D1054,"Feature Use")=1),1,0)</f>
        <v>0</v>
      </c>
    </row>
    <row r="1055" customFormat="false" ht="15" hidden="false" customHeight="false" outlineLevel="0" collapsed="false">
      <c r="A1055" s="22" t="s">
        <v>1362</v>
      </c>
      <c r="B1055" s="22" t="s">
        <v>194</v>
      </c>
      <c r="C1055" s="31" t="n">
        <v>46298</v>
      </c>
      <c r="D1055" s="22" t="s">
        <v>300</v>
      </c>
      <c r="E1055" s="22" t="s">
        <v>305</v>
      </c>
      <c r="F1055" s="29" t="str">
        <f aca="false">IF(COUNTIF(Referral_Data!$C$5:$C$1000,B1055)&gt;0,"Referred",IF(COUNTIF(Referral_Data!$B$5:$B$1000,B1055)&gt;0,"Referrer","Organic"))</f>
        <v>Referred</v>
      </c>
      <c r="G1055" s="29" t="n">
        <f aca="false">IF(COUNTIFS($B$5:B1055,B1055,$C$5:C1055,C1055)=1,1,0)</f>
        <v>0</v>
      </c>
      <c r="H1055" s="29" t="n">
        <f aca="false">IF(AND(G1055=1,COUNTIFS($B$5:$B$1635,B1055,$C$5:$C$1635,"&lt;"&amp;C1055)&gt;0),1,0)</f>
        <v>0</v>
      </c>
      <c r="I1055" s="29" t="n">
        <f aca="false">IF(AND(D1055="Feature Use",COUNTIFS($B$5:B1055,B1055,$D$5:D1055,"Feature Use",$E$5:E1055,E1055)=1),1,0)</f>
        <v>0</v>
      </c>
      <c r="J1055" s="29" t="n">
        <f aca="false">IF(AND(D1055="Feature Use",COUNTIFS($B$5:B1055,B1055,$D$5:D1055,"Feature Use",$E$5:E1055,E1055)=2),1,0)</f>
        <v>0</v>
      </c>
      <c r="K1055" s="29" t="n">
        <f aca="false">IF(COUNTIF($B$5:B1055,B1055)=1,1,0)</f>
        <v>0</v>
      </c>
      <c r="L1055" s="29" t="n">
        <f aca="false">IF(AND(C1055&gt;=Settings!$B$5-Settings!$B$8+1,C1055&lt;=Settings!$B$5,COUNTIFS($B$5:B1055,B1055,$C$5:C1055,"&gt;="&amp;(Settings!$B$5-Settings!$B$8+1),$C$5:C1055,"&lt;="&amp;Settings!$B$5)=1),1,0)</f>
        <v>0</v>
      </c>
      <c r="M1055" s="29" t="n">
        <f aca="false">IF(AND(C1055&gt;=Settings!$B$5-Settings!$B$9+1,C1055&lt;=Settings!$B$5,COUNTIFS($B$5:B1055,B1055,$C$5:C1055,"&gt;="&amp;(Settings!$B$5-Settings!$B$9+1),$C$5:C1055,"&lt;="&amp;Settings!$B$5)=1),1,0)</f>
        <v>0</v>
      </c>
      <c r="N1055" s="29" t="n">
        <f aca="false">IF(AND(D1055="Feature Use",COUNTIFS($B$5:B1055,B1055,$D$5:D1055,"Feature Use")=1),1,0)</f>
        <v>0</v>
      </c>
    </row>
    <row r="1056" customFormat="false" ht="15" hidden="false" customHeight="false" outlineLevel="0" collapsed="false">
      <c r="A1056" s="22" t="s">
        <v>1363</v>
      </c>
      <c r="B1056" s="22" t="s">
        <v>194</v>
      </c>
      <c r="C1056" s="31" t="n">
        <v>46298</v>
      </c>
      <c r="D1056" s="22" t="s">
        <v>308</v>
      </c>
      <c r="E1056" s="22" t="s">
        <v>301</v>
      </c>
      <c r="F1056" s="29" t="str">
        <f aca="false">IF(COUNTIF(Referral_Data!$C$5:$C$1000,B1056)&gt;0,"Referred",IF(COUNTIF(Referral_Data!$B$5:$B$1000,B1056)&gt;0,"Referrer","Organic"))</f>
        <v>Referred</v>
      </c>
      <c r="G1056" s="29" t="n">
        <f aca="false">IF(COUNTIFS($B$5:B1056,B1056,$C$5:C1056,C1056)=1,1,0)</f>
        <v>0</v>
      </c>
      <c r="H1056" s="29" t="n">
        <f aca="false">IF(AND(G1056=1,COUNTIFS($B$5:$B$1635,B1056,$C$5:$C$1635,"&lt;"&amp;C1056)&gt;0),1,0)</f>
        <v>0</v>
      </c>
      <c r="I1056" s="29" t="n">
        <f aca="false">IF(AND(D1056="Feature Use",COUNTIFS($B$5:B1056,B1056,$D$5:D1056,"Feature Use",$E$5:E1056,E1056)=1),1,0)</f>
        <v>0</v>
      </c>
      <c r="J1056" s="29" t="n">
        <f aca="false">IF(AND(D1056="Feature Use",COUNTIFS($B$5:B1056,B1056,$D$5:D1056,"Feature Use",$E$5:E1056,E1056)=2),1,0)</f>
        <v>0</v>
      </c>
      <c r="K1056" s="29" t="n">
        <f aca="false">IF(COUNTIF($B$5:B1056,B1056)=1,1,0)</f>
        <v>0</v>
      </c>
      <c r="L1056" s="29" t="n">
        <f aca="false">IF(AND(C1056&gt;=Settings!$B$5-Settings!$B$8+1,C1056&lt;=Settings!$B$5,COUNTIFS($B$5:B1056,B1056,$C$5:C1056,"&gt;="&amp;(Settings!$B$5-Settings!$B$8+1),$C$5:C1056,"&lt;="&amp;Settings!$B$5)=1),1,0)</f>
        <v>0</v>
      </c>
      <c r="M1056" s="29" t="n">
        <f aca="false">IF(AND(C1056&gt;=Settings!$B$5-Settings!$B$9+1,C1056&lt;=Settings!$B$5,COUNTIFS($B$5:B1056,B1056,$C$5:C1056,"&gt;="&amp;(Settings!$B$5-Settings!$B$9+1),$C$5:C1056,"&lt;="&amp;Settings!$B$5)=1),1,0)</f>
        <v>0</v>
      </c>
      <c r="N1056" s="29" t="n">
        <f aca="false">IF(AND(D1056="Feature Use",COUNTIFS($B$5:B1056,B1056,$D$5:D1056,"Feature Use")=1),1,0)</f>
        <v>0</v>
      </c>
    </row>
    <row r="1057" customFormat="false" ht="15" hidden="false" customHeight="false" outlineLevel="0" collapsed="false">
      <c r="A1057" s="22" t="s">
        <v>1364</v>
      </c>
      <c r="B1057" s="22" t="s">
        <v>220</v>
      </c>
      <c r="C1057" s="31" t="n">
        <v>46298</v>
      </c>
      <c r="D1057" s="22" t="s">
        <v>297</v>
      </c>
      <c r="E1057" s="22" t="s">
        <v>298</v>
      </c>
      <c r="F1057" s="29" t="str">
        <f aca="false">IF(COUNTIF(Referral_Data!$C$5:$C$1000,B1057)&gt;0,"Referred",IF(COUNTIF(Referral_Data!$B$5:$B$1000,B1057)&gt;0,"Referrer","Organic"))</f>
        <v>Referred</v>
      </c>
      <c r="G1057" s="29" t="n">
        <f aca="false">IF(COUNTIFS($B$5:B1057,B1057,$C$5:C1057,C1057)=1,1,0)</f>
        <v>1</v>
      </c>
      <c r="H1057" s="29" t="n">
        <f aca="false">IF(AND(G1057=1,COUNTIFS($B$5:$B$1635,B1057,$C$5:$C$1635,"&lt;"&amp;C1057)&gt;0),1,0)</f>
        <v>1</v>
      </c>
      <c r="I1057" s="29" t="n">
        <f aca="false">IF(AND(D1057="Feature Use",COUNTIFS($B$5:B1057,B1057,$D$5:D1057,"Feature Use",$E$5:E1057,E1057)=1),1,0)</f>
        <v>0</v>
      </c>
      <c r="J1057" s="29" t="n">
        <f aca="false">IF(AND(D1057="Feature Use",COUNTIFS($B$5:B1057,B1057,$D$5:D1057,"Feature Use",$E$5:E1057,E1057)=2),1,0)</f>
        <v>0</v>
      </c>
      <c r="K1057" s="29" t="n">
        <f aca="false">IF(COUNTIF($B$5:B1057,B1057)=1,1,0)</f>
        <v>0</v>
      </c>
      <c r="L1057" s="29" t="n">
        <f aca="false">IF(AND(C1057&gt;=Settings!$B$5-Settings!$B$8+1,C1057&lt;=Settings!$B$5,COUNTIFS($B$5:B1057,B1057,$C$5:C1057,"&gt;="&amp;(Settings!$B$5-Settings!$B$8+1),$C$5:C1057,"&lt;="&amp;Settings!$B$5)=1),1,0)</f>
        <v>0</v>
      </c>
      <c r="M1057" s="29" t="n">
        <f aca="false">IF(AND(C1057&gt;=Settings!$B$5-Settings!$B$9+1,C1057&lt;=Settings!$B$5,COUNTIFS($B$5:B1057,B1057,$C$5:C1057,"&gt;="&amp;(Settings!$B$5-Settings!$B$9+1),$C$5:C1057,"&lt;="&amp;Settings!$B$5)=1),1,0)</f>
        <v>0</v>
      </c>
      <c r="N1057" s="29" t="n">
        <f aca="false">IF(AND(D1057="Feature Use",COUNTIFS($B$5:B1057,B1057,$D$5:D1057,"Feature Use")=1),1,0)</f>
        <v>0</v>
      </c>
    </row>
    <row r="1058" customFormat="false" ht="15" hidden="false" customHeight="false" outlineLevel="0" collapsed="false">
      <c r="A1058" s="22" t="s">
        <v>1365</v>
      </c>
      <c r="B1058" s="22" t="s">
        <v>220</v>
      </c>
      <c r="C1058" s="31" t="n">
        <v>46298</v>
      </c>
      <c r="D1058" s="22" t="s">
        <v>300</v>
      </c>
      <c r="E1058" s="22" t="s">
        <v>319</v>
      </c>
      <c r="F1058" s="29" t="str">
        <f aca="false">IF(COUNTIF(Referral_Data!$C$5:$C$1000,B1058)&gt;0,"Referred",IF(COUNTIF(Referral_Data!$B$5:$B$1000,B1058)&gt;0,"Referrer","Organic"))</f>
        <v>Referred</v>
      </c>
      <c r="G1058" s="29" t="n">
        <f aca="false">IF(COUNTIFS($B$5:B1058,B1058,$C$5:C1058,C1058)=1,1,0)</f>
        <v>0</v>
      </c>
      <c r="H1058" s="29" t="n">
        <f aca="false">IF(AND(G1058=1,COUNTIFS($B$5:$B$1635,B1058,$C$5:$C$1635,"&lt;"&amp;C1058)&gt;0),1,0)</f>
        <v>0</v>
      </c>
      <c r="I1058" s="29" t="n">
        <f aca="false">IF(AND(D1058="Feature Use",COUNTIFS($B$5:B1058,B1058,$D$5:D1058,"Feature Use",$E$5:E1058,E1058)=1),1,0)</f>
        <v>1</v>
      </c>
      <c r="J1058" s="29" t="n">
        <f aca="false">IF(AND(D1058="Feature Use",COUNTIFS($B$5:B1058,B1058,$D$5:D1058,"Feature Use",$E$5:E1058,E1058)=2),1,0)</f>
        <v>0</v>
      </c>
      <c r="K1058" s="29" t="n">
        <f aca="false">IF(COUNTIF($B$5:B1058,B1058)=1,1,0)</f>
        <v>0</v>
      </c>
      <c r="L1058" s="29" t="n">
        <f aca="false">IF(AND(C1058&gt;=Settings!$B$5-Settings!$B$8+1,C1058&lt;=Settings!$B$5,COUNTIFS($B$5:B1058,B1058,$C$5:C1058,"&gt;="&amp;(Settings!$B$5-Settings!$B$8+1),$C$5:C1058,"&lt;="&amp;Settings!$B$5)=1),1,0)</f>
        <v>0</v>
      </c>
      <c r="M1058" s="29" t="n">
        <f aca="false">IF(AND(C1058&gt;=Settings!$B$5-Settings!$B$9+1,C1058&lt;=Settings!$B$5,COUNTIFS($B$5:B1058,B1058,$C$5:C1058,"&gt;="&amp;(Settings!$B$5-Settings!$B$9+1),$C$5:C1058,"&lt;="&amp;Settings!$B$5)=1),1,0)</f>
        <v>0</v>
      </c>
      <c r="N1058" s="29" t="n">
        <f aca="false">IF(AND(D1058="Feature Use",COUNTIFS($B$5:B1058,B1058,$D$5:D1058,"Feature Use")=1),1,0)</f>
        <v>0</v>
      </c>
    </row>
    <row r="1059" customFormat="false" ht="15" hidden="false" customHeight="false" outlineLevel="0" collapsed="false">
      <c r="A1059" s="22" t="s">
        <v>1366</v>
      </c>
      <c r="B1059" s="22" t="s">
        <v>220</v>
      </c>
      <c r="C1059" s="31" t="n">
        <v>46298</v>
      </c>
      <c r="D1059" s="22" t="s">
        <v>308</v>
      </c>
      <c r="E1059" s="22" t="s">
        <v>311</v>
      </c>
      <c r="F1059" s="29" t="str">
        <f aca="false">IF(COUNTIF(Referral_Data!$C$5:$C$1000,B1059)&gt;0,"Referred",IF(COUNTIF(Referral_Data!$B$5:$B$1000,B1059)&gt;0,"Referrer","Organic"))</f>
        <v>Referred</v>
      </c>
      <c r="G1059" s="29" t="n">
        <f aca="false">IF(COUNTIFS($B$5:B1059,B1059,$C$5:C1059,C1059)=1,1,0)</f>
        <v>0</v>
      </c>
      <c r="H1059" s="29" t="n">
        <f aca="false">IF(AND(G1059=1,COUNTIFS($B$5:$B$1635,B1059,$C$5:$C$1635,"&lt;"&amp;C1059)&gt;0),1,0)</f>
        <v>0</v>
      </c>
      <c r="I1059" s="29" t="n">
        <f aca="false">IF(AND(D1059="Feature Use",COUNTIFS($B$5:B1059,B1059,$D$5:D1059,"Feature Use",$E$5:E1059,E1059)=1),1,0)</f>
        <v>0</v>
      </c>
      <c r="J1059" s="29" t="n">
        <f aca="false">IF(AND(D1059="Feature Use",COUNTIFS($B$5:B1059,B1059,$D$5:D1059,"Feature Use",$E$5:E1059,E1059)=2),1,0)</f>
        <v>0</v>
      </c>
      <c r="K1059" s="29" t="n">
        <f aca="false">IF(COUNTIF($B$5:B1059,B1059)=1,1,0)</f>
        <v>0</v>
      </c>
      <c r="L1059" s="29" t="n">
        <f aca="false">IF(AND(C1059&gt;=Settings!$B$5-Settings!$B$8+1,C1059&lt;=Settings!$B$5,COUNTIFS($B$5:B1059,B1059,$C$5:C1059,"&gt;="&amp;(Settings!$B$5-Settings!$B$8+1),$C$5:C1059,"&lt;="&amp;Settings!$B$5)=1),1,0)</f>
        <v>0</v>
      </c>
      <c r="M1059" s="29" t="n">
        <f aca="false">IF(AND(C1059&gt;=Settings!$B$5-Settings!$B$9+1,C1059&lt;=Settings!$B$5,COUNTIFS($B$5:B1059,B1059,$C$5:C1059,"&gt;="&amp;(Settings!$B$5-Settings!$B$9+1),$C$5:C1059,"&lt;="&amp;Settings!$B$5)=1),1,0)</f>
        <v>0</v>
      </c>
      <c r="N1059" s="29" t="n">
        <f aca="false">IF(AND(D1059="Feature Use",COUNTIFS($B$5:B1059,B1059,$D$5:D1059,"Feature Use")=1),1,0)</f>
        <v>0</v>
      </c>
    </row>
    <row r="1060" customFormat="false" ht="15" hidden="false" customHeight="false" outlineLevel="0" collapsed="false">
      <c r="A1060" s="22" t="s">
        <v>1367</v>
      </c>
      <c r="B1060" s="22" t="s">
        <v>220</v>
      </c>
      <c r="C1060" s="31" t="n">
        <v>46298</v>
      </c>
      <c r="D1060" s="22" t="s">
        <v>308</v>
      </c>
      <c r="E1060" s="22" t="s">
        <v>301</v>
      </c>
      <c r="F1060" s="29" t="str">
        <f aca="false">IF(COUNTIF(Referral_Data!$C$5:$C$1000,B1060)&gt;0,"Referred",IF(COUNTIF(Referral_Data!$B$5:$B$1000,B1060)&gt;0,"Referrer","Organic"))</f>
        <v>Referred</v>
      </c>
      <c r="G1060" s="29" t="n">
        <f aca="false">IF(COUNTIFS($B$5:B1060,B1060,$C$5:C1060,C1060)=1,1,0)</f>
        <v>0</v>
      </c>
      <c r="H1060" s="29" t="n">
        <f aca="false">IF(AND(G1060=1,COUNTIFS($B$5:$B$1635,B1060,$C$5:$C$1635,"&lt;"&amp;C1060)&gt;0),1,0)</f>
        <v>0</v>
      </c>
      <c r="I1060" s="29" t="n">
        <f aca="false">IF(AND(D1060="Feature Use",COUNTIFS($B$5:B1060,B1060,$D$5:D1060,"Feature Use",$E$5:E1060,E1060)=1),1,0)</f>
        <v>0</v>
      </c>
      <c r="J1060" s="29" t="n">
        <f aca="false">IF(AND(D1060="Feature Use",COUNTIFS($B$5:B1060,B1060,$D$5:D1060,"Feature Use",$E$5:E1060,E1060)=2),1,0)</f>
        <v>0</v>
      </c>
      <c r="K1060" s="29" t="n">
        <f aca="false">IF(COUNTIF($B$5:B1060,B1060)=1,1,0)</f>
        <v>0</v>
      </c>
      <c r="L1060" s="29" t="n">
        <f aca="false">IF(AND(C1060&gt;=Settings!$B$5-Settings!$B$8+1,C1060&lt;=Settings!$B$5,COUNTIFS($B$5:B1060,B1060,$C$5:C1060,"&gt;="&amp;(Settings!$B$5-Settings!$B$8+1),$C$5:C1060,"&lt;="&amp;Settings!$B$5)=1),1,0)</f>
        <v>0</v>
      </c>
      <c r="M1060" s="29" t="n">
        <f aca="false">IF(AND(C1060&gt;=Settings!$B$5-Settings!$B$9+1,C1060&lt;=Settings!$B$5,COUNTIFS($B$5:B1060,B1060,$C$5:C1060,"&gt;="&amp;(Settings!$B$5-Settings!$B$9+1),$C$5:C1060,"&lt;="&amp;Settings!$B$5)=1),1,0)</f>
        <v>0</v>
      </c>
      <c r="N1060" s="29" t="n">
        <f aca="false">IF(AND(D1060="Feature Use",COUNTIFS($B$5:B1060,B1060,$D$5:D1060,"Feature Use")=1),1,0)</f>
        <v>0</v>
      </c>
    </row>
    <row r="1061" customFormat="false" ht="15" hidden="false" customHeight="false" outlineLevel="0" collapsed="false">
      <c r="A1061" s="22" t="s">
        <v>1368</v>
      </c>
      <c r="B1061" s="22" t="s">
        <v>228</v>
      </c>
      <c r="C1061" s="31" t="n">
        <v>46298</v>
      </c>
      <c r="D1061" s="22" t="s">
        <v>297</v>
      </c>
      <c r="E1061" s="22" t="s">
        <v>298</v>
      </c>
      <c r="F1061" s="29" t="str">
        <f aca="false">IF(COUNTIF(Referral_Data!$C$5:$C$1000,B1061)&gt;0,"Referred",IF(COUNTIF(Referral_Data!$B$5:$B$1000,B1061)&gt;0,"Referrer","Organic"))</f>
        <v>Referred</v>
      </c>
      <c r="G1061" s="29" t="n">
        <f aca="false">IF(COUNTIFS($B$5:B1061,B1061,$C$5:C1061,C1061)=1,1,0)</f>
        <v>1</v>
      </c>
      <c r="H1061" s="29" t="n">
        <f aca="false">IF(AND(G1061=1,COUNTIFS($B$5:$B$1635,B1061,$C$5:$C$1635,"&lt;"&amp;C1061)&gt;0),1,0)</f>
        <v>1</v>
      </c>
      <c r="I1061" s="29" t="n">
        <f aca="false">IF(AND(D1061="Feature Use",COUNTIFS($B$5:B1061,B1061,$D$5:D1061,"Feature Use",$E$5:E1061,E1061)=1),1,0)</f>
        <v>0</v>
      </c>
      <c r="J1061" s="29" t="n">
        <f aca="false">IF(AND(D1061="Feature Use",COUNTIFS($B$5:B1061,B1061,$D$5:D1061,"Feature Use",$E$5:E1061,E1061)=2),1,0)</f>
        <v>0</v>
      </c>
      <c r="K1061" s="29" t="n">
        <f aca="false">IF(COUNTIF($B$5:B1061,B1061)=1,1,0)</f>
        <v>0</v>
      </c>
      <c r="L1061" s="29" t="n">
        <f aca="false">IF(AND(C1061&gt;=Settings!$B$5-Settings!$B$8+1,C1061&lt;=Settings!$B$5,COUNTIFS($B$5:B1061,B1061,$C$5:C1061,"&gt;="&amp;(Settings!$B$5-Settings!$B$8+1),$C$5:C1061,"&lt;="&amp;Settings!$B$5)=1),1,0)</f>
        <v>0</v>
      </c>
      <c r="M1061" s="29" t="n">
        <f aca="false">IF(AND(C1061&gt;=Settings!$B$5-Settings!$B$9+1,C1061&lt;=Settings!$B$5,COUNTIFS($B$5:B1061,B1061,$C$5:C1061,"&gt;="&amp;(Settings!$B$5-Settings!$B$9+1),$C$5:C1061,"&lt;="&amp;Settings!$B$5)=1),1,0)</f>
        <v>0</v>
      </c>
      <c r="N1061" s="29" t="n">
        <f aca="false">IF(AND(D1061="Feature Use",COUNTIFS($B$5:B1061,B1061,$D$5:D1061,"Feature Use")=1),1,0)</f>
        <v>0</v>
      </c>
    </row>
    <row r="1062" customFormat="false" ht="15" hidden="false" customHeight="false" outlineLevel="0" collapsed="false">
      <c r="A1062" s="22" t="s">
        <v>1369</v>
      </c>
      <c r="B1062" s="22" t="s">
        <v>228</v>
      </c>
      <c r="C1062" s="31" t="n">
        <v>46298</v>
      </c>
      <c r="D1062" s="22" t="s">
        <v>300</v>
      </c>
      <c r="E1062" s="22" t="s">
        <v>319</v>
      </c>
      <c r="F1062" s="29" t="str">
        <f aca="false">IF(COUNTIF(Referral_Data!$C$5:$C$1000,B1062)&gt;0,"Referred",IF(COUNTIF(Referral_Data!$B$5:$B$1000,B1062)&gt;0,"Referrer","Organic"))</f>
        <v>Referred</v>
      </c>
      <c r="G1062" s="29" t="n">
        <f aca="false">IF(COUNTIFS($B$5:B1062,B1062,$C$5:C1062,C1062)=1,1,0)</f>
        <v>0</v>
      </c>
      <c r="H1062" s="29" t="n">
        <f aca="false">IF(AND(G1062=1,COUNTIFS($B$5:$B$1635,B1062,$C$5:$C$1635,"&lt;"&amp;C1062)&gt;0),1,0)</f>
        <v>0</v>
      </c>
      <c r="I1062" s="29" t="n">
        <f aca="false">IF(AND(D1062="Feature Use",COUNTIFS($B$5:B1062,B1062,$D$5:D1062,"Feature Use",$E$5:E1062,E1062)=1),1,0)</f>
        <v>1</v>
      </c>
      <c r="J1062" s="29" t="n">
        <f aca="false">IF(AND(D1062="Feature Use",COUNTIFS($B$5:B1062,B1062,$D$5:D1062,"Feature Use",$E$5:E1062,E1062)=2),1,0)</f>
        <v>0</v>
      </c>
      <c r="K1062" s="29" t="n">
        <f aca="false">IF(COUNTIF($B$5:B1062,B1062)=1,1,0)</f>
        <v>0</v>
      </c>
      <c r="L1062" s="29" t="n">
        <f aca="false">IF(AND(C1062&gt;=Settings!$B$5-Settings!$B$8+1,C1062&lt;=Settings!$B$5,COUNTIFS($B$5:B1062,B1062,$C$5:C1062,"&gt;="&amp;(Settings!$B$5-Settings!$B$8+1),$C$5:C1062,"&lt;="&amp;Settings!$B$5)=1),1,0)</f>
        <v>0</v>
      </c>
      <c r="M1062" s="29" t="n">
        <f aca="false">IF(AND(C1062&gt;=Settings!$B$5-Settings!$B$9+1,C1062&lt;=Settings!$B$5,COUNTIFS($B$5:B1062,B1062,$C$5:C1062,"&gt;="&amp;(Settings!$B$5-Settings!$B$9+1),$C$5:C1062,"&lt;="&amp;Settings!$B$5)=1),1,0)</f>
        <v>0</v>
      </c>
      <c r="N1062" s="29" t="n">
        <f aca="false">IF(AND(D1062="Feature Use",COUNTIFS($B$5:B1062,B1062,$D$5:D1062,"Feature Use")=1),1,0)</f>
        <v>0</v>
      </c>
    </row>
    <row r="1063" customFormat="false" ht="15" hidden="false" customHeight="false" outlineLevel="0" collapsed="false">
      <c r="A1063" s="22" t="s">
        <v>1370</v>
      </c>
      <c r="B1063" s="22" t="s">
        <v>228</v>
      </c>
      <c r="C1063" s="31" t="n">
        <v>46298</v>
      </c>
      <c r="D1063" s="22" t="s">
        <v>300</v>
      </c>
      <c r="E1063" s="22" t="s">
        <v>301</v>
      </c>
      <c r="F1063" s="29" t="str">
        <f aca="false">IF(COUNTIF(Referral_Data!$C$5:$C$1000,B1063)&gt;0,"Referred",IF(COUNTIF(Referral_Data!$B$5:$B$1000,B1063)&gt;0,"Referrer","Organic"))</f>
        <v>Referred</v>
      </c>
      <c r="G1063" s="29" t="n">
        <f aca="false">IF(COUNTIFS($B$5:B1063,B1063,$C$5:C1063,C1063)=1,1,0)</f>
        <v>0</v>
      </c>
      <c r="H1063" s="29" t="n">
        <f aca="false">IF(AND(G1063=1,COUNTIFS($B$5:$B$1635,B1063,$C$5:$C$1635,"&lt;"&amp;C1063)&gt;0),1,0)</f>
        <v>0</v>
      </c>
      <c r="I1063" s="29" t="n">
        <f aca="false">IF(AND(D1063="Feature Use",COUNTIFS($B$5:B1063,B1063,$D$5:D1063,"Feature Use",$E$5:E1063,E1063)=1),1,0)</f>
        <v>0</v>
      </c>
      <c r="J1063" s="29" t="n">
        <f aca="false">IF(AND(D1063="Feature Use",COUNTIFS($B$5:B1063,B1063,$D$5:D1063,"Feature Use",$E$5:E1063,E1063)=2),1,0)</f>
        <v>1</v>
      </c>
      <c r="K1063" s="29" t="n">
        <f aca="false">IF(COUNTIF($B$5:B1063,B1063)=1,1,0)</f>
        <v>0</v>
      </c>
      <c r="L1063" s="29" t="n">
        <f aca="false">IF(AND(C1063&gt;=Settings!$B$5-Settings!$B$8+1,C1063&lt;=Settings!$B$5,COUNTIFS($B$5:B1063,B1063,$C$5:C1063,"&gt;="&amp;(Settings!$B$5-Settings!$B$8+1),$C$5:C1063,"&lt;="&amp;Settings!$B$5)=1),1,0)</f>
        <v>0</v>
      </c>
      <c r="M1063" s="29" t="n">
        <f aca="false">IF(AND(C1063&gt;=Settings!$B$5-Settings!$B$9+1,C1063&lt;=Settings!$B$5,COUNTIFS($B$5:B1063,B1063,$C$5:C1063,"&gt;="&amp;(Settings!$B$5-Settings!$B$9+1),$C$5:C1063,"&lt;="&amp;Settings!$B$5)=1),1,0)</f>
        <v>0</v>
      </c>
      <c r="N1063" s="29" t="n">
        <f aca="false">IF(AND(D1063="Feature Use",COUNTIFS($B$5:B1063,B1063,$D$5:D1063,"Feature Use")=1),1,0)</f>
        <v>0</v>
      </c>
    </row>
    <row r="1064" customFormat="false" ht="15" hidden="false" customHeight="false" outlineLevel="0" collapsed="false">
      <c r="A1064" s="22" t="s">
        <v>1371</v>
      </c>
      <c r="B1064" s="22" t="s">
        <v>230</v>
      </c>
      <c r="C1064" s="31" t="n">
        <v>46298</v>
      </c>
      <c r="D1064" s="22" t="s">
        <v>297</v>
      </c>
      <c r="E1064" s="22" t="s">
        <v>298</v>
      </c>
      <c r="F1064" s="29" t="str">
        <f aca="false">IF(COUNTIF(Referral_Data!$C$5:$C$1000,B1064)&gt;0,"Referred",IF(COUNTIF(Referral_Data!$B$5:$B$1000,B1064)&gt;0,"Referrer","Organic"))</f>
        <v>Referred</v>
      </c>
      <c r="G1064" s="29" t="n">
        <f aca="false">IF(COUNTIFS($B$5:B1064,B1064,$C$5:C1064,C1064)=1,1,0)</f>
        <v>1</v>
      </c>
      <c r="H1064" s="29" t="n">
        <f aca="false">IF(AND(G1064=1,COUNTIFS($B$5:$B$1635,B1064,$C$5:$C$1635,"&lt;"&amp;C1064)&gt;0),1,0)</f>
        <v>0</v>
      </c>
      <c r="I1064" s="29" t="n">
        <f aca="false">IF(AND(D1064="Feature Use",COUNTIFS($B$5:B1064,B1064,$D$5:D1064,"Feature Use",$E$5:E1064,E1064)=1),1,0)</f>
        <v>0</v>
      </c>
      <c r="J1064" s="29" t="n">
        <f aca="false">IF(AND(D1064="Feature Use",COUNTIFS($B$5:B1064,B1064,$D$5:D1064,"Feature Use",$E$5:E1064,E1064)=2),1,0)</f>
        <v>0</v>
      </c>
      <c r="K1064" s="29" t="n">
        <f aca="false">IF(COUNTIF($B$5:B1064,B1064)=1,1,0)</f>
        <v>1</v>
      </c>
      <c r="L1064" s="29" t="n">
        <f aca="false">IF(AND(C1064&gt;=Settings!$B$5-Settings!$B$8+1,C1064&lt;=Settings!$B$5,COUNTIFS($B$5:B1064,B1064,$C$5:C1064,"&gt;="&amp;(Settings!$B$5-Settings!$B$8+1),$C$5:C1064,"&lt;="&amp;Settings!$B$5)=1),1,0)</f>
        <v>0</v>
      </c>
      <c r="M1064" s="29" t="n">
        <f aca="false">IF(AND(C1064&gt;=Settings!$B$5-Settings!$B$9+1,C1064&lt;=Settings!$B$5,COUNTIFS($B$5:B1064,B1064,$C$5:C1064,"&gt;="&amp;(Settings!$B$5-Settings!$B$9+1),$C$5:C1064,"&lt;="&amp;Settings!$B$5)=1),1,0)</f>
        <v>1</v>
      </c>
      <c r="N1064" s="29" t="n">
        <f aca="false">IF(AND(D1064="Feature Use",COUNTIFS($B$5:B1064,B1064,$D$5:D1064,"Feature Use")=1),1,0)</f>
        <v>0</v>
      </c>
    </row>
    <row r="1065" customFormat="false" ht="15" hidden="false" customHeight="false" outlineLevel="0" collapsed="false">
      <c r="A1065" s="22" t="s">
        <v>1372</v>
      </c>
      <c r="B1065" s="22" t="s">
        <v>230</v>
      </c>
      <c r="C1065" s="31" t="n">
        <v>46298</v>
      </c>
      <c r="D1065" s="22" t="s">
        <v>300</v>
      </c>
      <c r="E1065" s="22" t="s">
        <v>305</v>
      </c>
      <c r="F1065" s="29" t="str">
        <f aca="false">IF(COUNTIF(Referral_Data!$C$5:$C$1000,B1065)&gt;0,"Referred",IF(COUNTIF(Referral_Data!$B$5:$B$1000,B1065)&gt;0,"Referrer","Organic"))</f>
        <v>Referred</v>
      </c>
      <c r="G1065" s="29" t="n">
        <f aca="false">IF(COUNTIFS($B$5:B1065,B1065,$C$5:C1065,C1065)=1,1,0)</f>
        <v>0</v>
      </c>
      <c r="H1065" s="29" t="n">
        <f aca="false">IF(AND(G1065=1,COUNTIFS($B$5:$B$1635,B1065,$C$5:$C$1635,"&lt;"&amp;C1065)&gt;0),1,0)</f>
        <v>0</v>
      </c>
      <c r="I1065" s="29" t="n">
        <f aca="false">IF(AND(D1065="Feature Use",COUNTIFS($B$5:B1065,B1065,$D$5:D1065,"Feature Use",$E$5:E1065,E1065)=1),1,0)</f>
        <v>1</v>
      </c>
      <c r="J1065" s="29" t="n">
        <f aca="false">IF(AND(D1065="Feature Use",COUNTIFS($B$5:B1065,B1065,$D$5:D1065,"Feature Use",$E$5:E1065,E1065)=2),1,0)</f>
        <v>0</v>
      </c>
      <c r="K1065" s="29" t="n">
        <f aca="false">IF(COUNTIF($B$5:B1065,B1065)=1,1,0)</f>
        <v>0</v>
      </c>
      <c r="L1065" s="29" t="n">
        <f aca="false">IF(AND(C1065&gt;=Settings!$B$5-Settings!$B$8+1,C1065&lt;=Settings!$B$5,COUNTIFS($B$5:B1065,B1065,$C$5:C1065,"&gt;="&amp;(Settings!$B$5-Settings!$B$8+1),$C$5:C1065,"&lt;="&amp;Settings!$B$5)=1),1,0)</f>
        <v>0</v>
      </c>
      <c r="M1065" s="29" t="n">
        <f aca="false">IF(AND(C1065&gt;=Settings!$B$5-Settings!$B$9+1,C1065&lt;=Settings!$B$5,COUNTIFS($B$5:B1065,B1065,$C$5:C1065,"&gt;="&amp;(Settings!$B$5-Settings!$B$9+1),$C$5:C1065,"&lt;="&amp;Settings!$B$5)=1),1,0)</f>
        <v>0</v>
      </c>
      <c r="N1065" s="29" t="n">
        <f aca="false">IF(AND(D1065="Feature Use",COUNTIFS($B$5:B1065,B1065,$D$5:D1065,"Feature Use")=1),1,0)</f>
        <v>1</v>
      </c>
    </row>
    <row r="1066" customFormat="false" ht="15" hidden="false" customHeight="false" outlineLevel="0" collapsed="false">
      <c r="A1066" s="22" t="s">
        <v>1373</v>
      </c>
      <c r="B1066" s="22" t="s">
        <v>230</v>
      </c>
      <c r="C1066" s="31" t="n">
        <v>46298</v>
      </c>
      <c r="D1066" s="22" t="s">
        <v>308</v>
      </c>
      <c r="E1066" s="22" t="s">
        <v>311</v>
      </c>
      <c r="F1066" s="29" t="str">
        <f aca="false">IF(COUNTIF(Referral_Data!$C$5:$C$1000,B1066)&gt;0,"Referred",IF(COUNTIF(Referral_Data!$B$5:$B$1000,B1066)&gt;0,"Referrer","Organic"))</f>
        <v>Referred</v>
      </c>
      <c r="G1066" s="29" t="n">
        <f aca="false">IF(COUNTIFS($B$5:B1066,B1066,$C$5:C1066,C1066)=1,1,0)</f>
        <v>0</v>
      </c>
      <c r="H1066" s="29" t="n">
        <f aca="false">IF(AND(G1066=1,COUNTIFS($B$5:$B$1635,B1066,$C$5:$C$1635,"&lt;"&amp;C1066)&gt;0),1,0)</f>
        <v>0</v>
      </c>
      <c r="I1066" s="29" t="n">
        <f aca="false">IF(AND(D1066="Feature Use",COUNTIFS($B$5:B1066,B1066,$D$5:D1066,"Feature Use",$E$5:E1066,E1066)=1),1,0)</f>
        <v>0</v>
      </c>
      <c r="J1066" s="29" t="n">
        <f aca="false">IF(AND(D1066="Feature Use",COUNTIFS($B$5:B1066,B1066,$D$5:D1066,"Feature Use",$E$5:E1066,E1066)=2),1,0)</f>
        <v>0</v>
      </c>
      <c r="K1066" s="29" t="n">
        <f aca="false">IF(COUNTIF($B$5:B1066,B1066)=1,1,0)</f>
        <v>0</v>
      </c>
      <c r="L1066" s="29" t="n">
        <f aca="false">IF(AND(C1066&gt;=Settings!$B$5-Settings!$B$8+1,C1066&lt;=Settings!$B$5,COUNTIFS($B$5:B1066,B1066,$C$5:C1066,"&gt;="&amp;(Settings!$B$5-Settings!$B$8+1),$C$5:C1066,"&lt;="&amp;Settings!$B$5)=1),1,0)</f>
        <v>0</v>
      </c>
      <c r="M1066" s="29" t="n">
        <f aca="false">IF(AND(C1066&gt;=Settings!$B$5-Settings!$B$9+1,C1066&lt;=Settings!$B$5,COUNTIFS($B$5:B1066,B1066,$C$5:C1066,"&gt;="&amp;(Settings!$B$5-Settings!$B$9+1),$C$5:C1066,"&lt;="&amp;Settings!$B$5)=1),1,0)</f>
        <v>0</v>
      </c>
      <c r="N1066" s="29" t="n">
        <f aca="false">IF(AND(D1066="Feature Use",COUNTIFS($B$5:B1066,B1066,$D$5:D1066,"Feature Use")=1),1,0)</f>
        <v>0</v>
      </c>
    </row>
    <row r="1067" customFormat="false" ht="15" hidden="false" customHeight="false" outlineLevel="0" collapsed="false">
      <c r="A1067" s="22" t="s">
        <v>1374</v>
      </c>
      <c r="B1067" s="22" t="s">
        <v>241</v>
      </c>
      <c r="C1067" s="31" t="n">
        <v>46298</v>
      </c>
      <c r="D1067" s="22" t="s">
        <v>297</v>
      </c>
      <c r="E1067" s="22" t="s">
        <v>298</v>
      </c>
      <c r="F1067" s="29" t="str">
        <f aca="false">IF(COUNTIF(Referral_Data!$C$5:$C$1000,B1067)&gt;0,"Referred",IF(COUNTIF(Referral_Data!$B$5:$B$1000,B1067)&gt;0,"Referrer","Organic"))</f>
        <v>Referred</v>
      </c>
      <c r="G1067" s="29" t="n">
        <f aca="false">IF(COUNTIFS($B$5:B1067,B1067,$C$5:C1067,C1067)=1,1,0)</f>
        <v>1</v>
      </c>
      <c r="H1067" s="29" t="n">
        <f aca="false">IF(AND(G1067=1,COUNTIFS($B$5:$B$1635,B1067,$C$5:$C$1635,"&lt;"&amp;C1067)&gt;0),1,0)</f>
        <v>1</v>
      </c>
      <c r="I1067" s="29" t="n">
        <f aca="false">IF(AND(D1067="Feature Use",COUNTIFS($B$5:B1067,B1067,$D$5:D1067,"Feature Use",$E$5:E1067,E1067)=1),1,0)</f>
        <v>0</v>
      </c>
      <c r="J1067" s="29" t="n">
        <f aca="false">IF(AND(D1067="Feature Use",COUNTIFS($B$5:B1067,B1067,$D$5:D1067,"Feature Use",$E$5:E1067,E1067)=2),1,0)</f>
        <v>0</v>
      </c>
      <c r="K1067" s="29" t="n">
        <f aca="false">IF(COUNTIF($B$5:B1067,B1067)=1,1,0)</f>
        <v>0</v>
      </c>
      <c r="L1067" s="29" t="n">
        <f aca="false">IF(AND(C1067&gt;=Settings!$B$5-Settings!$B$8+1,C1067&lt;=Settings!$B$5,COUNTIFS($B$5:B1067,B1067,$C$5:C1067,"&gt;="&amp;(Settings!$B$5-Settings!$B$8+1),$C$5:C1067,"&lt;="&amp;Settings!$B$5)=1),1,0)</f>
        <v>0</v>
      </c>
      <c r="M1067" s="29" t="n">
        <f aca="false">IF(AND(C1067&gt;=Settings!$B$5-Settings!$B$9+1,C1067&lt;=Settings!$B$5,COUNTIFS($B$5:B1067,B1067,$C$5:C1067,"&gt;="&amp;(Settings!$B$5-Settings!$B$9+1),$C$5:C1067,"&lt;="&amp;Settings!$B$5)=1),1,0)</f>
        <v>0</v>
      </c>
      <c r="N1067" s="29" t="n">
        <f aca="false">IF(AND(D1067="Feature Use",COUNTIFS($B$5:B1067,B1067,$D$5:D1067,"Feature Use")=1),1,0)</f>
        <v>0</v>
      </c>
    </row>
    <row r="1068" customFormat="false" ht="15" hidden="false" customHeight="false" outlineLevel="0" collapsed="false">
      <c r="A1068" s="22" t="s">
        <v>1375</v>
      </c>
      <c r="B1068" s="22" t="s">
        <v>241</v>
      </c>
      <c r="C1068" s="31" t="n">
        <v>46298</v>
      </c>
      <c r="D1068" s="22" t="s">
        <v>300</v>
      </c>
      <c r="E1068" s="22" t="s">
        <v>309</v>
      </c>
      <c r="F1068" s="29" t="str">
        <f aca="false">IF(COUNTIF(Referral_Data!$C$5:$C$1000,B1068)&gt;0,"Referred",IF(COUNTIF(Referral_Data!$B$5:$B$1000,B1068)&gt;0,"Referrer","Organic"))</f>
        <v>Referred</v>
      </c>
      <c r="G1068" s="29" t="n">
        <f aca="false">IF(COUNTIFS($B$5:B1068,B1068,$C$5:C1068,C1068)=1,1,0)</f>
        <v>0</v>
      </c>
      <c r="H1068" s="29" t="n">
        <f aca="false">IF(AND(G1068=1,COUNTIFS($B$5:$B$1635,B1068,$C$5:$C$1635,"&lt;"&amp;C1068)&gt;0),1,0)</f>
        <v>0</v>
      </c>
      <c r="I1068" s="29" t="n">
        <f aca="false">IF(AND(D1068="Feature Use",COUNTIFS($B$5:B1068,B1068,$D$5:D1068,"Feature Use",$E$5:E1068,E1068)=1),1,0)</f>
        <v>0</v>
      </c>
      <c r="J1068" s="29" t="n">
        <f aca="false">IF(AND(D1068="Feature Use",COUNTIFS($B$5:B1068,B1068,$D$5:D1068,"Feature Use",$E$5:E1068,E1068)=2),1,0)</f>
        <v>0</v>
      </c>
      <c r="K1068" s="29" t="n">
        <f aca="false">IF(COUNTIF($B$5:B1068,B1068)=1,1,0)</f>
        <v>0</v>
      </c>
      <c r="L1068" s="29" t="n">
        <f aca="false">IF(AND(C1068&gt;=Settings!$B$5-Settings!$B$8+1,C1068&lt;=Settings!$B$5,COUNTIFS($B$5:B1068,B1068,$C$5:C1068,"&gt;="&amp;(Settings!$B$5-Settings!$B$8+1),$C$5:C1068,"&lt;="&amp;Settings!$B$5)=1),1,0)</f>
        <v>0</v>
      </c>
      <c r="M1068" s="29" t="n">
        <f aca="false">IF(AND(C1068&gt;=Settings!$B$5-Settings!$B$9+1,C1068&lt;=Settings!$B$5,COUNTIFS($B$5:B1068,B1068,$C$5:C1068,"&gt;="&amp;(Settings!$B$5-Settings!$B$9+1),$C$5:C1068,"&lt;="&amp;Settings!$B$5)=1),1,0)</f>
        <v>0</v>
      </c>
      <c r="N1068" s="29" t="n">
        <f aca="false">IF(AND(D1068="Feature Use",COUNTIFS($B$5:B1068,B1068,$D$5:D1068,"Feature Use")=1),1,0)</f>
        <v>0</v>
      </c>
    </row>
    <row r="1069" customFormat="false" ht="15" hidden="false" customHeight="false" outlineLevel="0" collapsed="false">
      <c r="A1069" s="22" t="s">
        <v>1376</v>
      </c>
      <c r="B1069" s="22" t="s">
        <v>243</v>
      </c>
      <c r="C1069" s="31" t="n">
        <v>46298</v>
      </c>
      <c r="D1069" s="22" t="s">
        <v>297</v>
      </c>
      <c r="E1069" s="22" t="s">
        <v>298</v>
      </c>
      <c r="F1069" s="29" t="str">
        <f aca="false">IF(COUNTIF(Referral_Data!$C$5:$C$1000,B1069)&gt;0,"Referred",IF(COUNTIF(Referral_Data!$B$5:$B$1000,B1069)&gt;0,"Referrer","Organic"))</f>
        <v>Referred</v>
      </c>
      <c r="G1069" s="29" t="n">
        <f aca="false">IF(COUNTIFS($B$5:B1069,B1069,$C$5:C1069,C1069)=1,1,0)</f>
        <v>1</v>
      </c>
      <c r="H1069" s="29" t="n">
        <f aca="false">IF(AND(G1069=1,COUNTIFS($B$5:$B$1635,B1069,$C$5:$C$1635,"&lt;"&amp;C1069)&gt;0),1,0)</f>
        <v>1</v>
      </c>
      <c r="I1069" s="29" t="n">
        <f aca="false">IF(AND(D1069="Feature Use",COUNTIFS($B$5:B1069,B1069,$D$5:D1069,"Feature Use",$E$5:E1069,E1069)=1),1,0)</f>
        <v>0</v>
      </c>
      <c r="J1069" s="29" t="n">
        <f aca="false">IF(AND(D1069="Feature Use",COUNTIFS($B$5:B1069,B1069,$D$5:D1069,"Feature Use",$E$5:E1069,E1069)=2),1,0)</f>
        <v>0</v>
      </c>
      <c r="K1069" s="29" t="n">
        <f aca="false">IF(COUNTIF($B$5:B1069,B1069)=1,1,0)</f>
        <v>0</v>
      </c>
      <c r="L1069" s="29" t="n">
        <f aca="false">IF(AND(C1069&gt;=Settings!$B$5-Settings!$B$8+1,C1069&lt;=Settings!$B$5,COUNTIFS($B$5:B1069,B1069,$C$5:C1069,"&gt;="&amp;(Settings!$B$5-Settings!$B$8+1),$C$5:C1069,"&lt;="&amp;Settings!$B$5)=1),1,0)</f>
        <v>0</v>
      </c>
      <c r="M1069" s="29" t="n">
        <f aca="false">IF(AND(C1069&gt;=Settings!$B$5-Settings!$B$9+1,C1069&lt;=Settings!$B$5,COUNTIFS($B$5:B1069,B1069,$C$5:C1069,"&gt;="&amp;(Settings!$B$5-Settings!$B$9+1),$C$5:C1069,"&lt;="&amp;Settings!$B$5)=1),1,0)</f>
        <v>0</v>
      </c>
      <c r="N1069" s="29" t="n">
        <f aca="false">IF(AND(D1069="Feature Use",COUNTIFS($B$5:B1069,B1069,$D$5:D1069,"Feature Use")=1),1,0)</f>
        <v>0</v>
      </c>
    </row>
    <row r="1070" customFormat="false" ht="15" hidden="false" customHeight="false" outlineLevel="0" collapsed="false">
      <c r="A1070" s="22" t="s">
        <v>1377</v>
      </c>
      <c r="B1070" s="22" t="s">
        <v>243</v>
      </c>
      <c r="C1070" s="31" t="n">
        <v>46298</v>
      </c>
      <c r="D1070" s="22" t="s">
        <v>300</v>
      </c>
      <c r="E1070" s="22" t="s">
        <v>305</v>
      </c>
      <c r="F1070" s="29" t="str">
        <f aca="false">IF(COUNTIF(Referral_Data!$C$5:$C$1000,B1070)&gt;0,"Referred",IF(COUNTIF(Referral_Data!$B$5:$B$1000,B1070)&gt;0,"Referrer","Organic"))</f>
        <v>Referred</v>
      </c>
      <c r="G1070" s="29" t="n">
        <f aca="false">IF(COUNTIFS($B$5:B1070,B1070,$C$5:C1070,C1070)=1,1,0)</f>
        <v>0</v>
      </c>
      <c r="H1070" s="29" t="n">
        <f aca="false">IF(AND(G1070=1,COUNTIFS($B$5:$B$1635,B1070,$C$5:$C$1635,"&lt;"&amp;C1070)&gt;0),1,0)</f>
        <v>0</v>
      </c>
      <c r="I1070" s="29" t="n">
        <f aca="false">IF(AND(D1070="Feature Use",COUNTIFS($B$5:B1070,B1070,$D$5:D1070,"Feature Use",$E$5:E1070,E1070)=1),1,0)</f>
        <v>0</v>
      </c>
      <c r="J1070" s="29" t="n">
        <f aca="false">IF(AND(D1070="Feature Use",COUNTIFS($B$5:B1070,B1070,$D$5:D1070,"Feature Use",$E$5:E1070,E1070)=2),1,0)</f>
        <v>1</v>
      </c>
      <c r="K1070" s="29" t="n">
        <f aca="false">IF(COUNTIF($B$5:B1070,B1070)=1,1,0)</f>
        <v>0</v>
      </c>
      <c r="L1070" s="29" t="n">
        <f aca="false">IF(AND(C1070&gt;=Settings!$B$5-Settings!$B$8+1,C1070&lt;=Settings!$B$5,COUNTIFS($B$5:B1070,B1070,$C$5:C1070,"&gt;="&amp;(Settings!$B$5-Settings!$B$8+1),$C$5:C1070,"&lt;="&amp;Settings!$B$5)=1),1,0)</f>
        <v>0</v>
      </c>
      <c r="M1070" s="29" t="n">
        <f aca="false">IF(AND(C1070&gt;=Settings!$B$5-Settings!$B$9+1,C1070&lt;=Settings!$B$5,COUNTIFS($B$5:B1070,B1070,$C$5:C1070,"&gt;="&amp;(Settings!$B$5-Settings!$B$9+1),$C$5:C1070,"&lt;="&amp;Settings!$B$5)=1),1,0)</f>
        <v>0</v>
      </c>
      <c r="N1070" s="29" t="n">
        <f aca="false">IF(AND(D1070="Feature Use",COUNTIFS($B$5:B1070,B1070,$D$5:D1070,"Feature Use")=1),1,0)</f>
        <v>0</v>
      </c>
    </row>
    <row r="1071" customFormat="false" ht="15" hidden="false" customHeight="false" outlineLevel="0" collapsed="false">
      <c r="A1071" s="22" t="s">
        <v>1378</v>
      </c>
      <c r="B1071" s="22" t="s">
        <v>252</v>
      </c>
      <c r="C1071" s="31" t="n">
        <v>46298</v>
      </c>
      <c r="D1071" s="22" t="s">
        <v>297</v>
      </c>
      <c r="E1071" s="22" t="s">
        <v>298</v>
      </c>
      <c r="F1071" s="29" t="str">
        <f aca="false">IF(COUNTIF(Referral_Data!$C$5:$C$1000,B1071)&gt;0,"Referred",IF(COUNTIF(Referral_Data!$B$5:$B$1000,B1071)&gt;0,"Referrer","Organic"))</f>
        <v>Referred</v>
      </c>
      <c r="G1071" s="29" t="n">
        <f aca="false">IF(COUNTIFS($B$5:B1071,B1071,$C$5:C1071,C1071)=1,1,0)</f>
        <v>1</v>
      </c>
      <c r="H1071" s="29" t="n">
        <f aca="false">IF(AND(G1071=1,COUNTIFS($B$5:$B$1635,B1071,$C$5:$C$1635,"&lt;"&amp;C1071)&gt;0),1,0)</f>
        <v>1</v>
      </c>
      <c r="I1071" s="29" t="n">
        <f aca="false">IF(AND(D1071="Feature Use",COUNTIFS($B$5:B1071,B1071,$D$5:D1071,"Feature Use",$E$5:E1071,E1071)=1),1,0)</f>
        <v>0</v>
      </c>
      <c r="J1071" s="29" t="n">
        <f aca="false">IF(AND(D1071="Feature Use",COUNTIFS($B$5:B1071,B1071,$D$5:D1071,"Feature Use",$E$5:E1071,E1071)=2),1,0)</f>
        <v>0</v>
      </c>
      <c r="K1071" s="29" t="n">
        <f aca="false">IF(COUNTIF($B$5:B1071,B1071)=1,1,0)</f>
        <v>0</v>
      </c>
      <c r="L1071" s="29" t="n">
        <f aca="false">IF(AND(C1071&gt;=Settings!$B$5-Settings!$B$8+1,C1071&lt;=Settings!$B$5,COUNTIFS($B$5:B1071,B1071,$C$5:C1071,"&gt;="&amp;(Settings!$B$5-Settings!$B$8+1),$C$5:C1071,"&lt;="&amp;Settings!$B$5)=1),1,0)</f>
        <v>0</v>
      </c>
      <c r="M1071" s="29" t="n">
        <f aca="false">IF(AND(C1071&gt;=Settings!$B$5-Settings!$B$9+1,C1071&lt;=Settings!$B$5,COUNTIFS($B$5:B1071,B1071,$C$5:C1071,"&gt;="&amp;(Settings!$B$5-Settings!$B$9+1),$C$5:C1071,"&lt;="&amp;Settings!$B$5)=1),1,0)</f>
        <v>0</v>
      </c>
      <c r="N1071" s="29" t="n">
        <f aca="false">IF(AND(D1071="Feature Use",COUNTIFS($B$5:B1071,B1071,$D$5:D1071,"Feature Use")=1),1,0)</f>
        <v>0</v>
      </c>
    </row>
    <row r="1072" customFormat="false" ht="15" hidden="false" customHeight="false" outlineLevel="0" collapsed="false">
      <c r="A1072" s="22" t="s">
        <v>1379</v>
      </c>
      <c r="B1072" s="22" t="s">
        <v>252</v>
      </c>
      <c r="C1072" s="31" t="n">
        <v>46298</v>
      </c>
      <c r="D1072" s="22" t="s">
        <v>300</v>
      </c>
      <c r="E1072" s="22" t="s">
        <v>301</v>
      </c>
      <c r="F1072" s="29" t="str">
        <f aca="false">IF(COUNTIF(Referral_Data!$C$5:$C$1000,B1072)&gt;0,"Referred",IF(COUNTIF(Referral_Data!$B$5:$B$1000,B1072)&gt;0,"Referrer","Organic"))</f>
        <v>Referred</v>
      </c>
      <c r="G1072" s="29" t="n">
        <f aca="false">IF(COUNTIFS($B$5:B1072,B1072,$C$5:C1072,C1072)=1,1,0)</f>
        <v>0</v>
      </c>
      <c r="H1072" s="29" t="n">
        <f aca="false">IF(AND(G1072=1,COUNTIFS($B$5:$B$1635,B1072,$C$5:$C$1635,"&lt;"&amp;C1072)&gt;0),1,0)</f>
        <v>0</v>
      </c>
      <c r="I1072" s="29" t="n">
        <f aca="false">IF(AND(D1072="Feature Use",COUNTIFS($B$5:B1072,B1072,$D$5:D1072,"Feature Use",$E$5:E1072,E1072)=1),1,0)</f>
        <v>0</v>
      </c>
      <c r="J1072" s="29" t="n">
        <f aca="false">IF(AND(D1072="Feature Use",COUNTIFS($B$5:B1072,B1072,$D$5:D1072,"Feature Use",$E$5:E1072,E1072)=2),1,0)</f>
        <v>1</v>
      </c>
      <c r="K1072" s="29" t="n">
        <f aca="false">IF(COUNTIF($B$5:B1072,B1072)=1,1,0)</f>
        <v>0</v>
      </c>
      <c r="L1072" s="29" t="n">
        <f aca="false">IF(AND(C1072&gt;=Settings!$B$5-Settings!$B$8+1,C1072&lt;=Settings!$B$5,COUNTIFS($B$5:B1072,B1072,$C$5:C1072,"&gt;="&amp;(Settings!$B$5-Settings!$B$8+1),$C$5:C1072,"&lt;="&amp;Settings!$B$5)=1),1,0)</f>
        <v>0</v>
      </c>
      <c r="M1072" s="29" t="n">
        <f aca="false">IF(AND(C1072&gt;=Settings!$B$5-Settings!$B$9+1,C1072&lt;=Settings!$B$5,COUNTIFS($B$5:B1072,B1072,$C$5:C1072,"&gt;="&amp;(Settings!$B$5-Settings!$B$9+1),$C$5:C1072,"&lt;="&amp;Settings!$B$5)=1),1,0)</f>
        <v>0</v>
      </c>
      <c r="N1072" s="29" t="n">
        <f aca="false">IF(AND(D1072="Feature Use",COUNTIFS($B$5:B1072,B1072,$D$5:D1072,"Feature Use")=1),1,0)</f>
        <v>0</v>
      </c>
    </row>
    <row r="1073" customFormat="false" ht="15" hidden="false" customHeight="false" outlineLevel="0" collapsed="false">
      <c r="A1073" s="22" t="s">
        <v>1380</v>
      </c>
      <c r="B1073" s="22" t="s">
        <v>261</v>
      </c>
      <c r="C1073" s="31" t="n">
        <v>46298</v>
      </c>
      <c r="D1073" s="22" t="s">
        <v>297</v>
      </c>
      <c r="E1073" s="22" t="s">
        <v>298</v>
      </c>
      <c r="F1073" s="29" t="str">
        <f aca="false">IF(COUNTIF(Referral_Data!$C$5:$C$1000,B1073)&gt;0,"Referred",IF(COUNTIF(Referral_Data!$B$5:$B$1000,B1073)&gt;0,"Referrer","Organic"))</f>
        <v>Referred</v>
      </c>
      <c r="G1073" s="29" t="n">
        <f aca="false">IF(COUNTIFS($B$5:B1073,B1073,$C$5:C1073,C1073)=1,1,0)</f>
        <v>1</v>
      </c>
      <c r="H1073" s="29" t="n">
        <f aca="false">IF(AND(G1073=1,COUNTIFS($B$5:$B$1635,B1073,$C$5:$C$1635,"&lt;"&amp;C1073)&gt;0),1,0)</f>
        <v>1</v>
      </c>
      <c r="I1073" s="29" t="n">
        <f aca="false">IF(AND(D1073="Feature Use",COUNTIFS($B$5:B1073,B1073,$D$5:D1073,"Feature Use",$E$5:E1073,E1073)=1),1,0)</f>
        <v>0</v>
      </c>
      <c r="J1073" s="29" t="n">
        <f aca="false">IF(AND(D1073="Feature Use",COUNTIFS($B$5:B1073,B1073,$D$5:D1073,"Feature Use",$E$5:E1073,E1073)=2),1,0)</f>
        <v>0</v>
      </c>
      <c r="K1073" s="29" t="n">
        <f aca="false">IF(COUNTIF($B$5:B1073,B1073)=1,1,0)</f>
        <v>0</v>
      </c>
      <c r="L1073" s="29" t="n">
        <f aca="false">IF(AND(C1073&gt;=Settings!$B$5-Settings!$B$8+1,C1073&lt;=Settings!$B$5,COUNTIFS($B$5:B1073,B1073,$C$5:C1073,"&gt;="&amp;(Settings!$B$5-Settings!$B$8+1),$C$5:C1073,"&lt;="&amp;Settings!$B$5)=1),1,0)</f>
        <v>0</v>
      </c>
      <c r="M1073" s="29" t="n">
        <f aca="false">IF(AND(C1073&gt;=Settings!$B$5-Settings!$B$9+1,C1073&lt;=Settings!$B$5,COUNTIFS($B$5:B1073,B1073,$C$5:C1073,"&gt;="&amp;(Settings!$B$5-Settings!$B$9+1),$C$5:C1073,"&lt;="&amp;Settings!$B$5)=1),1,0)</f>
        <v>0</v>
      </c>
      <c r="N1073" s="29" t="n">
        <f aca="false">IF(AND(D1073="Feature Use",COUNTIFS($B$5:B1073,B1073,$D$5:D1073,"Feature Use")=1),1,0)</f>
        <v>0</v>
      </c>
    </row>
    <row r="1074" customFormat="false" ht="15" hidden="false" customHeight="false" outlineLevel="0" collapsed="false">
      <c r="A1074" s="22" t="s">
        <v>1381</v>
      </c>
      <c r="B1074" s="22" t="s">
        <v>261</v>
      </c>
      <c r="C1074" s="31" t="n">
        <v>46298</v>
      </c>
      <c r="D1074" s="22" t="s">
        <v>300</v>
      </c>
      <c r="E1074" s="22" t="s">
        <v>305</v>
      </c>
      <c r="F1074" s="29" t="str">
        <f aca="false">IF(COUNTIF(Referral_Data!$C$5:$C$1000,B1074)&gt;0,"Referred",IF(COUNTIF(Referral_Data!$B$5:$B$1000,B1074)&gt;0,"Referrer","Organic"))</f>
        <v>Referred</v>
      </c>
      <c r="G1074" s="29" t="n">
        <f aca="false">IF(COUNTIFS($B$5:B1074,B1074,$C$5:C1074,C1074)=1,1,0)</f>
        <v>0</v>
      </c>
      <c r="H1074" s="29" t="n">
        <f aca="false">IF(AND(G1074=1,COUNTIFS($B$5:$B$1635,B1074,$C$5:$C$1635,"&lt;"&amp;C1074)&gt;0),1,0)</f>
        <v>0</v>
      </c>
      <c r="I1074" s="29" t="n">
        <f aca="false">IF(AND(D1074="Feature Use",COUNTIFS($B$5:B1074,B1074,$D$5:D1074,"Feature Use",$E$5:E1074,E1074)=1),1,0)</f>
        <v>0</v>
      </c>
      <c r="J1074" s="29" t="n">
        <f aca="false">IF(AND(D1074="Feature Use",COUNTIFS($B$5:B1074,B1074,$D$5:D1074,"Feature Use",$E$5:E1074,E1074)=2),1,0)</f>
        <v>0</v>
      </c>
      <c r="K1074" s="29" t="n">
        <f aca="false">IF(COUNTIF($B$5:B1074,B1074)=1,1,0)</f>
        <v>0</v>
      </c>
      <c r="L1074" s="29" t="n">
        <f aca="false">IF(AND(C1074&gt;=Settings!$B$5-Settings!$B$8+1,C1074&lt;=Settings!$B$5,COUNTIFS($B$5:B1074,B1074,$C$5:C1074,"&gt;="&amp;(Settings!$B$5-Settings!$B$8+1),$C$5:C1074,"&lt;="&amp;Settings!$B$5)=1),1,0)</f>
        <v>0</v>
      </c>
      <c r="M1074" s="29" t="n">
        <f aca="false">IF(AND(C1074&gt;=Settings!$B$5-Settings!$B$9+1,C1074&lt;=Settings!$B$5,COUNTIFS($B$5:B1074,B1074,$C$5:C1074,"&gt;="&amp;(Settings!$B$5-Settings!$B$9+1),$C$5:C1074,"&lt;="&amp;Settings!$B$5)=1),1,0)</f>
        <v>0</v>
      </c>
      <c r="N1074" s="29" t="n">
        <f aca="false">IF(AND(D1074="Feature Use",COUNTIFS($B$5:B1074,B1074,$D$5:D1074,"Feature Use")=1),1,0)</f>
        <v>0</v>
      </c>
    </row>
    <row r="1075" customFormat="false" ht="15" hidden="false" customHeight="false" outlineLevel="0" collapsed="false">
      <c r="A1075" s="22" t="s">
        <v>1382</v>
      </c>
      <c r="B1075" s="22" t="s">
        <v>261</v>
      </c>
      <c r="C1075" s="31" t="n">
        <v>46298</v>
      </c>
      <c r="D1075" s="22" t="s">
        <v>300</v>
      </c>
      <c r="E1075" s="22" t="s">
        <v>305</v>
      </c>
      <c r="F1075" s="29" t="str">
        <f aca="false">IF(COUNTIF(Referral_Data!$C$5:$C$1000,B1075)&gt;0,"Referred",IF(COUNTIF(Referral_Data!$B$5:$B$1000,B1075)&gt;0,"Referrer","Organic"))</f>
        <v>Referred</v>
      </c>
      <c r="G1075" s="29" t="n">
        <f aca="false">IF(COUNTIFS($B$5:B1075,B1075,$C$5:C1075,C1075)=1,1,0)</f>
        <v>0</v>
      </c>
      <c r="H1075" s="29" t="n">
        <f aca="false">IF(AND(G1075=1,COUNTIFS($B$5:$B$1635,B1075,$C$5:$C$1635,"&lt;"&amp;C1075)&gt;0),1,0)</f>
        <v>0</v>
      </c>
      <c r="I1075" s="29" t="n">
        <f aca="false">IF(AND(D1075="Feature Use",COUNTIFS($B$5:B1075,B1075,$D$5:D1075,"Feature Use",$E$5:E1075,E1075)=1),1,0)</f>
        <v>0</v>
      </c>
      <c r="J1075" s="29" t="n">
        <f aca="false">IF(AND(D1075="Feature Use",COUNTIFS($B$5:B1075,B1075,$D$5:D1075,"Feature Use",$E$5:E1075,E1075)=2),1,0)</f>
        <v>0</v>
      </c>
      <c r="K1075" s="29" t="n">
        <f aca="false">IF(COUNTIF($B$5:B1075,B1075)=1,1,0)</f>
        <v>0</v>
      </c>
      <c r="L1075" s="29" t="n">
        <f aca="false">IF(AND(C1075&gt;=Settings!$B$5-Settings!$B$8+1,C1075&lt;=Settings!$B$5,COUNTIFS($B$5:B1075,B1075,$C$5:C1075,"&gt;="&amp;(Settings!$B$5-Settings!$B$8+1),$C$5:C1075,"&lt;="&amp;Settings!$B$5)=1),1,0)</f>
        <v>0</v>
      </c>
      <c r="M1075" s="29" t="n">
        <f aca="false">IF(AND(C1075&gt;=Settings!$B$5-Settings!$B$9+1,C1075&lt;=Settings!$B$5,COUNTIFS($B$5:B1075,B1075,$C$5:C1075,"&gt;="&amp;(Settings!$B$5-Settings!$B$9+1),$C$5:C1075,"&lt;="&amp;Settings!$B$5)=1),1,0)</f>
        <v>0</v>
      </c>
      <c r="N1075" s="29" t="n">
        <f aca="false">IF(AND(D1075="Feature Use",COUNTIFS($B$5:B1075,B1075,$D$5:D1075,"Feature Use")=1),1,0)</f>
        <v>0</v>
      </c>
    </row>
    <row r="1076" customFormat="false" ht="15" hidden="false" customHeight="false" outlineLevel="0" collapsed="false">
      <c r="A1076" s="22" t="s">
        <v>1383</v>
      </c>
      <c r="B1076" s="22" t="s">
        <v>263</v>
      </c>
      <c r="C1076" s="31" t="n">
        <v>46298</v>
      </c>
      <c r="D1076" s="22" t="s">
        <v>297</v>
      </c>
      <c r="E1076" s="22" t="s">
        <v>298</v>
      </c>
      <c r="F1076" s="29" t="str">
        <f aca="false">IF(COUNTIF(Referral_Data!$C$5:$C$1000,B1076)&gt;0,"Referred",IF(COUNTIF(Referral_Data!$B$5:$B$1000,B1076)&gt;0,"Referrer","Organic"))</f>
        <v>Referred</v>
      </c>
      <c r="G1076" s="29" t="n">
        <f aca="false">IF(COUNTIFS($B$5:B1076,B1076,$C$5:C1076,C1076)=1,1,0)</f>
        <v>1</v>
      </c>
      <c r="H1076" s="29" t="n">
        <f aca="false">IF(AND(G1076=1,COUNTIFS($B$5:$B$1635,B1076,$C$5:$C$1635,"&lt;"&amp;C1076)&gt;0),1,0)</f>
        <v>1</v>
      </c>
      <c r="I1076" s="29" t="n">
        <f aca="false">IF(AND(D1076="Feature Use",COUNTIFS($B$5:B1076,B1076,$D$5:D1076,"Feature Use",$E$5:E1076,E1076)=1),1,0)</f>
        <v>0</v>
      </c>
      <c r="J1076" s="29" t="n">
        <f aca="false">IF(AND(D1076="Feature Use",COUNTIFS($B$5:B1076,B1076,$D$5:D1076,"Feature Use",$E$5:E1076,E1076)=2),1,0)</f>
        <v>0</v>
      </c>
      <c r="K1076" s="29" t="n">
        <f aca="false">IF(COUNTIF($B$5:B1076,B1076)=1,1,0)</f>
        <v>0</v>
      </c>
      <c r="L1076" s="29" t="n">
        <f aca="false">IF(AND(C1076&gt;=Settings!$B$5-Settings!$B$8+1,C1076&lt;=Settings!$B$5,COUNTIFS($B$5:B1076,B1076,$C$5:C1076,"&gt;="&amp;(Settings!$B$5-Settings!$B$8+1),$C$5:C1076,"&lt;="&amp;Settings!$B$5)=1),1,0)</f>
        <v>0</v>
      </c>
      <c r="M1076" s="29" t="n">
        <f aca="false">IF(AND(C1076&gt;=Settings!$B$5-Settings!$B$9+1,C1076&lt;=Settings!$B$5,COUNTIFS($B$5:B1076,B1076,$C$5:C1076,"&gt;="&amp;(Settings!$B$5-Settings!$B$9+1),$C$5:C1076,"&lt;="&amp;Settings!$B$5)=1),1,0)</f>
        <v>0</v>
      </c>
      <c r="N1076" s="29" t="n">
        <f aca="false">IF(AND(D1076="Feature Use",COUNTIFS($B$5:B1076,B1076,$D$5:D1076,"Feature Use")=1),1,0)</f>
        <v>0</v>
      </c>
    </row>
    <row r="1077" customFormat="false" ht="15" hidden="false" customHeight="false" outlineLevel="0" collapsed="false">
      <c r="A1077" s="22" t="s">
        <v>1384</v>
      </c>
      <c r="B1077" s="22" t="s">
        <v>263</v>
      </c>
      <c r="C1077" s="31" t="n">
        <v>46298</v>
      </c>
      <c r="D1077" s="22" t="s">
        <v>300</v>
      </c>
      <c r="E1077" s="22" t="s">
        <v>319</v>
      </c>
      <c r="F1077" s="29" t="str">
        <f aca="false">IF(COUNTIF(Referral_Data!$C$5:$C$1000,B1077)&gt;0,"Referred",IF(COUNTIF(Referral_Data!$B$5:$B$1000,B1077)&gt;0,"Referrer","Organic"))</f>
        <v>Referred</v>
      </c>
      <c r="G1077" s="29" t="n">
        <f aca="false">IF(COUNTIFS($B$5:B1077,B1077,$C$5:C1077,C1077)=1,1,0)</f>
        <v>0</v>
      </c>
      <c r="H1077" s="29" t="n">
        <f aca="false">IF(AND(G1077=1,COUNTIFS($B$5:$B$1635,B1077,$C$5:$C$1635,"&lt;"&amp;C1077)&gt;0),1,0)</f>
        <v>0</v>
      </c>
      <c r="I1077" s="29" t="n">
        <f aca="false">IF(AND(D1077="Feature Use",COUNTIFS($B$5:B1077,B1077,$D$5:D1077,"Feature Use",$E$5:E1077,E1077)=1),1,0)</f>
        <v>0</v>
      </c>
      <c r="J1077" s="29" t="n">
        <f aca="false">IF(AND(D1077="Feature Use",COUNTIFS($B$5:B1077,B1077,$D$5:D1077,"Feature Use",$E$5:E1077,E1077)=2),1,0)</f>
        <v>1</v>
      </c>
      <c r="K1077" s="29" t="n">
        <f aca="false">IF(COUNTIF($B$5:B1077,B1077)=1,1,0)</f>
        <v>0</v>
      </c>
      <c r="L1077" s="29" t="n">
        <f aca="false">IF(AND(C1077&gt;=Settings!$B$5-Settings!$B$8+1,C1077&lt;=Settings!$B$5,COUNTIFS($B$5:B1077,B1077,$C$5:C1077,"&gt;="&amp;(Settings!$B$5-Settings!$B$8+1),$C$5:C1077,"&lt;="&amp;Settings!$B$5)=1),1,0)</f>
        <v>0</v>
      </c>
      <c r="M1077" s="29" t="n">
        <f aca="false">IF(AND(C1077&gt;=Settings!$B$5-Settings!$B$9+1,C1077&lt;=Settings!$B$5,COUNTIFS($B$5:B1077,B1077,$C$5:C1077,"&gt;="&amp;(Settings!$B$5-Settings!$B$9+1),$C$5:C1077,"&lt;="&amp;Settings!$B$5)=1),1,0)</f>
        <v>0</v>
      </c>
      <c r="N1077" s="29" t="n">
        <f aca="false">IF(AND(D1077="Feature Use",COUNTIFS($B$5:B1077,B1077,$D$5:D1077,"Feature Use")=1),1,0)</f>
        <v>0</v>
      </c>
    </row>
    <row r="1078" customFormat="false" ht="15" hidden="false" customHeight="false" outlineLevel="0" collapsed="false">
      <c r="A1078" s="22" t="s">
        <v>1385</v>
      </c>
      <c r="B1078" s="22" t="s">
        <v>263</v>
      </c>
      <c r="C1078" s="31" t="n">
        <v>46298</v>
      </c>
      <c r="D1078" s="22" t="s">
        <v>300</v>
      </c>
      <c r="E1078" s="22" t="s">
        <v>311</v>
      </c>
      <c r="F1078" s="29" t="str">
        <f aca="false">IF(COUNTIF(Referral_Data!$C$5:$C$1000,B1078)&gt;0,"Referred",IF(COUNTIF(Referral_Data!$B$5:$B$1000,B1078)&gt;0,"Referrer","Organic"))</f>
        <v>Referred</v>
      </c>
      <c r="G1078" s="29" t="n">
        <f aca="false">IF(COUNTIFS($B$5:B1078,B1078,$C$5:C1078,C1078)=1,1,0)</f>
        <v>0</v>
      </c>
      <c r="H1078" s="29" t="n">
        <f aca="false">IF(AND(G1078=1,COUNTIFS($B$5:$B$1635,B1078,$C$5:$C$1635,"&lt;"&amp;C1078)&gt;0),1,0)</f>
        <v>0</v>
      </c>
      <c r="I1078" s="29" t="n">
        <f aca="false">IF(AND(D1078="Feature Use",COUNTIFS($B$5:B1078,B1078,$D$5:D1078,"Feature Use",$E$5:E1078,E1078)=1),1,0)</f>
        <v>0</v>
      </c>
      <c r="J1078" s="29" t="n">
        <f aca="false">IF(AND(D1078="Feature Use",COUNTIFS($B$5:B1078,B1078,$D$5:D1078,"Feature Use",$E$5:E1078,E1078)=2),1,0)</f>
        <v>1</v>
      </c>
      <c r="K1078" s="29" t="n">
        <f aca="false">IF(COUNTIF($B$5:B1078,B1078)=1,1,0)</f>
        <v>0</v>
      </c>
      <c r="L1078" s="29" t="n">
        <f aca="false">IF(AND(C1078&gt;=Settings!$B$5-Settings!$B$8+1,C1078&lt;=Settings!$B$5,COUNTIFS($B$5:B1078,B1078,$C$5:C1078,"&gt;="&amp;(Settings!$B$5-Settings!$B$8+1),$C$5:C1078,"&lt;="&amp;Settings!$B$5)=1),1,0)</f>
        <v>0</v>
      </c>
      <c r="M1078" s="29" t="n">
        <f aca="false">IF(AND(C1078&gt;=Settings!$B$5-Settings!$B$9+1,C1078&lt;=Settings!$B$5,COUNTIFS($B$5:B1078,B1078,$C$5:C1078,"&gt;="&amp;(Settings!$B$5-Settings!$B$9+1),$C$5:C1078,"&lt;="&amp;Settings!$B$5)=1),1,0)</f>
        <v>0</v>
      </c>
      <c r="N1078" s="29" t="n">
        <f aca="false">IF(AND(D1078="Feature Use",COUNTIFS($B$5:B1078,B1078,$D$5:D1078,"Feature Use")=1),1,0)</f>
        <v>0</v>
      </c>
    </row>
    <row r="1079" customFormat="false" ht="15" hidden="false" customHeight="false" outlineLevel="0" collapsed="false">
      <c r="A1079" s="22" t="s">
        <v>1386</v>
      </c>
      <c r="B1079" s="22" t="s">
        <v>267</v>
      </c>
      <c r="C1079" s="31" t="n">
        <v>46298</v>
      </c>
      <c r="D1079" s="22" t="s">
        <v>297</v>
      </c>
      <c r="E1079" s="22" t="s">
        <v>298</v>
      </c>
      <c r="F1079" s="29" t="str">
        <f aca="false">IF(COUNTIF(Referral_Data!$C$5:$C$1000,B1079)&gt;0,"Referred",IF(COUNTIF(Referral_Data!$B$5:$B$1000,B1079)&gt;0,"Referrer","Organic"))</f>
        <v>Referred</v>
      </c>
      <c r="G1079" s="29" t="n">
        <f aca="false">IF(COUNTIFS($B$5:B1079,B1079,$C$5:C1079,C1079)=1,1,0)</f>
        <v>1</v>
      </c>
      <c r="H1079" s="29" t="n">
        <f aca="false">IF(AND(G1079=1,COUNTIFS($B$5:$B$1635,B1079,$C$5:$C$1635,"&lt;"&amp;C1079)&gt;0),1,0)</f>
        <v>1</v>
      </c>
      <c r="I1079" s="29" t="n">
        <f aca="false">IF(AND(D1079="Feature Use",COUNTIFS($B$5:B1079,B1079,$D$5:D1079,"Feature Use",$E$5:E1079,E1079)=1),1,0)</f>
        <v>0</v>
      </c>
      <c r="J1079" s="29" t="n">
        <f aca="false">IF(AND(D1079="Feature Use",COUNTIFS($B$5:B1079,B1079,$D$5:D1079,"Feature Use",$E$5:E1079,E1079)=2),1,0)</f>
        <v>0</v>
      </c>
      <c r="K1079" s="29" t="n">
        <f aca="false">IF(COUNTIF($B$5:B1079,B1079)=1,1,0)</f>
        <v>0</v>
      </c>
      <c r="L1079" s="29" t="n">
        <f aca="false">IF(AND(C1079&gt;=Settings!$B$5-Settings!$B$8+1,C1079&lt;=Settings!$B$5,COUNTIFS($B$5:B1079,B1079,$C$5:C1079,"&gt;="&amp;(Settings!$B$5-Settings!$B$8+1),$C$5:C1079,"&lt;="&amp;Settings!$B$5)=1),1,0)</f>
        <v>0</v>
      </c>
      <c r="M1079" s="29" t="n">
        <f aca="false">IF(AND(C1079&gt;=Settings!$B$5-Settings!$B$9+1,C1079&lt;=Settings!$B$5,COUNTIFS($B$5:B1079,B1079,$C$5:C1079,"&gt;="&amp;(Settings!$B$5-Settings!$B$9+1),$C$5:C1079,"&lt;="&amp;Settings!$B$5)=1),1,0)</f>
        <v>0</v>
      </c>
      <c r="N1079" s="29" t="n">
        <f aca="false">IF(AND(D1079="Feature Use",COUNTIFS($B$5:B1079,B1079,$D$5:D1079,"Feature Use")=1),1,0)</f>
        <v>0</v>
      </c>
    </row>
    <row r="1080" customFormat="false" ht="15" hidden="false" customHeight="false" outlineLevel="0" collapsed="false">
      <c r="A1080" s="22" t="s">
        <v>1387</v>
      </c>
      <c r="B1080" s="22" t="s">
        <v>267</v>
      </c>
      <c r="C1080" s="31" t="n">
        <v>46298</v>
      </c>
      <c r="D1080" s="22" t="s">
        <v>300</v>
      </c>
      <c r="E1080" s="22" t="s">
        <v>305</v>
      </c>
      <c r="F1080" s="29" t="str">
        <f aca="false">IF(COUNTIF(Referral_Data!$C$5:$C$1000,B1080)&gt;0,"Referred",IF(COUNTIF(Referral_Data!$B$5:$B$1000,B1080)&gt;0,"Referrer","Organic"))</f>
        <v>Referred</v>
      </c>
      <c r="G1080" s="29" t="n">
        <f aca="false">IF(COUNTIFS($B$5:B1080,B1080,$C$5:C1080,C1080)=1,1,0)</f>
        <v>0</v>
      </c>
      <c r="H1080" s="29" t="n">
        <f aca="false">IF(AND(G1080=1,COUNTIFS($B$5:$B$1635,B1080,$C$5:$C$1635,"&lt;"&amp;C1080)&gt;0),1,0)</f>
        <v>0</v>
      </c>
      <c r="I1080" s="29" t="n">
        <f aca="false">IF(AND(D1080="Feature Use",COUNTIFS($B$5:B1080,B1080,$D$5:D1080,"Feature Use",$E$5:E1080,E1080)=1),1,0)</f>
        <v>1</v>
      </c>
      <c r="J1080" s="29" t="n">
        <f aca="false">IF(AND(D1080="Feature Use",COUNTIFS($B$5:B1080,B1080,$D$5:D1080,"Feature Use",$E$5:E1080,E1080)=2),1,0)</f>
        <v>0</v>
      </c>
      <c r="K1080" s="29" t="n">
        <f aca="false">IF(COUNTIF($B$5:B1080,B1080)=1,1,0)</f>
        <v>0</v>
      </c>
      <c r="L1080" s="29" t="n">
        <f aca="false">IF(AND(C1080&gt;=Settings!$B$5-Settings!$B$8+1,C1080&lt;=Settings!$B$5,COUNTIFS($B$5:B1080,B1080,$C$5:C1080,"&gt;="&amp;(Settings!$B$5-Settings!$B$8+1),$C$5:C1080,"&lt;="&amp;Settings!$B$5)=1),1,0)</f>
        <v>0</v>
      </c>
      <c r="M1080" s="29" t="n">
        <f aca="false">IF(AND(C1080&gt;=Settings!$B$5-Settings!$B$9+1,C1080&lt;=Settings!$B$5,COUNTIFS($B$5:B1080,B1080,$C$5:C1080,"&gt;="&amp;(Settings!$B$5-Settings!$B$9+1),$C$5:C1080,"&lt;="&amp;Settings!$B$5)=1),1,0)</f>
        <v>0</v>
      </c>
      <c r="N1080" s="29" t="n">
        <f aca="false">IF(AND(D1080="Feature Use",COUNTIFS($B$5:B1080,B1080,$D$5:D1080,"Feature Use")=1),1,0)</f>
        <v>0</v>
      </c>
    </row>
    <row r="1081" customFormat="false" ht="15" hidden="false" customHeight="false" outlineLevel="0" collapsed="false">
      <c r="A1081" s="22" t="s">
        <v>1388</v>
      </c>
      <c r="B1081" s="22" t="s">
        <v>269</v>
      </c>
      <c r="C1081" s="31" t="n">
        <v>46298</v>
      </c>
      <c r="D1081" s="22" t="s">
        <v>297</v>
      </c>
      <c r="E1081" s="22" t="s">
        <v>298</v>
      </c>
      <c r="F1081" s="29" t="str">
        <f aca="false">IF(COUNTIF(Referral_Data!$C$5:$C$1000,B1081)&gt;0,"Referred",IF(COUNTIF(Referral_Data!$B$5:$B$1000,B1081)&gt;0,"Referrer","Organic"))</f>
        <v>Referred</v>
      </c>
      <c r="G1081" s="29" t="n">
        <f aca="false">IF(COUNTIFS($B$5:B1081,B1081,$C$5:C1081,C1081)=1,1,0)</f>
        <v>1</v>
      </c>
      <c r="H1081" s="29" t="n">
        <f aca="false">IF(AND(G1081=1,COUNTIFS($B$5:$B$1635,B1081,$C$5:$C$1635,"&lt;"&amp;C1081)&gt;0),1,0)</f>
        <v>1</v>
      </c>
      <c r="I1081" s="29" t="n">
        <f aca="false">IF(AND(D1081="Feature Use",COUNTIFS($B$5:B1081,B1081,$D$5:D1081,"Feature Use",$E$5:E1081,E1081)=1),1,0)</f>
        <v>0</v>
      </c>
      <c r="J1081" s="29" t="n">
        <f aca="false">IF(AND(D1081="Feature Use",COUNTIFS($B$5:B1081,B1081,$D$5:D1081,"Feature Use",$E$5:E1081,E1081)=2),1,0)</f>
        <v>0</v>
      </c>
      <c r="K1081" s="29" t="n">
        <f aca="false">IF(COUNTIF($B$5:B1081,B1081)=1,1,0)</f>
        <v>0</v>
      </c>
      <c r="L1081" s="29" t="n">
        <f aca="false">IF(AND(C1081&gt;=Settings!$B$5-Settings!$B$8+1,C1081&lt;=Settings!$B$5,COUNTIFS($B$5:B1081,B1081,$C$5:C1081,"&gt;="&amp;(Settings!$B$5-Settings!$B$8+1),$C$5:C1081,"&lt;="&amp;Settings!$B$5)=1),1,0)</f>
        <v>0</v>
      </c>
      <c r="M1081" s="29" t="n">
        <f aca="false">IF(AND(C1081&gt;=Settings!$B$5-Settings!$B$9+1,C1081&lt;=Settings!$B$5,COUNTIFS($B$5:B1081,B1081,$C$5:C1081,"&gt;="&amp;(Settings!$B$5-Settings!$B$9+1),$C$5:C1081,"&lt;="&amp;Settings!$B$5)=1),1,0)</f>
        <v>0</v>
      </c>
      <c r="N1081" s="29" t="n">
        <f aca="false">IF(AND(D1081="Feature Use",COUNTIFS($B$5:B1081,B1081,$D$5:D1081,"Feature Use")=1),1,0)</f>
        <v>0</v>
      </c>
    </row>
    <row r="1082" customFormat="false" ht="15" hidden="false" customHeight="false" outlineLevel="0" collapsed="false">
      <c r="A1082" s="22" t="s">
        <v>1389</v>
      </c>
      <c r="B1082" s="22" t="s">
        <v>269</v>
      </c>
      <c r="C1082" s="31" t="n">
        <v>46298</v>
      </c>
      <c r="D1082" s="22" t="s">
        <v>300</v>
      </c>
      <c r="E1082" s="22" t="s">
        <v>311</v>
      </c>
      <c r="F1082" s="29" t="str">
        <f aca="false">IF(COUNTIF(Referral_Data!$C$5:$C$1000,B1082)&gt;0,"Referred",IF(COUNTIF(Referral_Data!$B$5:$B$1000,B1082)&gt;0,"Referrer","Organic"))</f>
        <v>Referred</v>
      </c>
      <c r="G1082" s="29" t="n">
        <f aca="false">IF(COUNTIFS($B$5:B1082,B1082,$C$5:C1082,C1082)=1,1,0)</f>
        <v>0</v>
      </c>
      <c r="H1082" s="29" t="n">
        <f aca="false">IF(AND(G1082=1,COUNTIFS($B$5:$B$1635,B1082,$C$5:$C$1635,"&lt;"&amp;C1082)&gt;0),1,0)</f>
        <v>0</v>
      </c>
      <c r="I1082" s="29" t="n">
        <f aca="false">IF(AND(D1082="Feature Use",COUNTIFS($B$5:B1082,B1082,$D$5:D1082,"Feature Use",$E$5:E1082,E1082)=1),1,0)</f>
        <v>0</v>
      </c>
      <c r="J1082" s="29" t="n">
        <f aca="false">IF(AND(D1082="Feature Use",COUNTIFS($B$5:B1082,B1082,$D$5:D1082,"Feature Use",$E$5:E1082,E1082)=2),1,0)</f>
        <v>0</v>
      </c>
      <c r="K1082" s="29" t="n">
        <f aca="false">IF(COUNTIF($B$5:B1082,B1082)=1,1,0)</f>
        <v>0</v>
      </c>
      <c r="L1082" s="29" t="n">
        <f aca="false">IF(AND(C1082&gt;=Settings!$B$5-Settings!$B$8+1,C1082&lt;=Settings!$B$5,COUNTIFS($B$5:B1082,B1082,$C$5:C1082,"&gt;="&amp;(Settings!$B$5-Settings!$B$8+1),$C$5:C1082,"&lt;="&amp;Settings!$B$5)=1),1,0)</f>
        <v>0</v>
      </c>
      <c r="M1082" s="29" t="n">
        <f aca="false">IF(AND(C1082&gt;=Settings!$B$5-Settings!$B$9+1,C1082&lt;=Settings!$B$5,COUNTIFS($B$5:B1082,B1082,$C$5:C1082,"&gt;="&amp;(Settings!$B$5-Settings!$B$9+1),$C$5:C1082,"&lt;="&amp;Settings!$B$5)=1),1,0)</f>
        <v>0</v>
      </c>
      <c r="N1082" s="29" t="n">
        <f aca="false">IF(AND(D1082="Feature Use",COUNTIFS($B$5:B1082,B1082,$D$5:D1082,"Feature Use")=1),1,0)</f>
        <v>0</v>
      </c>
    </row>
    <row r="1083" customFormat="false" ht="15" hidden="false" customHeight="false" outlineLevel="0" collapsed="false">
      <c r="A1083" s="22" t="s">
        <v>1390</v>
      </c>
      <c r="B1083" s="22" t="s">
        <v>269</v>
      </c>
      <c r="C1083" s="31" t="n">
        <v>46298</v>
      </c>
      <c r="D1083" s="22" t="s">
        <v>300</v>
      </c>
      <c r="E1083" s="22" t="s">
        <v>301</v>
      </c>
      <c r="F1083" s="29" t="str">
        <f aca="false">IF(COUNTIF(Referral_Data!$C$5:$C$1000,B1083)&gt;0,"Referred",IF(COUNTIF(Referral_Data!$B$5:$B$1000,B1083)&gt;0,"Referrer","Organic"))</f>
        <v>Referred</v>
      </c>
      <c r="G1083" s="29" t="n">
        <f aca="false">IF(COUNTIFS($B$5:B1083,B1083,$C$5:C1083,C1083)=1,1,0)</f>
        <v>0</v>
      </c>
      <c r="H1083" s="29" t="n">
        <f aca="false">IF(AND(G1083=1,COUNTIFS($B$5:$B$1635,B1083,$C$5:$C$1635,"&lt;"&amp;C1083)&gt;0),1,0)</f>
        <v>0</v>
      </c>
      <c r="I1083" s="29" t="n">
        <f aca="false">IF(AND(D1083="Feature Use",COUNTIFS($B$5:B1083,B1083,$D$5:D1083,"Feature Use",$E$5:E1083,E1083)=1),1,0)</f>
        <v>0</v>
      </c>
      <c r="J1083" s="29" t="n">
        <f aca="false">IF(AND(D1083="Feature Use",COUNTIFS($B$5:B1083,B1083,$D$5:D1083,"Feature Use",$E$5:E1083,E1083)=2),1,0)</f>
        <v>0</v>
      </c>
      <c r="K1083" s="29" t="n">
        <f aca="false">IF(COUNTIF($B$5:B1083,B1083)=1,1,0)</f>
        <v>0</v>
      </c>
      <c r="L1083" s="29" t="n">
        <f aca="false">IF(AND(C1083&gt;=Settings!$B$5-Settings!$B$8+1,C1083&lt;=Settings!$B$5,COUNTIFS($B$5:B1083,B1083,$C$5:C1083,"&gt;="&amp;(Settings!$B$5-Settings!$B$8+1),$C$5:C1083,"&lt;="&amp;Settings!$B$5)=1),1,0)</f>
        <v>0</v>
      </c>
      <c r="M1083" s="29" t="n">
        <f aca="false">IF(AND(C1083&gt;=Settings!$B$5-Settings!$B$9+1,C1083&lt;=Settings!$B$5,COUNTIFS($B$5:B1083,B1083,$C$5:C1083,"&gt;="&amp;(Settings!$B$5-Settings!$B$9+1),$C$5:C1083,"&lt;="&amp;Settings!$B$5)=1),1,0)</f>
        <v>0</v>
      </c>
      <c r="N1083" s="29" t="n">
        <f aca="false">IF(AND(D1083="Feature Use",COUNTIFS($B$5:B1083,B1083,$D$5:D1083,"Feature Use")=1),1,0)</f>
        <v>0</v>
      </c>
    </row>
    <row r="1084" customFormat="false" ht="15" hidden="false" customHeight="false" outlineLevel="0" collapsed="false">
      <c r="A1084" s="22" t="s">
        <v>1391</v>
      </c>
      <c r="B1084" s="22" t="s">
        <v>167</v>
      </c>
      <c r="C1084" s="31" t="n">
        <v>46298</v>
      </c>
      <c r="D1084" s="22" t="s">
        <v>297</v>
      </c>
      <c r="E1084" s="22" t="s">
        <v>298</v>
      </c>
      <c r="F1084" s="29" t="str">
        <f aca="false">IF(COUNTIF(Referral_Data!$C$5:$C$1000,B1084)&gt;0,"Referred",IF(COUNTIF(Referral_Data!$B$5:$B$1000,B1084)&gt;0,"Referrer","Organic"))</f>
        <v>Referrer</v>
      </c>
      <c r="G1084" s="29" t="n">
        <f aca="false">IF(COUNTIFS($B$5:B1084,B1084,$C$5:C1084,C1084)=1,1,0)</f>
        <v>1</v>
      </c>
      <c r="H1084" s="29" t="n">
        <f aca="false">IF(AND(G1084=1,COUNTIFS($B$5:$B$1635,B1084,$C$5:$C$1635,"&lt;"&amp;C1084)&gt;0),1,0)</f>
        <v>1</v>
      </c>
      <c r="I1084" s="29" t="n">
        <f aca="false">IF(AND(D1084="Feature Use",COUNTIFS($B$5:B1084,B1084,$D$5:D1084,"Feature Use",$E$5:E1084,E1084)=1),1,0)</f>
        <v>0</v>
      </c>
      <c r="J1084" s="29" t="n">
        <f aca="false">IF(AND(D1084="Feature Use",COUNTIFS($B$5:B1084,B1084,$D$5:D1084,"Feature Use",$E$5:E1084,E1084)=2),1,0)</f>
        <v>0</v>
      </c>
      <c r="K1084" s="29" t="n">
        <f aca="false">IF(COUNTIF($B$5:B1084,B1084)=1,1,0)</f>
        <v>0</v>
      </c>
      <c r="L1084" s="29" t="n">
        <f aca="false">IF(AND(C1084&gt;=Settings!$B$5-Settings!$B$8+1,C1084&lt;=Settings!$B$5,COUNTIFS($B$5:B1084,B1084,$C$5:C1084,"&gt;="&amp;(Settings!$B$5-Settings!$B$8+1),$C$5:C1084,"&lt;="&amp;Settings!$B$5)=1),1,0)</f>
        <v>0</v>
      </c>
      <c r="M1084" s="29" t="n">
        <f aca="false">IF(AND(C1084&gt;=Settings!$B$5-Settings!$B$9+1,C1084&lt;=Settings!$B$5,COUNTIFS($B$5:B1084,B1084,$C$5:C1084,"&gt;="&amp;(Settings!$B$5-Settings!$B$9+1),$C$5:C1084,"&lt;="&amp;Settings!$B$5)=1),1,0)</f>
        <v>0</v>
      </c>
      <c r="N1084" s="29" t="n">
        <f aca="false">IF(AND(D1084="Feature Use",COUNTIFS($B$5:B1084,B1084,$D$5:D1084,"Feature Use")=1),1,0)</f>
        <v>0</v>
      </c>
    </row>
    <row r="1085" customFormat="false" ht="15" hidden="false" customHeight="false" outlineLevel="0" collapsed="false">
      <c r="A1085" s="22" t="s">
        <v>1392</v>
      </c>
      <c r="B1085" s="22" t="s">
        <v>167</v>
      </c>
      <c r="C1085" s="31" t="n">
        <v>46298</v>
      </c>
      <c r="D1085" s="22" t="s">
        <v>300</v>
      </c>
      <c r="E1085" s="22" t="s">
        <v>301</v>
      </c>
      <c r="F1085" s="29" t="str">
        <f aca="false">IF(COUNTIF(Referral_Data!$C$5:$C$1000,B1085)&gt;0,"Referred",IF(COUNTIF(Referral_Data!$B$5:$B$1000,B1085)&gt;0,"Referrer","Organic"))</f>
        <v>Referrer</v>
      </c>
      <c r="G1085" s="29" t="n">
        <f aca="false">IF(COUNTIFS($B$5:B1085,B1085,$C$5:C1085,C1085)=1,1,0)</f>
        <v>0</v>
      </c>
      <c r="H1085" s="29" t="n">
        <f aca="false">IF(AND(G1085=1,COUNTIFS($B$5:$B$1635,B1085,$C$5:$C$1635,"&lt;"&amp;C1085)&gt;0),1,0)</f>
        <v>0</v>
      </c>
      <c r="I1085" s="29" t="n">
        <f aca="false">IF(AND(D1085="Feature Use",COUNTIFS($B$5:B1085,B1085,$D$5:D1085,"Feature Use",$E$5:E1085,E1085)=1),1,0)</f>
        <v>0</v>
      </c>
      <c r="J1085" s="29" t="n">
        <f aca="false">IF(AND(D1085="Feature Use",COUNTIFS($B$5:B1085,B1085,$D$5:D1085,"Feature Use",$E$5:E1085,E1085)=2),1,0)</f>
        <v>0</v>
      </c>
      <c r="K1085" s="29" t="n">
        <f aca="false">IF(COUNTIF($B$5:B1085,B1085)=1,1,0)</f>
        <v>0</v>
      </c>
      <c r="L1085" s="29" t="n">
        <f aca="false">IF(AND(C1085&gt;=Settings!$B$5-Settings!$B$8+1,C1085&lt;=Settings!$B$5,COUNTIFS($B$5:B1085,B1085,$C$5:C1085,"&gt;="&amp;(Settings!$B$5-Settings!$B$8+1),$C$5:C1085,"&lt;="&amp;Settings!$B$5)=1),1,0)</f>
        <v>0</v>
      </c>
      <c r="M1085" s="29" t="n">
        <f aca="false">IF(AND(C1085&gt;=Settings!$B$5-Settings!$B$9+1,C1085&lt;=Settings!$B$5,COUNTIFS($B$5:B1085,B1085,$C$5:C1085,"&gt;="&amp;(Settings!$B$5-Settings!$B$9+1),$C$5:C1085,"&lt;="&amp;Settings!$B$5)=1),1,0)</f>
        <v>0</v>
      </c>
      <c r="N1085" s="29" t="n">
        <f aca="false">IF(AND(D1085="Feature Use",COUNTIFS($B$5:B1085,B1085,$D$5:D1085,"Feature Use")=1),1,0)</f>
        <v>0</v>
      </c>
    </row>
    <row r="1086" customFormat="false" ht="15" hidden="false" customHeight="false" outlineLevel="0" collapsed="false">
      <c r="A1086" s="22" t="s">
        <v>1393</v>
      </c>
      <c r="B1086" s="22" t="s">
        <v>196</v>
      </c>
      <c r="C1086" s="31" t="n">
        <v>46298</v>
      </c>
      <c r="D1086" s="22" t="s">
        <v>297</v>
      </c>
      <c r="E1086" s="22" t="s">
        <v>298</v>
      </c>
      <c r="F1086" s="29" t="str">
        <f aca="false">IF(COUNTIF(Referral_Data!$C$5:$C$1000,B1086)&gt;0,"Referred",IF(COUNTIF(Referral_Data!$B$5:$B$1000,B1086)&gt;0,"Referrer","Organic"))</f>
        <v>Referrer</v>
      </c>
      <c r="G1086" s="29" t="n">
        <f aca="false">IF(COUNTIFS($B$5:B1086,B1086,$C$5:C1086,C1086)=1,1,0)</f>
        <v>1</v>
      </c>
      <c r="H1086" s="29" t="n">
        <f aca="false">IF(AND(G1086=1,COUNTIFS($B$5:$B$1635,B1086,$C$5:$C$1635,"&lt;"&amp;C1086)&gt;0),1,0)</f>
        <v>1</v>
      </c>
      <c r="I1086" s="29" t="n">
        <f aca="false">IF(AND(D1086="Feature Use",COUNTIFS($B$5:B1086,B1086,$D$5:D1086,"Feature Use",$E$5:E1086,E1086)=1),1,0)</f>
        <v>0</v>
      </c>
      <c r="J1086" s="29" t="n">
        <f aca="false">IF(AND(D1086="Feature Use",COUNTIFS($B$5:B1086,B1086,$D$5:D1086,"Feature Use",$E$5:E1086,E1086)=2),1,0)</f>
        <v>0</v>
      </c>
      <c r="K1086" s="29" t="n">
        <f aca="false">IF(COUNTIF($B$5:B1086,B1086)=1,1,0)</f>
        <v>0</v>
      </c>
      <c r="L1086" s="29" t="n">
        <f aca="false">IF(AND(C1086&gt;=Settings!$B$5-Settings!$B$8+1,C1086&lt;=Settings!$B$5,COUNTIFS($B$5:B1086,B1086,$C$5:C1086,"&gt;="&amp;(Settings!$B$5-Settings!$B$8+1),$C$5:C1086,"&lt;="&amp;Settings!$B$5)=1),1,0)</f>
        <v>0</v>
      </c>
      <c r="M1086" s="29" t="n">
        <f aca="false">IF(AND(C1086&gt;=Settings!$B$5-Settings!$B$9+1,C1086&lt;=Settings!$B$5,COUNTIFS($B$5:B1086,B1086,$C$5:C1086,"&gt;="&amp;(Settings!$B$5-Settings!$B$9+1),$C$5:C1086,"&lt;="&amp;Settings!$B$5)=1),1,0)</f>
        <v>0</v>
      </c>
      <c r="N1086" s="29" t="n">
        <f aca="false">IF(AND(D1086="Feature Use",COUNTIFS($B$5:B1086,B1086,$D$5:D1086,"Feature Use")=1),1,0)</f>
        <v>0</v>
      </c>
    </row>
    <row r="1087" customFormat="false" ht="15" hidden="false" customHeight="false" outlineLevel="0" collapsed="false">
      <c r="A1087" s="22" t="s">
        <v>1394</v>
      </c>
      <c r="B1087" s="22" t="s">
        <v>196</v>
      </c>
      <c r="C1087" s="31" t="n">
        <v>46298</v>
      </c>
      <c r="D1087" s="22" t="s">
        <v>300</v>
      </c>
      <c r="E1087" s="22" t="s">
        <v>319</v>
      </c>
      <c r="F1087" s="29" t="str">
        <f aca="false">IF(COUNTIF(Referral_Data!$C$5:$C$1000,B1087)&gt;0,"Referred",IF(COUNTIF(Referral_Data!$B$5:$B$1000,B1087)&gt;0,"Referrer","Organic"))</f>
        <v>Referrer</v>
      </c>
      <c r="G1087" s="29" t="n">
        <f aca="false">IF(COUNTIFS($B$5:B1087,B1087,$C$5:C1087,C1087)=1,1,0)</f>
        <v>0</v>
      </c>
      <c r="H1087" s="29" t="n">
        <f aca="false">IF(AND(G1087=1,COUNTIFS($B$5:$B$1635,B1087,$C$5:$C$1635,"&lt;"&amp;C1087)&gt;0),1,0)</f>
        <v>0</v>
      </c>
      <c r="I1087" s="29" t="n">
        <f aca="false">IF(AND(D1087="Feature Use",COUNTIFS($B$5:B1087,B1087,$D$5:D1087,"Feature Use",$E$5:E1087,E1087)=1),1,0)</f>
        <v>1</v>
      </c>
      <c r="J1087" s="29" t="n">
        <f aca="false">IF(AND(D1087="Feature Use",COUNTIFS($B$5:B1087,B1087,$D$5:D1087,"Feature Use",$E$5:E1087,E1087)=2),1,0)</f>
        <v>0</v>
      </c>
      <c r="K1087" s="29" t="n">
        <f aca="false">IF(COUNTIF($B$5:B1087,B1087)=1,1,0)</f>
        <v>0</v>
      </c>
      <c r="L1087" s="29" t="n">
        <f aca="false">IF(AND(C1087&gt;=Settings!$B$5-Settings!$B$8+1,C1087&lt;=Settings!$B$5,COUNTIFS($B$5:B1087,B1087,$C$5:C1087,"&gt;="&amp;(Settings!$B$5-Settings!$B$8+1),$C$5:C1087,"&lt;="&amp;Settings!$B$5)=1),1,0)</f>
        <v>0</v>
      </c>
      <c r="M1087" s="29" t="n">
        <f aca="false">IF(AND(C1087&gt;=Settings!$B$5-Settings!$B$9+1,C1087&lt;=Settings!$B$5,COUNTIFS($B$5:B1087,B1087,$C$5:C1087,"&gt;="&amp;(Settings!$B$5-Settings!$B$9+1),$C$5:C1087,"&lt;="&amp;Settings!$B$5)=1),1,0)</f>
        <v>0</v>
      </c>
      <c r="N1087" s="29" t="n">
        <f aca="false">IF(AND(D1087="Feature Use",COUNTIFS($B$5:B1087,B1087,$D$5:D1087,"Feature Use")=1),1,0)</f>
        <v>0</v>
      </c>
    </row>
    <row r="1088" customFormat="false" ht="15" hidden="false" customHeight="false" outlineLevel="0" collapsed="false">
      <c r="A1088" s="22" t="s">
        <v>1395</v>
      </c>
      <c r="B1088" s="22" t="s">
        <v>196</v>
      </c>
      <c r="C1088" s="31" t="n">
        <v>46298</v>
      </c>
      <c r="D1088" s="22" t="s">
        <v>308</v>
      </c>
      <c r="E1088" s="22" t="s">
        <v>305</v>
      </c>
      <c r="F1088" s="29" t="str">
        <f aca="false">IF(COUNTIF(Referral_Data!$C$5:$C$1000,B1088)&gt;0,"Referred",IF(COUNTIF(Referral_Data!$B$5:$B$1000,B1088)&gt;0,"Referrer","Organic"))</f>
        <v>Referrer</v>
      </c>
      <c r="G1088" s="29" t="n">
        <f aca="false">IF(COUNTIFS($B$5:B1088,B1088,$C$5:C1088,C1088)=1,1,0)</f>
        <v>0</v>
      </c>
      <c r="H1088" s="29" t="n">
        <f aca="false">IF(AND(G1088=1,COUNTIFS($B$5:$B$1635,B1088,$C$5:$C$1635,"&lt;"&amp;C1088)&gt;0),1,0)</f>
        <v>0</v>
      </c>
      <c r="I1088" s="29" t="n">
        <f aca="false">IF(AND(D1088="Feature Use",COUNTIFS($B$5:B1088,B1088,$D$5:D1088,"Feature Use",$E$5:E1088,E1088)=1),1,0)</f>
        <v>0</v>
      </c>
      <c r="J1088" s="29" t="n">
        <f aca="false">IF(AND(D1088="Feature Use",COUNTIFS($B$5:B1088,B1088,$D$5:D1088,"Feature Use",$E$5:E1088,E1088)=2),1,0)</f>
        <v>0</v>
      </c>
      <c r="K1088" s="29" t="n">
        <f aca="false">IF(COUNTIF($B$5:B1088,B1088)=1,1,0)</f>
        <v>0</v>
      </c>
      <c r="L1088" s="29" t="n">
        <f aca="false">IF(AND(C1088&gt;=Settings!$B$5-Settings!$B$8+1,C1088&lt;=Settings!$B$5,COUNTIFS($B$5:B1088,B1088,$C$5:C1088,"&gt;="&amp;(Settings!$B$5-Settings!$B$8+1),$C$5:C1088,"&lt;="&amp;Settings!$B$5)=1),1,0)</f>
        <v>0</v>
      </c>
      <c r="M1088" s="29" t="n">
        <f aca="false">IF(AND(C1088&gt;=Settings!$B$5-Settings!$B$9+1,C1088&lt;=Settings!$B$5,COUNTIFS($B$5:B1088,B1088,$C$5:C1088,"&gt;="&amp;(Settings!$B$5-Settings!$B$9+1),$C$5:C1088,"&lt;="&amp;Settings!$B$5)=1),1,0)</f>
        <v>0</v>
      </c>
      <c r="N1088" s="29" t="n">
        <f aca="false">IF(AND(D1088="Feature Use",COUNTIFS($B$5:B1088,B1088,$D$5:D1088,"Feature Use")=1),1,0)</f>
        <v>0</v>
      </c>
    </row>
    <row r="1089" customFormat="false" ht="15" hidden="false" customHeight="false" outlineLevel="0" collapsed="false">
      <c r="A1089" s="22" t="s">
        <v>1396</v>
      </c>
      <c r="B1089" s="22" t="s">
        <v>190</v>
      </c>
      <c r="C1089" s="31" t="n">
        <v>46298</v>
      </c>
      <c r="D1089" s="22" t="s">
        <v>297</v>
      </c>
      <c r="E1089" s="22" t="s">
        <v>298</v>
      </c>
      <c r="F1089" s="29" t="str">
        <f aca="false">IF(COUNTIF(Referral_Data!$C$5:$C$1000,B1089)&gt;0,"Referred",IF(COUNTIF(Referral_Data!$B$5:$B$1000,B1089)&gt;0,"Referrer","Organic"))</f>
        <v>Referrer</v>
      </c>
      <c r="G1089" s="29" t="n">
        <f aca="false">IF(COUNTIFS($B$5:B1089,B1089,$C$5:C1089,C1089)=1,1,0)</f>
        <v>1</v>
      </c>
      <c r="H1089" s="29" t="n">
        <f aca="false">IF(AND(G1089=1,COUNTIFS($B$5:$B$1635,B1089,$C$5:$C$1635,"&lt;"&amp;C1089)&gt;0),1,0)</f>
        <v>1</v>
      </c>
      <c r="I1089" s="29" t="n">
        <f aca="false">IF(AND(D1089="Feature Use",COUNTIFS($B$5:B1089,B1089,$D$5:D1089,"Feature Use",$E$5:E1089,E1089)=1),1,0)</f>
        <v>0</v>
      </c>
      <c r="J1089" s="29" t="n">
        <f aca="false">IF(AND(D1089="Feature Use",COUNTIFS($B$5:B1089,B1089,$D$5:D1089,"Feature Use",$E$5:E1089,E1089)=2),1,0)</f>
        <v>0</v>
      </c>
      <c r="K1089" s="29" t="n">
        <f aca="false">IF(COUNTIF($B$5:B1089,B1089)=1,1,0)</f>
        <v>0</v>
      </c>
      <c r="L1089" s="29" t="n">
        <f aca="false">IF(AND(C1089&gt;=Settings!$B$5-Settings!$B$8+1,C1089&lt;=Settings!$B$5,COUNTIFS($B$5:B1089,B1089,$C$5:C1089,"&gt;="&amp;(Settings!$B$5-Settings!$B$8+1),$C$5:C1089,"&lt;="&amp;Settings!$B$5)=1),1,0)</f>
        <v>0</v>
      </c>
      <c r="M1089" s="29" t="n">
        <f aca="false">IF(AND(C1089&gt;=Settings!$B$5-Settings!$B$9+1,C1089&lt;=Settings!$B$5,COUNTIFS($B$5:B1089,B1089,$C$5:C1089,"&gt;="&amp;(Settings!$B$5-Settings!$B$9+1),$C$5:C1089,"&lt;="&amp;Settings!$B$5)=1),1,0)</f>
        <v>0</v>
      </c>
      <c r="N1089" s="29" t="n">
        <f aca="false">IF(AND(D1089="Feature Use",COUNTIFS($B$5:B1089,B1089,$D$5:D1089,"Feature Use")=1),1,0)</f>
        <v>0</v>
      </c>
    </row>
    <row r="1090" customFormat="false" ht="15" hidden="false" customHeight="false" outlineLevel="0" collapsed="false">
      <c r="A1090" s="22" t="s">
        <v>1397</v>
      </c>
      <c r="B1090" s="22" t="s">
        <v>190</v>
      </c>
      <c r="C1090" s="31" t="n">
        <v>46298</v>
      </c>
      <c r="D1090" s="22" t="s">
        <v>300</v>
      </c>
      <c r="E1090" s="22" t="s">
        <v>311</v>
      </c>
      <c r="F1090" s="29" t="str">
        <f aca="false">IF(COUNTIF(Referral_Data!$C$5:$C$1000,B1090)&gt;0,"Referred",IF(COUNTIF(Referral_Data!$B$5:$B$1000,B1090)&gt;0,"Referrer","Organic"))</f>
        <v>Referrer</v>
      </c>
      <c r="G1090" s="29" t="n">
        <f aca="false">IF(COUNTIFS($B$5:B1090,B1090,$C$5:C1090,C1090)=1,1,0)</f>
        <v>0</v>
      </c>
      <c r="H1090" s="29" t="n">
        <f aca="false">IF(AND(G1090=1,COUNTIFS($B$5:$B$1635,B1090,$C$5:$C$1635,"&lt;"&amp;C1090)&gt;0),1,0)</f>
        <v>0</v>
      </c>
      <c r="I1090" s="29" t="n">
        <f aca="false">IF(AND(D1090="Feature Use",COUNTIFS($B$5:B1090,B1090,$D$5:D1090,"Feature Use",$E$5:E1090,E1090)=1),1,0)</f>
        <v>0</v>
      </c>
      <c r="J1090" s="29" t="n">
        <f aca="false">IF(AND(D1090="Feature Use",COUNTIFS($B$5:B1090,B1090,$D$5:D1090,"Feature Use",$E$5:E1090,E1090)=2),1,0)</f>
        <v>1</v>
      </c>
      <c r="K1090" s="29" t="n">
        <f aca="false">IF(COUNTIF($B$5:B1090,B1090)=1,1,0)</f>
        <v>0</v>
      </c>
      <c r="L1090" s="29" t="n">
        <f aca="false">IF(AND(C1090&gt;=Settings!$B$5-Settings!$B$8+1,C1090&lt;=Settings!$B$5,COUNTIFS($B$5:B1090,B1090,$C$5:C1090,"&gt;="&amp;(Settings!$B$5-Settings!$B$8+1),$C$5:C1090,"&lt;="&amp;Settings!$B$5)=1),1,0)</f>
        <v>0</v>
      </c>
      <c r="M1090" s="29" t="n">
        <f aca="false">IF(AND(C1090&gt;=Settings!$B$5-Settings!$B$9+1,C1090&lt;=Settings!$B$5,COUNTIFS($B$5:B1090,B1090,$C$5:C1090,"&gt;="&amp;(Settings!$B$5-Settings!$B$9+1),$C$5:C1090,"&lt;="&amp;Settings!$B$5)=1),1,0)</f>
        <v>0</v>
      </c>
      <c r="N1090" s="29" t="n">
        <f aca="false">IF(AND(D1090="Feature Use",COUNTIFS($B$5:B1090,B1090,$D$5:D1090,"Feature Use")=1),1,0)</f>
        <v>0</v>
      </c>
    </row>
    <row r="1091" customFormat="false" ht="15" hidden="false" customHeight="false" outlineLevel="0" collapsed="false">
      <c r="A1091" s="22" t="s">
        <v>1398</v>
      </c>
      <c r="B1091" s="22" t="s">
        <v>215</v>
      </c>
      <c r="C1091" s="31" t="n">
        <v>46298</v>
      </c>
      <c r="D1091" s="22" t="s">
        <v>297</v>
      </c>
      <c r="E1091" s="22" t="s">
        <v>298</v>
      </c>
      <c r="F1091" s="29" t="str">
        <f aca="false">IF(COUNTIF(Referral_Data!$C$5:$C$1000,B1091)&gt;0,"Referred",IF(COUNTIF(Referral_Data!$B$5:$B$1000,B1091)&gt;0,"Referrer","Organic"))</f>
        <v>Referrer</v>
      </c>
      <c r="G1091" s="29" t="n">
        <f aca="false">IF(COUNTIFS($B$5:B1091,B1091,$C$5:C1091,C1091)=1,1,0)</f>
        <v>1</v>
      </c>
      <c r="H1091" s="29" t="n">
        <f aca="false">IF(AND(G1091=1,COUNTIFS($B$5:$B$1635,B1091,$C$5:$C$1635,"&lt;"&amp;C1091)&gt;0),1,0)</f>
        <v>1</v>
      </c>
      <c r="I1091" s="29" t="n">
        <f aca="false">IF(AND(D1091="Feature Use",COUNTIFS($B$5:B1091,B1091,$D$5:D1091,"Feature Use",$E$5:E1091,E1091)=1),1,0)</f>
        <v>0</v>
      </c>
      <c r="J1091" s="29" t="n">
        <f aca="false">IF(AND(D1091="Feature Use",COUNTIFS($B$5:B1091,B1091,$D$5:D1091,"Feature Use",$E$5:E1091,E1091)=2),1,0)</f>
        <v>0</v>
      </c>
      <c r="K1091" s="29" t="n">
        <f aca="false">IF(COUNTIF($B$5:B1091,B1091)=1,1,0)</f>
        <v>0</v>
      </c>
      <c r="L1091" s="29" t="n">
        <f aca="false">IF(AND(C1091&gt;=Settings!$B$5-Settings!$B$8+1,C1091&lt;=Settings!$B$5,COUNTIFS($B$5:B1091,B1091,$C$5:C1091,"&gt;="&amp;(Settings!$B$5-Settings!$B$8+1),$C$5:C1091,"&lt;="&amp;Settings!$B$5)=1),1,0)</f>
        <v>0</v>
      </c>
      <c r="M1091" s="29" t="n">
        <f aca="false">IF(AND(C1091&gt;=Settings!$B$5-Settings!$B$9+1,C1091&lt;=Settings!$B$5,COUNTIFS($B$5:B1091,B1091,$C$5:C1091,"&gt;="&amp;(Settings!$B$5-Settings!$B$9+1),$C$5:C1091,"&lt;="&amp;Settings!$B$5)=1),1,0)</f>
        <v>0</v>
      </c>
      <c r="N1091" s="29" t="n">
        <f aca="false">IF(AND(D1091="Feature Use",COUNTIFS($B$5:B1091,B1091,$D$5:D1091,"Feature Use")=1),1,0)</f>
        <v>0</v>
      </c>
    </row>
    <row r="1092" customFormat="false" ht="15" hidden="false" customHeight="false" outlineLevel="0" collapsed="false">
      <c r="A1092" s="22" t="s">
        <v>1399</v>
      </c>
      <c r="B1092" s="22" t="s">
        <v>215</v>
      </c>
      <c r="C1092" s="31" t="n">
        <v>46298</v>
      </c>
      <c r="D1092" s="22" t="s">
        <v>300</v>
      </c>
      <c r="E1092" s="22" t="s">
        <v>311</v>
      </c>
      <c r="F1092" s="29" t="str">
        <f aca="false">IF(COUNTIF(Referral_Data!$C$5:$C$1000,B1092)&gt;0,"Referred",IF(COUNTIF(Referral_Data!$B$5:$B$1000,B1092)&gt;0,"Referrer","Organic"))</f>
        <v>Referrer</v>
      </c>
      <c r="G1092" s="29" t="n">
        <f aca="false">IF(COUNTIFS($B$5:B1092,B1092,$C$5:C1092,C1092)=1,1,0)</f>
        <v>0</v>
      </c>
      <c r="H1092" s="29" t="n">
        <f aca="false">IF(AND(G1092=1,COUNTIFS($B$5:$B$1635,B1092,$C$5:$C$1635,"&lt;"&amp;C1092)&gt;0),1,0)</f>
        <v>0</v>
      </c>
      <c r="I1092" s="29" t="n">
        <f aca="false">IF(AND(D1092="Feature Use",COUNTIFS($B$5:B1092,B1092,$D$5:D1092,"Feature Use",$E$5:E1092,E1092)=1),1,0)</f>
        <v>0</v>
      </c>
      <c r="J1092" s="29" t="n">
        <f aca="false">IF(AND(D1092="Feature Use",COUNTIFS($B$5:B1092,B1092,$D$5:D1092,"Feature Use",$E$5:E1092,E1092)=2),1,0)</f>
        <v>0</v>
      </c>
      <c r="K1092" s="29" t="n">
        <f aca="false">IF(COUNTIF($B$5:B1092,B1092)=1,1,0)</f>
        <v>0</v>
      </c>
      <c r="L1092" s="29" t="n">
        <f aca="false">IF(AND(C1092&gt;=Settings!$B$5-Settings!$B$8+1,C1092&lt;=Settings!$B$5,COUNTIFS($B$5:B1092,B1092,$C$5:C1092,"&gt;="&amp;(Settings!$B$5-Settings!$B$8+1),$C$5:C1092,"&lt;="&amp;Settings!$B$5)=1),1,0)</f>
        <v>0</v>
      </c>
      <c r="M1092" s="29" t="n">
        <f aca="false">IF(AND(C1092&gt;=Settings!$B$5-Settings!$B$9+1,C1092&lt;=Settings!$B$5,COUNTIFS($B$5:B1092,B1092,$C$5:C1092,"&gt;="&amp;(Settings!$B$5-Settings!$B$9+1),$C$5:C1092,"&lt;="&amp;Settings!$B$5)=1),1,0)</f>
        <v>0</v>
      </c>
      <c r="N1092" s="29" t="n">
        <f aca="false">IF(AND(D1092="Feature Use",COUNTIFS($B$5:B1092,B1092,$D$5:D1092,"Feature Use")=1),1,0)</f>
        <v>0</v>
      </c>
    </row>
    <row r="1093" customFormat="false" ht="15" hidden="false" customHeight="false" outlineLevel="0" collapsed="false">
      <c r="A1093" s="22" t="s">
        <v>1400</v>
      </c>
      <c r="B1093" s="22" t="s">
        <v>215</v>
      </c>
      <c r="C1093" s="31" t="n">
        <v>46298</v>
      </c>
      <c r="D1093" s="22" t="s">
        <v>300</v>
      </c>
      <c r="E1093" s="22" t="s">
        <v>319</v>
      </c>
      <c r="F1093" s="29" t="str">
        <f aca="false">IF(COUNTIF(Referral_Data!$C$5:$C$1000,B1093)&gt;0,"Referred",IF(COUNTIF(Referral_Data!$B$5:$B$1000,B1093)&gt;0,"Referrer","Organic"))</f>
        <v>Referrer</v>
      </c>
      <c r="G1093" s="29" t="n">
        <f aca="false">IF(COUNTIFS($B$5:B1093,B1093,$C$5:C1093,C1093)=1,1,0)</f>
        <v>0</v>
      </c>
      <c r="H1093" s="29" t="n">
        <f aca="false">IF(AND(G1093=1,COUNTIFS($B$5:$B$1635,B1093,$C$5:$C$1635,"&lt;"&amp;C1093)&gt;0),1,0)</f>
        <v>0</v>
      </c>
      <c r="I1093" s="29" t="n">
        <f aca="false">IF(AND(D1093="Feature Use",COUNTIFS($B$5:B1093,B1093,$D$5:D1093,"Feature Use",$E$5:E1093,E1093)=1),1,0)</f>
        <v>0</v>
      </c>
      <c r="J1093" s="29" t="n">
        <f aca="false">IF(AND(D1093="Feature Use",COUNTIFS($B$5:B1093,B1093,$D$5:D1093,"Feature Use",$E$5:E1093,E1093)=2),1,0)</f>
        <v>1</v>
      </c>
      <c r="K1093" s="29" t="n">
        <f aca="false">IF(COUNTIF($B$5:B1093,B1093)=1,1,0)</f>
        <v>0</v>
      </c>
      <c r="L1093" s="29" t="n">
        <f aca="false">IF(AND(C1093&gt;=Settings!$B$5-Settings!$B$8+1,C1093&lt;=Settings!$B$5,COUNTIFS($B$5:B1093,B1093,$C$5:C1093,"&gt;="&amp;(Settings!$B$5-Settings!$B$8+1),$C$5:C1093,"&lt;="&amp;Settings!$B$5)=1),1,0)</f>
        <v>0</v>
      </c>
      <c r="M1093" s="29" t="n">
        <f aca="false">IF(AND(C1093&gt;=Settings!$B$5-Settings!$B$9+1,C1093&lt;=Settings!$B$5,COUNTIFS($B$5:B1093,B1093,$C$5:C1093,"&gt;="&amp;(Settings!$B$5-Settings!$B$9+1),$C$5:C1093,"&lt;="&amp;Settings!$B$5)=1),1,0)</f>
        <v>0</v>
      </c>
      <c r="N1093" s="29" t="n">
        <f aca="false">IF(AND(D1093="Feature Use",COUNTIFS($B$5:B1093,B1093,$D$5:D1093,"Feature Use")=1),1,0)</f>
        <v>0</v>
      </c>
    </row>
    <row r="1094" customFormat="false" ht="15" hidden="false" customHeight="false" outlineLevel="0" collapsed="false">
      <c r="A1094" s="22" t="s">
        <v>1401</v>
      </c>
      <c r="B1094" s="22" t="s">
        <v>183</v>
      </c>
      <c r="C1094" s="31" t="n">
        <v>46298</v>
      </c>
      <c r="D1094" s="22" t="s">
        <v>297</v>
      </c>
      <c r="E1094" s="22" t="s">
        <v>298</v>
      </c>
      <c r="F1094" s="29" t="str">
        <f aca="false">IF(COUNTIF(Referral_Data!$C$5:$C$1000,B1094)&gt;0,"Referred",IF(COUNTIF(Referral_Data!$B$5:$B$1000,B1094)&gt;0,"Referrer","Organic"))</f>
        <v>Referrer</v>
      </c>
      <c r="G1094" s="29" t="n">
        <f aca="false">IF(COUNTIFS($B$5:B1094,B1094,$C$5:C1094,C1094)=1,1,0)</f>
        <v>1</v>
      </c>
      <c r="H1094" s="29" t="n">
        <f aca="false">IF(AND(G1094=1,COUNTIFS($B$5:$B$1635,B1094,$C$5:$C$1635,"&lt;"&amp;C1094)&gt;0),1,0)</f>
        <v>1</v>
      </c>
      <c r="I1094" s="29" t="n">
        <f aca="false">IF(AND(D1094="Feature Use",COUNTIFS($B$5:B1094,B1094,$D$5:D1094,"Feature Use",$E$5:E1094,E1094)=1),1,0)</f>
        <v>0</v>
      </c>
      <c r="J1094" s="29" t="n">
        <f aca="false">IF(AND(D1094="Feature Use",COUNTIFS($B$5:B1094,B1094,$D$5:D1094,"Feature Use",$E$5:E1094,E1094)=2),1,0)</f>
        <v>0</v>
      </c>
      <c r="K1094" s="29" t="n">
        <f aca="false">IF(COUNTIF($B$5:B1094,B1094)=1,1,0)</f>
        <v>0</v>
      </c>
      <c r="L1094" s="29" t="n">
        <f aca="false">IF(AND(C1094&gt;=Settings!$B$5-Settings!$B$8+1,C1094&lt;=Settings!$B$5,COUNTIFS($B$5:B1094,B1094,$C$5:C1094,"&gt;="&amp;(Settings!$B$5-Settings!$B$8+1),$C$5:C1094,"&lt;="&amp;Settings!$B$5)=1),1,0)</f>
        <v>0</v>
      </c>
      <c r="M1094" s="29" t="n">
        <f aca="false">IF(AND(C1094&gt;=Settings!$B$5-Settings!$B$9+1,C1094&lt;=Settings!$B$5,COUNTIFS($B$5:B1094,B1094,$C$5:C1094,"&gt;="&amp;(Settings!$B$5-Settings!$B$9+1),$C$5:C1094,"&lt;="&amp;Settings!$B$5)=1),1,0)</f>
        <v>0</v>
      </c>
      <c r="N1094" s="29" t="n">
        <f aca="false">IF(AND(D1094="Feature Use",COUNTIFS($B$5:B1094,B1094,$D$5:D1094,"Feature Use")=1),1,0)</f>
        <v>0</v>
      </c>
    </row>
    <row r="1095" customFormat="false" ht="15" hidden="false" customHeight="false" outlineLevel="0" collapsed="false">
      <c r="A1095" s="22" t="s">
        <v>1402</v>
      </c>
      <c r="B1095" s="22" t="s">
        <v>183</v>
      </c>
      <c r="C1095" s="31" t="n">
        <v>46298</v>
      </c>
      <c r="D1095" s="22" t="s">
        <v>300</v>
      </c>
      <c r="E1095" s="22" t="s">
        <v>301</v>
      </c>
      <c r="F1095" s="29" t="str">
        <f aca="false">IF(COUNTIF(Referral_Data!$C$5:$C$1000,B1095)&gt;0,"Referred",IF(COUNTIF(Referral_Data!$B$5:$B$1000,B1095)&gt;0,"Referrer","Organic"))</f>
        <v>Referrer</v>
      </c>
      <c r="G1095" s="29" t="n">
        <f aca="false">IF(COUNTIFS($B$5:B1095,B1095,$C$5:C1095,C1095)=1,1,0)</f>
        <v>0</v>
      </c>
      <c r="H1095" s="29" t="n">
        <f aca="false">IF(AND(G1095=1,COUNTIFS($B$5:$B$1635,B1095,$C$5:$C$1635,"&lt;"&amp;C1095)&gt;0),1,0)</f>
        <v>0</v>
      </c>
      <c r="I1095" s="29" t="n">
        <f aca="false">IF(AND(D1095="Feature Use",COUNTIFS($B$5:B1095,B1095,$D$5:D1095,"Feature Use",$E$5:E1095,E1095)=1),1,0)</f>
        <v>0</v>
      </c>
      <c r="J1095" s="29" t="n">
        <f aca="false">IF(AND(D1095="Feature Use",COUNTIFS($B$5:B1095,B1095,$D$5:D1095,"Feature Use",$E$5:E1095,E1095)=2),1,0)</f>
        <v>0</v>
      </c>
      <c r="K1095" s="29" t="n">
        <f aca="false">IF(COUNTIF($B$5:B1095,B1095)=1,1,0)</f>
        <v>0</v>
      </c>
      <c r="L1095" s="29" t="n">
        <f aca="false">IF(AND(C1095&gt;=Settings!$B$5-Settings!$B$8+1,C1095&lt;=Settings!$B$5,COUNTIFS($B$5:B1095,B1095,$C$5:C1095,"&gt;="&amp;(Settings!$B$5-Settings!$B$8+1),$C$5:C1095,"&lt;="&amp;Settings!$B$5)=1),1,0)</f>
        <v>0</v>
      </c>
      <c r="M1095" s="29" t="n">
        <f aca="false">IF(AND(C1095&gt;=Settings!$B$5-Settings!$B$9+1,C1095&lt;=Settings!$B$5,COUNTIFS($B$5:B1095,B1095,$C$5:C1095,"&gt;="&amp;(Settings!$B$5-Settings!$B$9+1),$C$5:C1095,"&lt;="&amp;Settings!$B$5)=1),1,0)</f>
        <v>0</v>
      </c>
      <c r="N1095" s="29" t="n">
        <f aca="false">IF(AND(D1095="Feature Use",COUNTIFS($B$5:B1095,B1095,$D$5:D1095,"Feature Use")=1),1,0)</f>
        <v>0</v>
      </c>
    </row>
    <row r="1096" customFormat="false" ht="15" hidden="false" customHeight="false" outlineLevel="0" collapsed="false">
      <c r="A1096" s="22" t="s">
        <v>1403</v>
      </c>
      <c r="B1096" s="22" t="s">
        <v>183</v>
      </c>
      <c r="C1096" s="31" t="n">
        <v>46298</v>
      </c>
      <c r="D1096" s="22" t="s">
        <v>300</v>
      </c>
      <c r="E1096" s="22" t="s">
        <v>309</v>
      </c>
      <c r="F1096" s="29" t="str">
        <f aca="false">IF(COUNTIF(Referral_Data!$C$5:$C$1000,B1096)&gt;0,"Referred",IF(COUNTIF(Referral_Data!$B$5:$B$1000,B1096)&gt;0,"Referrer","Organic"))</f>
        <v>Referrer</v>
      </c>
      <c r="G1096" s="29" t="n">
        <f aca="false">IF(COUNTIFS($B$5:B1096,B1096,$C$5:C1096,C1096)=1,1,0)</f>
        <v>0</v>
      </c>
      <c r="H1096" s="29" t="n">
        <f aca="false">IF(AND(G1096=1,COUNTIFS($B$5:$B$1635,B1096,$C$5:$C$1635,"&lt;"&amp;C1096)&gt;0),1,0)</f>
        <v>0</v>
      </c>
      <c r="I1096" s="29" t="n">
        <f aca="false">IF(AND(D1096="Feature Use",COUNTIFS($B$5:B1096,B1096,$D$5:D1096,"Feature Use",$E$5:E1096,E1096)=1),1,0)</f>
        <v>0</v>
      </c>
      <c r="J1096" s="29" t="n">
        <f aca="false">IF(AND(D1096="Feature Use",COUNTIFS($B$5:B1096,B1096,$D$5:D1096,"Feature Use",$E$5:E1096,E1096)=2),1,0)</f>
        <v>0</v>
      </c>
      <c r="K1096" s="29" t="n">
        <f aca="false">IF(COUNTIF($B$5:B1096,B1096)=1,1,0)</f>
        <v>0</v>
      </c>
      <c r="L1096" s="29" t="n">
        <f aca="false">IF(AND(C1096&gt;=Settings!$B$5-Settings!$B$8+1,C1096&lt;=Settings!$B$5,COUNTIFS($B$5:B1096,B1096,$C$5:C1096,"&gt;="&amp;(Settings!$B$5-Settings!$B$8+1),$C$5:C1096,"&lt;="&amp;Settings!$B$5)=1),1,0)</f>
        <v>0</v>
      </c>
      <c r="M1096" s="29" t="n">
        <f aca="false">IF(AND(C1096&gt;=Settings!$B$5-Settings!$B$9+1,C1096&lt;=Settings!$B$5,COUNTIFS($B$5:B1096,B1096,$C$5:C1096,"&gt;="&amp;(Settings!$B$5-Settings!$B$9+1),$C$5:C1096,"&lt;="&amp;Settings!$B$5)=1),1,0)</f>
        <v>0</v>
      </c>
      <c r="N1096" s="29" t="n">
        <f aca="false">IF(AND(D1096="Feature Use",COUNTIFS($B$5:B1096,B1096,$D$5:D1096,"Feature Use")=1),1,0)</f>
        <v>0</v>
      </c>
    </row>
    <row r="1097" customFormat="false" ht="15" hidden="false" customHeight="false" outlineLevel="0" collapsed="false">
      <c r="A1097" s="22" t="s">
        <v>1404</v>
      </c>
      <c r="B1097" s="22" t="s">
        <v>296</v>
      </c>
      <c r="C1097" s="31" t="n">
        <v>46299</v>
      </c>
      <c r="D1097" s="22" t="s">
        <v>297</v>
      </c>
      <c r="E1097" s="22" t="s">
        <v>298</v>
      </c>
      <c r="F1097" s="29" t="str">
        <f aca="false">IF(COUNTIF(Referral_Data!$C$5:$C$1000,B1097)&gt;0,"Referred",IF(COUNTIF(Referral_Data!$B$5:$B$1000,B1097)&gt;0,"Referrer","Organic"))</f>
        <v>Organic</v>
      </c>
      <c r="G1097" s="29" t="n">
        <f aca="false">IF(COUNTIFS($B$5:B1097,B1097,$C$5:C1097,C1097)=1,1,0)</f>
        <v>1</v>
      </c>
      <c r="H1097" s="29" t="n">
        <f aca="false">IF(AND(G1097=1,COUNTIFS($B$5:$B$1635,B1097,$C$5:$C$1635,"&lt;"&amp;C1097)&gt;0),1,0)</f>
        <v>1</v>
      </c>
      <c r="I1097" s="29" t="n">
        <f aca="false">IF(AND(D1097="Feature Use",COUNTIFS($B$5:B1097,B1097,$D$5:D1097,"Feature Use",$E$5:E1097,E1097)=1),1,0)</f>
        <v>0</v>
      </c>
      <c r="J1097" s="29" t="n">
        <f aca="false">IF(AND(D1097="Feature Use",COUNTIFS($B$5:B1097,B1097,$D$5:D1097,"Feature Use",$E$5:E1097,E1097)=2),1,0)</f>
        <v>0</v>
      </c>
      <c r="K1097" s="29" t="n">
        <f aca="false">IF(COUNTIF($B$5:B1097,B1097)=1,1,0)</f>
        <v>0</v>
      </c>
      <c r="L1097" s="29" t="n">
        <f aca="false">IF(AND(C1097&gt;=Settings!$B$5-Settings!$B$8+1,C1097&lt;=Settings!$B$5,COUNTIFS($B$5:B1097,B1097,$C$5:C1097,"&gt;="&amp;(Settings!$B$5-Settings!$B$8+1),$C$5:C1097,"&lt;="&amp;Settings!$B$5)=1),1,0)</f>
        <v>0</v>
      </c>
      <c r="M1097" s="29" t="n">
        <f aca="false">IF(AND(C1097&gt;=Settings!$B$5-Settings!$B$9+1,C1097&lt;=Settings!$B$5,COUNTIFS($B$5:B1097,B1097,$C$5:C1097,"&gt;="&amp;(Settings!$B$5-Settings!$B$9+1),$C$5:C1097,"&lt;="&amp;Settings!$B$5)=1),1,0)</f>
        <v>0</v>
      </c>
      <c r="N1097" s="29" t="n">
        <f aca="false">IF(AND(D1097="Feature Use",COUNTIFS($B$5:B1097,B1097,$D$5:D1097,"Feature Use")=1),1,0)</f>
        <v>0</v>
      </c>
    </row>
    <row r="1098" customFormat="false" ht="15" hidden="false" customHeight="false" outlineLevel="0" collapsed="false">
      <c r="A1098" s="22" t="s">
        <v>1405</v>
      </c>
      <c r="B1098" s="22" t="s">
        <v>296</v>
      </c>
      <c r="C1098" s="31" t="n">
        <v>46299</v>
      </c>
      <c r="D1098" s="22" t="s">
        <v>300</v>
      </c>
      <c r="E1098" s="22" t="s">
        <v>311</v>
      </c>
      <c r="F1098" s="29" t="str">
        <f aca="false">IF(COUNTIF(Referral_Data!$C$5:$C$1000,B1098)&gt;0,"Referred",IF(COUNTIF(Referral_Data!$B$5:$B$1000,B1098)&gt;0,"Referrer","Organic"))</f>
        <v>Organic</v>
      </c>
      <c r="G1098" s="29" t="n">
        <f aca="false">IF(COUNTIFS($B$5:B1098,B1098,$C$5:C1098,C1098)=1,1,0)</f>
        <v>0</v>
      </c>
      <c r="H1098" s="29" t="n">
        <f aca="false">IF(AND(G1098=1,COUNTIFS($B$5:$B$1635,B1098,$C$5:$C$1635,"&lt;"&amp;C1098)&gt;0),1,0)</f>
        <v>0</v>
      </c>
      <c r="I1098" s="29" t="n">
        <f aca="false">IF(AND(D1098="Feature Use",COUNTIFS($B$5:B1098,B1098,$D$5:D1098,"Feature Use",$E$5:E1098,E1098)=1),1,0)</f>
        <v>0</v>
      </c>
      <c r="J1098" s="29" t="n">
        <f aca="false">IF(AND(D1098="Feature Use",COUNTIFS($B$5:B1098,B1098,$D$5:D1098,"Feature Use",$E$5:E1098,E1098)=2),1,0)</f>
        <v>0</v>
      </c>
      <c r="K1098" s="29" t="n">
        <f aca="false">IF(COUNTIF($B$5:B1098,B1098)=1,1,0)</f>
        <v>0</v>
      </c>
      <c r="L1098" s="29" t="n">
        <f aca="false">IF(AND(C1098&gt;=Settings!$B$5-Settings!$B$8+1,C1098&lt;=Settings!$B$5,COUNTIFS($B$5:B1098,B1098,$C$5:C1098,"&gt;="&amp;(Settings!$B$5-Settings!$B$8+1),$C$5:C1098,"&lt;="&amp;Settings!$B$5)=1),1,0)</f>
        <v>0</v>
      </c>
      <c r="M1098" s="29" t="n">
        <f aca="false">IF(AND(C1098&gt;=Settings!$B$5-Settings!$B$9+1,C1098&lt;=Settings!$B$5,COUNTIFS($B$5:B1098,B1098,$C$5:C1098,"&gt;="&amp;(Settings!$B$5-Settings!$B$9+1),$C$5:C1098,"&lt;="&amp;Settings!$B$5)=1),1,0)</f>
        <v>0</v>
      </c>
      <c r="N1098" s="29" t="n">
        <f aca="false">IF(AND(D1098="Feature Use",COUNTIFS($B$5:B1098,B1098,$D$5:D1098,"Feature Use")=1),1,0)</f>
        <v>0</v>
      </c>
    </row>
    <row r="1099" customFormat="false" ht="15" hidden="false" customHeight="false" outlineLevel="0" collapsed="false">
      <c r="A1099" s="22" t="s">
        <v>1406</v>
      </c>
      <c r="B1099" s="22" t="s">
        <v>296</v>
      </c>
      <c r="C1099" s="31" t="n">
        <v>46299</v>
      </c>
      <c r="D1099" s="22" t="s">
        <v>300</v>
      </c>
      <c r="E1099" s="22" t="s">
        <v>309</v>
      </c>
      <c r="F1099" s="29" t="str">
        <f aca="false">IF(COUNTIF(Referral_Data!$C$5:$C$1000,B1099)&gt;0,"Referred",IF(COUNTIF(Referral_Data!$B$5:$B$1000,B1099)&gt;0,"Referrer","Organic"))</f>
        <v>Organic</v>
      </c>
      <c r="G1099" s="29" t="n">
        <f aca="false">IF(COUNTIFS($B$5:B1099,B1099,$C$5:C1099,C1099)=1,1,0)</f>
        <v>0</v>
      </c>
      <c r="H1099" s="29" t="n">
        <f aca="false">IF(AND(G1099=1,COUNTIFS($B$5:$B$1635,B1099,$C$5:$C$1635,"&lt;"&amp;C1099)&gt;0),1,0)</f>
        <v>0</v>
      </c>
      <c r="I1099" s="29" t="n">
        <f aca="false">IF(AND(D1099="Feature Use",COUNTIFS($B$5:B1099,B1099,$D$5:D1099,"Feature Use",$E$5:E1099,E1099)=1),1,0)</f>
        <v>0</v>
      </c>
      <c r="J1099" s="29" t="n">
        <f aca="false">IF(AND(D1099="Feature Use",COUNTIFS($B$5:B1099,B1099,$D$5:D1099,"Feature Use",$E$5:E1099,E1099)=2),1,0)</f>
        <v>1</v>
      </c>
      <c r="K1099" s="29" t="n">
        <f aca="false">IF(COUNTIF($B$5:B1099,B1099)=1,1,0)</f>
        <v>0</v>
      </c>
      <c r="L1099" s="29" t="n">
        <f aca="false">IF(AND(C1099&gt;=Settings!$B$5-Settings!$B$8+1,C1099&lt;=Settings!$B$5,COUNTIFS($B$5:B1099,B1099,$C$5:C1099,"&gt;="&amp;(Settings!$B$5-Settings!$B$8+1),$C$5:C1099,"&lt;="&amp;Settings!$B$5)=1),1,0)</f>
        <v>0</v>
      </c>
      <c r="M1099" s="29" t="n">
        <f aca="false">IF(AND(C1099&gt;=Settings!$B$5-Settings!$B$9+1,C1099&lt;=Settings!$B$5,COUNTIFS($B$5:B1099,B1099,$C$5:C1099,"&gt;="&amp;(Settings!$B$5-Settings!$B$9+1),$C$5:C1099,"&lt;="&amp;Settings!$B$5)=1),1,0)</f>
        <v>0</v>
      </c>
      <c r="N1099" s="29" t="n">
        <f aca="false">IF(AND(D1099="Feature Use",COUNTIFS($B$5:B1099,B1099,$D$5:D1099,"Feature Use")=1),1,0)</f>
        <v>0</v>
      </c>
    </row>
    <row r="1100" customFormat="false" ht="15" hidden="false" customHeight="false" outlineLevel="0" collapsed="false">
      <c r="A1100" s="22" t="s">
        <v>1407</v>
      </c>
      <c r="B1100" s="22" t="s">
        <v>184</v>
      </c>
      <c r="C1100" s="31" t="n">
        <v>46299</v>
      </c>
      <c r="D1100" s="22" t="s">
        <v>297</v>
      </c>
      <c r="E1100" s="22" t="s">
        <v>298</v>
      </c>
      <c r="F1100" s="29" t="str">
        <f aca="false">IF(COUNTIF(Referral_Data!$C$5:$C$1000,B1100)&gt;0,"Referred",IF(COUNTIF(Referral_Data!$B$5:$B$1000,B1100)&gt;0,"Referrer","Organic"))</f>
        <v>Referred</v>
      </c>
      <c r="G1100" s="29" t="n">
        <f aca="false">IF(COUNTIFS($B$5:B1100,B1100,$C$5:C1100,C1100)=1,1,0)</f>
        <v>1</v>
      </c>
      <c r="H1100" s="29" t="n">
        <f aca="false">IF(AND(G1100=1,COUNTIFS($B$5:$B$1635,B1100,$C$5:$C$1635,"&lt;"&amp;C1100)&gt;0),1,0)</f>
        <v>1</v>
      </c>
      <c r="I1100" s="29" t="n">
        <f aca="false">IF(AND(D1100="Feature Use",COUNTIFS($B$5:B1100,B1100,$D$5:D1100,"Feature Use",$E$5:E1100,E1100)=1),1,0)</f>
        <v>0</v>
      </c>
      <c r="J1100" s="29" t="n">
        <f aca="false">IF(AND(D1100="Feature Use",COUNTIFS($B$5:B1100,B1100,$D$5:D1100,"Feature Use",$E$5:E1100,E1100)=2),1,0)</f>
        <v>0</v>
      </c>
      <c r="K1100" s="29" t="n">
        <f aca="false">IF(COUNTIF($B$5:B1100,B1100)=1,1,0)</f>
        <v>0</v>
      </c>
      <c r="L1100" s="29" t="n">
        <f aca="false">IF(AND(C1100&gt;=Settings!$B$5-Settings!$B$8+1,C1100&lt;=Settings!$B$5,COUNTIFS($B$5:B1100,B1100,$C$5:C1100,"&gt;="&amp;(Settings!$B$5-Settings!$B$8+1),$C$5:C1100,"&lt;="&amp;Settings!$B$5)=1),1,0)</f>
        <v>0</v>
      </c>
      <c r="M1100" s="29" t="n">
        <f aca="false">IF(AND(C1100&gt;=Settings!$B$5-Settings!$B$9+1,C1100&lt;=Settings!$B$5,COUNTIFS($B$5:B1100,B1100,$C$5:C1100,"&gt;="&amp;(Settings!$B$5-Settings!$B$9+1),$C$5:C1100,"&lt;="&amp;Settings!$B$5)=1),1,0)</f>
        <v>0</v>
      </c>
      <c r="N1100" s="29" t="n">
        <f aca="false">IF(AND(D1100="Feature Use",COUNTIFS($B$5:B1100,B1100,$D$5:D1100,"Feature Use")=1),1,0)</f>
        <v>0</v>
      </c>
    </row>
    <row r="1101" customFormat="false" ht="15" hidden="false" customHeight="false" outlineLevel="0" collapsed="false">
      <c r="A1101" s="22" t="s">
        <v>1408</v>
      </c>
      <c r="B1101" s="22" t="s">
        <v>184</v>
      </c>
      <c r="C1101" s="31" t="n">
        <v>46299</v>
      </c>
      <c r="D1101" s="22" t="s">
        <v>300</v>
      </c>
      <c r="E1101" s="22" t="s">
        <v>305</v>
      </c>
      <c r="F1101" s="29" t="str">
        <f aca="false">IF(COUNTIF(Referral_Data!$C$5:$C$1000,B1101)&gt;0,"Referred",IF(COUNTIF(Referral_Data!$B$5:$B$1000,B1101)&gt;0,"Referrer","Organic"))</f>
        <v>Referred</v>
      </c>
      <c r="G1101" s="29" t="n">
        <f aca="false">IF(COUNTIFS($B$5:B1101,B1101,$C$5:C1101,C1101)=1,1,0)</f>
        <v>0</v>
      </c>
      <c r="H1101" s="29" t="n">
        <f aca="false">IF(AND(G1101=1,COUNTIFS($B$5:$B$1635,B1101,$C$5:$C$1635,"&lt;"&amp;C1101)&gt;0),1,0)</f>
        <v>0</v>
      </c>
      <c r="I1101" s="29" t="n">
        <f aca="false">IF(AND(D1101="Feature Use",COUNTIFS($B$5:B1101,B1101,$D$5:D1101,"Feature Use",$E$5:E1101,E1101)=1),1,0)</f>
        <v>0</v>
      </c>
      <c r="J1101" s="29" t="n">
        <f aca="false">IF(AND(D1101="Feature Use",COUNTIFS($B$5:B1101,B1101,$D$5:D1101,"Feature Use",$E$5:E1101,E1101)=2),1,0)</f>
        <v>0</v>
      </c>
      <c r="K1101" s="29" t="n">
        <f aca="false">IF(COUNTIF($B$5:B1101,B1101)=1,1,0)</f>
        <v>0</v>
      </c>
      <c r="L1101" s="29" t="n">
        <f aca="false">IF(AND(C1101&gt;=Settings!$B$5-Settings!$B$8+1,C1101&lt;=Settings!$B$5,COUNTIFS($B$5:B1101,B1101,$C$5:C1101,"&gt;="&amp;(Settings!$B$5-Settings!$B$8+1),$C$5:C1101,"&lt;="&amp;Settings!$B$5)=1),1,0)</f>
        <v>0</v>
      </c>
      <c r="M1101" s="29" t="n">
        <f aca="false">IF(AND(C1101&gt;=Settings!$B$5-Settings!$B$9+1,C1101&lt;=Settings!$B$5,COUNTIFS($B$5:B1101,B1101,$C$5:C1101,"&gt;="&amp;(Settings!$B$5-Settings!$B$9+1),$C$5:C1101,"&lt;="&amp;Settings!$B$5)=1),1,0)</f>
        <v>0</v>
      </c>
      <c r="N1101" s="29" t="n">
        <f aca="false">IF(AND(D1101="Feature Use",COUNTIFS($B$5:B1101,B1101,$D$5:D1101,"Feature Use")=1),1,0)</f>
        <v>0</v>
      </c>
    </row>
    <row r="1102" customFormat="false" ht="15" hidden="false" customHeight="false" outlineLevel="0" collapsed="false">
      <c r="A1102" s="22" t="s">
        <v>1409</v>
      </c>
      <c r="B1102" s="22" t="s">
        <v>188</v>
      </c>
      <c r="C1102" s="31" t="n">
        <v>46299</v>
      </c>
      <c r="D1102" s="22" t="s">
        <v>297</v>
      </c>
      <c r="E1102" s="22" t="s">
        <v>298</v>
      </c>
      <c r="F1102" s="29" t="str">
        <f aca="false">IF(COUNTIF(Referral_Data!$C$5:$C$1000,B1102)&gt;0,"Referred",IF(COUNTIF(Referral_Data!$B$5:$B$1000,B1102)&gt;0,"Referrer","Organic"))</f>
        <v>Referred</v>
      </c>
      <c r="G1102" s="29" t="n">
        <f aca="false">IF(COUNTIFS($B$5:B1102,B1102,$C$5:C1102,C1102)=1,1,0)</f>
        <v>1</v>
      </c>
      <c r="H1102" s="29" t="n">
        <f aca="false">IF(AND(G1102=1,COUNTIFS($B$5:$B$1635,B1102,$C$5:$C$1635,"&lt;"&amp;C1102)&gt;0),1,0)</f>
        <v>1</v>
      </c>
      <c r="I1102" s="29" t="n">
        <f aca="false">IF(AND(D1102="Feature Use",COUNTIFS($B$5:B1102,B1102,$D$5:D1102,"Feature Use",$E$5:E1102,E1102)=1),1,0)</f>
        <v>0</v>
      </c>
      <c r="J1102" s="29" t="n">
        <f aca="false">IF(AND(D1102="Feature Use",COUNTIFS($B$5:B1102,B1102,$D$5:D1102,"Feature Use",$E$5:E1102,E1102)=2),1,0)</f>
        <v>0</v>
      </c>
      <c r="K1102" s="29" t="n">
        <f aca="false">IF(COUNTIF($B$5:B1102,B1102)=1,1,0)</f>
        <v>0</v>
      </c>
      <c r="L1102" s="29" t="n">
        <f aca="false">IF(AND(C1102&gt;=Settings!$B$5-Settings!$B$8+1,C1102&lt;=Settings!$B$5,COUNTIFS($B$5:B1102,B1102,$C$5:C1102,"&gt;="&amp;(Settings!$B$5-Settings!$B$8+1),$C$5:C1102,"&lt;="&amp;Settings!$B$5)=1),1,0)</f>
        <v>0</v>
      </c>
      <c r="M1102" s="29" t="n">
        <f aca="false">IF(AND(C1102&gt;=Settings!$B$5-Settings!$B$9+1,C1102&lt;=Settings!$B$5,COUNTIFS($B$5:B1102,B1102,$C$5:C1102,"&gt;="&amp;(Settings!$B$5-Settings!$B$9+1),$C$5:C1102,"&lt;="&amp;Settings!$B$5)=1),1,0)</f>
        <v>0</v>
      </c>
      <c r="N1102" s="29" t="n">
        <f aca="false">IF(AND(D1102="Feature Use",COUNTIFS($B$5:B1102,B1102,$D$5:D1102,"Feature Use")=1),1,0)</f>
        <v>0</v>
      </c>
    </row>
    <row r="1103" customFormat="false" ht="15" hidden="false" customHeight="false" outlineLevel="0" collapsed="false">
      <c r="A1103" s="22" t="s">
        <v>1410</v>
      </c>
      <c r="B1103" s="22" t="s">
        <v>188</v>
      </c>
      <c r="C1103" s="31" t="n">
        <v>46299</v>
      </c>
      <c r="D1103" s="22" t="s">
        <v>300</v>
      </c>
      <c r="E1103" s="22" t="s">
        <v>319</v>
      </c>
      <c r="F1103" s="29" t="str">
        <f aca="false">IF(COUNTIF(Referral_Data!$C$5:$C$1000,B1103)&gt;0,"Referred",IF(COUNTIF(Referral_Data!$B$5:$B$1000,B1103)&gt;0,"Referrer","Organic"))</f>
        <v>Referred</v>
      </c>
      <c r="G1103" s="29" t="n">
        <f aca="false">IF(COUNTIFS($B$5:B1103,B1103,$C$5:C1103,C1103)=1,1,0)</f>
        <v>0</v>
      </c>
      <c r="H1103" s="29" t="n">
        <f aca="false">IF(AND(G1103=1,COUNTIFS($B$5:$B$1635,B1103,$C$5:$C$1635,"&lt;"&amp;C1103)&gt;0),1,0)</f>
        <v>0</v>
      </c>
      <c r="I1103" s="29" t="n">
        <f aca="false">IF(AND(D1103="Feature Use",COUNTIFS($B$5:B1103,B1103,$D$5:D1103,"Feature Use",$E$5:E1103,E1103)=1),1,0)</f>
        <v>1</v>
      </c>
      <c r="J1103" s="29" t="n">
        <f aca="false">IF(AND(D1103="Feature Use",COUNTIFS($B$5:B1103,B1103,$D$5:D1103,"Feature Use",$E$5:E1103,E1103)=2),1,0)</f>
        <v>0</v>
      </c>
      <c r="K1103" s="29" t="n">
        <f aca="false">IF(COUNTIF($B$5:B1103,B1103)=1,1,0)</f>
        <v>0</v>
      </c>
      <c r="L1103" s="29" t="n">
        <f aca="false">IF(AND(C1103&gt;=Settings!$B$5-Settings!$B$8+1,C1103&lt;=Settings!$B$5,COUNTIFS($B$5:B1103,B1103,$C$5:C1103,"&gt;="&amp;(Settings!$B$5-Settings!$B$8+1),$C$5:C1103,"&lt;="&amp;Settings!$B$5)=1),1,0)</f>
        <v>0</v>
      </c>
      <c r="M1103" s="29" t="n">
        <f aca="false">IF(AND(C1103&gt;=Settings!$B$5-Settings!$B$9+1,C1103&lt;=Settings!$B$5,COUNTIFS($B$5:B1103,B1103,$C$5:C1103,"&gt;="&amp;(Settings!$B$5-Settings!$B$9+1),$C$5:C1103,"&lt;="&amp;Settings!$B$5)=1),1,0)</f>
        <v>0</v>
      </c>
      <c r="N1103" s="29" t="n">
        <f aca="false">IF(AND(D1103="Feature Use",COUNTIFS($B$5:B1103,B1103,$D$5:D1103,"Feature Use")=1),1,0)</f>
        <v>0</v>
      </c>
    </row>
    <row r="1104" customFormat="false" ht="15" hidden="false" customHeight="false" outlineLevel="0" collapsed="false">
      <c r="A1104" s="22" t="s">
        <v>1411</v>
      </c>
      <c r="B1104" s="22" t="s">
        <v>220</v>
      </c>
      <c r="C1104" s="31" t="n">
        <v>46299</v>
      </c>
      <c r="D1104" s="22" t="s">
        <v>297</v>
      </c>
      <c r="E1104" s="22" t="s">
        <v>298</v>
      </c>
      <c r="F1104" s="29" t="str">
        <f aca="false">IF(COUNTIF(Referral_Data!$C$5:$C$1000,B1104)&gt;0,"Referred",IF(COUNTIF(Referral_Data!$B$5:$B$1000,B1104)&gt;0,"Referrer","Organic"))</f>
        <v>Referred</v>
      </c>
      <c r="G1104" s="29" t="n">
        <f aca="false">IF(COUNTIFS($B$5:B1104,B1104,$C$5:C1104,C1104)=1,1,0)</f>
        <v>1</v>
      </c>
      <c r="H1104" s="29" t="n">
        <f aca="false">IF(AND(G1104=1,COUNTIFS($B$5:$B$1635,B1104,$C$5:$C$1635,"&lt;"&amp;C1104)&gt;0),1,0)</f>
        <v>1</v>
      </c>
      <c r="I1104" s="29" t="n">
        <f aca="false">IF(AND(D1104="Feature Use",COUNTIFS($B$5:B1104,B1104,$D$5:D1104,"Feature Use",$E$5:E1104,E1104)=1),1,0)</f>
        <v>0</v>
      </c>
      <c r="J1104" s="29" t="n">
        <f aca="false">IF(AND(D1104="Feature Use",COUNTIFS($B$5:B1104,B1104,$D$5:D1104,"Feature Use",$E$5:E1104,E1104)=2),1,0)</f>
        <v>0</v>
      </c>
      <c r="K1104" s="29" t="n">
        <f aca="false">IF(COUNTIF($B$5:B1104,B1104)=1,1,0)</f>
        <v>0</v>
      </c>
      <c r="L1104" s="29" t="n">
        <f aca="false">IF(AND(C1104&gt;=Settings!$B$5-Settings!$B$8+1,C1104&lt;=Settings!$B$5,COUNTIFS($B$5:B1104,B1104,$C$5:C1104,"&gt;="&amp;(Settings!$B$5-Settings!$B$8+1),$C$5:C1104,"&lt;="&amp;Settings!$B$5)=1),1,0)</f>
        <v>0</v>
      </c>
      <c r="M1104" s="29" t="n">
        <f aca="false">IF(AND(C1104&gt;=Settings!$B$5-Settings!$B$9+1,C1104&lt;=Settings!$B$5,COUNTIFS($B$5:B1104,B1104,$C$5:C1104,"&gt;="&amp;(Settings!$B$5-Settings!$B$9+1),$C$5:C1104,"&lt;="&amp;Settings!$B$5)=1),1,0)</f>
        <v>0</v>
      </c>
      <c r="N1104" s="29" t="n">
        <f aca="false">IF(AND(D1104="Feature Use",COUNTIFS($B$5:B1104,B1104,$D$5:D1104,"Feature Use")=1),1,0)</f>
        <v>0</v>
      </c>
    </row>
    <row r="1105" customFormat="false" ht="15" hidden="false" customHeight="false" outlineLevel="0" collapsed="false">
      <c r="A1105" s="22" t="s">
        <v>1412</v>
      </c>
      <c r="B1105" s="22" t="s">
        <v>220</v>
      </c>
      <c r="C1105" s="31" t="n">
        <v>46299</v>
      </c>
      <c r="D1105" s="22" t="s">
        <v>300</v>
      </c>
      <c r="E1105" s="22" t="s">
        <v>301</v>
      </c>
      <c r="F1105" s="29" t="str">
        <f aca="false">IF(COUNTIF(Referral_Data!$C$5:$C$1000,B1105)&gt;0,"Referred",IF(COUNTIF(Referral_Data!$B$5:$B$1000,B1105)&gt;0,"Referrer","Organic"))</f>
        <v>Referred</v>
      </c>
      <c r="G1105" s="29" t="n">
        <f aca="false">IF(COUNTIFS($B$5:B1105,B1105,$C$5:C1105,C1105)=1,1,0)</f>
        <v>0</v>
      </c>
      <c r="H1105" s="29" t="n">
        <f aca="false">IF(AND(G1105=1,COUNTIFS($B$5:$B$1635,B1105,$C$5:$C$1635,"&lt;"&amp;C1105)&gt;0),1,0)</f>
        <v>0</v>
      </c>
      <c r="I1105" s="29" t="n">
        <f aca="false">IF(AND(D1105="Feature Use",COUNTIFS($B$5:B1105,B1105,$D$5:D1105,"Feature Use",$E$5:E1105,E1105)=1),1,0)</f>
        <v>0</v>
      </c>
      <c r="J1105" s="29" t="n">
        <f aca="false">IF(AND(D1105="Feature Use",COUNTIFS($B$5:B1105,B1105,$D$5:D1105,"Feature Use",$E$5:E1105,E1105)=2),1,0)</f>
        <v>0</v>
      </c>
      <c r="K1105" s="29" t="n">
        <f aca="false">IF(COUNTIF($B$5:B1105,B1105)=1,1,0)</f>
        <v>0</v>
      </c>
      <c r="L1105" s="29" t="n">
        <f aca="false">IF(AND(C1105&gt;=Settings!$B$5-Settings!$B$8+1,C1105&lt;=Settings!$B$5,COUNTIFS($B$5:B1105,B1105,$C$5:C1105,"&gt;="&amp;(Settings!$B$5-Settings!$B$8+1),$C$5:C1105,"&lt;="&amp;Settings!$B$5)=1),1,0)</f>
        <v>0</v>
      </c>
      <c r="M1105" s="29" t="n">
        <f aca="false">IF(AND(C1105&gt;=Settings!$B$5-Settings!$B$9+1,C1105&lt;=Settings!$B$5,COUNTIFS($B$5:B1105,B1105,$C$5:C1105,"&gt;="&amp;(Settings!$B$5-Settings!$B$9+1),$C$5:C1105,"&lt;="&amp;Settings!$B$5)=1),1,0)</f>
        <v>0</v>
      </c>
      <c r="N1105" s="29" t="n">
        <f aca="false">IF(AND(D1105="Feature Use",COUNTIFS($B$5:B1105,B1105,$D$5:D1105,"Feature Use")=1),1,0)</f>
        <v>0</v>
      </c>
    </row>
    <row r="1106" customFormat="false" ht="15" hidden="false" customHeight="false" outlineLevel="0" collapsed="false">
      <c r="A1106" s="22" t="s">
        <v>1413</v>
      </c>
      <c r="B1106" s="22" t="s">
        <v>220</v>
      </c>
      <c r="C1106" s="31" t="n">
        <v>46299</v>
      </c>
      <c r="D1106" s="22" t="s">
        <v>300</v>
      </c>
      <c r="E1106" s="22" t="s">
        <v>301</v>
      </c>
      <c r="F1106" s="29" t="str">
        <f aca="false">IF(COUNTIF(Referral_Data!$C$5:$C$1000,B1106)&gt;0,"Referred",IF(COUNTIF(Referral_Data!$B$5:$B$1000,B1106)&gt;0,"Referrer","Organic"))</f>
        <v>Referred</v>
      </c>
      <c r="G1106" s="29" t="n">
        <f aca="false">IF(COUNTIFS($B$5:B1106,B1106,$C$5:C1106,C1106)=1,1,0)</f>
        <v>0</v>
      </c>
      <c r="H1106" s="29" t="n">
        <f aca="false">IF(AND(G1106=1,COUNTIFS($B$5:$B$1635,B1106,$C$5:$C$1635,"&lt;"&amp;C1106)&gt;0),1,0)</f>
        <v>0</v>
      </c>
      <c r="I1106" s="29" t="n">
        <f aca="false">IF(AND(D1106="Feature Use",COUNTIFS($B$5:B1106,B1106,$D$5:D1106,"Feature Use",$E$5:E1106,E1106)=1),1,0)</f>
        <v>0</v>
      </c>
      <c r="J1106" s="29" t="n">
        <f aca="false">IF(AND(D1106="Feature Use",COUNTIFS($B$5:B1106,B1106,$D$5:D1106,"Feature Use",$E$5:E1106,E1106)=2),1,0)</f>
        <v>0</v>
      </c>
      <c r="K1106" s="29" t="n">
        <f aca="false">IF(COUNTIF($B$5:B1106,B1106)=1,1,0)</f>
        <v>0</v>
      </c>
      <c r="L1106" s="29" t="n">
        <f aca="false">IF(AND(C1106&gt;=Settings!$B$5-Settings!$B$8+1,C1106&lt;=Settings!$B$5,COUNTIFS($B$5:B1106,B1106,$C$5:C1106,"&gt;="&amp;(Settings!$B$5-Settings!$B$8+1),$C$5:C1106,"&lt;="&amp;Settings!$B$5)=1),1,0)</f>
        <v>0</v>
      </c>
      <c r="M1106" s="29" t="n">
        <f aca="false">IF(AND(C1106&gt;=Settings!$B$5-Settings!$B$9+1,C1106&lt;=Settings!$B$5,COUNTIFS($B$5:B1106,B1106,$C$5:C1106,"&gt;="&amp;(Settings!$B$5-Settings!$B$9+1),$C$5:C1106,"&lt;="&amp;Settings!$B$5)=1),1,0)</f>
        <v>0</v>
      </c>
      <c r="N1106" s="29" t="n">
        <f aca="false">IF(AND(D1106="Feature Use",COUNTIFS($B$5:B1106,B1106,$D$5:D1106,"Feature Use")=1),1,0)</f>
        <v>0</v>
      </c>
    </row>
    <row r="1107" customFormat="false" ht="15" hidden="false" customHeight="false" outlineLevel="0" collapsed="false">
      <c r="A1107" s="22" t="s">
        <v>1414</v>
      </c>
      <c r="B1107" s="22" t="s">
        <v>220</v>
      </c>
      <c r="C1107" s="31" t="n">
        <v>46299</v>
      </c>
      <c r="D1107" s="22" t="s">
        <v>308</v>
      </c>
      <c r="E1107" s="22" t="s">
        <v>319</v>
      </c>
      <c r="F1107" s="29" t="str">
        <f aca="false">IF(COUNTIF(Referral_Data!$C$5:$C$1000,B1107)&gt;0,"Referred",IF(COUNTIF(Referral_Data!$B$5:$B$1000,B1107)&gt;0,"Referrer","Organic"))</f>
        <v>Referred</v>
      </c>
      <c r="G1107" s="29" t="n">
        <f aca="false">IF(COUNTIFS($B$5:B1107,B1107,$C$5:C1107,C1107)=1,1,0)</f>
        <v>0</v>
      </c>
      <c r="H1107" s="29" t="n">
        <f aca="false">IF(AND(G1107=1,COUNTIFS($B$5:$B$1635,B1107,$C$5:$C$1635,"&lt;"&amp;C1107)&gt;0),1,0)</f>
        <v>0</v>
      </c>
      <c r="I1107" s="29" t="n">
        <f aca="false">IF(AND(D1107="Feature Use",COUNTIFS($B$5:B1107,B1107,$D$5:D1107,"Feature Use",$E$5:E1107,E1107)=1),1,0)</f>
        <v>0</v>
      </c>
      <c r="J1107" s="29" t="n">
        <f aca="false">IF(AND(D1107="Feature Use",COUNTIFS($B$5:B1107,B1107,$D$5:D1107,"Feature Use",$E$5:E1107,E1107)=2),1,0)</f>
        <v>0</v>
      </c>
      <c r="K1107" s="29" t="n">
        <f aca="false">IF(COUNTIF($B$5:B1107,B1107)=1,1,0)</f>
        <v>0</v>
      </c>
      <c r="L1107" s="29" t="n">
        <f aca="false">IF(AND(C1107&gt;=Settings!$B$5-Settings!$B$8+1,C1107&lt;=Settings!$B$5,COUNTIFS($B$5:B1107,B1107,$C$5:C1107,"&gt;="&amp;(Settings!$B$5-Settings!$B$8+1),$C$5:C1107,"&lt;="&amp;Settings!$B$5)=1),1,0)</f>
        <v>0</v>
      </c>
      <c r="M1107" s="29" t="n">
        <f aca="false">IF(AND(C1107&gt;=Settings!$B$5-Settings!$B$9+1,C1107&lt;=Settings!$B$5,COUNTIFS($B$5:B1107,B1107,$C$5:C1107,"&gt;="&amp;(Settings!$B$5-Settings!$B$9+1),$C$5:C1107,"&lt;="&amp;Settings!$B$5)=1),1,0)</f>
        <v>0</v>
      </c>
      <c r="N1107" s="29" t="n">
        <f aca="false">IF(AND(D1107="Feature Use",COUNTIFS($B$5:B1107,B1107,$D$5:D1107,"Feature Use")=1),1,0)</f>
        <v>0</v>
      </c>
    </row>
    <row r="1108" customFormat="false" ht="15" hidden="false" customHeight="false" outlineLevel="0" collapsed="false">
      <c r="A1108" s="22" t="s">
        <v>1415</v>
      </c>
      <c r="B1108" s="22" t="s">
        <v>220</v>
      </c>
      <c r="C1108" s="31" t="n">
        <v>46299</v>
      </c>
      <c r="D1108" s="22" t="s">
        <v>308</v>
      </c>
      <c r="E1108" s="22" t="s">
        <v>311</v>
      </c>
      <c r="F1108" s="29" t="str">
        <f aca="false">IF(COUNTIF(Referral_Data!$C$5:$C$1000,B1108)&gt;0,"Referred",IF(COUNTIF(Referral_Data!$B$5:$B$1000,B1108)&gt;0,"Referrer","Organic"))</f>
        <v>Referred</v>
      </c>
      <c r="G1108" s="29" t="n">
        <f aca="false">IF(COUNTIFS($B$5:B1108,B1108,$C$5:C1108,C1108)=1,1,0)</f>
        <v>0</v>
      </c>
      <c r="H1108" s="29" t="n">
        <f aca="false">IF(AND(G1108=1,COUNTIFS($B$5:$B$1635,B1108,$C$5:$C$1635,"&lt;"&amp;C1108)&gt;0),1,0)</f>
        <v>0</v>
      </c>
      <c r="I1108" s="29" t="n">
        <f aca="false">IF(AND(D1108="Feature Use",COUNTIFS($B$5:B1108,B1108,$D$5:D1108,"Feature Use",$E$5:E1108,E1108)=1),1,0)</f>
        <v>0</v>
      </c>
      <c r="J1108" s="29" t="n">
        <f aca="false">IF(AND(D1108="Feature Use",COUNTIFS($B$5:B1108,B1108,$D$5:D1108,"Feature Use",$E$5:E1108,E1108)=2),1,0)</f>
        <v>0</v>
      </c>
      <c r="K1108" s="29" t="n">
        <f aca="false">IF(COUNTIF($B$5:B1108,B1108)=1,1,0)</f>
        <v>0</v>
      </c>
      <c r="L1108" s="29" t="n">
        <f aca="false">IF(AND(C1108&gt;=Settings!$B$5-Settings!$B$8+1,C1108&lt;=Settings!$B$5,COUNTIFS($B$5:B1108,B1108,$C$5:C1108,"&gt;="&amp;(Settings!$B$5-Settings!$B$8+1),$C$5:C1108,"&lt;="&amp;Settings!$B$5)=1),1,0)</f>
        <v>0</v>
      </c>
      <c r="M1108" s="29" t="n">
        <f aca="false">IF(AND(C1108&gt;=Settings!$B$5-Settings!$B$9+1,C1108&lt;=Settings!$B$5,COUNTIFS($B$5:B1108,B1108,$C$5:C1108,"&gt;="&amp;(Settings!$B$5-Settings!$B$9+1),$C$5:C1108,"&lt;="&amp;Settings!$B$5)=1),1,0)</f>
        <v>0</v>
      </c>
      <c r="N1108" s="29" t="n">
        <f aca="false">IF(AND(D1108="Feature Use",COUNTIFS($B$5:B1108,B1108,$D$5:D1108,"Feature Use")=1),1,0)</f>
        <v>0</v>
      </c>
    </row>
    <row r="1109" customFormat="false" ht="15" hidden="false" customHeight="false" outlineLevel="0" collapsed="false">
      <c r="A1109" s="22" t="s">
        <v>1416</v>
      </c>
      <c r="B1109" s="22" t="s">
        <v>241</v>
      </c>
      <c r="C1109" s="31" t="n">
        <v>46299</v>
      </c>
      <c r="D1109" s="22" t="s">
        <v>297</v>
      </c>
      <c r="E1109" s="22" t="s">
        <v>298</v>
      </c>
      <c r="F1109" s="29" t="str">
        <f aca="false">IF(COUNTIF(Referral_Data!$C$5:$C$1000,B1109)&gt;0,"Referred",IF(COUNTIF(Referral_Data!$B$5:$B$1000,B1109)&gt;0,"Referrer","Organic"))</f>
        <v>Referred</v>
      </c>
      <c r="G1109" s="29" t="n">
        <f aca="false">IF(COUNTIFS($B$5:B1109,B1109,$C$5:C1109,C1109)=1,1,0)</f>
        <v>1</v>
      </c>
      <c r="H1109" s="29" t="n">
        <f aca="false">IF(AND(G1109=1,COUNTIFS($B$5:$B$1635,B1109,$C$5:$C$1635,"&lt;"&amp;C1109)&gt;0),1,0)</f>
        <v>1</v>
      </c>
      <c r="I1109" s="29" t="n">
        <f aca="false">IF(AND(D1109="Feature Use",COUNTIFS($B$5:B1109,B1109,$D$5:D1109,"Feature Use",$E$5:E1109,E1109)=1),1,0)</f>
        <v>0</v>
      </c>
      <c r="J1109" s="29" t="n">
        <f aca="false">IF(AND(D1109="Feature Use",COUNTIFS($B$5:B1109,B1109,$D$5:D1109,"Feature Use",$E$5:E1109,E1109)=2),1,0)</f>
        <v>0</v>
      </c>
      <c r="K1109" s="29" t="n">
        <f aca="false">IF(COUNTIF($B$5:B1109,B1109)=1,1,0)</f>
        <v>0</v>
      </c>
      <c r="L1109" s="29" t="n">
        <f aca="false">IF(AND(C1109&gt;=Settings!$B$5-Settings!$B$8+1,C1109&lt;=Settings!$B$5,COUNTIFS($B$5:B1109,B1109,$C$5:C1109,"&gt;="&amp;(Settings!$B$5-Settings!$B$8+1),$C$5:C1109,"&lt;="&amp;Settings!$B$5)=1),1,0)</f>
        <v>0</v>
      </c>
      <c r="M1109" s="29" t="n">
        <f aca="false">IF(AND(C1109&gt;=Settings!$B$5-Settings!$B$9+1,C1109&lt;=Settings!$B$5,COUNTIFS($B$5:B1109,B1109,$C$5:C1109,"&gt;="&amp;(Settings!$B$5-Settings!$B$9+1),$C$5:C1109,"&lt;="&amp;Settings!$B$5)=1),1,0)</f>
        <v>0</v>
      </c>
      <c r="N1109" s="29" t="n">
        <f aca="false">IF(AND(D1109="Feature Use",COUNTIFS($B$5:B1109,B1109,$D$5:D1109,"Feature Use")=1),1,0)</f>
        <v>0</v>
      </c>
    </row>
    <row r="1110" customFormat="false" ht="15" hidden="false" customHeight="false" outlineLevel="0" collapsed="false">
      <c r="A1110" s="22" t="s">
        <v>1417</v>
      </c>
      <c r="B1110" s="22" t="s">
        <v>241</v>
      </c>
      <c r="C1110" s="31" t="n">
        <v>46299</v>
      </c>
      <c r="D1110" s="22" t="s">
        <v>300</v>
      </c>
      <c r="E1110" s="22" t="s">
        <v>305</v>
      </c>
      <c r="F1110" s="29" t="str">
        <f aca="false">IF(COUNTIF(Referral_Data!$C$5:$C$1000,B1110)&gt;0,"Referred",IF(COUNTIF(Referral_Data!$B$5:$B$1000,B1110)&gt;0,"Referrer","Organic"))</f>
        <v>Referred</v>
      </c>
      <c r="G1110" s="29" t="n">
        <f aca="false">IF(COUNTIFS($B$5:B1110,B1110,$C$5:C1110,C1110)=1,1,0)</f>
        <v>0</v>
      </c>
      <c r="H1110" s="29" t="n">
        <f aca="false">IF(AND(G1110=1,COUNTIFS($B$5:$B$1635,B1110,$C$5:$C$1635,"&lt;"&amp;C1110)&gt;0),1,0)</f>
        <v>0</v>
      </c>
      <c r="I1110" s="29" t="n">
        <f aca="false">IF(AND(D1110="Feature Use",COUNTIFS($B$5:B1110,B1110,$D$5:D1110,"Feature Use",$E$5:E1110,E1110)=1),1,0)</f>
        <v>0</v>
      </c>
      <c r="J1110" s="29" t="n">
        <f aca="false">IF(AND(D1110="Feature Use",COUNTIFS($B$5:B1110,B1110,$D$5:D1110,"Feature Use",$E$5:E1110,E1110)=2),1,0)</f>
        <v>0</v>
      </c>
      <c r="K1110" s="29" t="n">
        <f aca="false">IF(COUNTIF($B$5:B1110,B1110)=1,1,0)</f>
        <v>0</v>
      </c>
      <c r="L1110" s="29" t="n">
        <f aca="false">IF(AND(C1110&gt;=Settings!$B$5-Settings!$B$8+1,C1110&lt;=Settings!$B$5,COUNTIFS($B$5:B1110,B1110,$C$5:C1110,"&gt;="&amp;(Settings!$B$5-Settings!$B$8+1),$C$5:C1110,"&lt;="&amp;Settings!$B$5)=1),1,0)</f>
        <v>0</v>
      </c>
      <c r="M1110" s="29" t="n">
        <f aca="false">IF(AND(C1110&gt;=Settings!$B$5-Settings!$B$9+1,C1110&lt;=Settings!$B$5,COUNTIFS($B$5:B1110,B1110,$C$5:C1110,"&gt;="&amp;(Settings!$B$5-Settings!$B$9+1),$C$5:C1110,"&lt;="&amp;Settings!$B$5)=1),1,0)</f>
        <v>0</v>
      </c>
      <c r="N1110" s="29" t="n">
        <f aca="false">IF(AND(D1110="Feature Use",COUNTIFS($B$5:B1110,B1110,$D$5:D1110,"Feature Use")=1),1,0)</f>
        <v>0</v>
      </c>
    </row>
    <row r="1111" customFormat="false" ht="15" hidden="false" customHeight="false" outlineLevel="0" collapsed="false">
      <c r="A1111" s="22" t="s">
        <v>1418</v>
      </c>
      <c r="B1111" s="22" t="s">
        <v>241</v>
      </c>
      <c r="C1111" s="31" t="n">
        <v>46299</v>
      </c>
      <c r="D1111" s="22" t="s">
        <v>300</v>
      </c>
      <c r="E1111" s="22" t="s">
        <v>309</v>
      </c>
      <c r="F1111" s="29" t="str">
        <f aca="false">IF(COUNTIF(Referral_Data!$C$5:$C$1000,B1111)&gt;0,"Referred",IF(COUNTIF(Referral_Data!$B$5:$B$1000,B1111)&gt;0,"Referrer","Organic"))</f>
        <v>Referred</v>
      </c>
      <c r="G1111" s="29" t="n">
        <f aca="false">IF(COUNTIFS($B$5:B1111,B1111,$C$5:C1111,C1111)=1,1,0)</f>
        <v>0</v>
      </c>
      <c r="H1111" s="29" t="n">
        <f aca="false">IF(AND(G1111=1,COUNTIFS($B$5:$B$1635,B1111,$C$5:$C$1635,"&lt;"&amp;C1111)&gt;0),1,0)</f>
        <v>0</v>
      </c>
      <c r="I1111" s="29" t="n">
        <f aca="false">IF(AND(D1111="Feature Use",COUNTIFS($B$5:B1111,B1111,$D$5:D1111,"Feature Use",$E$5:E1111,E1111)=1),1,0)</f>
        <v>0</v>
      </c>
      <c r="J1111" s="29" t="n">
        <f aca="false">IF(AND(D1111="Feature Use",COUNTIFS($B$5:B1111,B1111,$D$5:D1111,"Feature Use",$E$5:E1111,E1111)=2),1,0)</f>
        <v>0</v>
      </c>
      <c r="K1111" s="29" t="n">
        <f aca="false">IF(COUNTIF($B$5:B1111,B1111)=1,1,0)</f>
        <v>0</v>
      </c>
      <c r="L1111" s="29" t="n">
        <f aca="false">IF(AND(C1111&gt;=Settings!$B$5-Settings!$B$8+1,C1111&lt;=Settings!$B$5,COUNTIFS($B$5:B1111,B1111,$C$5:C1111,"&gt;="&amp;(Settings!$B$5-Settings!$B$8+1),$C$5:C1111,"&lt;="&amp;Settings!$B$5)=1),1,0)</f>
        <v>0</v>
      </c>
      <c r="M1111" s="29" t="n">
        <f aca="false">IF(AND(C1111&gt;=Settings!$B$5-Settings!$B$9+1,C1111&lt;=Settings!$B$5,COUNTIFS($B$5:B1111,B1111,$C$5:C1111,"&gt;="&amp;(Settings!$B$5-Settings!$B$9+1),$C$5:C1111,"&lt;="&amp;Settings!$B$5)=1),1,0)</f>
        <v>0</v>
      </c>
      <c r="N1111" s="29" t="n">
        <f aca="false">IF(AND(D1111="Feature Use",COUNTIFS($B$5:B1111,B1111,$D$5:D1111,"Feature Use")=1),1,0)</f>
        <v>0</v>
      </c>
    </row>
    <row r="1112" customFormat="false" ht="15" hidden="false" customHeight="false" outlineLevel="0" collapsed="false">
      <c r="A1112" s="22" t="s">
        <v>1419</v>
      </c>
      <c r="B1112" s="22" t="s">
        <v>252</v>
      </c>
      <c r="C1112" s="31" t="n">
        <v>46299</v>
      </c>
      <c r="D1112" s="22" t="s">
        <v>297</v>
      </c>
      <c r="E1112" s="22" t="s">
        <v>298</v>
      </c>
      <c r="F1112" s="29" t="str">
        <f aca="false">IF(COUNTIF(Referral_Data!$C$5:$C$1000,B1112)&gt;0,"Referred",IF(COUNTIF(Referral_Data!$B$5:$B$1000,B1112)&gt;0,"Referrer","Organic"))</f>
        <v>Referred</v>
      </c>
      <c r="G1112" s="29" t="n">
        <f aca="false">IF(COUNTIFS($B$5:B1112,B1112,$C$5:C1112,C1112)=1,1,0)</f>
        <v>1</v>
      </c>
      <c r="H1112" s="29" t="n">
        <f aca="false">IF(AND(G1112=1,COUNTIFS($B$5:$B$1635,B1112,$C$5:$C$1635,"&lt;"&amp;C1112)&gt;0),1,0)</f>
        <v>1</v>
      </c>
      <c r="I1112" s="29" t="n">
        <f aca="false">IF(AND(D1112="Feature Use",COUNTIFS($B$5:B1112,B1112,$D$5:D1112,"Feature Use",$E$5:E1112,E1112)=1),1,0)</f>
        <v>0</v>
      </c>
      <c r="J1112" s="29" t="n">
        <f aca="false">IF(AND(D1112="Feature Use",COUNTIFS($B$5:B1112,B1112,$D$5:D1112,"Feature Use",$E$5:E1112,E1112)=2),1,0)</f>
        <v>0</v>
      </c>
      <c r="K1112" s="29" t="n">
        <f aca="false">IF(COUNTIF($B$5:B1112,B1112)=1,1,0)</f>
        <v>0</v>
      </c>
      <c r="L1112" s="29" t="n">
        <f aca="false">IF(AND(C1112&gt;=Settings!$B$5-Settings!$B$8+1,C1112&lt;=Settings!$B$5,COUNTIFS($B$5:B1112,B1112,$C$5:C1112,"&gt;="&amp;(Settings!$B$5-Settings!$B$8+1),$C$5:C1112,"&lt;="&amp;Settings!$B$5)=1),1,0)</f>
        <v>0</v>
      </c>
      <c r="M1112" s="29" t="n">
        <f aca="false">IF(AND(C1112&gt;=Settings!$B$5-Settings!$B$9+1,C1112&lt;=Settings!$B$5,COUNTIFS($B$5:B1112,B1112,$C$5:C1112,"&gt;="&amp;(Settings!$B$5-Settings!$B$9+1),$C$5:C1112,"&lt;="&amp;Settings!$B$5)=1),1,0)</f>
        <v>0</v>
      </c>
      <c r="N1112" s="29" t="n">
        <f aca="false">IF(AND(D1112="Feature Use",COUNTIFS($B$5:B1112,B1112,$D$5:D1112,"Feature Use")=1),1,0)</f>
        <v>0</v>
      </c>
    </row>
    <row r="1113" customFormat="false" ht="15" hidden="false" customHeight="false" outlineLevel="0" collapsed="false">
      <c r="A1113" s="22" t="s">
        <v>1420</v>
      </c>
      <c r="B1113" s="22" t="s">
        <v>252</v>
      </c>
      <c r="C1113" s="31" t="n">
        <v>46299</v>
      </c>
      <c r="D1113" s="22" t="s">
        <v>300</v>
      </c>
      <c r="E1113" s="22" t="s">
        <v>319</v>
      </c>
      <c r="F1113" s="29" t="str">
        <f aca="false">IF(COUNTIF(Referral_Data!$C$5:$C$1000,B1113)&gt;0,"Referred",IF(COUNTIF(Referral_Data!$B$5:$B$1000,B1113)&gt;0,"Referrer","Organic"))</f>
        <v>Referred</v>
      </c>
      <c r="G1113" s="29" t="n">
        <f aca="false">IF(COUNTIFS($B$5:B1113,B1113,$C$5:C1113,C1113)=1,1,0)</f>
        <v>0</v>
      </c>
      <c r="H1113" s="29" t="n">
        <f aca="false">IF(AND(G1113=1,COUNTIFS($B$5:$B$1635,B1113,$C$5:$C$1635,"&lt;"&amp;C1113)&gt;0),1,0)</f>
        <v>0</v>
      </c>
      <c r="I1113" s="29" t="n">
        <f aca="false">IF(AND(D1113="Feature Use",COUNTIFS($B$5:B1113,B1113,$D$5:D1113,"Feature Use",$E$5:E1113,E1113)=1),1,0)</f>
        <v>0</v>
      </c>
      <c r="J1113" s="29" t="n">
        <f aca="false">IF(AND(D1113="Feature Use",COUNTIFS($B$5:B1113,B1113,$D$5:D1113,"Feature Use",$E$5:E1113,E1113)=2),1,0)</f>
        <v>1</v>
      </c>
      <c r="K1113" s="29" t="n">
        <f aca="false">IF(COUNTIF($B$5:B1113,B1113)=1,1,0)</f>
        <v>0</v>
      </c>
      <c r="L1113" s="29" t="n">
        <f aca="false">IF(AND(C1113&gt;=Settings!$B$5-Settings!$B$8+1,C1113&lt;=Settings!$B$5,COUNTIFS($B$5:B1113,B1113,$C$5:C1113,"&gt;="&amp;(Settings!$B$5-Settings!$B$8+1),$C$5:C1113,"&lt;="&amp;Settings!$B$5)=1),1,0)</f>
        <v>0</v>
      </c>
      <c r="M1113" s="29" t="n">
        <f aca="false">IF(AND(C1113&gt;=Settings!$B$5-Settings!$B$9+1,C1113&lt;=Settings!$B$5,COUNTIFS($B$5:B1113,B1113,$C$5:C1113,"&gt;="&amp;(Settings!$B$5-Settings!$B$9+1),$C$5:C1113,"&lt;="&amp;Settings!$B$5)=1),1,0)</f>
        <v>0</v>
      </c>
      <c r="N1113" s="29" t="n">
        <f aca="false">IF(AND(D1113="Feature Use",COUNTIFS($B$5:B1113,B1113,$D$5:D1113,"Feature Use")=1),1,0)</f>
        <v>0</v>
      </c>
    </row>
    <row r="1114" customFormat="false" ht="15" hidden="false" customHeight="false" outlineLevel="0" collapsed="false">
      <c r="A1114" s="22" t="s">
        <v>1421</v>
      </c>
      <c r="B1114" s="22" t="s">
        <v>252</v>
      </c>
      <c r="C1114" s="31" t="n">
        <v>46299</v>
      </c>
      <c r="D1114" s="22" t="s">
        <v>300</v>
      </c>
      <c r="E1114" s="22" t="s">
        <v>305</v>
      </c>
      <c r="F1114" s="29" t="str">
        <f aca="false">IF(COUNTIF(Referral_Data!$C$5:$C$1000,B1114)&gt;0,"Referred",IF(COUNTIF(Referral_Data!$B$5:$B$1000,B1114)&gt;0,"Referrer","Organic"))</f>
        <v>Referred</v>
      </c>
      <c r="G1114" s="29" t="n">
        <f aca="false">IF(COUNTIFS($B$5:B1114,B1114,$C$5:C1114,C1114)=1,1,0)</f>
        <v>0</v>
      </c>
      <c r="H1114" s="29" t="n">
        <f aca="false">IF(AND(G1114=1,COUNTIFS($B$5:$B$1635,B1114,$C$5:$C$1635,"&lt;"&amp;C1114)&gt;0),1,0)</f>
        <v>0</v>
      </c>
      <c r="I1114" s="29" t="n">
        <f aca="false">IF(AND(D1114="Feature Use",COUNTIFS($B$5:B1114,B1114,$D$5:D1114,"Feature Use",$E$5:E1114,E1114)=1),1,0)</f>
        <v>0</v>
      </c>
      <c r="J1114" s="29" t="n">
        <f aca="false">IF(AND(D1114="Feature Use",COUNTIFS($B$5:B1114,B1114,$D$5:D1114,"Feature Use",$E$5:E1114,E1114)=2),1,0)</f>
        <v>0</v>
      </c>
      <c r="K1114" s="29" t="n">
        <f aca="false">IF(COUNTIF($B$5:B1114,B1114)=1,1,0)</f>
        <v>0</v>
      </c>
      <c r="L1114" s="29" t="n">
        <f aca="false">IF(AND(C1114&gt;=Settings!$B$5-Settings!$B$8+1,C1114&lt;=Settings!$B$5,COUNTIFS($B$5:B1114,B1114,$C$5:C1114,"&gt;="&amp;(Settings!$B$5-Settings!$B$8+1),$C$5:C1114,"&lt;="&amp;Settings!$B$5)=1),1,0)</f>
        <v>0</v>
      </c>
      <c r="M1114" s="29" t="n">
        <f aca="false">IF(AND(C1114&gt;=Settings!$B$5-Settings!$B$9+1,C1114&lt;=Settings!$B$5,COUNTIFS($B$5:B1114,B1114,$C$5:C1114,"&gt;="&amp;(Settings!$B$5-Settings!$B$9+1),$C$5:C1114,"&lt;="&amp;Settings!$B$5)=1),1,0)</f>
        <v>0</v>
      </c>
      <c r="N1114" s="29" t="n">
        <f aca="false">IF(AND(D1114="Feature Use",COUNTIFS($B$5:B1114,B1114,$D$5:D1114,"Feature Use")=1),1,0)</f>
        <v>0</v>
      </c>
    </row>
    <row r="1115" customFormat="false" ht="15" hidden="false" customHeight="false" outlineLevel="0" collapsed="false">
      <c r="A1115" s="22" t="s">
        <v>1422</v>
      </c>
      <c r="B1115" s="22" t="s">
        <v>303</v>
      </c>
      <c r="C1115" s="31" t="n">
        <v>46300</v>
      </c>
      <c r="D1115" s="22" t="s">
        <v>297</v>
      </c>
      <c r="E1115" s="22" t="s">
        <v>298</v>
      </c>
      <c r="F1115" s="29" t="str">
        <f aca="false">IF(COUNTIF(Referral_Data!$C$5:$C$1000,B1115)&gt;0,"Referred",IF(COUNTIF(Referral_Data!$B$5:$B$1000,B1115)&gt;0,"Referrer","Organic"))</f>
        <v>Organic</v>
      </c>
      <c r="G1115" s="29" t="n">
        <f aca="false">IF(COUNTIFS($B$5:B1115,B1115,$C$5:C1115,C1115)=1,1,0)</f>
        <v>1</v>
      </c>
      <c r="H1115" s="29" t="n">
        <f aca="false">IF(AND(G1115=1,COUNTIFS($B$5:$B$1635,B1115,$C$5:$C$1635,"&lt;"&amp;C1115)&gt;0),1,0)</f>
        <v>1</v>
      </c>
      <c r="I1115" s="29" t="n">
        <f aca="false">IF(AND(D1115="Feature Use",COUNTIFS($B$5:B1115,B1115,$D$5:D1115,"Feature Use",$E$5:E1115,E1115)=1),1,0)</f>
        <v>0</v>
      </c>
      <c r="J1115" s="29" t="n">
        <f aca="false">IF(AND(D1115="Feature Use",COUNTIFS($B$5:B1115,B1115,$D$5:D1115,"Feature Use",$E$5:E1115,E1115)=2),1,0)</f>
        <v>0</v>
      </c>
      <c r="K1115" s="29" t="n">
        <f aca="false">IF(COUNTIF($B$5:B1115,B1115)=1,1,0)</f>
        <v>0</v>
      </c>
      <c r="L1115" s="29" t="n">
        <f aca="false">IF(AND(C1115&gt;=Settings!$B$5-Settings!$B$8+1,C1115&lt;=Settings!$B$5,COUNTIFS($B$5:B1115,B1115,$C$5:C1115,"&gt;="&amp;(Settings!$B$5-Settings!$B$8+1),$C$5:C1115,"&lt;="&amp;Settings!$B$5)=1),1,0)</f>
        <v>0</v>
      </c>
      <c r="M1115" s="29" t="n">
        <f aca="false">IF(AND(C1115&gt;=Settings!$B$5-Settings!$B$9+1,C1115&lt;=Settings!$B$5,COUNTIFS($B$5:B1115,B1115,$C$5:C1115,"&gt;="&amp;(Settings!$B$5-Settings!$B$9+1),$C$5:C1115,"&lt;="&amp;Settings!$B$5)=1),1,0)</f>
        <v>0</v>
      </c>
      <c r="N1115" s="29" t="n">
        <f aca="false">IF(AND(D1115="Feature Use",COUNTIFS($B$5:B1115,B1115,$D$5:D1115,"Feature Use")=1),1,0)</f>
        <v>0</v>
      </c>
    </row>
    <row r="1116" customFormat="false" ht="15" hidden="false" customHeight="false" outlineLevel="0" collapsed="false">
      <c r="A1116" s="22" t="s">
        <v>1423</v>
      </c>
      <c r="B1116" s="22" t="s">
        <v>303</v>
      </c>
      <c r="C1116" s="31" t="n">
        <v>46300</v>
      </c>
      <c r="D1116" s="22" t="s">
        <v>300</v>
      </c>
      <c r="E1116" s="22" t="s">
        <v>305</v>
      </c>
      <c r="F1116" s="29" t="str">
        <f aca="false">IF(COUNTIF(Referral_Data!$C$5:$C$1000,B1116)&gt;0,"Referred",IF(COUNTIF(Referral_Data!$B$5:$B$1000,B1116)&gt;0,"Referrer","Organic"))</f>
        <v>Organic</v>
      </c>
      <c r="G1116" s="29" t="n">
        <f aca="false">IF(COUNTIFS($B$5:B1116,B1116,$C$5:C1116,C1116)=1,1,0)</f>
        <v>0</v>
      </c>
      <c r="H1116" s="29" t="n">
        <f aca="false">IF(AND(G1116=1,COUNTIFS($B$5:$B$1635,B1116,$C$5:$C$1635,"&lt;"&amp;C1116)&gt;0),1,0)</f>
        <v>0</v>
      </c>
      <c r="I1116" s="29" t="n">
        <f aca="false">IF(AND(D1116="Feature Use",COUNTIFS($B$5:B1116,B1116,$D$5:D1116,"Feature Use",$E$5:E1116,E1116)=1),1,0)</f>
        <v>0</v>
      </c>
      <c r="J1116" s="29" t="n">
        <f aca="false">IF(AND(D1116="Feature Use",COUNTIFS($B$5:B1116,B1116,$D$5:D1116,"Feature Use",$E$5:E1116,E1116)=2),1,0)</f>
        <v>0</v>
      </c>
      <c r="K1116" s="29" t="n">
        <f aca="false">IF(COUNTIF($B$5:B1116,B1116)=1,1,0)</f>
        <v>0</v>
      </c>
      <c r="L1116" s="29" t="n">
        <f aca="false">IF(AND(C1116&gt;=Settings!$B$5-Settings!$B$8+1,C1116&lt;=Settings!$B$5,COUNTIFS($B$5:B1116,B1116,$C$5:C1116,"&gt;="&amp;(Settings!$B$5-Settings!$B$8+1),$C$5:C1116,"&lt;="&amp;Settings!$B$5)=1),1,0)</f>
        <v>0</v>
      </c>
      <c r="M1116" s="29" t="n">
        <f aca="false">IF(AND(C1116&gt;=Settings!$B$5-Settings!$B$9+1,C1116&lt;=Settings!$B$5,COUNTIFS($B$5:B1116,B1116,$C$5:C1116,"&gt;="&amp;(Settings!$B$5-Settings!$B$9+1),$C$5:C1116,"&lt;="&amp;Settings!$B$5)=1),1,0)</f>
        <v>0</v>
      </c>
      <c r="N1116" s="29" t="n">
        <f aca="false">IF(AND(D1116="Feature Use",COUNTIFS($B$5:B1116,B1116,$D$5:D1116,"Feature Use")=1),1,0)</f>
        <v>0</v>
      </c>
    </row>
    <row r="1117" customFormat="false" ht="15" hidden="false" customHeight="false" outlineLevel="0" collapsed="false">
      <c r="A1117" s="22" t="s">
        <v>1424</v>
      </c>
      <c r="B1117" s="22" t="s">
        <v>385</v>
      </c>
      <c r="C1117" s="31" t="n">
        <v>46300</v>
      </c>
      <c r="D1117" s="22" t="s">
        <v>297</v>
      </c>
      <c r="E1117" s="22" t="s">
        <v>298</v>
      </c>
      <c r="F1117" s="29" t="str">
        <f aca="false">IF(COUNTIF(Referral_Data!$C$5:$C$1000,B1117)&gt;0,"Referred",IF(COUNTIF(Referral_Data!$B$5:$B$1000,B1117)&gt;0,"Referrer","Organic"))</f>
        <v>Organic</v>
      </c>
      <c r="G1117" s="29" t="n">
        <f aca="false">IF(COUNTIFS($B$5:B1117,B1117,$C$5:C1117,C1117)=1,1,0)</f>
        <v>1</v>
      </c>
      <c r="H1117" s="29" t="n">
        <f aca="false">IF(AND(G1117=1,COUNTIFS($B$5:$B$1635,B1117,$C$5:$C$1635,"&lt;"&amp;C1117)&gt;0),1,0)</f>
        <v>1</v>
      </c>
      <c r="I1117" s="29" t="n">
        <f aca="false">IF(AND(D1117="Feature Use",COUNTIFS($B$5:B1117,B1117,$D$5:D1117,"Feature Use",$E$5:E1117,E1117)=1),1,0)</f>
        <v>0</v>
      </c>
      <c r="J1117" s="29" t="n">
        <f aca="false">IF(AND(D1117="Feature Use",COUNTIFS($B$5:B1117,B1117,$D$5:D1117,"Feature Use",$E$5:E1117,E1117)=2),1,0)</f>
        <v>0</v>
      </c>
      <c r="K1117" s="29" t="n">
        <f aca="false">IF(COUNTIF($B$5:B1117,B1117)=1,1,0)</f>
        <v>0</v>
      </c>
      <c r="L1117" s="29" t="n">
        <f aca="false">IF(AND(C1117&gt;=Settings!$B$5-Settings!$B$8+1,C1117&lt;=Settings!$B$5,COUNTIFS($B$5:B1117,B1117,$C$5:C1117,"&gt;="&amp;(Settings!$B$5-Settings!$B$8+1),$C$5:C1117,"&lt;="&amp;Settings!$B$5)=1),1,0)</f>
        <v>0</v>
      </c>
      <c r="M1117" s="29" t="n">
        <f aca="false">IF(AND(C1117&gt;=Settings!$B$5-Settings!$B$9+1,C1117&lt;=Settings!$B$5,COUNTIFS($B$5:B1117,B1117,$C$5:C1117,"&gt;="&amp;(Settings!$B$5-Settings!$B$9+1),$C$5:C1117,"&lt;="&amp;Settings!$B$5)=1),1,0)</f>
        <v>0</v>
      </c>
      <c r="N1117" s="29" t="n">
        <f aca="false">IF(AND(D1117="Feature Use",COUNTIFS($B$5:B1117,B1117,$D$5:D1117,"Feature Use")=1),1,0)</f>
        <v>0</v>
      </c>
    </row>
    <row r="1118" customFormat="false" ht="15" hidden="false" customHeight="false" outlineLevel="0" collapsed="false">
      <c r="A1118" s="22" t="s">
        <v>1425</v>
      </c>
      <c r="B1118" s="22" t="s">
        <v>385</v>
      </c>
      <c r="C1118" s="31" t="n">
        <v>46300</v>
      </c>
      <c r="D1118" s="22" t="s">
        <v>300</v>
      </c>
      <c r="E1118" s="22" t="s">
        <v>311</v>
      </c>
      <c r="F1118" s="29" t="str">
        <f aca="false">IF(COUNTIF(Referral_Data!$C$5:$C$1000,B1118)&gt;0,"Referred",IF(COUNTIF(Referral_Data!$B$5:$B$1000,B1118)&gt;0,"Referrer","Organic"))</f>
        <v>Organic</v>
      </c>
      <c r="G1118" s="29" t="n">
        <f aca="false">IF(COUNTIFS($B$5:B1118,B1118,$C$5:C1118,C1118)=1,1,0)</f>
        <v>0</v>
      </c>
      <c r="H1118" s="29" t="n">
        <f aca="false">IF(AND(G1118=1,COUNTIFS($B$5:$B$1635,B1118,$C$5:$C$1635,"&lt;"&amp;C1118)&gt;0),1,0)</f>
        <v>0</v>
      </c>
      <c r="I1118" s="29" t="n">
        <f aca="false">IF(AND(D1118="Feature Use",COUNTIFS($B$5:B1118,B1118,$D$5:D1118,"Feature Use",$E$5:E1118,E1118)=1),1,0)</f>
        <v>0</v>
      </c>
      <c r="J1118" s="29" t="n">
        <f aca="false">IF(AND(D1118="Feature Use",COUNTIFS($B$5:B1118,B1118,$D$5:D1118,"Feature Use",$E$5:E1118,E1118)=2),1,0)</f>
        <v>0</v>
      </c>
      <c r="K1118" s="29" t="n">
        <f aca="false">IF(COUNTIF($B$5:B1118,B1118)=1,1,0)</f>
        <v>0</v>
      </c>
      <c r="L1118" s="29" t="n">
        <f aca="false">IF(AND(C1118&gt;=Settings!$B$5-Settings!$B$8+1,C1118&lt;=Settings!$B$5,COUNTIFS($B$5:B1118,B1118,$C$5:C1118,"&gt;="&amp;(Settings!$B$5-Settings!$B$8+1),$C$5:C1118,"&lt;="&amp;Settings!$B$5)=1),1,0)</f>
        <v>0</v>
      </c>
      <c r="M1118" s="29" t="n">
        <f aca="false">IF(AND(C1118&gt;=Settings!$B$5-Settings!$B$9+1,C1118&lt;=Settings!$B$5,COUNTIFS($B$5:B1118,B1118,$C$5:C1118,"&gt;="&amp;(Settings!$B$5-Settings!$B$9+1),$C$5:C1118,"&lt;="&amp;Settings!$B$5)=1),1,0)</f>
        <v>0</v>
      </c>
      <c r="N1118" s="29" t="n">
        <f aca="false">IF(AND(D1118="Feature Use",COUNTIFS($B$5:B1118,B1118,$D$5:D1118,"Feature Use")=1),1,0)</f>
        <v>0</v>
      </c>
    </row>
    <row r="1119" customFormat="false" ht="15" hidden="false" customHeight="false" outlineLevel="0" collapsed="false">
      <c r="A1119" s="22" t="s">
        <v>1426</v>
      </c>
      <c r="B1119" s="22" t="s">
        <v>385</v>
      </c>
      <c r="C1119" s="31" t="n">
        <v>46300</v>
      </c>
      <c r="D1119" s="22" t="s">
        <v>300</v>
      </c>
      <c r="E1119" s="22" t="s">
        <v>305</v>
      </c>
      <c r="F1119" s="29" t="str">
        <f aca="false">IF(COUNTIF(Referral_Data!$C$5:$C$1000,B1119)&gt;0,"Referred",IF(COUNTIF(Referral_Data!$B$5:$B$1000,B1119)&gt;0,"Referrer","Organic"))</f>
        <v>Organic</v>
      </c>
      <c r="G1119" s="29" t="n">
        <f aca="false">IF(COUNTIFS($B$5:B1119,B1119,$C$5:C1119,C1119)=1,1,0)</f>
        <v>0</v>
      </c>
      <c r="H1119" s="29" t="n">
        <f aca="false">IF(AND(G1119=1,COUNTIFS($B$5:$B$1635,B1119,$C$5:$C$1635,"&lt;"&amp;C1119)&gt;0),1,0)</f>
        <v>0</v>
      </c>
      <c r="I1119" s="29" t="n">
        <f aca="false">IF(AND(D1119="Feature Use",COUNTIFS($B$5:B1119,B1119,$D$5:D1119,"Feature Use",$E$5:E1119,E1119)=1),1,0)</f>
        <v>0</v>
      </c>
      <c r="J1119" s="29" t="n">
        <f aca="false">IF(AND(D1119="Feature Use",COUNTIFS($B$5:B1119,B1119,$D$5:D1119,"Feature Use",$E$5:E1119,E1119)=2),1,0)</f>
        <v>0</v>
      </c>
      <c r="K1119" s="29" t="n">
        <f aca="false">IF(COUNTIF($B$5:B1119,B1119)=1,1,0)</f>
        <v>0</v>
      </c>
      <c r="L1119" s="29" t="n">
        <f aca="false">IF(AND(C1119&gt;=Settings!$B$5-Settings!$B$8+1,C1119&lt;=Settings!$B$5,COUNTIFS($B$5:B1119,B1119,$C$5:C1119,"&gt;="&amp;(Settings!$B$5-Settings!$B$8+1),$C$5:C1119,"&lt;="&amp;Settings!$B$5)=1),1,0)</f>
        <v>0</v>
      </c>
      <c r="M1119" s="29" t="n">
        <f aca="false">IF(AND(C1119&gt;=Settings!$B$5-Settings!$B$9+1,C1119&lt;=Settings!$B$5,COUNTIFS($B$5:B1119,B1119,$C$5:C1119,"&gt;="&amp;(Settings!$B$5-Settings!$B$9+1),$C$5:C1119,"&lt;="&amp;Settings!$B$5)=1),1,0)</f>
        <v>0</v>
      </c>
      <c r="N1119" s="29" t="n">
        <f aca="false">IF(AND(D1119="Feature Use",COUNTIFS($B$5:B1119,B1119,$D$5:D1119,"Feature Use")=1),1,0)</f>
        <v>0</v>
      </c>
    </row>
    <row r="1120" customFormat="false" ht="15" hidden="false" customHeight="false" outlineLevel="0" collapsed="false">
      <c r="A1120" s="22" t="s">
        <v>1427</v>
      </c>
      <c r="B1120" s="22" t="s">
        <v>181</v>
      </c>
      <c r="C1120" s="31" t="n">
        <v>46300</v>
      </c>
      <c r="D1120" s="22" t="s">
        <v>297</v>
      </c>
      <c r="E1120" s="22" t="s">
        <v>298</v>
      </c>
      <c r="F1120" s="29" t="str">
        <f aca="false">IF(COUNTIF(Referral_Data!$C$5:$C$1000,B1120)&gt;0,"Referred",IF(COUNTIF(Referral_Data!$B$5:$B$1000,B1120)&gt;0,"Referrer","Organic"))</f>
        <v>Referred</v>
      </c>
      <c r="G1120" s="29" t="n">
        <f aca="false">IF(COUNTIFS($B$5:B1120,B1120,$C$5:C1120,C1120)=1,1,0)</f>
        <v>1</v>
      </c>
      <c r="H1120" s="29" t="n">
        <f aca="false">IF(AND(G1120=1,COUNTIFS($B$5:$B$1635,B1120,$C$5:$C$1635,"&lt;"&amp;C1120)&gt;0),1,0)</f>
        <v>1</v>
      </c>
      <c r="I1120" s="29" t="n">
        <f aca="false">IF(AND(D1120="Feature Use",COUNTIFS($B$5:B1120,B1120,$D$5:D1120,"Feature Use",$E$5:E1120,E1120)=1),1,0)</f>
        <v>0</v>
      </c>
      <c r="J1120" s="29" t="n">
        <f aca="false">IF(AND(D1120="Feature Use",COUNTIFS($B$5:B1120,B1120,$D$5:D1120,"Feature Use",$E$5:E1120,E1120)=2),1,0)</f>
        <v>0</v>
      </c>
      <c r="K1120" s="29" t="n">
        <f aca="false">IF(COUNTIF($B$5:B1120,B1120)=1,1,0)</f>
        <v>0</v>
      </c>
      <c r="L1120" s="29" t="n">
        <f aca="false">IF(AND(C1120&gt;=Settings!$B$5-Settings!$B$8+1,C1120&lt;=Settings!$B$5,COUNTIFS($B$5:B1120,B1120,$C$5:C1120,"&gt;="&amp;(Settings!$B$5-Settings!$B$8+1),$C$5:C1120,"&lt;="&amp;Settings!$B$5)=1),1,0)</f>
        <v>0</v>
      </c>
      <c r="M1120" s="29" t="n">
        <f aca="false">IF(AND(C1120&gt;=Settings!$B$5-Settings!$B$9+1,C1120&lt;=Settings!$B$5,COUNTIFS($B$5:B1120,B1120,$C$5:C1120,"&gt;="&amp;(Settings!$B$5-Settings!$B$9+1),$C$5:C1120,"&lt;="&amp;Settings!$B$5)=1),1,0)</f>
        <v>0</v>
      </c>
      <c r="N1120" s="29" t="n">
        <f aca="false">IF(AND(D1120="Feature Use",COUNTIFS($B$5:B1120,B1120,$D$5:D1120,"Feature Use")=1),1,0)</f>
        <v>0</v>
      </c>
    </row>
    <row r="1121" customFormat="false" ht="15" hidden="false" customHeight="false" outlineLevel="0" collapsed="false">
      <c r="A1121" s="22" t="s">
        <v>1428</v>
      </c>
      <c r="B1121" s="22" t="s">
        <v>181</v>
      </c>
      <c r="C1121" s="31" t="n">
        <v>46300</v>
      </c>
      <c r="D1121" s="22" t="s">
        <v>300</v>
      </c>
      <c r="E1121" s="22" t="s">
        <v>305</v>
      </c>
      <c r="F1121" s="29" t="str">
        <f aca="false">IF(COUNTIF(Referral_Data!$C$5:$C$1000,B1121)&gt;0,"Referred",IF(COUNTIF(Referral_Data!$B$5:$B$1000,B1121)&gt;0,"Referrer","Organic"))</f>
        <v>Referred</v>
      </c>
      <c r="G1121" s="29" t="n">
        <f aca="false">IF(COUNTIFS($B$5:B1121,B1121,$C$5:C1121,C1121)=1,1,0)</f>
        <v>0</v>
      </c>
      <c r="H1121" s="29" t="n">
        <f aca="false">IF(AND(G1121=1,COUNTIFS($B$5:$B$1635,B1121,$C$5:$C$1635,"&lt;"&amp;C1121)&gt;0),1,0)</f>
        <v>0</v>
      </c>
      <c r="I1121" s="29" t="n">
        <f aca="false">IF(AND(D1121="Feature Use",COUNTIFS($B$5:B1121,B1121,$D$5:D1121,"Feature Use",$E$5:E1121,E1121)=1),1,0)</f>
        <v>0</v>
      </c>
      <c r="J1121" s="29" t="n">
        <f aca="false">IF(AND(D1121="Feature Use",COUNTIFS($B$5:B1121,B1121,$D$5:D1121,"Feature Use",$E$5:E1121,E1121)=2),1,0)</f>
        <v>0</v>
      </c>
      <c r="K1121" s="29" t="n">
        <f aca="false">IF(COUNTIF($B$5:B1121,B1121)=1,1,0)</f>
        <v>0</v>
      </c>
      <c r="L1121" s="29" t="n">
        <f aca="false">IF(AND(C1121&gt;=Settings!$B$5-Settings!$B$8+1,C1121&lt;=Settings!$B$5,COUNTIFS($B$5:B1121,B1121,$C$5:C1121,"&gt;="&amp;(Settings!$B$5-Settings!$B$8+1),$C$5:C1121,"&lt;="&amp;Settings!$B$5)=1),1,0)</f>
        <v>0</v>
      </c>
      <c r="M1121" s="29" t="n">
        <f aca="false">IF(AND(C1121&gt;=Settings!$B$5-Settings!$B$9+1,C1121&lt;=Settings!$B$5,COUNTIFS($B$5:B1121,B1121,$C$5:C1121,"&gt;="&amp;(Settings!$B$5-Settings!$B$9+1),$C$5:C1121,"&lt;="&amp;Settings!$B$5)=1),1,0)</f>
        <v>0</v>
      </c>
      <c r="N1121" s="29" t="n">
        <f aca="false">IF(AND(D1121="Feature Use",COUNTIFS($B$5:B1121,B1121,$D$5:D1121,"Feature Use")=1),1,0)</f>
        <v>0</v>
      </c>
    </row>
    <row r="1122" customFormat="false" ht="15" hidden="false" customHeight="false" outlineLevel="0" collapsed="false">
      <c r="A1122" s="22" t="s">
        <v>1429</v>
      </c>
      <c r="B1122" s="22" t="s">
        <v>181</v>
      </c>
      <c r="C1122" s="31" t="n">
        <v>46300</v>
      </c>
      <c r="D1122" s="22" t="s">
        <v>300</v>
      </c>
      <c r="E1122" s="22" t="s">
        <v>319</v>
      </c>
      <c r="F1122" s="29" t="str">
        <f aca="false">IF(COUNTIF(Referral_Data!$C$5:$C$1000,B1122)&gt;0,"Referred",IF(COUNTIF(Referral_Data!$B$5:$B$1000,B1122)&gt;0,"Referrer","Organic"))</f>
        <v>Referred</v>
      </c>
      <c r="G1122" s="29" t="n">
        <f aca="false">IF(COUNTIFS($B$5:B1122,B1122,$C$5:C1122,C1122)=1,1,0)</f>
        <v>0</v>
      </c>
      <c r="H1122" s="29" t="n">
        <f aca="false">IF(AND(G1122=1,COUNTIFS($B$5:$B$1635,B1122,$C$5:$C$1635,"&lt;"&amp;C1122)&gt;0),1,0)</f>
        <v>0</v>
      </c>
      <c r="I1122" s="29" t="n">
        <f aca="false">IF(AND(D1122="Feature Use",COUNTIFS($B$5:B1122,B1122,$D$5:D1122,"Feature Use",$E$5:E1122,E1122)=1),1,0)</f>
        <v>0</v>
      </c>
      <c r="J1122" s="29" t="n">
        <f aca="false">IF(AND(D1122="Feature Use",COUNTIFS($B$5:B1122,B1122,$D$5:D1122,"Feature Use",$E$5:E1122,E1122)=2),1,0)</f>
        <v>0</v>
      </c>
      <c r="K1122" s="29" t="n">
        <f aca="false">IF(COUNTIF($B$5:B1122,B1122)=1,1,0)</f>
        <v>0</v>
      </c>
      <c r="L1122" s="29" t="n">
        <f aca="false">IF(AND(C1122&gt;=Settings!$B$5-Settings!$B$8+1,C1122&lt;=Settings!$B$5,COUNTIFS($B$5:B1122,B1122,$C$5:C1122,"&gt;="&amp;(Settings!$B$5-Settings!$B$8+1),$C$5:C1122,"&lt;="&amp;Settings!$B$5)=1),1,0)</f>
        <v>0</v>
      </c>
      <c r="M1122" s="29" t="n">
        <f aca="false">IF(AND(C1122&gt;=Settings!$B$5-Settings!$B$9+1,C1122&lt;=Settings!$B$5,COUNTIFS($B$5:B1122,B1122,$C$5:C1122,"&gt;="&amp;(Settings!$B$5-Settings!$B$9+1),$C$5:C1122,"&lt;="&amp;Settings!$B$5)=1),1,0)</f>
        <v>0</v>
      </c>
      <c r="N1122" s="29" t="n">
        <f aca="false">IF(AND(D1122="Feature Use",COUNTIFS($B$5:B1122,B1122,$D$5:D1122,"Feature Use")=1),1,0)</f>
        <v>0</v>
      </c>
    </row>
    <row r="1123" customFormat="false" ht="15" hidden="false" customHeight="false" outlineLevel="0" collapsed="false">
      <c r="A1123" s="22" t="s">
        <v>1430</v>
      </c>
      <c r="B1123" s="22" t="s">
        <v>192</v>
      </c>
      <c r="C1123" s="31" t="n">
        <v>46300</v>
      </c>
      <c r="D1123" s="22" t="s">
        <v>297</v>
      </c>
      <c r="E1123" s="22" t="s">
        <v>298</v>
      </c>
      <c r="F1123" s="29" t="str">
        <f aca="false">IF(COUNTIF(Referral_Data!$C$5:$C$1000,B1123)&gt;0,"Referred",IF(COUNTIF(Referral_Data!$B$5:$B$1000,B1123)&gt;0,"Referrer","Organic"))</f>
        <v>Referred</v>
      </c>
      <c r="G1123" s="29" t="n">
        <f aca="false">IF(COUNTIFS($B$5:B1123,B1123,$C$5:C1123,C1123)=1,1,0)</f>
        <v>1</v>
      </c>
      <c r="H1123" s="29" t="n">
        <f aca="false">IF(AND(G1123=1,COUNTIFS($B$5:$B$1635,B1123,$C$5:$C$1635,"&lt;"&amp;C1123)&gt;0),1,0)</f>
        <v>1</v>
      </c>
      <c r="I1123" s="29" t="n">
        <f aca="false">IF(AND(D1123="Feature Use",COUNTIFS($B$5:B1123,B1123,$D$5:D1123,"Feature Use",$E$5:E1123,E1123)=1),1,0)</f>
        <v>0</v>
      </c>
      <c r="J1123" s="29" t="n">
        <f aca="false">IF(AND(D1123="Feature Use",COUNTIFS($B$5:B1123,B1123,$D$5:D1123,"Feature Use",$E$5:E1123,E1123)=2),1,0)</f>
        <v>0</v>
      </c>
      <c r="K1123" s="29" t="n">
        <f aca="false">IF(COUNTIF($B$5:B1123,B1123)=1,1,0)</f>
        <v>0</v>
      </c>
      <c r="L1123" s="29" t="n">
        <f aca="false">IF(AND(C1123&gt;=Settings!$B$5-Settings!$B$8+1,C1123&lt;=Settings!$B$5,COUNTIFS($B$5:B1123,B1123,$C$5:C1123,"&gt;="&amp;(Settings!$B$5-Settings!$B$8+1),$C$5:C1123,"&lt;="&amp;Settings!$B$5)=1),1,0)</f>
        <v>0</v>
      </c>
      <c r="M1123" s="29" t="n">
        <f aca="false">IF(AND(C1123&gt;=Settings!$B$5-Settings!$B$9+1,C1123&lt;=Settings!$B$5,COUNTIFS($B$5:B1123,B1123,$C$5:C1123,"&gt;="&amp;(Settings!$B$5-Settings!$B$9+1),$C$5:C1123,"&lt;="&amp;Settings!$B$5)=1),1,0)</f>
        <v>0</v>
      </c>
      <c r="N1123" s="29" t="n">
        <f aca="false">IF(AND(D1123="Feature Use",COUNTIFS($B$5:B1123,B1123,$D$5:D1123,"Feature Use")=1),1,0)</f>
        <v>0</v>
      </c>
    </row>
    <row r="1124" customFormat="false" ht="15" hidden="false" customHeight="false" outlineLevel="0" collapsed="false">
      <c r="A1124" s="22" t="s">
        <v>1431</v>
      </c>
      <c r="B1124" s="22" t="s">
        <v>192</v>
      </c>
      <c r="C1124" s="31" t="n">
        <v>46300</v>
      </c>
      <c r="D1124" s="22" t="s">
        <v>300</v>
      </c>
      <c r="E1124" s="22" t="s">
        <v>309</v>
      </c>
      <c r="F1124" s="29" t="str">
        <f aca="false">IF(COUNTIF(Referral_Data!$C$5:$C$1000,B1124)&gt;0,"Referred",IF(COUNTIF(Referral_Data!$B$5:$B$1000,B1124)&gt;0,"Referrer","Organic"))</f>
        <v>Referred</v>
      </c>
      <c r="G1124" s="29" t="n">
        <f aca="false">IF(COUNTIFS($B$5:B1124,B1124,$C$5:C1124,C1124)=1,1,0)</f>
        <v>0</v>
      </c>
      <c r="H1124" s="29" t="n">
        <f aca="false">IF(AND(G1124=1,COUNTIFS($B$5:$B$1635,B1124,$C$5:$C$1635,"&lt;"&amp;C1124)&gt;0),1,0)</f>
        <v>0</v>
      </c>
      <c r="I1124" s="29" t="n">
        <f aca="false">IF(AND(D1124="Feature Use",COUNTIFS($B$5:B1124,B1124,$D$5:D1124,"Feature Use",$E$5:E1124,E1124)=1),1,0)</f>
        <v>1</v>
      </c>
      <c r="J1124" s="29" t="n">
        <f aca="false">IF(AND(D1124="Feature Use",COUNTIFS($B$5:B1124,B1124,$D$5:D1124,"Feature Use",$E$5:E1124,E1124)=2),1,0)</f>
        <v>0</v>
      </c>
      <c r="K1124" s="29" t="n">
        <f aca="false">IF(COUNTIF($B$5:B1124,B1124)=1,1,0)</f>
        <v>0</v>
      </c>
      <c r="L1124" s="29" t="n">
        <f aca="false">IF(AND(C1124&gt;=Settings!$B$5-Settings!$B$8+1,C1124&lt;=Settings!$B$5,COUNTIFS($B$5:B1124,B1124,$C$5:C1124,"&gt;="&amp;(Settings!$B$5-Settings!$B$8+1),$C$5:C1124,"&lt;="&amp;Settings!$B$5)=1),1,0)</f>
        <v>0</v>
      </c>
      <c r="M1124" s="29" t="n">
        <f aca="false">IF(AND(C1124&gt;=Settings!$B$5-Settings!$B$9+1,C1124&lt;=Settings!$B$5,COUNTIFS($B$5:B1124,B1124,$C$5:C1124,"&gt;="&amp;(Settings!$B$5-Settings!$B$9+1),$C$5:C1124,"&lt;="&amp;Settings!$B$5)=1),1,0)</f>
        <v>0</v>
      </c>
      <c r="N1124" s="29" t="n">
        <f aca="false">IF(AND(D1124="Feature Use",COUNTIFS($B$5:B1124,B1124,$D$5:D1124,"Feature Use")=1),1,0)</f>
        <v>0</v>
      </c>
    </row>
    <row r="1125" customFormat="false" ht="15" hidden="false" customHeight="false" outlineLevel="0" collapsed="false">
      <c r="A1125" s="22" t="s">
        <v>1432</v>
      </c>
      <c r="B1125" s="22" t="s">
        <v>194</v>
      </c>
      <c r="C1125" s="31" t="n">
        <v>46300</v>
      </c>
      <c r="D1125" s="22" t="s">
        <v>297</v>
      </c>
      <c r="E1125" s="22" t="s">
        <v>298</v>
      </c>
      <c r="F1125" s="29" t="str">
        <f aca="false">IF(COUNTIF(Referral_Data!$C$5:$C$1000,B1125)&gt;0,"Referred",IF(COUNTIF(Referral_Data!$B$5:$B$1000,B1125)&gt;0,"Referrer","Organic"))</f>
        <v>Referred</v>
      </c>
      <c r="G1125" s="29" t="n">
        <f aca="false">IF(COUNTIFS($B$5:B1125,B1125,$C$5:C1125,C1125)=1,1,0)</f>
        <v>1</v>
      </c>
      <c r="H1125" s="29" t="n">
        <f aca="false">IF(AND(G1125=1,COUNTIFS($B$5:$B$1635,B1125,$C$5:$C$1635,"&lt;"&amp;C1125)&gt;0),1,0)</f>
        <v>1</v>
      </c>
      <c r="I1125" s="29" t="n">
        <f aca="false">IF(AND(D1125="Feature Use",COUNTIFS($B$5:B1125,B1125,$D$5:D1125,"Feature Use",$E$5:E1125,E1125)=1),1,0)</f>
        <v>0</v>
      </c>
      <c r="J1125" s="29" t="n">
        <f aca="false">IF(AND(D1125="Feature Use",COUNTIFS($B$5:B1125,B1125,$D$5:D1125,"Feature Use",$E$5:E1125,E1125)=2),1,0)</f>
        <v>0</v>
      </c>
      <c r="K1125" s="29" t="n">
        <f aca="false">IF(COUNTIF($B$5:B1125,B1125)=1,1,0)</f>
        <v>0</v>
      </c>
      <c r="L1125" s="29" t="n">
        <f aca="false">IF(AND(C1125&gt;=Settings!$B$5-Settings!$B$8+1,C1125&lt;=Settings!$B$5,COUNTIFS($B$5:B1125,B1125,$C$5:C1125,"&gt;="&amp;(Settings!$B$5-Settings!$B$8+1),$C$5:C1125,"&lt;="&amp;Settings!$B$5)=1),1,0)</f>
        <v>0</v>
      </c>
      <c r="M1125" s="29" t="n">
        <f aca="false">IF(AND(C1125&gt;=Settings!$B$5-Settings!$B$9+1,C1125&lt;=Settings!$B$5,COUNTIFS($B$5:B1125,B1125,$C$5:C1125,"&gt;="&amp;(Settings!$B$5-Settings!$B$9+1),$C$5:C1125,"&lt;="&amp;Settings!$B$5)=1),1,0)</f>
        <v>0</v>
      </c>
      <c r="N1125" s="29" t="n">
        <f aca="false">IF(AND(D1125="Feature Use",COUNTIFS($B$5:B1125,B1125,$D$5:D1125,"Feature Use")=1),1,0)</f>
        <v>0</v>
      </c>
    </row>
    <row r="1126" customFormat="false" ht="15" hidden="false" customHeight="false" outlineLevel="0" collapsed="false">
      <c r="A1126" s="22" t="s">
        <v>1433</v>
      </c>
      <c r="B1126" s="22" t="s">
        <v>194</v>
      </c>
      <c r="C1126" s="31" t="n">
        <v>46300</v>
      </c>
      <c r="D1126" s="22" t="s">
        <v>300</v>
      </c>
      <c r="E1126" s="22" t="s">
        <v>311</v>
      </c>
      <c r="F1126" s="29" t="str">
        <f aca="false">IF(COUNTIF(Referral_Data!$C$5:$C$1000,B1126)&gt;0,"Referred",IF(COUNTIF(Referral_Data!$B$5:$B$1000,B1126)&gt;0,"Referrer","Organic"))</f>
        <v>Referred</v>
      </c>
      <c r="G1126" s="29" t="n">
        <f aca="false">IF(COUNTIFS($B$5:B1126,B1126,$C$5:C1126,C1126)=1,1,0)</f>
        <v>0</v>
      </c>
      <c r="H1126" s="29" t="n">
        <f aca="false">IF(AND(G1126=1,COUNTIFS($B$5:$B$1635,B1126,$C$5:$C$1635,"&lt;"&amp;C1126)&gt;0),1,0)</f>
        <v>0</v>
      </c>
      <c r="I1126" s="29" t="n">
        <f aca="false">IF(AND(D1126="Feature Use",COUNTIFS($B$5:B1126,B1126,$D$5:D1126,"Feature Use",$E$5:E1126,E1126)=1),1,0)</f>
        <v>0</v>
      </c>
      <c r="J1126" s="29" t="n">
        <f aca="false">IF(AND(D1126="Feature Use",COUNTIFS($B$5:B1126,B1126,$D$5:D1126,"Feature Use",$E$5:E1126,E1126)=2),1,0)</f>
        <v>0</v>
      </c>
      <c r="K1126" s="29" t="n">
        <f aca="false">IF(COUNTIF($B$5:B1126,B1126)=1,1,0)</f>
        <v>0</v>
      </c>
      <c r="L1126" s="29" t="n">
        <f aca="false">IF(AND(C1126&gt;=Settings!$B$5-Settings!$B$8+1,C1126&lt;=Settings!$B$5,COUNTIFS($B$5:B1126,B1126,$C$5:C1126,"&gt;="&amp;(Settings!$B$5-Settings!$B$8+1),$C$5:C1126,"&lt;="&amp;Settings!$B$5)=1),1,0)</f>
        <v>0</v>
      </c>
      <c r="M1126" s="29" t="n">
        <f aca="false">IF(AND(C1126&gt;=Settings!$B$5-Settings!$B$9+1,C1126&lt;=Settings!$B$5,COUNTIFS($B$5:B1126,B1126,$C$5:C1126,"&gt;="&amp;(Settings!$B$5-Settings!$B$9+1),$C$5:C1126,"&lt;="&amp;Settings!$B$5)=1),1,0)</f>
        <v>0</v>
      </c>
      <c r="N1126" s="29" t="n">
        <f aca="false">IF(AND(D1126="Feature Use",COUNTIFS($B$5:B1126,B1126,$D$5:D1126,"Feature Use")=1),1,0)</f>
        <v>0</v>
      </c>
    </row>
    <row r="1127" customFormat="false" ht="15" hidden="false" customHeight="false" outlineLevel="0" collapsed="false">
      <c r="A1127" s="22" t="s">
        <v>1434</v>
      </c>
      <c r="B1127" s="22" t="s">
        <v>194</v>
      </c>
      <c r="C1127" s="31" t="n">
        <v>46300</v>
      </c>
      <c r="D1127" s="22" t="s">
        <v>300</v>
      </c>
      <c r="E1127" s="22" t="s">
        <v>319</v>
      </c>
      <c r="F1127" s="29" t="str">
        <f aca="false">IF(COUNTIF(Referral_Data!$C$5:$C$1000,B1127)&gt;0,"Referred",IF(COUNTIF(Referral_Data!$B$5:$B$1000,B1127)&gt;0,"Referrer","Organic"))</f>
        <v>Referred</v>
      </c>
      <c r="G1127" s="29" t="n">
        <f aca="false">IF(COUNTIFS($B$5:B1127,B1127,$C$5:C1127,C1127)=1,1,0)</f>
        <v>0</v>
      </c>
      <c r="H1127" s="29" t="n">
        <f aca="false">IF(AND(G1127=1,COUNTIFS($B$5:$B$1635,B1127,$C$5:$C$1635,"&lt;"&amp;C1127)&gt;0),1,0)</f>
        <v>0</v>
      </c>
      <c r="I1127" s="29" t="n">
        <f aca="false">IF(AND(D1127="Feature Use",COUNTIFS($B$5:B1127,B1127,$D$5:D1127,"Feature Use",$E$5:E1127,E1127)=1),1,0)</f>
        <v>0</v>
      </c>
      <c r="J1127" s="29" t="n">
        <f aca="false">IF(AND(D1127="Feature Use",COUNTIFS($B$5:B1127,B1127,$D$5:D1127,"Feature Use",$E$5:E1127,E1127)=2),1,0)</f>
        <v>0</v>
      </c>
      <c r="K1127" s="29" t="n">
        <f aca="false">IF(COUNTIF($B$5:B1127,B1127)=1,1,0)</f>
        <v>0</v>
      </c>
      <c r="L1127" s="29" t="n">
        <f aca="false">IF(AND(C1127&gt;=Settings!$B$5-Settings!$B$8+1,C1127&lt;=Settings!$B$5,COUNTIFS($B$5:B1127,B1127,$C$5:C1127,"&gt;="&amp;(Settings!$B$5-Settings!$B$8+1),$C$5:C1127,"&lt;="&amp;Settings!$B$5)=1),1,0)</f>
        <v>0</v>
      </c>
      <c r="M1127" s="29" t="n">
        <f aca="false">IF(AND(C1127&gt;=Settings!$B$5-Settings!$B$9+1,C1127&lt;=Settings!$B$5,COUNTIFS($B$5:B1127,B1127,$C$5:C1127,"&gt;="&amp;(Settings!$B$5-Settings!$B$9+1),$C$5:C1127,"&lt;="&amp;Settings!$B$5)=1),1,0)</f>
        <v>0</v>
      </c>
      <c r="N1127" s="29" t="n">
        <f aca="false">IF(AND(D1127="Feature Use",COUNTIFS($B$5:B1127,B1127,$D$5:D1127,"Feature Use")=1),1,0)</f>
        <v>0</v>
      </c>
    </row>
    <row r="1128" customFormat="false" ht="15" hidden="false" customHeight="false" outlineLevel="0" collapsed="false">
      <c r="A1128" s="22" t="s">
        <v>1435</v>
      </c>
      <c r="B1128" s="22" t="s">
        <v>211</v>
      </c>
      <c r="C1128" s="31" t="n">
        <v>46300</v>
      </c>
      <c r="D1128" s="22" t="s">
        <v>297</v>
      </c>
      <c r="E1128" s="22" t="s">
        <v>298</v>
      </c>
      <c r="F1128" s="29" t="str">
        <f aca="false">IF(COUNTIF(Referral_Data!$C$5:$C$1000,B1128)&gt;0,"Referred",IF(COUNTIF(Referral_Data!$B$5:$B$1000,B1128)&gt;0,"Referrer","Organic"))</f>
        <v>Referred</v>
      </c>
      <c r="G1128" s="29" t="n">
        <f aca="false">IF(COUNTIFS($B$5:B1128,B1128,$C$5:C1128,C1128)=1,1,0)</f>
        <v>1</v>
      </c>
      <c r="H1128" s="29" t="n">
        <f aca="false">IF(AND(G1128=1,COUNTIFS($B$5:$B$1635,B1128,$C$5:$C$1635,"&lt;"&amp;C1128)&gt;0),1,0)</f>
        <v>0</v>
      </c>
      <c r="I1128" s="29" t="n">
        <f aca="false">IF(AND(D1128="Feature Use",COUNTIFS($B$5:B1128,B1128,$D$5:D1128,"Feature Use",$E$5:E1128,E1128)=1),1,0)</f>
        <v>0</v>
      </c>
      <c r="J1128" s="29" t="n">
        <f aca="false">IF(AND(D1128="Feature Use",COUNTIFS($B$5:B1128,B1128,$D$5:D1128,"Feature Use",$E$5:E1128,E1128)=2),1,0)</f>
        <v>0</v>
      </c>
      <c r="K1128" s="29" t="n">
        <f aca="false">IF(COUNTIF($B$5:B1128,B1128)=1,1,0)</f>
        <v>1</v>
      </c>
      <c r="L1128" s="29" t="n">
        <f aca="false">IF(AND(C1128&gt;=Settings!$B$5-Settings!$B$8+1,C1128&lt;=Settings!$B$5,COUNTIFS($B$5:B1128,B1128,$C$5:C1128,"&gt;="&amp;(Settings!$B$5-Settings!$B$8+1),$C$5:C1128,"&lt;="&amp;Settings!$B$5)=1),1,0)</f>
        <v>0</v>
      </c>
      <c r="M1128" s="29" t="n">
        <f aca="false">IF(AND(C1128&gt;=Settings!$B$5-Settings!$B$9+1,C1128&lt;=Settings!$B$5,COUNTIFS($B$5:B1128,B1128,$C$5:C1128,"&gt;="&amp;(Settings!$B$5-Settings!$B$9+1),$C$5:C1128,"&lt;="&amp;Settings!$B$5)=1),1,0)</f>
        <v>1</v>
      </c>
      <c r="N1128" s="29" t="n">
        <f aca="false">IF(AND(D1128="Feature Use",COUNTIFS($B$5:B1128,B1128,$D$5:D1128,"Feature Use")=1),1,0)</f>
        <v>0</v>
      </c>
    </row>
    <row r="1129" customFormat="false" ht="15" hidden="false" customHeight="false" outlineLevel="0" collapsed="false">
      <c r="A1129" s="22" t="s">
        <v>1436</v>
      </c>
      <c r="B1129" s="22" t="s">
        <v>211</v>
      </c>
      <c r="C1129" s="31" t="n">
        <v>46300</v>
      </c>
      <c r="D1129" s="22" t="s">
        <v>300</v>
      </c>
      <c r="E1129" s="22" t="s">
        <v>301</v>
      </c>
      <c r="F1129" s="29" t="str">
        <f aca="false">IF(COUNTIF(Referral_Data!$C$5:$C$1000,B1129)&gt;0,"Referred",IF(COUNTIF(Referral_Data!$B$5:$B$1000,B1129)&gt;0,"Referrer","Organic"))</f>
        <v>Referred</v>
      </c>
      <c r="G1129" s="29" t="n">
        <f aca="false">IF(COUNTIFS($B$5:B1129,B1129,$C$5:C1129,C1129)=1,1,0)</f>
        <v>0</v>
      </c>
      <c r="H1129" s="29" t="n">
        <f aca="false">IF(AND(G1129=1,COUNTIFS($B$5:$B$1635,B1129,$C$5:$C$1635,"&lt;"&amp;C1129)&gt;0),1,0)</f>
        <v>0</v>
      </c>
      <c r="I1129" s="29" t="n">
        <f aca="false">IF(AND(D1129="Feature Use",COUNTIFS($B$5:B1129,B1129,$D$5:D1129,"Feature Use",$E$5:E1129,E1129)=1),1,0)</f>
        <v>1</v>
      </c>
      <c r="J1129" s="29" t="n">
        <f aca="false">IF(AND(D1129="Feature Use",COUNTIFS($B$5:B1129,B1129,$D$5:D1129,"Feature Use",$E$5:E1129,E1129)=2),1,0)</f>
        <v>0</v>
      </c>
      <c r="K1129" s="29" t="n">
        <f aca="false">IF(COUNTIF($B$5:B1129,B1129)=1,1,0)</f>
        <v>0</v>
      </c>
      <c r="L1129" s="29" t="n">
        <f aca="false">IF(AND(C1129&gt;=Settings!$B$5-Settings!$B$8+1,C1129&lt;=Settings!$B$5,COUNTIFS($B$5:B1129,B1129,$C$5:C1129,"&gt;="&amp;(Settings!$B$5-Settings!$B$8+1),$C$5:C1129,"&lt;="&amp;Settings!$B$5)=1),1,0)</f>
        <v>0</v>
      </c>
      <c r="M1129" s="29" t="n">
        <f aca="false">IF(AND(C1129&gt;=Settings!$B$5-Settings!$B$9+1,C1129&lt;=Settings!$B$5,COUNTIFS($B$5:B1129,B1129,$C$5:C1129,"&gt;="&amp;(Settings!$B$5-Settings!$B$9+1),$C$5:C1129,"&lt;="&amp;Settings!$B$5)=1),1,0)</f>
        <v>0</v>
      </c>
      <c r="N1129" s="29" t="n">
        <f aca="false">IF(AND(D1129="Feature Use",COUNTIFS($B$5:B1129,B1129,$D$5:D1129,"Feature Use")=1),1,0)</f>
        <v>1</v>
      </c>
    </row>
    <row r="1130" customFormat="false" ht="15" hidden="false" customHeight="false" outlineLevel="0" collapsed="false">
      <c r="A1130" s="22" t="s">
        <v>1437</v>
      </c>
      <c r="B1130" s="22" t="s">
        <v>211</v>
      </c>
      <c r="C1130" s="31" t="n">
        <v>46300</v>
      </c>
      <c r="D1130" s="22" t="s">
        <v>300</v>
      </c>
      <c r="E1130" s="22" t="s">
        <v>305</v>
      </c>
      <c r="F1130" s="29" t="str">
        <f aca="false">IF(COUNTIF(Referral_Data!$C$5:$C$1000,B1130)&gt;0,"Referred",IF(COUNTIF(Referral_Data!$B$5:$B$1000,B1130)&gt;0,"Referrer","Organic"))</f>
        <v>Referred</v>
      </c>
      <c r="G1130" s="29" t="n">
        <f aca="false">IF(COUNTIFS($B$5:B1130,B1130,$C$5:C1130,C1130)=1,1,0)</f>
        <v>0</v>
      </c>
      <c r="H1130" s="29" t="n">
        <f aca="false">IF(AND(G1130=1,COUNTIFS($B$5:$B$1635,B1130,$C$5:$C$1635,"&lt;"&amp;C1130)&gt;0),1,0)</f>
        <v>0</v>
      </c>
      <c r="I1130" s="29" t="n">
        <f aca="false">IF(AND(D1130="Feature Use",COUNTIFS($B$5:B1130,B1130,$D$5:D1130,"Feature Use",$E$5:E1130,E1130)=1),1,0)</f>
        <v>1</v>
      </c>
      <c r="J1130" s="29" t="n">
        <f aca="false">IF(AND(D1130="Feature Use",COUNTIFS($B$5:B1130,B1130,$D$5:D1130,"Feature Use",$E$5:E1130,E1130)=2),1,0)</f>
        <v>0</v>
      </c>
      <c r="K1130" s="29" t="n">
        <f aca="false">IF(COUNTIF($B$5:B1130,B1130)=1,1,0)</f>
        <v>0</v>
      </c>
      <c r="L1130" s="29" t="n">
        <f aca="false">IF(AND(C1130&gt;=Settings!$B$5-Settings!$B$8+1,C1130&lt;=Settings!$B$5,COUNTIFS($B$5:B1130,B1130,$C$5:C1130,"&gt;="&amp;(Settings!$B$5-Settings!$B$8+1),$C$5:C1130,"&lt;="&amp;Settings!$B$5)=1),1,0)</f>
        <v>0</v>
      </c>
      <c r="M1130" s="29" t="n">
        <f aca="false">IF(AND(C1130&gt;=Settings!$B$5-Settings!$B$9+1,C1130&lt;=Settings!$B$5,COUNTIFS($B$5:B1130,B1130,$C$5:C1130,"&gt;="&amp;(Settings!$B$5-Settings!$B$9+1),$C$5:C1130,"&lt;="&amp;Settings!$B$5)=1),1,0)</f>
        <v>0</v>
      </c>
      <c r="N1130" s="29" t="n">
        <f aca="false">IF(AND(D1130="Feature Use",COUNTIFS($B$5:B1130,B1130,$D$5:D1130,"Feature Use")=1),1,0)</f>
        <v>0</v>
      </c>
    </row>
    <row r="1131" customFormat="false" ht="15" hidden="false" customHeight="false" outlineLevel="0" collapsed="false">
      <c r="A1131" s="22" t="s">
        <v>1438</v>
      </c>
      <c r="B1131" s="22" t="s">
        <v>211</v>
      </c>
      <c r="C1131" s="31" t="n">
        <v>46300</v>
      </c>
      <c r="D1131" s="22" t="s">
        <v>308</v>
      </c>
      <c r="E1131" s="22" t="s">
        <v>309</v>
      </c>
      <c r="F1131" s="29" t="str">
        <f aca="false">IF(COUNTIF(Referral_Data!$C$5:$C$1000,B1131)&gt;0,"Referred",IF(COUNTIF(Referral_Data!$B$5:$B$1000,B1131)&gt;0,"Referrer","Organic"))</f>
        <v>Referred</v>
      </c>
      <c r="G1131" s="29" t="n">
        <f aca="false">IF(COUNTIFS($B$5:B1131,B1131,$C$5:C1131,C1131)=1,1,0)</f>
        <v>0</v>
      </c>
      <c r="H1131" s="29" t="n">
        <f aca="false">IF(AND(G1131=1,COUNTIFS($B$5:$B$1635,B1131,$C$5:$C$1635,"&lt;"&amp;C1131)&gt;0),1,0)</f>
        <v>0</v>
      </c>
      <c r="I1131" s="29" t="n">
        <f aca="false">IF(AND(D1131="Feature Use",COUNTIFS($B$5:B1131,B1131,$D$5:D1131,"Feature Use",$E$5:E1131,E1131)=1),1,0)</f>
        <v>0</v>
      </c>
      <c r="J1131" s="29" t="n">
        <f aca="false">IF(AND(D1131="Feature Use",COUNTIFS($B$5:B1131,B1131,$D$5:D1131,"Feature Use",$E$5:E1131,E1131)=2),1,0)</f>
        <v>0</v>
      </c>
      <c r="K1131" s="29" t="n">
        <f aca="false">IF(COUNTIF($B$5:B1131,B1131)=1,1,0)</f>
        <v>0</v>
      </c>
      <c r="L1131" s="29" t="n">
        <f aca="false">IF(AND(C1131&gt;=Settings!$B$5-Settings!$B$8+1,C1131&lt;=Settings!$B$5,COUNTIFS($B$5:B1131,B1131,$C$5:C1131,"&gt;="&amp;(Settings!$B$5-Settings!$B$8+1),$C$5:C1131,"&lt;="&amp;Settings!$B$5)=1),1,0)</f>
        <v>0</v>
      </c>
      <c r="M1131" s="29" t="n">
        <f aca="false">IF(AND(C1131&gt;=Settings!$B$5-Settings!$B$9+1,C1131&lt;=Settings!$B$5,COUNTIFS($B$5:B1131,B1131,$C$5:C1131,"&gt;="&amp;(Settings!$B$5-Settings!$B$9+1),$C$5:C1131,"&lt;="&amp;Settings!$B$5)=1),1,0)</f>
        <v>0</v>
      </c>
      <c r="N1131" s="29" t="n">
        <f aca="false">IF(AND(D1131="Feature Use",COUNTIFS($B$5:B1131,B1131,$D$5:D1131,"Feature Use")=1),1,0)</f>
        <v>0</v>
      </c>
    </row>
    <row r="1132" customFormat="false" ht="15" hidden="false" customHeight="false" outlineLevel="0" collapsed="false">
      <c r="A1132" s="22" t="s">
        <v>1439</v>
      </c>
      <c r="B1132" s="22" t="s">
        <v>211</v>
      </c>
      <c r="C1132" s="31" t="n">
        <v>46300</v>
      </c>
      <c r="D1132" s="22" t="s">
        <v>308</v>
      </c>
      <c r="E1132" s="22" t="s">
        <v>311</v>
      </c>
      <c r="F1132" s="29" t="str">
        <f aca="false">IF(COUNTIF(Referral_Data!$C$5:$C$1000,B1132)&gt;0,"Referred",IF(COUNTIF(Referral_Data!$B$5:$B$1000,B1132)&gt;0,"Referrer","Organic"))</f>
        <v>Referred</v>
      </c>
      <c r="G1132" s="29" t="n">
        <f aca="false">IF(COUNTIFS($B$5:B1132,B1132,$C$5:C1132,C1132)=1,1,0)</f>
        <v>0</v>
      </c>
      <c r="H1132" s="29" t="n">
        <f aca="false">IF(AND(G1132=1,COUNTIFS($B$5:$B$1635,B1132,$C$5:$C$1635,"&lt;"&amp;C1132)&gt;0),1,0)</f>
        <v>0</v>
      </c>
      <c r="I1132" s="29" t="n">
        <f aca="false">IF(AND(D1132="Feature Use",COUNTIFS($B$5:B1132,B1132,$D$5:D1132,"Feature Use",$E$5:E1132,E1132)=1),1,0)</f>
        <v>0</v>
      </c>
      <c r="J1132" s="29" t="n">
        <f aca="false">IF(AND(D1132="Feature Use",COUNTIFS($B$5:B1132,B1132,$D$5:D1132,"Feature Use",$E$5:E1132,E1132)=2),1,0)</f>
        <v>0</v>
      </c>
      <c r="K1132" s="29" t="n">
        <f aca="false">IF(COUNTIF($B$5:B1132,B1132)=1,1,0)</f>
        <v>0</v>
      </c>
      <c r="L1132" s="29" t="n">
        <f aca="false">IF(AND(C1132&gt;=Settings!$B$5-Settings!$B$8+1,C1132&lt;=Settings!$B$5,COUNTIFS($B$5:B1132,B1132,$C$5:C1132,"&gt;="&amp;(Settings!$B$5-Settings!$B$8+1),$C$5:C1132,"&lt;="&amp;Settings!$B$5)=1),1,0)</f>
        <v>0</v>
      </c>
      <c r="M1132" s="29" t="n">
        <f aca="false">IF(AND(C1132&gt;=Settings!$B$5-Settings!$B$9+1,C1132&lt;=Settings!$B$5,COUNTIFS($B$5:B1132,B1132,$C$5:C1132,"&gt;="&amp;(Settings!$B$5-Settings!$B$9+1),$C$5:C1132,"&lt;="&amp;Settings!$B$5)=1),1,0)</f>
        <v>0</v>
      </c>
      <c r="N1132" s="29" t="n">
        <f aca="false">IF(AND(D1132="Feature Use",COUNTIFS($B$5:B1132,B1132,$D$5:D1132,"Feature Use")=1),1,0)</f>
        <v>0</v>
      </c>
    </row>
    <row r="1133" customFormat="false" ht="15" hidden="false" customHeight="false" outlineLevel="0" collapsed="false">
      <c r="A1133" s="22" t="s">
        <v>1440</v>
      </c>
      <c r="B1133" s="22" t="s">
        <v>213</v>
      </c>
      <c r="C1133" s="31" t="n">
        <v>46300</v>
      </c>
      <c r="D1133" s="22" t="s">
        <v>297</v>
      </c>
      <c r="E1133" s="22" t="s">
        <v>298</v>
      </c>
      <c r="F1133" s="29" t="str">
        <f aca="false">IF(COUNTIF(Referral_Data!$C$5:$C$1000,B1133)&gt;0,"Referred",IF(COUNTIF(Referral_Data!$B$5:$B$1000,B1133)&gt;0,"Referrer","Organic"))</f>
        <v>Referred</v>
      </c>
      <c r="G1133" s="29" t="n">
        <f aca="false">IF(COUNTIFS($B$5:B1133,B1133,$C$5:C1133,C1133)=1,1,0)</f>
        <v>1</v>
      </c>
      <c r="H1133" s="29" t="n">
        <f aca="false">IF(AND(G1133=1,COUNTIFS($B$5:$B$1635,B1133,$C$5:$C$1635,"&lt;"&amp;C1133)&gt;0),1,0)</f>
        <v>1</v>
      </c>
      <c r="I1133" s="29" t="n">
        <f aca="false">IF(AND(D1133="Feature Use",COUNTIFS($B$5:B1133,B1133,$D$5:D1133,"Feature Use",$E$5:E1133,E1133)=1),1,0)</f>
        <v>0</v>
      </c>
      <c r="J1133" s="29" t="n">
        <f aca="false">IF(AND(D1133="Feature Use",COUNTIFS($B$5:B1133,B1133,$D$5:D1133,"Feature Use",$E$5:E1133,E1133)=2),1,0)</f>
        <v>0</v>
      </c>
      <c r="K1133" s="29" t="n">
        <f aca="false">IF(COUNTIF($B$5:B1133,B1133)=1,1,0)</f>
        <v>0</v>
      </c>
      <c r="L1133" s="29" t="n">
        <f aca="false">IF(AND(C1133&gt;=Settings!$B$5-Settings!$B$8+1,C1133&lt;=Settings!$B$5,COUNTIFS($B$5:B1133,B1133,$C$5:C1133,"&gt;="&amp;(Settings!$B$5-Settings!$B$8+1),$C$5:C1133,"&lt;="&amp;Settings!$B$5)=1),1,0)</f>
        <v>0</v>
      </c>
      <c r="M1133" s="29" t="n">
        <f aca="false">IF(AND(C1133&gt;=Settings!$B$5-Settings!$B$9+1,C1133&lt;=Settings!$B$5,COUNTIFS($B$5:B1133,B1133,$C$5:C1133,"&gt;="&amp;(Settings!$B$5-Settings!$B$9+1),$C$5:C1133,"&lt;="&amp;Settings!$B$5)=1),1,0)</f>
        <v>0</v>
      </c>
      <c r="N1133" s="29" t="n">
        <f aca="false">IF(AND(D1133="Feature Use",COUNTIFS($B$5:B1133,B1133,$D$5:D1133,"Feature Use")=1),1,0)</f>
        <v>0</v>
      </c>
    </row>
    <row r="1134" customFormat="false" ht="15" hidden="false" customHeight="false" outlineLevel="0" collapsed="false">
      <c r="A1134" s="22" t="s">
        <v>1441</v>
      </c>
      <c r="B1134" s="22" t="s">
        <v>213</v>
      </c>
      <c r="C1134" s="31" t="n">
        <v>46300</v>
      </c>
      <c r="D1134" s="22" t="s">
        <v>300</v>
      </c>
      <c r="E1134" s="22" t="s">
        <v>311</v>
      </c>
      <c r="F1134" s="29" t="str">
        <f aca="false">IF(COUNTIF(Referral_Data!$C$5:$C$1000,B1134)&gt;0,"Referred",IF(COUNTIF(Referral_Data!$B$5:$B$1000,B1134)&gt;0,"Referrer","Organic"))</f>
        <v>Referred</v>
      </c>
      <c r="G1134" s="29" t="n">
        <f aca="false">IF(COUNTIFS($B$5:B1134,B1134,$C$5:C1134,C1134)=1,1,0)</f>
        <v>0</v>
      </c>
      <c r="H1134" s="29" t="n">
        <f aca="false">IF(AND(G1134=1,COUNTIFS($B$5:$B$1635,B1134,$C$5:$C$1635,"&lt;"&amp;C1134)&gt;0),1,0)</f>
        <v>0</v>
      </c>
      <c r="I1134" s="29" t="n">
        <f aca="false">IF(AND(D1134="Feature Use",COUNTIFS($B$5:B1134,B1134,$D$5:D1134,"Feature Use",$E$5:E1134,E1134)=1),1,0)</f>
        <v>0</v>
      </c>
      <c r="J1134" s="29" t="n">
        <f aca="false">IF(AND(D1134="Feature Use",COUNTIFS($B$5:B1134,B1134,$D$5:D1134,"Feature Use",$E$5:E1134,E1134)=2),1,0)</f>
        <v>0</v>
      </c>
      <c r="K1134" s="29" t="n">
        <f aca="false">IF(COUNTIF($B$5:B1134,B1134)=1,1,0)</f>
        <v>0</v>
      </c>
      <c r="L1134" s="29" t="n">
        <f aca="false">IF(AND(C1134&gt;=Settings!$B$5-Settings!$B$8+1,C1134&lt;=Settings!$B$5,COUNTIFS($B$5:B1134,B1134,$C$5:C1134,"&gt;="&amp;(Settings!$B$5-Settings!$B$8+1),$C$5:C1134,"&lt;="&amp;Settings!$B$5)=1),1,0)</f>
        <v>0</v>
      </c>
      <c r="M1134" s="29" t="n">
        <f aca="false">IF(AND(C1134&gt;=Settings!$B$5-Settings!$B$9+1,C1134&lt;=Settings!$B$5,COUNTIFS($B$5:B1134,B1134,$C$5:C1134,"&gt;="&amp;(Settings!$B$5-Settings!$B$9+1),$C$5:C1134,"&lt;="&amp;Settings!$B$5)=1),1,0)</f>
        <v>0</v>
      </c>
      <c r="N1134" s="29" t="n">
        <f aca="false">IF(AND(D1134="Feature Use",COUNTIFS($B$5:B1134,B1134,$D$5:D1134,"Feature Use")=1),1,0)</f>
        <v>0</v>
      </c>
    </row>
    <row r="1135" customFormat="false" ht="15" hidden="false" customHeight="false" outlineLevel="0" collapsed="false">
      <c r="A1135" s="22" t="s">
        <v>1442</v>
      </c>
      <c r="B1135" s="22" t="s">
        <v>213</v>
      </c>
      <c r="C1135" s="31" t="n">
        <v>46300</v>
      </c>
      <c r="D1135" s="22" t="s">
        <v>308</v>
      </c>
      <c r="E1135" s="22" t="s">
        <v>305</v>
      </c>
      <c r="F1135" s="29" t="str">
        <f aca="false">IF(COUNTIF(Referral_Data!$C$5:$C$1000,B1135)&gt;0,"Referred",IF(COUNTIF(Referral_Data!$B$5:$B$1000,B1135)&gt;0,"Referrer","Organic"))</f>
        <v>Referred</v>
      </c>
      <c r="G1135" s="29" t="n">
        <f aca="false">IF(COUNTIFS($B$5:B1135,B1135,$C$5:C1135,C1135)=1,1,0)</f>
        <v>0</v>
      </c>
      <c r="H1135" s="29" t="n">
        <f aca="false">IF(AND(G1135=1,COUNTIFS($B$5:$B$1635,B1135,$C$5:$C$1635,"&lt;"&amp;C1135)&gt;0),1,0)</f>
        <v>0</v>
      </c>
      <c r="I1135" s="29" t="n">
        <f aca="false">IF(AND(D1135="Feature Use",COUNTIFS($B$5:B1135,B1135,$D$5:D1135,"Feature Use",$E$5:E1135,E1135)=1),1,0)</f>
        <v>0</v>
      </c>
      <c r="J1135" s="29" t="n">
        <f aca="false">IF(AND(D1135="Feature Use",COUNTIFS($B$5:B1135,B1135,$D$5:D1135,"Feature Use",$E$5:E1135,E1135)=2),1,0)</f>
        <v>0</v>
      </c>
      <c r="K1135" s="29" t="n">
        <f aca="false">IF(COUNTIF($B$5:B1135,B1135)=1,1,0)</f>
        <v>0</v>
      </c>
      <c r="L1135" s="29" t="n">
        <f aca="false">IF(AND(C1135&gt;=Settings!$B$5-Settings!$B$8+1,C1135&lt;=Settings!$B$5,COUNTIFS($B$5:B1135,B1135,$C$5:C1135,"&gt;="&amp;(Settings!$B$5-Settings!$B$8+1),$C$5:C1135,"&lt;="&amp;Settings!$B$5)=1),1,0)</f>
        <v>0</v>
      </c>
      <c r="M1135" s="29" t="n">
        <f aca="false">IF(AND(C1135&gt;=Settings!$B$5-Settings!$B$9+1,C1135&lt;=Settings!$B$5,COUNTIFS($B$5:B1135,B1135,$C$5:C1135,"&gt;="&amp;(Settings!$B$5-Settings!$B$9+1),$C$5:C1135,"&lt;="&amp;Settings!$B$5)=1),1,0)</f>
        <v>0</v>
      </c>
      <c r="N1135" s="29" t="n">
        <f aca="false">IF(AND(D1135="Feature Use",COUNTIFS($B$5:B1135,B1135,$D$5:D1135,"Feature Use")=1),1,0)</f>
        <v>0</v>
      </c>
    </row>
    <row r="1136" customFormat="false" ht="15" hidden="false" customHeight="false" outlineLevel="0" collapsed="false">
      <c r="A1136" s="22" t="s">
        <v>1443</v>
      </c>
      <c r="B1136" s="22" t="s">
        <v>230</v>
      </c>
      <c r="C1136" s="31" t="n">
        <v>46300</v>
      </c>
      <c r="D1136" s="22" t="s">
        <v>297</v>
      </c>
      <c r="E1136" s="22" t="s">
        <v>298</v>
      </c>
      <c r="F1136" s="29" t="str">
        <f aca="false">IF(COUNTIF(Referral_Data!$C$5:$C$1000,B1136)&gt;0,"Referred",IF(COUNTIF(Referral_Data!$B$5:$B$1000,B1136)&gt;0,"Referrer","Organic"))</f>
        <v>Referred</v>
      </c>
      <c r="G1136" s="29" t="n">
        <f aca="false">IF(COUNTIFS($B$5:B1136,B1136,$C$5:C1136,C1136)=1,1,0)</f>
        <v>1</v>
      </c>
      <c r="H1136" s="29" t="n">
        <f aca="false">IF(AND(G1136=1,COUNTIFS($B$5:$B$1635,B1136,$C$5:$C$1635,"&lt;"&amp;C1136)&gt;0),1,0)</f>
        <v>1</v>
      </c>
      <c r="I1136" s="29" t="n">
        <f aca="false">IF(AND(D1136="Feature Use",COUNTIFS($B$5:B1136,B1136,$D$5:D1136,"Feature Use",$E$5:E1136,E1136)=1),1,0)</f>
        <v>0</v>
      </c>
      <c r="J1136" s="29" t="n">
        <f aca="false">IF(AND(D1136="Feature Use",COUNTIFS($B$5:B1136,B1136,$D$5:D1136,"Feature Use",$E$5:E1136,E1136)=2),1,0)</f>
        <v>0</v>
      </c>
      <c r="K1136" s="29" t="n">
        <f aca="false">IF(COUNTIF($B$5:B1136,B1136)=1,1,0)</f>
        <v>0</v>
      </c>
      <c r="L1136" s="29" t="n">
        <f aca="false">IF(AND(C1136&gt;=Settings!$B$5-Settings!$B$8+1,C1136&lt;=Settings!$B$5,COUNTIFS($B$5:B1136,B1136,$C$5:C1136,"&gt;="&amp;(Settings!$B$5-Settings!$B$8+1),$C$5:C1136,"&lt;="&amp;Settings!$B$5)=1),1,0)</f>
        <v>0</v>
      </c>
      <c r="M1136" s="29" t="n">
        <f aca="false">IF(AND(C1136&gt;=Settings!$B$5-Settings!$B$9+1,C1136&lt;=Settings!$B$5,COUNTIFS($B$5:B1136,B1136,$C$5:C1136,"&gt;="&amp;(Settings!$B$5-Settings!$B$9+1),$C$5:C1136,"&lt;="&amp;Settings!$B$5)=1),1,0)</f>
        <v>0</v>
      </c>
      <c r="N1136" s="29" t="n">
        <f aca="false">IF(AND(D1136="Feature Use",COUNTIFS($B$5:B1136,B1136,$D$5:D1136,"Feature Use")=1),1,0)</f>
        <v>0</v>
      </c>
    </row>
    <row r="1137" customFormat="false" ht="15" hidden="false" customHeight="false" outlineLevel="0" collapsed="false">
      <c r="A1137" s="22" t="s">
        <v>1444</v>
      </c>
      <c r="B1137" s="22" t="s">
        <v>230</v>
      </c>
      <c r="C1137" s="31" t="n">
        <v>46300</v>
      </c>
      <c r="D1137" s="22" t="s">
        <v>300</v>
      </c>
      <c r="E1137" s="22" t="s">
        <v>301</v>
      </c>
      <c r="F1137" s="29" t="str">
        <f aca="false">IF(COUNTIF(Referral_Data!$C$5:$C$1000,B1137)&gt;0,"Referred",IF(COUNTIF(Referral_Data!$B$5:$B$1000,B1137)&gt;0,"Referrer","Organic"))</f>
        <v>Referred</v>
      </c>
      <c r="G1137" s="29" t="n">
        <f aca="false">IF(COUNTIFS($B$5:B1137,B1137,$C$5:C1137,C1137)=1,1,0)</f>
        <v>0</v>
      </c>
      <c r="H1137" s="29" t="n">
        <f aca="false">IF(AND(G1137=1,COUNTIFS($B$5:$B$1635,B1137,$C$5:$C$1635,"&lt;"&amp;C1137)&gt;0),1,0)</f>
        <v>0</v>
      </c>
      <c r="I1137" s="29" t="n">
        <f aca="false">IF(AND(D1137="Feature Use",COUNTIFS($B$5:B1137,B1137,$D$5:D1137,"Feature Use",$E$5:E1137,E1137)=1),1,0)</f>
        <v>1</v>
      </c>
      <c r="J1137" s="29" t="n">
        <f aca="false">IF(AND(D1137="Feature Use",COUNTIFS($B$5:B1137,B1137,$D$5:D1137,"Feature Use",$E$5:E1137,E1137)=2),1,0)</f>
        <v>0</v>
      </c>
      <c r="K1137" s="29" t="n">
        <f aca="false">IF(COUNTIF($B$5:B1137,B1137)=1,1,0)</f>
        <v>0</v>
      </c>
      <c r="L1137" s="29" t="n">
        <f aca="false">IF(AND(C1137&gt;=Settings!$B$5-Settings!$B$8+1,C1137&lt;=Settings!$B$5,COUNTIFS($B$5:B1137,B1137,$C$5:C1137,"&gt;="&amp;(Settings!$B$5-Settings!$B$8+1),$C$5:C1137,"&lt;="&amp;Settings!$B$5)=1),1,0)</f>
        <v>0</v>
      </c>
      <c r="M1137" s="29" t="n">
        <f aca="false">IF(AND(C1137&gt;=Settings!$B$5-Settings!$B$9+1,C1137&lt;=Settings!$B$5,COUNTIFS($B$5:B1137,B1137,$C$5:C1137,"&gt;="&amp;(Settings!$B$5-Settings!$B$9+1),$C$5:C1137,"&lt;="&amp;Settings!$B$5)=1),1,0)</f>
        <v>0</v>
      </c>
      <c r="N1137" s="29" t="n">
        <f aca="false">IF(AND(D1137="Feature Use",COUNTIFS($B$5:B1137,B1137,$D$5:D1137,"Feature Use")=1),1,0)</f>
        <v>0</v>
      </c>
    </row>
    <row r="1138" customFormat="false" ht="15" hidden="false" customHeight="false" outlineLevel="0" collapsed="false">
      <c r="A1138" s="22" t="s">
        <v>1445</v>
      </c>
      <c r="B1138" s="22" t="s">
        <v>230</v>
      </c>
      <c r="C1138" s="31" t="n">
        <v>46300</v>
      </c>
      <c r="D1138" s="22" t="s">
        <v>300</v>
      </c>
      <c r="E1138" s="22" t="s">
        <v>305</v>
      </c>
      <c r="F1138" s="29" t="str">
        <f aca="false">IF(COUNTIF(Referral_Data!$C$5:$C$1000,B1138)&gt;0,"Referred",IF(COUNTIF(Referral_Data!$B$5:$B$1000,B1138)&gt;0,"Referrer","Organic"))</f>
        <v>Referred</v>
      </c>
      <c r="G1138" s="29" t="n">
        <f aca="false">IF(COUNTIFS($B$5:B1138,B1138,$C$5:C1138,C1138)=1,1,0)</f>
        <v>0</v>
      </c>
      <c r="H1138" s="29" t="n">
        <f aca="false">IF(AND(G1138=1,COUNTIFS($B$5:$B$1635,B1138,$C$5:$C$1635,"&lt;"&amp;C1138)&gt;0),1,0)</f>
        <v>0</v>
      </c>
      <c r="I1138" s="29" t="n">
        <f aca="false">IF(AND(D1138="Feature Use",COUNTIFS($B$5:B1138,B1138,$D$5:D1138,"Feature Use",$E$5:E1138,E1138)=1),1,0)</f>
        <v>0</v>
      </c>
      <c r="J1138" s="29" t="n">
        <f aca="false">IF(AND(D1138="Feature Use",COUNTIFS($B$5:B1138,B1138,$D$5:D1138,"Feature Use",$E$5:E1138,E1138)=2),1,0)</f>
        <v>1</v>
      </c>
      <c r="K1138" s="29" t="n">
        <f aca="false">IF(COUNTIF($B$5:B1138,B1138)=1,1,0)</f>
        <v>0</v>
      </c>
      <c r="L1138" s="29" t="n">
        <f aca="false">IF(AND(C1138&gt;=Settings!$B$5-Settings!$B$8+1,C1138&lt;=Settings!$B$5,COUNTIFS($B$5:B1138,B1138,$C$5:C1138,"&gt;="&amp;(Settings!$B$5-Settings!$B$8+1),$C$5:C1138,"&lt;="&amp;Settings!$B$5)=1),1,0)</f>
        <v>0</v>
      </c>
      <c r="M1138" s="29" t="n">
        <f aca="false">IF(AND(C1138&gt;=Settings!$B$5-Settings!$B$9+1,C1138&lt;=Settings!$B$5,COUNTIFS($B$5:B1138,B1138,$C$5:C1138,"&gt;="&amp;(Settings!$B$5-Settings!$B$9+1),$C$5:C1138,"&lt;="&amp;Settings!$B$5)=1),1,0)</f>
        <v>0</v>
      </c>
      <c r="N1138" s="29" t="n">
        <f aca="false">IF(AND(D1138="Feature Use",COUNTIFS($B$5:B1138,B1138,$D$5:D1138,"Feature Use")=1),1,0)</f>
        <v>0</v>
      </c>
    </row>
    <row r="1139" customFormat="false" ht="15" hidden="false" customHeight="false" outlineLevel="0" collapsed="false">
      <c r="A1139" s="22" t="s">
        <v>1446</v>
      </c>
      <c r="B1139" s="22" t="s">
        <v>237</v>
      </c>
      <c r="C1139" s="31" t="n">
        <v>46300</v>
      </c>
      <c r="D1139" s="22" t="s">
        <v>297</v>
      </c>
      <c r="E1139" s="22" t="s">
        <v>298</v>
      </c>
      <c r="F1139" s="29" t="str">
        <f aca="false">IF(COUNTIF(Referral_Data!$C$5:$C$1000,B1139)&gt;0,"Referred",IF(COUNTIF(Referral_Data!$B$5:$B$1000,B1139)&gt;0,"Referrer","Organic"))</f>
        <v>Referred</v>
      </c>
      <c r="G1139" s="29" t="n">
        <f aca="false">IF(COUNTIFS($B$5:B1139,B1139,$C$5:C1139,C1139)=1,1,0)</f>
        <v>1</v>
      </c>
      <c r="H1139" s="29" t="n">
        <f aca="false">IF(AND(G1139=1,COUNTIFS($B$5:$B$1635,B1139,$C$5:$C$1635,"&lt;"&amp;C1139)&gt;0),1,0)</f>
        <v>1</v>
      </c>
      <c r="I1139" s="29" t="n">
        <f aca="false">IF(AND(D1139="Feature Use",COUNTIFS($B$5:B1139,B1139,$D$5:D1139,"Feature Use",$E$5:E1139,E1139)=1),1,0)</f>
        <v>0</v>
      </c>
      <c r="J1139" s="29" t="n">
        <f aca="false">IF(AND(D1139="Feature Use",COUNTIFS($B$5:B1139,B1139,$D$5:D1139,"Feature Use",$E$5:E1139,E1139)=2),1,0)</f>
        <v>0</v>
      </c>
      <c r="K1139" s="29" t="n">
        <f aca="false">IF(COUNTIF($B$5:B1139,B1139)=1,1,0)</f>
        <v>0</v>
      </c>
      <c r="L1139" s="29" t="n">
        <f aca="false">IF(AND(C1139&gt;=Settings!$B$5-Settings!$B$8+1,C1139&lt;=Settings!$B$5,COUNTIFS($B$5:B1139,B1139,$C$5:C1139,"&gt;="&amp;(Settings!$B$5-Settings!$B$8+1),$C$5:C1139,"&lt;="&amp;Settings!$B$5)=1),1,0)</f>
        <v>0</v>
      </c>
      <c r="M1139" s="29" t="n">
        <f aca="false">IF(AND(C1139&gt;=Settings!$B$5-Settings!$B$9+1,C1139&lt;=Settings!$B$5,COUNTIFS($B$5:B1139,B1139,$C$5:C1139,"&gt;="&amp;(Settings!$B$5-Settings!$B$9+1),$C$5:C1139,"&lt;="&amp;Settings!$B$5)=1),1,0)</f>
        <v>0</v>
      </c>
      <c r="N1139" s="29" t="n">
        <f aca="false">IF(AND(D1139="Feature Use",COUNTIFS($B$5:B1139,B1139,$D$5:D1139,"Feature Use")=1),1,0)</f>
        <v>0</v>
      </c>
    </row>
    <row r="1140" customFormat="false" ht="15" hidden="false" customHeight="false" outlineLevel="0" collapsed="false">
      <c r="A1140" s="22" t="s">
        <v>1447</v>
      </c>
      <c r="B1140" s="22" t="s">
        <v>237</v>
      </c>
      <c r="C1140" s="31" t="n">
        <v>46300</v>
      </c>
      <c r="D1140" s="22" t="s">
        <v>300</v>
      </c>
      <c r="E1140" s="22" t="s">
        <v>301</v>
      </c>
      <c r="F1140" s="29" t="str">
        <f aca="false">IF(COUNTIF(Referral_Data!$C$5:$C$1000,B1140)&gt;0,"Referred",IF(COUNTIF(Referral_Data!$B$5:$B$1000,B1140)&gt;0,"Referrer","Organic"))</f>
        <v>Referred</v>
      </c>
      <c r="G1140" s="29" t="n">
        <f aca="false">IF(COUNTIFS($B$5:B1140,B1140,$C$5:C1140,C1140)=1,1,0)</f>
        <v>0</v>
      </c>
      <c r="H1140" s="29" t="n">
        <f aca="false">IF(AND(G1140=1,COUNTIFS($B$5:$B$1635,B1140,$C$5:$C$1635,"&lt;"&amp;C1140)&gt;0),1,0)</f>
        <v>0</v>
      </c>
      <c r="I1140" s="29" t="n">
        <f aca="false">IF(AND(D1140="Feature Use",COUNTIFS($B$5:B1140,B1140,$D$5:D1140,"Feature Use",$E$5:E1140,E1140)=1),1,0)</f>
        <v>1</v>
      </c>
      <c r="J1140" s="29" t="n">
        <f aca="false">IF(AND(D1140="Feature Use",COUNTIFS($B$5:B1140,B1140,$D$5:D1140,"Feature Use",$E$5:E1140,E1140)=2),1,0)</f>
        <v>0</v>
      </c>
      <c r="K1140" s="29" t="n">
        <f aca="false">IF(COUNTIF($B$5:B1140,B1140)=1,1,0)</f>
        <v>0</v>
      </c>
      <c r="L1140" s="29" t="n">
        <f aca="false">IF(AND(C1140&gt;=Settings!$B$5-Settings!$B$8+1,C1140&lt;=Settings!$B$5,COUNTIFS($B$5:B1140,B1140,$C$5:C1140,"&gt;="&amp;(Settings!$B$5-Settings!$B$8+1),$C$5:C1140,"&lt;="&amp;Settings!$B$5)=1),1,0)</f>
        <v>0</v>
      </c>
      <c r="M1140" s="29" t="n">
        <f aca="false">IF(AND(C1140&gt;=Settings!$B$5-Settings!$B$9+1,C1140&lt;=Settings!$B$5,COUNTIFS($B$5:B1140,B1140,$C$5:C1140,"&gt;="&amp;(Settings!$B$5-Settings!$B$9+1),$C$5:C1140,"&lt;="&amp;Settings!$B$5)=1),1,0)</f>
        <v>0</v>
      </c>
      <c r="N1140" s="29" t="n">
        <f aca="false">IF(AND(D1140="Feature Use",COUNTIFS($B$5:B1140,B1140,$D$5:D1140,"Feature Use")=1),1,0)</f>
        <v>0</v>
      </c>
    </row>
    <row r="1141" customFormat="false" ht="15" hidden="false" customHeight="false" outlineLevel="0" collapsed="false">
      <c r="A1141" s="22" t="s">
        <v>1448</v>
      </c>
      <c r="B1141" s="22" t="s">
        <v>237</v>
      </c>
      <c r="C1141" s="31" t="n">
        <v>46300</v>
      </c>
      <c r="D1141" s="22" t="s">
        <v>308</v>
      </c>
      <c r="E1141" s="22" t="s">
        <v>305</v>
      </c>
      <c r="F1141" s="29" t="str">
        <f aca="false">IF(COUNTIF(Referral_Data!$C$5:$C$1000,B1141)&gt;0,"Referred",IF(COUNTIF(Referral_Data!$B$5:$B$1000,B1141)&gt;0,"Referrer","Organic"))</f>
        <v>Referred</v>
      </c>
      <c r="G1141" s="29" t="n">
        <f aca="false">IF(COUNTIFS($B$5:B1141,B1141,$C$5:C1141,C1141)=1,1,0)</f>
        <v>0</v>
      </c>
      <c r="H1141" s="29" t="n">
        <f aca="false">IF(AND(G1141=1,COUNTIFS($B$5:$B$1635,B1141,$C$5:$C$1635,"&lt;"&amp;C1141)&gt;0),1,0)</f>
        <v>0</v>
      </c>
      <c r="I1141" s="29" t="n">
        <f aca="false">IF(AND(D1141="Feature Use",COUNTIFS($B$5:B1141,B1141,$D$5:D1141,"Feature Use",$E$5:E1141,E1141)=1),1,0)</f>
        <v>0</v>
      </c>
      <c r="J1141" s="29" t="n">
        <f aca="false">IF(AND(D1141="Feature Use",COUNTIFS($B$5:B1141,B1141,$D$5:D1141,"Feature Use",$E$5:E1141,E1141)=2),1,0)</f>
        <v>0</v>
      </c>
      <c r="K1141" s="29" t="n">
        <f aca="false">IF(COUNTIF($B$5:B1141,B1141)=1,1,0)</f>
        <v>0</v>
      </c>
      <c r="L1141" s="29" t="n">
        <f aca="false">IF(AND(C1141&gt;=Settings!$B$5-Settings!$B$8+1,C1141&lt;=Settings!$B$5,COUNTIFS($B$5:B1141,B1141,$C$5:C1141,"&gt;="&amp;(Settings!$B$5-Settings!$B$8+1),$C$5:C1141,"&lt;="&amp;Settings!$B$5)=1),1,0)</f>
        <v>0</v>
      </c>
      <c r="M1141" s="29" t="n">
        <f aca="false">IF(AND(C1141&gt;=Settings!$B$5-Settings!$B$9+1,C1141&lt;=Settings!$B$5,COUNTIFS($B$5:B1141,B1141,$C$5:C1141,"&gt;="&amp;(Settings!$B$5-Settings!$B$9+1),$C$5:C1141,"&lt;="&amp;Settings!$B$5)=1),1,0)</f>
        <v>0</v>
      </c>
      <c r="N1141" s="29" t="n">
        <f aca="false">IF(AND(D1141="Feature Use",COUNTIFS($B$5:B1141,B1141,$D$5:D1141,"Feature Use")=1),1,0)</f>
        <v>0</v>
      </c>
    </row>
    <row r="1142" customFormat="false" ht="15" hidden="false" customHeight="false" outlineLevel="0" collapsed="false">
      <c r="A1142" s="22" t="s">
        <v>1449</v>
      </c>
      <c r="B1142" s="22" t="s">
        <v>237</v>
      </c>
      <c r="C1142" s="31" t="n">
        <v>46300</v>
      </c>
      <c r="D1142" s="22" t="s">
        <v>308</v>
      </c>
      <c r="E1142" s="22" t="s">
        <v>301</v>
      </c>
      <c r="F1142" s="29" t="str">
        <f aca="false">IF(COUNTIF(Referral_Data!$C$5:$C$1000,B1142)&gt;0,"Referred",IF(COUNTIF(Referral_Data!$B$5:$B$1000,B1142)&gt;0,"Referrer","Organic"))</f>
        <v>Referred</v>
      </c>
      <c r="G1142" s="29" t="n">
        <f aca="false">IF(COUNTIFS($B$5:B1142,B1142,$C$5:C1142,C1142)=1,1,0)</f>
        <v>0</v>
      </c>
      <c r="H1142" s="29" t="n">
        <f aca="false">IF(AND(G1142=1,COUNTIFS($B$5:$B$1635,B1142,$C$5:$C$1635,"&lt;"&amp;C1142)&gt;0),1,0)</f>
        <v>0</v>
      </c>
      <c r="I1142" s="29" t="n">
        <f aca="false">IF(AND(D1142="Feature Use",COUNTIFS($B$5:B1142,B1142,$D$5:D1142,"Feature Use",$E$5:E1142,E1142)=1),1,0)</f>
        <v>0</v>
      </c>
      <c r="J1142" s="29" t="n">
        <f aca="false">IF(AND(D1142="Feature Use",COUNTIFS($B$5:B1142,B1142,$D$5:D1142,"Feature Use",$E$5:E1142,E1142)=2),1,0)</f>
        <v>0</v>
      </c>
      <c r="K1142" s="29" t="n">
        <f aca="false">IF(COUNTIF($B$5:B1142,B1142)=1,1,0)</f>
        <v>0</v>
      </c>
      <c r="L1142" s="29" t="n">
        <f aca="false">IF(AND(C1142&gt;=Settings!$B$5-Settings!$B$8+1,C1142&lt;=Settings!$B$5,COUNTIFS($B$5:B1142,B1142,$C$5:C1142,"&gt;="&amp;(Settings!$B$5-Settings!$B$8+1),$C$5:C1142,"&lt;="&amp;Settings!$B$5)=1),1,0)</f>
        <v>0</v>
      </c>
      <c r="M1142" s="29" t="n">
        <f aca="false">IF(AND(C1142&gt;=Settings!$B$5-Settings!$B$9+1,C1142&lt;=Settings!$B$5,COUNTIFS($B$5:B1142,B1142,$C$5:C1142,"&gt;="&amp;(Settings!$B$5-Settings!$B$9+1),$C$5:C1142,"&lt;="&amp;Settings!$B$5)=1),1,0)</f>
        <v>0</v>
      </c>
      <c r="N1142" s="29" t="n">
        <f aca="false">IF(AND(D1142="Feature Use",COUNTIFS($B$5:B1142,B1142,$D$5:D1142,"Feature Use")=1),1,0)</f>
        <v>0</v>
      </c>
    </row>
    <row r="1143" customFormat="false" ht="15" hidden="false" customHeight="false" outlineLevel="0" collapsed="false">
      <c r="A1143" s="22" t="s">
        <v>1450</v>
      </c>
      <c r="B1143" s="22" t="s">
        <v>239</v>
      </c>
      <c r="C1143" s="31" t="n">
        <v>46300</v>
      </c>
      <c r="D1143" s="22" t="s">
        <v>297</v>
      </c>
      <c r="E1143" s="22" t="s">
        <v>298</v>
      </c>
      <c r="F1143" s="29" t="str">
        <f aca="false">IF(COUNTIF(Referral_Data!$C$5:$C$1000,B1143)&gt;0,"Referred",IF(COUNTIF(Referral_Data!$B$5:$B$1000,B1143)&gt;0,"Referrer","Organic"))</f>
        <v>Referred</v>
      </c>
      <c r="G1143" s="29" t="n">
        <f aca="false">IF(COUNTIFS($B$5:B1143,B1143,$C$5:C1143,C1143)=1,1,0)</f>
        <v>1</v>
      </c>
      <c r="H1143" s="29" t="n">
        <f aca="false">IF(AND(G1143=1,COUNTIFS($B$5:$B$1635,B1143,$C$5:$C$1635,"&lt;"&amp;C1143)&gt;0),1,0)</f>
        <v>1</v>
      </c>
      <c r="I1143" s="29" t="n">
        <f aca="false">IF(AND(D1143="Feature Use",COUNTIFS($B$5:B1143,B1143,$D$5:D1143,"Feature Use",$E$5:E1143,E1143)=1),1,0)</f>
        <v>0</v>
      </c>
      <c r="J1143" s="29" t="n">
        <f aca="false">IF(AND(D1143="Feature Use",COUNTIFS($B$5:B1143,B1143,$D$5:D1143,"Feature Use",$E$5:E1143,E1143)=2),1,0)</f>
        <v>0</v>
      </c>
      <c r="K1143" s="29" t="n">
        <f aca="false">IF(COUNTIF($B$5:B1143,B1143)=1,1,0)</f>
        <v>0</v>
      </c>
      <c r="L1143" s="29" t="n">
        <f aca="false">IF(AND(C1143&gt;=Settings!$B$5-Settings!$B$8+1,C1143&lt;=Settings!$B$5,COUNTIFS($B$5:B1143,B1143,$C$5:C1143,"&gt;="&amp;(Settings!$B$5-Settings!$B$8+1),$C$5:C1143,"&lt;="&amp;Settings!$B$5)=1),1,0)</f>
        <v>0</v>
      </c>
      <c r="M1143" s="29" t="n">
        <f aca="false">IF(AND(C1143&gt;=Settings!$B$5-Settings!$B$9+1,C1143&lt;=Settings!$B$5,COUNTIFS($B$5:B1143,B1143,$C$5:C1143,"&gt;="&amp;(Settings!$B$5-Settings!$B$9+1),$C$5:C1143,"&lt;="&amp;Settings!$B$5)=1),1,0)</f>
        <v>0</v>
      </c>
      <c r="N1143" s="29" t="n">
        <f aca="false">IF(AND(D1143="Feature Use",COUNTIFS($B$5:B1143,B1143,$D$5:D1143,"Feature Use")=1),1,0)</f>
        <v>0</v>
      </c>
    </row>
    <row r="1144" customFormat="false" ht="15" hidden="false" customHeight="false" outlineLevel="0" collapsed="false">
      <c r="A1144" s="22" t="s">
        <v>1451</v>
      </c>
      <c r="B1144" s="22" t="s">
        <v>239</v>
      </c>
      <c r="C1144" s="31" t="n">
        <v>46300</v>
      </c>
      <c r="D1144" s="22" t="s">
        <v>300</v>
      </c>
      <c r="E1144" s="22" t="s">
        <v>301</v>
      </c>
      <c r="F1144" s="29" t="str">
        <f aca="false">IF(COUNTIF(Referral_Data!$C$5:$C$1000,B1144)&gt;0,"Referred",IF(COUNTIF(Referral_Data!$B$5:$B$1000,B1144)&gt;0,"Referrer","Organic"))</f>
        <v>Referred</v>
      </c>
      <c r="G1144" s="29" t="n">
        <f aca="false">IF(COUNTIFS($B$5:B1144,B1144,$C$5:C1144,C1144)=1,1,0)</f>
        <v>0</v>
      </c>
      <c r="H1144" s="29" t="n">
        <f aca="false">IF(AND(G1144=1,COUNTIFS($B$5:$B$1635,B1144,$C$5:$C$1635,"&lt;"&amp;C1144)&gt;0),1,0)</f>
        <v>0</v>
      </c>
      <c r="I1144" s="29" t="n">
        <f aca="false">IF(AND(D1144="Feature Use",COUNTIFS($B$5:B1144,B1144,$D$5:D1144,"Feature Use",$E$5:E1144,E1144)=1),1,0)</f>
        <v>1</v>
      </c>
      <c r="J1144" s="29" t="n">
        <f aca="false">IF(AND(D1144="Feature Use",COUNTIFS($B$5:B1144,B1144,$D$5:D1144,"Feature Use",$E$5:E1144,E1144)=2),1,0)</f>
        <v>0</v>
      </c>
      <c r="K1144" s="29" t="n">
        <f aca="false">IF(COUNTIF($B$5:B1144,B1144)=1,1,0)</f>
        <v>0</v>
      </c>
      <c r="L1144" s="29" t="n">
        <f aca="false">IF(AND(C1144&gt;=Settings!$B$5-Settings!$B$8+1,C1144&lt;=Settings!$B$5,COUNTIFS($B$5:B1144,B1144,$C$5:C1144,"&gt;="&amp;(Settings!$B$5-Settings!$B$8+1),$C$5:C1144,"&lt;="&amp;Settings!$B$5)=1),1,0)</f>
        <v>0</v>
      </c>
      <c r="M1144" s="29" t="n">
        <f aca="false">IF(AND(C1144&gt;=Settings!$B$5-Settings!$B$9+1,C1144&lt;=Settings!$B$5,COUNTIFS($B$5:B1144,B1144,$C$5:C1144,"&gt;="&amp;(Settings!$B$5-Settings!$B$9+1),$C$5:C1144,"&lt;="&amp;Settings!$B$5)=1),1,0)</f>
        <v>0</v>
      </c>
      <c r="N1144" s="29" t="n">
        <f aca="false">IF(AND(D1144="Feature Use",COUNTIFS($B$5:B1144,B1144,$D$5:D1144,"Feature Use")=1),1,0)</f>
        <v>0</v>
      </c>
    </row>
    <row r="1145" customFormat="false" ht="15" hidden="false" customHeight="false" outlineLevel="0" collapsed="false">
      <c r="A1145" s="22" t="s">
        <v>1452</v>
      </c>
      <c r="B1145" s="22" t="s">
        <v>263</v>
      </c>
      <c r="C1145" s="31" t="n">
        <v>46300</v>
      </c>
      <c r="D1145" s="22" t="s">
        <v>297</v>
      </c>
      <c r="E1145" s="22" t="s">
        <v>298</v>
      </c>
      <c r="F1145" s="29" t="str">
        <f aca="false">IF(COUNTIF(Referral_Data!$C$5:$C$1000,B1145)&gt;0,"Referred",IF(COUNTIF(Referral_Data!$B$5:$B$1000,B1145)&gt;0,"Referrer","Organic"))</f>
        <v>Referred</v>
      </c>
      <c r="G1145" s="29" t="n">
        <f aca="false">IF(COUNTIFS($B$5:B1145,B1145,$C$5:C1145,C1145)=1,1,0)</f>
        <v>1</v>
      </c>
      <c r="H1145" s="29" t="n">
        <f aca="false">IF(AND(G1145=1,COUNTIFS($B$5:$B$1635,B1145,$C$5:$C$1635,"&lt;"&amp;C1145)&gt;0),1,0)</f>
        <v>1</v>
      </c>
      <c r="I1145" s="29" t="n">
        <f aca="false">IF(AND(D1145="Feature Use",COUNTIFS($B$5:B1145,B1145,$D$5:D1145,"Feature Use",$E$5:E1145,E1145)=1),1,0)</f>
        <v>0</v>
      </c>
      <c r="J1145" s="29" t="n">
        <f aca="false">IF(AND(D1145="Feature Use",COUNTIFS($B$5:B1145,B1145,$D$5:D1145,"Feature Use",$E$5:E1145,E1145)=2),1,0)</f>
        <v>0</v>
      </c>
      <c r="K1145" s="29" t="n">
        <f aca="false">IF(COUNTIF($B$5:B1145,B1145)=1,1,0)</f>
        <v>0</v>
      </c>
      <c r="L1145" s="29" t="n">
        <f aca="false">IF(AND(C1145&gt;=Settings!$B$5-Settings!$B$8+1,C1145&lt;=Settings!$B$5,COUNTIFS($B$5:B1145,B1145,$C$5:C1145,"&gt;="&amp;(Settings!$B$5-Settings!$B$8+1),$C$5:C1145,"&lt;="&amp;Settings!$B$5)=1),1,0)</f>
        <v>0</v>
      </c>
      <c r="M1145" s="29" t="n">
        <f aca="false">IF(AND(C1145&gt;=Settings!$B$5-Settings!$B$9+1,C1145&lt;=Settings!$B$5,COUNTIFS($B$5:B1145,B1145,$C$5:C1145,"&gt;="&amp;(Settings!$B$5-Settings!$B$9+1),$C$5:C1145,"&lt;="&amp;Settings!$B$5)=1),1,0)</f>
        <v>0</v>
      </c>
      <c r="N1145" s="29" t="n">
        <f aca="false">IF(AND(D1145="Feature Use",COUNTIFS($B$5:B1145,B1145,$D$5:D1145,"Feature Use")=1),1,0)</f>
        <v>0</v>
      </c>
    </row>
    <row r="1146" customFormat="false" ht="15" hidden="false" customHeight="false" outlineLevel="0" collapsed="false">
      <c r="A1146" s="22" t="s">
        <v>1453</v>
      </c>
      <c r="B1146" s="22" t="s">
        <v>263</v>
      </c>
      <c r="C1146" s="31" t="n">
        <v>46300</v>
      </c>
      <c r="D1146" s="22" t="s">
        <v>300</v>
      </c>
      <c r="E1146" s="22" t="s">
        <v>301</v>
      </c>
      <c r="F1146" s="29" t="str">
        <f aca="false">IF(COUNTIF(Referral_Data!$C$5:$C$1000,B1146)&gt;0,"Referred",IF(COUNTIF(Referral_Data!$B$5:$B$1000,B1146)&gt;0,"Referrer","Organic"))</f>
        <v>Referred</v>
      </c>
      <c r="G1146" s="29" t="n">
        <f aca="false">IF(COUNTIFS($B$5:B1146,B1146,$C$5:C1146,C1146)=1,1,0)</f>
        <v>0</v>
      </c>
      <c r="H1146" s="29" t="n">
        <f aca="false">IF(AND(G1146=1,COUNTIFS($B$5:$B$1635,B1146,$C$5:$C$1635,"&lt;"&amp;C1146)&gt;0),1,0)</f>
        <v>0</v>
      </c>
      <c r="I1146" s="29" t="n">
        <f aca="false">IF(AND(D1146="Feature Use",COUNTIFS($B$5:B1146,B1146,$D$5:D1146,"Feature Use",$E$5:E1146,E1146)=1),1,0)</f>
        <v>1</v>
      </c>
      <c r="J1146" s="29" t="n">
        <f aca="false">IF(AND(D1146="Feature Use",COUNTIFS($B$5:B1146,B1146,$D$5:D1146,"Feature Use",$E$5:E1146,E1146)=2),1,0)</f>
        <v>0</v>
      </c>
      <c r="K1146" s="29" t="n">
        <f aca="false">IF(COUNTIF($B$5:B1146,B1146)=1,1,0)</f>
        <v>0</v>
      </c>
      <c r="L1146" s="29" t="n">
        <f aca="false">IF(AND(C1146&gt;=Settings!$B$5-Settings!$B$8+1,C1146&lt;=Settings!$B$5,COUNTIFS($B$5:B1146,B1146,$C$5:C1146,"&gt;="&amp;(Settings!$B$5-Settings!$B$8+1),$C$5:C1146,"&lt;="&amp;Settings!$B$5)=1),1,0)</f>
        <v>0</v>
      </c>
      <c r="M1146" s="29" t="n">
        <f aca="false">IF(AND(C1146&gt;=Settings!$B$5-Settings!$B$9+1,C1146&lt;=Settings!$B$5,COUNTIFS($B$5:B1146,B1146,$C$5:C1146,"&gt;="&amp;(Settings!$B$5-Settings!$B$9+1),$C$5:C1146,"&lt;="&amp;Settings!$B$5)=1),1,0)</f>
        <v>0</v>
      </c>
      <c r="N1146" s="29" t="n">
        <f aca="false">IF(AND(D1146="Feature Use",COUNTIFS($B$5:B1146,B1146,$D$5:D1146,"Feature Use")=1),1,0)</f>
        <v>0</v>
      </c>
    </row>
    <row r="1147" customFormat="false" ht="15" hidden="false" customHeight="false" outlineLevel="0" collapsed="false">
      <c r="A1147" s="22" t="s">
        <v>1454</v>
      </c>
      <c r="B1147" s="22" t="s">
        <v>263</v>
      </c>
      <c r="C1147" s="31" t="n">
        <v>46300</v>
      </c>
      <c r="D1147" s="22" t="s">
        <v>308</v>
      </c>
      <c r="E1147" s="22" t="s">
        <v>305</v>
      </c>
      <c r="F1147" s="29" t="str">
        <f aca="false">IF(COUNTIF(Referral_Data!$C$5:$C$1000,B1147)&gt;0,"Referred",IF(COUNTIF(Referral_Data!$B$5:$B$1000,B1147)&gt;0,"Referrer","Organic"))</f>
        <v>Referred</v>
      </c>
      <c r="G1147" s="29" t="n">
        <f aca="false">IF(COUNTIFS($B$5:B1147,B1147,$C$5:C1147,C1147)=1,1,0)</f>
        <v>0</v>
      </c>
      <c r="H1147" s="29" t="n">
        <f aca="false">IF(AND(G1147=1,COUNTIFS($B$5:$B$1635,B1147,$C$5:$C$1635,"&lt;"&amp;C1147)&gt;0),1,0)</f>
        <v>0</v>
      </c>
      <c r="I1147" s="29" t="n">
        <f aca="false">IF(AND(D1147="Feature Use",COUNTIFS($B$5:B1147,B1147,$D$5:D1147,"Feature Use",$E$5:E1147,E1147)=1),1,0)</f>
        <v>0</v>
      </c>
      <c r="J1147" s="29" t="n">
        <f aca="false">IF(AND(D1147="Feature Use",COUNTIFS($B$5:B1147,B1147,$D$5:D1147,"Feature Use",$E$5:E1147,E1147)=2),1,0)</f>
        <v>0</v>
      </c>
      <c r="K1147" s="29" t="n">
        <f aca="false">IF(COUNTIF($B$5:B1147,B1147)=1,1,0)</f>
        <v>0</v>
      </c>
      <c r="L1147" s="29" t="n">
        <f aca="false">IF(AND(C1147&gt;=Settings!$B$5-Settings!$B$8+1,C1147&lt;=Settings!$B$5,COUNTIFS($B$5:B1147,B1147,$C$5:C1147,"&gt;="&amp;(Settings!$B$5-Settings!$B$8+1),$C$5:C1147,"&lt;="&amp;Settings!$B$5)=1),1,0)</f>
        <v>0</v>
      </c>
      <c r="M1147" s="29" t="n">
        <f aca="false">IF(AND(C1147&gt;=Settings!$B$5-Settings!$B$9+1,C1147&lt;=Settings!$B$5,COUNTIFS($B$5:B1147,B1147,$C$5:C1147,"&gt;="&amp;(Settings!$B$5-Settings!$B$9+1),$C$5:C1147,"&lt;="&amp;Settings!$B$5)=1),1,0)</f>
        <v>0</v>
      </c>
      <c r="N1147" s="29" t="n">
        <f aca="false">IF(AND(D1147="Feature Use",COUNTIFS($B$5:B1147,B1147,$D$5:D1147,"Feature Use")=1),1,0)</f>
        <v>0</v>
      </c>
    </row>
    <row r="1148" customFormat="false" ht="15" hidden="false" customHeight="false" outlineLevel="0" collapsed="false">
      <c r="A1148" s="22" t="s">
        <v>1455</v>
      </c>
      <c r="B1148" s="22" t="s">
        <v>269</v>
      </c>
      <c r="C1148" s="31" t="n">
        <v>46300</v>
      </c>
      <c r="D1148" s="22" t="s">
        <v>297</v>
      </c>
      <c r="E1148" s="22" t="s">
        <v>298</v>
      </c>
      <c r="F1148" s="29" t="str">
        <f aca="false">IF(COUNTIF(Referral_Data!$C$5:$C$1000,B1148)&gt;0,"Referred",IF(COUNTIF(Referral_Data!$B$5:$B$1000,B1148)&gt;0,"Referrer","Organic"))</f>
        <v>Referred</v>
      </c>
      <c r="G1148" s="29" t="n">
        <f aca="false">IF(COUNTIFS($B$5:B1148,B1148,$C$5:C1148,C1148)=1,1,0)</f>
        <v>1</v>
      </c>
      <c r="H1148" s="29" t="n">
        <f aca="false">IF(AND(G1148=1,COUNTIFS($B$5:$B$1635,B1148,$C$5:$C$1635,"&lt;"&amp;C1148)&gt;0),1,0)</f>
        <v>1</v>
      </c>
      <c r="I1148" s="29" t="n">
        <f aca="false">IF(AND(D1148="Feature Use",COUNTIFS($B$5:B1148,B1148,$D$5:D1148,"Feature Use",$E$5:E1148,E1148)=1),1,0)</f>
        <v>0</v>
      </c>
      <c r="J1148" s="29" t="n">
        <f aca="false">IF(AND(D1148="Feature Use",COUNTIFS($B$5:B1148,B1148,$D$5:D1148,"Feature Use",$E$5:E1148,E1148)=2),1,0)</f>
        <v>0</v>
      </c>
      <c r="K1148" s="29" t="n">
        <f aca="false">IF(COUNTIF($B$5:B1148,B1148)=1,1,0)</f>
        <v>0</v>
      </c>
      <c r="L1148" s="29" t="n">
        <f aca="false">IF(AND(C1148&gt;=Settings!$B$5-Settings!$B$8+1,C1148&lt;=Settings!$B$5,COUNTIFS($B$5:B1148,B1148,$C$5:C1148,"&gt;="&amp;(Settings!$B$5-Settings!$B$8+1),$C$5:C1148,"&lt;="&amp;Settings!$B$5)=1),1,0)</f>
        <v>0</v>
      </c>
      <c r="M1148" s="29" t="n">
        <f aca="false">IF(AND(C1148&gt;=Settings!$B$5-Settings!$B$9+1,C1148&lt;=Settings!$B$5,COUNTIFS($B$5:B1148,B1148,$C$5:C1148,"&gt;="&amp;(Settings!$B$5-Settings!$B$9+1),$C$5:C1148,"&lt;="&amp;Settings!$B$5)=1),1,0)</f>
        <v>0</v>
      </c>
      <c r="N1148" s="29" t="n">
        <f aca="false">IF(AND(D1148="Feature Use",COUNTIFS($B$5:B1148,B1148,$D$5:D1148,"Feature Use")=1),1,0)</f>
        <v>0</v>
      </c>
    </row>
    <row r="1149" customFormat="false" ht="15" hidden="false" customHeight="false" outlineLevel="0" collapsed="false">
      <c r="A1149" s="22" t="s">
        <v>1456</v>
      </c>
      <c r="B1149" s="22" t="s">
        <v>269</v>
      </c>
      <c r="C1149" s="31" t="n">
        <v>46300</v>
      </c>
      <c r="D1149" s="22" t="s">
        <v>300</v>
      </c>
      <c r="E1149" s="22" t="s">
        <v>305</v>
      </c>
      <c r="F1149" s="29" t="str">
        <f aca="false">IF(COUNTIF(Referral_Data!$C$5:$C$1000,B1149)&gt;0,"Referred",IF(COUNTIF(Referral_Data!$B$5:$B$1000,B1149)&gt;0,"Referrer","Organic"))</f>
        <v>Referred</v>
      </c>
      <c r="G1149" s="29" t="n">
        <f aca="false">IF(COUNTIFS($B$5:B1149,B1149,$C$5:C1149,C1149)=1,1,0)</f>
        <v>0</v>
      </c>
      <c r="H1149" s="29" t="n">
        <f aca="false">IF(AND(G1149=1,COUNTIFS($B$5:$B$1635,B1149,$C$5:$C$1635,"&lt;"&amp;C1149)&gt;0),1,0)</f>
        <v>0</v>
      </c>
      <c r="I1149" s="29" t="n">
        <f aca="false">IF(AND(D1149="Feature Use",COUNTIFS($B$5:B1149,B1149,$D$5:D1149,"Feature Use",$E$5:E1149,E1149)=1),1,0)</f>
        <v>1</v>
      </c>
      <c r="J1149" s="29" t="n">
        <f aca="false">IF(AND(D1149="Feature Use",COUNTIFS($B$5:B1149,B1149,$D$5:D1149,"Feature Use",$E$5:E1149,E1149)=2),1,0)</f>
        <v>0</v>
      </c>
      <c r="K1149" s="29" t="n">
        <f aca="false">IF(COUNTIF($B$5:B1149,B1149)=1,1,0)</f>
        <v>0</v>
      </c>
      <c r="L1149" s="29" t="n">
        <f aca="false">IF(AND(C1149&gt;=Settings!$B$5-Settings!$B$8+1,C1149&lt;=Settings!$B$5,COUNTIFS($B$5:B1149,B1149,$C$5:C1149,"&gt;="&amp;(Settings!$B$5-Settings!$B$8+1),$C$5:C1149,"&lt;="&amp;Settings!$B$5)=1),1,0)</f>
        <v>0</v>
      </c>
      <c r="M1149" s="29" t="n">
        <f aca="false">IF(AND(C1149&gt;=Settings!$B$5-Settings!$B$9+1,C1149&lt;=Settings!$B$5,COUNTIFS($B$5:B1149,B1149,$C$5:C1149,"&gt;="&amp;(Settings!$B$5-Settings!$B$9+1),$C$5:C1149,"&lt;="&amp;Settings!$B$5)=1),1,0)</f>
        <v>0</v>
      </c>
      <c r="N1149" s="29" t="n">
        <f aca="false">IF(AND(D1149="Feature Use",COUNTIFS($B$5:B1149,B1149,$D$5:D1149,"Feature Use")=1),1,0)</f>
        <v>0</v>
      </c>
    </row>
    <row r="1150" customFormat="false" ht="15" hidden="false" customHeight="false" outlineLevel="0" collapsed="false">
      <c r="A1150" s="22" t="s">
        <v>1457</v>
      </c>
      <c r="B1150" s="22" t="s">
        <v>269</v>
      </c>
      <c r="C1150" s="31" t="n">
        <v>46300</v>
      </c>
      <c r="D1150" s="22" t="s">
        <v>300</v>
      </c>
      <c r="E1150" s="22" t="s">
        <v>301</v>
      </c>
      <c r="F1150" s="29" t="str">
        <f aca="false">IF(COUNTIF(Referral_Data!$C$5:$C$1000,B1150)&gt;0,"Referred",IF(COUNTIF(Referral_Data!$B$5:$B$1000,B1150)&gt;0,"Referrer","Organic"))</f>
        <v>Referred</v>
      </c>
      <c r="G1150" s="29" t="n">
        <f aca="false">IF(COUNTIFS($B$5:B1150,B1150,$C$5:C1150,C1150)=1,1,0)</f>
        <v>0</v>
      </c>
      <c r="H1150" s="29" t="n">
        <f aca="false">IF(AND(G1150=1,COUNTIFS($B$5:$B$1635,B1150,$C$5:$C$1635,"&lt;"&amp;C1150)&gt;0),1,0)</f>
        <v>0</v>
      </c>
      <c r="I1150" s="29" t="n">
        <f aca="false">IF(AND(D1150="Feature Use",COUNTIFS($B$5:B1150,B1150,$D$5:D1150,"Feature Use",$E$5:E1150,E1150)=1),1,0)</f>
        <v>0</v>
      </c>
      <c r="J1150" s="29" t="n">
        <f aca="false">IF(AND(D1150="Feature Use",COUNTIFS($B$5:B1150,B1150,$D$5:D1150,"Feature Use",$E$5:E1150,E1150)=2),1,0)</f>
        <v>0</v>
      </c>
      <c r="K1150" s="29" t="n">
        <f aca="false">IF(COUNTIF($B$5:B1150,B1150)=1,1,0)</f>
        <v>0</v>
      </c>
      <c r="L1150" s="29" t="n">
        <f aca="false">IF(AND(C1150&gt;=Settings!$B$5-Settings!$B$8+1,C1150&lt;=Settings!$B$5,COUNTIFS($B$5:B1150,B1150,$C$5:C1150,"&gt;="&amp;(Settings!$B$5-Settings!$B$8+1),$C$5:C1150,"&lt;="&amp;Settings!$B$5)=1),1,0)</f>
        <v>0</v>
      </c>
      <c r="M1150" s="29" t="n">
        <f aca="false">IF(AND(C1150&gt;=Settings!$B$5-Settings!$B$9+1,C1150&lt;=Settings!$B$5,COUNTIFS($B$5:B1150,B1150,$C$5:C1150,"&gt;="&amp;(Settings!$B$5-Settings!$B$9+1),$C$5:C1150,"&lt;="&amp;Settings!$B$5)=1),1,0)</f>
        <v>0</v>
      </c>
      <c r="N1150" s="29" t="n">
        <f aca="false">IF(AND(D1150="Feature Use",COUNTIFS($B$5:B1150,B1150,$D$5:D1150,"Feature Use")=1),1,0)</f>
        <v>0</v>
      </c>
    </row>
    <row r="1151" customFormat="false" ht="15" hidden="false" customHeight="false" outlineLevel="0" collapsed="false">
      <c r="A1151" s="22" t="s">
        <v>1458</v>
      </c>
      <c r="B1151" s="22" t="s">
        <v>200</v>
      </c>
      <c r="C1151" s="31" t="n">
        <v>46300</v>
      </c>
      <c r="D1151" s="22" t="s">
        <v>297</v>
      </c>
      <c r="E1151" s="22" t="s">
        <v>298</v>
      </c>
      <c r="F1151" s="29" t="str">
        <f aca="false">IF(COUNTIF(Referral_Data!$C$5:$C$1000,B1151)&gt;0,"Referred",IF(COUNTIF(Referral_Data!$B$5:$B$1000,B1151)&gt;0,"Referrer","Organic"))</f>
        <v>Referrer</v>
      </c>
      <c r="G1151" s="29" t="n">
        <f aca="false">IF(COUNTIFS($B$5:B1151,B1151,$C$5:C1151,C1151)=1,1,0)</f>
        <v>1</v>
      </c>
      <c r="H1151" s="29" t="n">
        <f aca="false">IF(AND(G1151=1,COUNTIFS($B$5:$B$1635,B1151,$C$5:$C$1635,"&lt;"&amp;C1151)&gt;0),1,0)</f>
        <v>1</v>
      </c>
      <c r="I1151" s="29" t="n">
        <f aca="false">IF(AND(D1151="Feature Use",COUNTIFS($B$5:B1151,B1151,$D$5:D1151,"Feature Use",$E$5:E1151,E1151)=1),1,0)</f>
        <v>0</v>
      </c>
      <c r="J1151" s="29" t="n">
        <f aca="false">IF(AND(D1151="Feature Use",COUNTIFS($B$5:B1151,B1151,$D$5:D1151,"Feature Use",$E$5:E1151,E1151)=2),1,0)</f>
        <v>0</v>
      </c>
      <c r="K1151" s="29" t="n">
        <f aca="false">IF(COUNTIF($B$5:B1151,B1151)=1,1,0)</f>
        <v>0</v>
      </c>
      <c r="L1151" s="29" t="n">
        <f aca="false">IF(AND(C1151&gt;=Settings!$B$5-Settings!$B$8+1,C1151&lt;=Settings!$B$5,COUNTIFS($B$5:B1151,B1151,$C$5:C1151,"&gt;="&amp;(Settings!$B$5-Settings!$B$8+1),$C$5:C1151,"&lt;="&amp;Settings!$B$5)=1),1,0)</f>
        <v>0</v>
      </c>
      <c r="M1151" s="29" t="n">
        <f aca="false">IF(AND(C1151&gt;=Settings!$B$5-Settings!$B$9+1,C1151&lt;=Settings!$B$5,COUNTIFS($B$5:B1151,B1151,$C$5:C1151,"&gt;="&amp;(Settings!$B$5-Settings!$B$9+1),$C$5:C1151,"&lt;="&amp;Settings!$B$5)=1),1,0)</f>
        <v>0</v>
      </c>
      <c r="N1151" s="29" t="n">
        <f aca="false">IF(AND(D1151="Feature Use",COUNTIFS($B$5:B1151,B1151,$D$5:D1151,"Feature Use")=1),1,0)</f>
        <v>0</v>
      </c>
    </row>
    <row r="1152" customFormat="false" ht="15" hidden="false" customHeight="false" outlineLevel="0" collapsed="false">
      <c r="A1152" s="22" t="s">
        <v>1459</v>
      </c>
      <c r="B1152" s="22" t="s">
        <v>200</v>
      </c>
      <c r="C1152" s="31" t="n">
        <v>46300</v>
      </c>
      <c r="D1152" s="22" t="s">
        <v>300</v>
      </c>
      <c r="E1152" s="22" t="s">
        <v>311</v>
      </c>
      <c r="F1152" s="29" t="str">
        <f aca="false">IF(COUNTIF(Referral_Data!$C$5:$C$1000,B1152)&gt;0,"Referred",IF(COUNTIF(Referral_Data!$B$5:$B$1000,B1152)&gt;0,"Referrer","Organic"))</f>
        <v>Referrer</v>
      </c>
      <c r="G1152" s="29" t="n">
        <f aca="false">IF(COUNTIFS($B$5:B1152,B1152,$C$5:C1152,C1152)=1,1,0)</f>
        <v>0</v>
      </c>
      <c r="H1152" s="29" t="n">
        <f aca="false">IF(AND(G1152=1,COUNTIFS($B$5:$B$1635,B1152,$C$5:$C$1635,"&lt;"&amp;C1152)&gt;0),1,0)</f>
        <v>0</v>
      </c>
      <c r="I1152" s="29" t="n">
        <f aca="false">IF(AND(D1152="Feature Use",COUNTIFS($B$5:B1152,B1152,$D$5:D1152,"Feature Use",$E$5:E1152,E1152)=1),1,0)</f>
        <v>0</v>
      </c>
      <c r="J1152" s="29" t="n">
        <f aca="false">IF(AND(D1152="Feature Use",COUNTIFS($B$5:B1152,B1152,$D$5:D1152,"Feature Use",$E$5:E1152,E1152)=2),1,0)</f>
        <v>0</v>
      </c>
      <c r="K1152" s="29" t="n">
        <f aca="false">IF(COUNTIF($B$5:B1152,B1152)=1,1,0)</f>
        <v>0</v>
      </c>
      <c r="L1152" s="29" t="n">
        <f aca="false">IF(AND(C1152&gt;=Settings!$B$5-Settings!$B$8+1,C1152&lt;=Settings!$B$5,COUNTIFS($B$5:B1152,B1152,$C$5:C1152,"&gt;="&amp;(Settings!$B$5-Settings!$B$8+1),$C$5:C1152,"&lt;="&amp;Settings!$B$5)=1),1,0)</f>
        <v>0</v>
      </c>
      <c r="M1152" s="29" t="n">
        <f aca="false">IF(AND(C1152&gt;=Settings!$B$5-Settings!$B$9+1,C1152&lt;=Settings!$B$5,COUNTIFS($B$5:B1152,B1152,$C$5:C1152,"&gt;="&amp;(Settings!$B$5-Settings!$B$9+1),$C$5:C1152,"&lt;="&amp;Settings!$B$5)=1),1,0)</f>
        <v>0</v>
      </c>
      <c r="N1152" s="29" t="n">
        <f aca="false">IF(AND(D1152="Feature Use",COUNTIFS($B$5:B1152,B1152,$D$5:D1152,"Feature Use")=1),1,0)</f>
        <v>0</v>
      </c>
    </row>
    <row r="1153" customFormat="false" ht="15" hidden="false" customHeight="false" outlineLevel="0" collapsed="false">
      <c r="A1153" s="22" t="s">
        <v>1460</v>
      </c>
      <c r="B1153" s="22" t="s">
        <v>200</v>
      </c>
      <c r="C1153" s="31" t="n">
        <v>46300</v>
      </c>
      <c r="D1153" s="22" t="s">
        <v>300</v>
      </c>
      <c r="E1153" s="22" t="s">
        <v>319</v>
      </c>
      <c r="F1153" s="29" t="str">
        <f aca="false">IF(COUNTIF(Referral_Data!$C$5:$C$1000,B1153)&gt;0,"Referred",IF(COUNTIF(Referral_Data!$B$5:$B$1000,B1153)&gt;0,"Referrer","Organic"))</f>
        <v>Referrer</v>
      </c>
      <c r="G1153" s="29" t="n">
        <f aca="false">IF(COUNTIFS($B$5:B1153,B1153,$C$5:C1153,C1153)=1,1,0)</f>
        <v>0</v>
      </c>
      <c r="H1153" s="29" t="n">
        <f aca="false">IF(AND(G1153=1,COUNTIFS($B$5:$B$1635,B1153,$C$5:$C$1635,"&lt;"&amp;C1153)&gt;0),1,0)</f>
        <v>0</v>
      </c>
      <c r="I1153" s="29" t="n">
        <f aca="false">IF(AND(D1153="Feature Use",COUNTIFS($B$5:B1153,B1153,$D$5:D1153,"Feature Use",$E$5:E1153,E1153)=1),1,0)</f>
        <v>0</v>
      </c>
      <c r="J1153" s="29" t="n">
        <f aca="false">IF(AND(D1153="Feature Use",COUNTIFS($B$5:B1153,B1153,$D$5:D1153,"Feature Use",$E$5:E1153,E1153)=2),1,0)</f>
        <v>0</v>
      </c>
      <c r="K1153" s="29" t="n">
        <f aca="false">IF(COUNTIF($B$5:B1153,B1153)=1,1,0)</f>
        <v>0</v>
      </c>
      <c r="L1153" s="29" t="n">
        <f aca="false">IF(AND(C1153&gt;=Settings!$B$5-Settings!$B$8+1,C1153&lt;=Settings!$B$5,COUNTIFS($B$5:B1153,B1153,$C$5:C1153,"&gt;="&amp;(Settings!$B$5-Settings!$B$8+1),$C$5:C1153,"&lt;="&amp;Settings!$B$5)=1),1,0)</f>
        <v>0</v>
      </c>
      <c r="M1153" s="29" t="n">
        <f aca="false">IF(AND(C1153&gt;=Settings!$B$5-Settings!$B$9+1,C1153&lt;=Settings!$B$5,COUNTIFS($B$5:B1153,B1153,$C$5:C1153,"&gt;="&amp;(Settings!$B$5-Settings!$B$9+1),$C$5:C1153,"&lt;="&amp;Settings!$B$5)=1),1,0)</f>
        <v>0</v>
      </c>
      <c r="N1153" s="29" t="n">
        <f aca="false">IF(AND(D1153="Feature Use",COUNTIFS($B$5:B1153,B1153,$D$5:D1153,"Feature Use")=1),1,0)</f>
        <v>0</v>
      </c>
    </row>
    <row r="1154" customFormat="false" ht="15" hidden="false" customHeight="false" outlineLevel="0" collapsed="false">
      <c r="A1154" s="22" t="s">
        <v>1461</v>
      </c>
      <c r="B1154" s="22" t="s">
        <v>215</v>
      </c>
      <c r="C1154" s="31" t="n">
        <v>46300</v>
      </c>
      <c r="D1154" s="22" t="s">
        <v>297</v>
      </c>
      <c r="E1154" s="22" t="s">
        <v>298</v>
      </c>
      <c r="F1154" s="29" t="str">
        <f aca="false">IF(COUNTIF(Referral_Data!$C$5:$C$1000,B1154)&gt;0,"Referred",IF(COUNTIF(Referral_Data!$B$5:$B$1000,B1154)&gt;0,"Referrer","Organic"))</f>
        <v>Referrer</v>
      </c>
      <c r="G1154" s="29" t="n">
        <f aca="false">IF(COUNTIFS($B$5:B1154,B1154,$C$5:C1154,C1154)=1,1,0)</f>
        <v>1</v>
      </c>
      <c r="H1154" s="29" t="n">
        <f aca="false">IF(AND(G1154=1,COUNTIFS($B$5:$B$1635,B1154,$C$5:$C$1635,"&lt;"&amp;C1154)&gt;0),1,0)</f>
        <v>1</v>
      </c>
      <c r="I1154" s="29" t="n">
        <f aca="false">IF(AND(D1154="Feature Use",COUNTIFS($B$5:B1154,B1154,$D$5:D1154,"Feature Use",$E$5:E1154,E1154)=1),1,0)</f>
        <v>0</v>
      </c>
      <c r="J1154" s="29" t="n">
        <f aca="false">IF(AND(D1154="Feature Use",COUNTIFS($B$5:B1154,B1154,$D$5:D1154,"Feature Use",$E$5:E1154,E1154)=2),1,0)</f>
        <v>0</v>
      </c>
      <c r="K1154" s="29" t="n">
        <f aca="false">IF(COUNTIF($B$5:B1154,B1154)=1,1,0)</f>
        <v>0</v>
      </c>
      <c r="L1154" s="29" t="n">
        <f aca="false">IF(AND(C1154&gt;=Settings!$B$5-Settings!$B$8+1,C1154&lt;=Settings!$B$5,COUNTIFS($B$5:B1154,B1154,$C$5:C1154,"&gt;="&amp;(Settings!$B$5-Settings!$B$8+1),$C$5:C1154,"&lt;="&amp;Settings!$B$5)=1),1,0)</f>
        <v>0</v>
      </c>
      <c r="M1154" s="29" t="n">
        <f aca="false">IF(AND(C1154&gt;=Settings!$B$5-Settings!$B$9+1,C1154&lt;=Settings!$B$5,COUNTIFS($B$5:B1154,B1154,$C$5:C1154,"&gt;="&amp;(Settings!$B$5-Settings!$B$9+1),$C$5:C1154,"&lt;="&amp;Settings!$B$5)=1),1,0)</f>
        <v>0</v>
      </c>
      <c r="N1154" s="29" t="n">
        <f aca="false">IF(AND(D1154="Feature Use",COUNTIFS($B$5:B1154,B1154,$D$5:D1154,"Feature Use")=1),1,0)</f>
        <v>0</v>
      </c>
    </row>
    <row r="1155" customFormat="false" ht="15" hidden="false" customHeight="false" outlineLevel="0" collapsed="false">
      <c r="A1155" s="22" t="s">
        <v>1462</v>
      </c>
      <c r="B1155" s="22" t="s">
        <v>215</v>
      </c>
      <c r="C1155" s="31" t="n">
        <v>46300</v>
      </c>
      <c r="D1155" s="22" t="s">
        <v>300</v>
      </c>
      <c r="E1155" s="22" t="s">
        <v>319</v>
      </c>
      <c r="F1155" s="29" t="str">
        <f aca="false">IF(COUNTIF(Referral_Data!$C$5:$C$1000,B1155)&gt;0,"Referred",IF(COUNTIF(Referral_Data!$B$5:$B$1000,B1155)&gt;0,"Referrer","Organic"))</f>
        <v>Referrer</v>
      </c>
      <c r="G1155" s="29" t="n">
        <f aca="false">IF(COUNTIFS($B$5:B1155,B1155,$C$5:C1155,C1155)=1,1,0)</f>
        <v>0</v>
      </c>
      <c r="H1155" s="29" t="n">
        <f aca="false">IF(AND(G1155=1,COUNTIFS($B$5:$B$1635,B1155,$C$5:$C$1635,"&lt;"&amp;C1155)&gt;0),1,0)</f>
        <v>0</v>
      </c>
      <c r="I1155" s="29" t="n">
        <f aca="false">IF(AND(D1155="Feature Use",COUNTIFS($B$5:B1155,B1155,$D$5:D1155,"Feature Use",$E$5:E1155,E1155)=1),1,0)</f>
        <v>0</v>
      </c>
      <c r="J1155" s="29" t="n">
        <f aca="false">IF(AND(D1155="Feature Use",COUNTIFS($B$5:B1155,B1155,$D$5:D1155,"Feature Use",$E$5:E1155,E1155)=2),1,0)</f>
        <v>0</v>
      </c>
      <c r="K1155" s="29" t="n">
        <f aca="false">IF(COUNTIF($B$5:B1155,B1155)=1,1,0)</f>
        <v>0</v>
      </c>
      <c r="L1155" s="29" t="n">
        <f aca="false">IF(AND(C1155&gt;=Settings!$B$5-Settings!$B$8+1,C1155&lt;=Settings!$B$5,COUNTIFS($B$5:B1155,B1155,$C$5:C1155,"&gt;="&amp;(Settings!$B$5-Settings!$B$8+1),$C$5:C1155,"&lt;="&amp;Settings!$B$5)=1),1,0)</f>
        <v>0</v>
      </c>
      <c r="M1155" s="29" t="n">
        <f aca="false">IF(AND(C1155&gt;=Settings!$B$5-Settings!$B$9+1,C1155&lt;=Settings!$B$5,COUNTIFS($B$5:B1155,B1155,$C$5:C1155,"&gt;="&amp;(Settings!$B$5-Settings!$B$9+1),$C$5:C1155,"&lt;="&amp;Settings!$B$5)=1),1,0)</f>
        <v>0</v>
      </c>
      <c r="N1155" s="29" t="n">
        <f aca="false">IF(AND(D1155="Feature Use",COUNTIFS($B$5:B1155,B1155,$D$5:D1155,"Feature Use")=1),1,0)</f>
        <v>0</v>
      </c>
    </row>
    <row r="1156" customFormat="false" ht="15" hidden="false" customHeight="false" outlineLevel="0" collapsed="false">
      <c r="A1156" s="22" t="s">
        <v>1463</v>
      </c>
      <c r="B1156" s="22" t="s">
        <v>175</v>
      </c>
      <c r="C1156" s="31" t="n">
        <v>46300</v>
      </c>
      <c r="D1156" s="22" t="s">
        <v>297</v>
      </c>
      <c r="E1156" s="22" t="s">
        <v>298</v>
      </c>
      <c r="F1156" s="29" t="str">
        <f aca="false">IF(COUNTIF(Referral_Data!$C$5:$C$1000,B1156)&gt;0,"Referred",IF(COUNTIF(Referral_Data!$B$5:$B$1000,B1156)&gt;0,"Referrer","Organic"))</f>
        <v>Referrer</v>
      </c>
      <c r="G1156" s="29" t="n">
        <f aca="false">IF(COUNTIFS($B$5:B1156,B1156,$C$5:C1156,C1156)=1,1,0)</f>
        <v>1</v>
      </c>
      <c r="H1156" s="29" t="n">
        <f aca="false">IF(AND(G1156=1,COUNTIFS($B$5:$B$1635,B1156,$C$5:$C$1635,"&lt;"&amp;C1156)&gt;0),1,0)</f>
        <v>1</v>
      </c>
      <c r="I1156" s="29" t="n">
        <f aca="false">IF(AND(D1156="Feature Use",COUNTIFS($B$5:B1156,B1156,$D$5:D1156,"Feature Use",$E$5:E1156,E1156)=1),1,0)</f>
        <v>0</v>
      </c>
      <c r="J1156" s="29" t="n">
        <f aca="false">IF(AND(D1156="Feature Use",COUNTIFS($B$5:B1156,B1156,$D$5:D1156,"Feature Use",$E$5:E1156,E1156)=2),1,0)</f>
        <v>0</v>
      </c>
      <c r="K1156" s="29" t="n">
        <f aca="false">IF(COUNTIF($B$5:B1156,B1156)=1,1,0)</f>
        <v>0</v>
      </c>
      <c r="L1156" s="29" t="n">
        <f aca="false">IF(AND(C1156&gt;=Settings!$B$5-Settings!$B$8+1,C1156&lt;=Settings!$B$5,COUNTIFS($B$5:B1156,B1156,$C$5:C1156,"&gt;="&amp;(Settings!$B$5-Settings!$B$8+1),$C$5:C1156,"&lt;="&amp;Settings!$B$5)=1),1,0)</f>
        <v>0</v>
      </c>
      <c r="M1156" s="29" t="n">
        <f aca="false">IF(AND(C1156&gt;=Settings!$B$5-Settings!$B$9+1,C1156&lt;=Settings!$B$5,COUNTIFS($B$5:B1156,B1156,$C$5:C1156,"&gt;="&amp;(Settings!$B$5-Settings!$B$9+1),$C$5:C1156,"&lt;="&amp;Settings!$B$5)=1),1,0)</f>
        <v>0</v>
      </c>
      <c r="N1156" s="29" t="n">
        <f aca="false">IF(AND(D1156="Feature Use",COUNTIFS($B$5:B1156,B1156,$D$5:D1156,"Feature Use")=1),1,0)</f>
        <v>0</v>
      </c>
    </row>
    <row r="1157" customFormat="false" ht="15" hidden="false" customHeight="false" outlineLevel="0" collapsed="false">
      <c r="A1157" s="22" t="s">
        <v>1464</v>
      </c>
      <c r="B1157" s="22" t="s">
        <v>175</v>
      </c>
      <c r="C1157" s="31" t="n">
        <v>46300</v>
      </c>
      <c r="D1157" s="22" t="s">
        <v>300</v>
      </c>
      <c r="E1157" s="22" t="s">
        <v>311</v>
      </c>
      <c r="F1157" s="29" t="str">
        <f aca="false">IF(COUNTIF(Referral_Data!$C$5:$C$1000,B1157)&gt;0,"Referred",IF(COUNTIF(Referral_Data!$B$5:$B$1000,B1157)&gt;0,"Referrer","Organic"))</f>
        <v>Referrer</v>
      </c>
      <c r="G1157" s="29" t="n">
        <f aca="false">IF(COUNTIFS($B$5:B1157,B1157,$C$5:C1157,C1157)=1,1,0)</f>
        <v>0</v>
      </c>
      <c r="H1157" s="29" t="n">
        <f aca="false">IF(AND(G1157=1,COUNTIFS($B$5:$B$1635,B1157,$C$5:$C$1635,"&lt;"&amp;C1157)&gt;0),1,0)</f>
        <v>0</v>
      </c>
      <c r="I1157" s="29" t="n">
        <f aca="false">IF(AND(D1157="Feature Use",COUNTIFS($B$5:B1157,B1157,$D$5:D1157,"Feature Use",$E$5:E1157,E1157)=1),1,0)</f>
        <v>0</v>
      </c>
      <c r="J1157" s="29" t="n">
        <f aca="false">IF(AND(D1157="Feature Use",COUNTIFS($B$5:B1157,B1157,$D$5:D1157,"Feature Use",$E$5:E1157,E1157)=2),1,0)</f>
        <v>0</v>
      </c>
      <c r="K1157" s="29" t="n">
        <f aca="false">IF(COUNTIF($B$5:B1157,B1157)=1,1,0)</f>
        <v>0</v>
      </c>
      <c r="L1157" s="29" t="n">
        <f aca="false">IF(AND(C1157&gt;=Settings!$B$5-Settings!$B$8+1,C1157&lt;=Settings!$B$5,COUNTIFS($B$5:B1157,B1157,$C$5:C1157,"&gt;="&amp;(Settings!$B$5-Settings!$B$8+1),$C$5:C1157,"&lt;="&amp;Settings!$B$5)=1),1,0)</f>
        <v>0</v>
      </c>
      <c r="M1157" s="29" t="n">
        <f aca="false">IF(AND(C1157&gt;=Settings!$B$5-Settings!$B$9+1,C1157&lt;=Settings!$B$5,COUNTIFS($B$5:B1157,B1157,$C$5:C1157,"&gt;="&amp;(Settings!$B$5-Settings!$B$9+1),$C$5:C1157,"&lt;="&amp;Settings!$B$5)=1),1,0)</f>
        <v>0</v>
      </c>
      <c r="N1157" s="29" t="n">
        <f aca="false">IF(AND(D1157="Feature Use",COUNTIFS($B$5:B1157,B1157,$D$5:D1157,"Feature Use")=1),1,0)</f>
        <v>0</v>
      </c>
    </row>
    <row r="1158" customFormat="false" ht="15" hidden="false" customHeight="false" outlineLevel="0" collapsed="false">
      <c r="A1158" s="22" t="s">
        <v>1465</v>
      </c>
      <c r="B1158" s="22" t="s">
        <v>175</v>
      </c>
      <c r="C1158" s="31" t="n">
        <v>46300</v>
      </c>
      <c r="D1158" s="22" t="s">
        <v>300</v>
      </c>
      <c r="E1158" s="22" t="s">
        <v>311</v>
      </c>
      <c r="F1158" s="29" t="str">
        <f aca="false">IF(COUNTIF(Referral_Data!$C$5:$C$1000,B1158)&gt;0,"Referred",IF(COUNTIF(Referral_Data!$B$5:$B$1000,B1158)&gt;0,"Referrer","Organic"))</f>
        <v>Referrer</v>
      </c>
      <c r="G1158" s="29" t="n">
        <f aca="false">IF(COUNTIFS($B$5:B1158,B1158,$C$5:C1158,C1158)=1,1,0)</f>
        <v>0</v>
      </c>
      <c r="H1158" s="29" t="n">
        <f aca="false">IF(AND(G1158=1,COUNTIFS($B$5:$B$1635,B1158,$C$5:$C$1635,"&lt;"&amp;C1158)&gt;0),1,0)</f>
        <v>0</v>
      </c>
      <c r="I1158" s="29" t="n">
        <f aca="false">IF(AND(D1158="Feature Use",COUNTIFS($B$5:B1158,B1158,$D$5:D1158,"Feature Use",$E$5:E1158,E1158)=1),1,0)</f>
        <v>0</v>
      </c>
      <c r="J1158" s="29" t="n">
        <f aca="false">IF(AND(D1158="Feature Use",COUNTIFS($B$5:B1158,B1158,$D$5:D1158,"Feature Use",$E$5:E1158,E1158)=2),1,0)</f>
        <v>0</v>
      </c>
      <c r="K1158" s="29" t="n">
        <f aca="false">IF(COUNTIF($B$5:B1158,B1158)=1,1,0)</f>
        <v>0</v>
      </c>
      <c r="L1158" s="29" t="n">
        <f aca="false">IF(AND(C1158&gt;=Settings!$B$5-Settings!$B$8+1,C1158&lt;=Settings!$B$5,COUNTIFS($B$5:B1158,B1158,$C$5:C1158,"&gt;="&amp;(Settings!$B$5-Settings!$B$8+1),$C$5:C1158,"&lt;="&amp;Settings!$B$5)=1),1,0)</f>
        <v>0</v>
      </c>
      <c r="M1158" s="29" t="n">
        <f aca="false">IF(AND(C1158&gt;=Settings!$B$5-Settings!$B$9+1,C1158&lt;=Settings!$B$5,COUNTIFS($B$5:B1158,B1158,$C$5:C1158,"&gt;="&amp;(Settings!$B$5-Settings!$B$9+1),$C$5:C1158,"&lt;="&amp;Settings!$B$5)=1),1,0)</f>
        <v>0</v>
      </c>
      <c r="N1158" s="29" t="n">
        <f aca="false">IF(AND(D1158="Feature Use",COUNTIFS($B$5:B1158,B1158,$D$5:D1158,"Feature Use")=1),1,0)</f>
        <v>0</v>
      </c>
    </row>
    <row r="1159" customFormat="false" ht="15" hidden="false" customHeight="false" outlineLevel="0" collapsed="false">
      <c r="A1159" s="22" t="s">
        <v>1466</v>
      </c>
      <c r="B1159" s="22" t="s">
        <v>427</v>
      </c>
      <c r="C1159" s="31" t="n">
        <v>46301</v>
      </c>
      <c r="D1159" s="22" t="s">
        <v>297</v>
      </c>
      <c r="E1159" s="22" t="s">
        <v>298</v>
      </c>
      <c r="F1159" s="29" t="str">
        <f aca="false">IF(COUNTIF(Referral_Data!$C$5:$C$1000,B1159)&gt;0,"Referred",IF(COUNTIF(Referral_Data!$B$5:$B$1000,B1159)&gt;0,"Referrer","Organic"))</f>
        <v>Organic</v>
      </c>
      <c r="G1159" s="29" t="n">
        <f aca="false">IF(COUNTIFS($B$5:B1159,B1159,$C$5:C1159,C1159)=1,1,0)</f>
        <v>1</v>
      </c>
      <c r="H1159" s="29" t="n">
        <f aca="false">IF(AND(G1159=1,COUNTIFS($B$5:$B$1635,B1159,$C$5:$C$1635,"&lt;"&amp;C1159)&gt;0),1,0)</f>
        <v>1</v>
      </c>
      <c r="I1159" s="29" t="n">
        <f aca="false">IF(AND(D1159="Feature Use",COUNTIFS($B$5:B1159,B1159,$D$5:D1159,"Feature Use",$E$5:E1159,E1159)=1),1,0)</f>
        <v>0</v>
      </c>
      <c r="J1159" s="29" t="n">
        <f aca="false">IF(AND(D1159="Feature Use",COUNTIFS($B$5:B1159,B1159,$D$5:D1159,"Feature Use",$E$5:E1159,E1159)=2),1,0)</f>
        <v>0</v>
      </c>
      <c r="K1159" s="29" t="n">
        <f aca="false">IF(COUNTIF($B$5:B1159,B1159)=1,1,0)</f>
        <v>0</v>
      </c>
      <c r="L1159" s="29" t="n">
        <f aca="false">IF(AND(C1159&gt;=Settings!$B$5-Settings!$B$8+1,C1159&lt;=Settings!$B$5,COUNTIFS($B$5:B1159,B1159,$C$5:C1159,"&gt;="&amp;(Settings!$B$5-Settings!$B$8+1),$C$5:C1159,"&lt;="&amp;Settings!$B$5)=1),1,0)</f>
        <v>0</v>
      </c>
      <c r="M1159" s="29" t="n">
        <f aca="false">IF(AND(C1159&gt;=Settings!$B$5-Settings!$B$9+1,C1159&lt;=Settings!$B$5,COUNTIFS($B$5:B1159,B1159,$C$5:C1159,"&gt;="&amp;(Settings!$B$5-Settings!$B$9+1),$C$5:C1159,"&lt;="&amp;Settings!$B$5)=1),1,0)</f>
        <v>0</v>
      </c>
      <c r="N1159" s="29" t="n">
        <f aca="false">IF(AND(D1159="Feature Use",COUNTIFS($B$5:B1159,B1159,$D$5:D1159,"Feature Use")=1),1,0)</f>
        <v>0</v>
      </c>
    </row>
    <row r="1160" customFormat="false" ht="15" hidden="false" customHeight="false" outlineLevel="0" collapsed="false">
      <c r="A1160" s="22" t="s">
        <v>1467</v>
      </c>
      <c r="B1160" s="22" t="s">
        <v>427</v>
      </c>
      <c r="C1160" s="31" t="n">
        <v>46301</v>
      </c>
      <c r="D1160" s="22" t="s">
        <v>300</v>
      </c>
      <c r="E1160" s="22" t="s">
        <v>301</v>
      </c>
      <c r="F1160" s="29" t="str">
        <f aca="false">IF(COUNTIF(Referral_Data!$C$5:$C$1000,B1160)&gt;0,"Referred",IF(COUNTIF(Referral_Data!$B$5:$B$1000,B1160)&gt;0,"Referrer","Organic"))</f>
        <v>Organic</v>
      </c>
      <c r="G1160" s="29" t="n">
        <f aca="false">IF(COUNTIFS($B$5:B1160,B1160,$C$5:C1160,C1160)=1,1,0)</f>
        <v>0</v>
      </c>
      <c r="H1160" s="29" t="n">
        <f aca="false">IF(AND(G1160=1,COUNTIFS($B$5:$B$1635,B1160,$C$5:$C$1635,"&lt;"&amp;C1160)&gt;0),1,0)</f>
        <v>0</v>
      </c>
      <c r="I1160" s="29" t="n">
        <f aca="false">IF(AND(D1160="Feature Use",COUNTIFS($B$5:B1160,B1160,$D$5:D1160,"Feature Use",$E$5:E1160,E1160)=1),1,0)</f>
        <v>1</v>
      </c>
      <c r="J1160" s="29" t="n">
        <f aca="false">IF(AND(D1160="Feature Use",COUNTIFS($B$5:B1160,B1160,$D$5:D1160,"Feature Use",$E$5:E1160,E1160)=2),1,0)</f>
        <v>0</v>
      </c>
      <c r="K1160" s="29" t="n">
        <f aca="false">IF(COUNTIF($B$5:B1160,B1160)=1,1,0)</f>
        <v>0</v>
      </c>
      <c r="L1160" s="29" t="n">
        <f aca="false">IF(AND(C1160&gt;=Settings!$B$5-Settings!$B$8+1,C1160&lt;=Settings!$B$5,COUNTIFS($B$5:B1160,B1160,$C$5:C1160,"&gt;="&amp;(Settings!$B$5-Settings!$B$8+1),$C$5:C1160,"&lt;="&amp;Settings!$B$5)=1),1,0)</f>
        <v>0</v>
      </c>
      <c r="M1160" s="29" t="n">
        <f aca="false">IF(AND(C1160&gt;=Settings!$B$5-Settings!$B$9+1,C1160&lt;=Settings!$B$5,COUNTIFS($B$5:B1160,B1160,$C$5:C1160,"&gt;="&amp;(Settings!$B$5-Settings!$B$9+1),$C$5:C1160,"&lt;="&amp;Settings!$B$5)=1),1,0)</f>
        <v>0</v>
      </c>
      <c r="N1160" s="29" t="n">
        <f aca="false">IF(AND(D1160="Feature Use",COUNTIFS($B$5:B1160,B1160,$D$5:D1160,"Feature Use")=1),1,0)</f>
        <v>0</v>
      </c>
    </row>
    <row r="1161" customFormat="false" ht="15" hidden="false" customHeight="false" outlineLevel="0" collapsed="false">
      <c r="A1161" s="22" t="s">
        <v>1468</v>
      </c>
      <c r="B1161" s="22" t="s">
        <v>385</v>
      </c>
      <c r="C1161" s="31" t="n">
        <v>46301</v>
      </c>
      <c r="D1161" s="22" t="s">
        <v>297</v>
      </c>
      <c r="E1161" s="22" t="s">
        <v>298</v>
      </c>
      <c r="F1161" s="29" t="str">
        <f aca="false">IF(COUNTIF(Referral_Data!$C$5:$C$1000,B1161)&gt;0,"Referred",IF(COUNTIF(Referral_Data!$B$5:$B$1000,B1161)&gt;0,"Referrer","Organic"))</f>
        <v>Organic</v>
      </c>
      <c r="G1161" s="29" t="n">
        <f aca="false">IF(COUNTIFS($B$5:B1161,B1161,$C$5:C1161,C1161)=1,1,0)</f>
        <v>1</v>
      </c>
      <c r="H1161" s="29" t="n">
        <f aca="false">IF(AND(G1161=1,COUNTIFS($B$5:$B$1635,B1161,$C$5:$C$1635,"&lt;"&amp;C1161)&gt;0),1,0)</f>
        <v>1</v>
      </c>
      <c r="I1161" s="29" t="n">
        <f aca="false">IF(AND(D1161="Feature Use",COUNTIFS($B$5:B1161,B1161,$D$5:D1161,"Feature Use",$E$5:E1161,E1161)=1),1,0)</f>
        <v>0</v>
      </c>
      <c r="J1161" s="29" t="n">
        <f aca="false">IF(AND(D1161="Feature Use",COUNTIFS($B$5:B1161,B1161,$D$5:D1161,"Feature Use",$E$5:E1161,E1161)=2),1,0)</f>
        <v>0</v>
      </c>
      <c r="K1161" s="29" t="n">
        <f aca="false">IF(COUNTIF($B$5:B1161,B1161)=1,1,0)</f>
        <v>0</v>
      </c>
      <c r="L1161" s="29" t="n">
        <f aca="false">IF(AND(C1161&gt;=Settings!$B$5-Settings!$B$8+1,C1161&lt;=Settings!$B$5,COUNTIFS($B$5:B1161,B1161,$C$5:C1161,"&gt;="&amp;(Settings!$B$5-Settings!$B$8+1),$C$5:C1161,"&lt;="&amp;Settings!$B$5)=1),1,0)</f>
        <v>0</v>
      </c>
      <c r="M1161" s="29" t="n">
        <f aca="false">IF(AND(C1161&gt;=Settings!$B$5-Settings!$B$9+1,C1161&lt;=Settings!$B$5,COUNTIFS($B$5:B1161,B1161,$C$5:C1161,"&gt;="&amp;(Settings!$B$5-Settings!$B$9+1),$C$5:C1161,"&lt;="&amp;Settings!$B$5)=1),1,0)</f>
        <v>0</v>
      </c>
      <c r="N1161" s="29" t="n">
        <f aca="false">IF(AND(D1161="Feature Use",COUNTIFS($B$5:B1161,B1161,$D$5:D1161,"Feature Use")=1),1,0)</f>
        <v>0</v>
      </c>
    </row>
    <row r="1162" customFormat="false" ht="15" hidden="false" customHeight="false" outlineLevel="0" collapsed="false">
      <c r="A1162" s="22" t="s">
        <v>1469</v>
      </c>
      <c r="B1162" s="22" t="s">
        <v>385</v>
      </c>
      <c r="C1162" s="31" t="n">
        <v>46301</v>
      </c>
      <c r="D1162" s="22" t="s">
        <v>300</v>
      </c>
      <c r="E1162" s="22" t="s">
        <v>319</v>
      </c>
      <c r="F1162" s="29" t="str">
        <f aca="false">IF(COUNTIF(Referral_Data!$C$5:$C$1000,B1162)&gt;0,"Referred",IF(COUNTIF(Referral_Data!$B$5:$B$1000,B1162)&gt;0,"Referrer","Organic"))</f>
        <v>Organic</v>
      </c>
      <c r="G1162" s="29" t="n">
        <f aca="false">IF(COUNTIFS($B$5:B1162,B1162,$C$5:C1162,C1162)=1,1,0)</f>
        <v>0</v>
      </c>
      <c r="H1162" s="29" t="n">
        <f aca="false">IF(AND(G1162=1,COUNTIFS($B$5:$B$1635,B1162,$C$5:$C$1635,"&lt;"&amp;C1162)&gt;0),1,0)</f>
        <v>0</v>
      </c>
      <c r="I1162" s="29" t="n">
        <f aca="false">IF(AND(D1162="Feature Use",COUNTIFS($B$5:B1162,B1162,$D$5:D1162,"Feature Use",$E$5:E1162,E1162)=1),1,0)</f>
        <v>0</v>
      </c>
      <c r="J1162" s="29" t="n">
        <f aca="false">IF(AND(D1162="Feature Use",COUNTIFS($B$5:B1162,B1162,$D$5:D1162,"Feature Use",$E$5:E1162,E1162)=2),1,0)</f>
        <v>1</v>
      </c>
      <c r="K1162" s="29" t="n">
        <f aca="false">IF(COUNTIF($B$5:B1162,B1162)=1,1,0)</f>
        <v>0</v>
      </c>
      <c r="L1162" s="29" t="n">
        <f aca="false">IF(AND(C1162&gt;=Settings!$B$5-Settings!$B$8+1,C1162&lt;=Settings!$B$5,COUNTIFS($B$5:B1162,B1162,$C$5:C1162,"&gt;="&amp;(Settings!$B$5-Settings!$B$8+1),$C$5:C1162,"&lt;="&amp;Settings!$B$5)=1),1,0)</f>
        <v>0</v>
      </c>
      <c r="M1162" s="29" t="n">
        <f aca="false">IF(AND(C1162&gt;=Settings!$B$5-Settings!$B$9+1,C1162&lt;=Settings!$B$5,COUNTIFS($B$5:B1162,B1162,$C$5:C1162,"&gt;="&amp;(Settings!$B$5-Settings!$B$9+1),$C$5:C1162,"&lt;="&amp;Settings!$B$5)=1),1,0)</f>
        <v>0</v>
      </c>
      <c r="N1162" s="29" t="n">
        <f aca="false">IF(AND(D1162="Feature Use",COUNTIFS($B$5:B1162,B1162,$D$5:D1162,"Feature Use")=1),1,0)</f>
        <v>0</v>
      </c>
    </row>
    <row r="1163" customFormat="false" ht="15" hidden="false" customHeight="false" outlineLevel="0" collapsed="false">
      <c r="A1163" s="22" t="s">
        <v>1470</v>
      </c>
      <c r="B1163" s="22" t="s">
        <v>168</v>
      </c>
      <c r="C1163" s="31" t="n">
        <v>46301</v>
      </c>
      <c r="D1163" s="22" t="s">
        <v>297</v>
      </c>
      <c r="E1163" s="22" t="s">
        <v>298</v>
      </c>
      <c r="F1163" s="29" t="str">
        <f aca="false">IF(COUNTIF(Referral_Data!$C$5:$C$1000,B1163)&gt;0,"Referred",IF(COUNTIF(Referral_Data!$B$5:$B$1000,B1163)&gt;0,"Referrer","Organic"))</f>
        <v>Referred</v>
      </c>
      <c r="G1163" s="29" t="n">
        <f aca="false">IF(COUNTIFS($B$5:B1163,B1163,$C$5:C1163,C1163)=1,1,0)</f>
        <v>1</v>
      </c>
      <c r="H1163" s="29" t="n">
        <f aca="false">IF(AND(G1163=1,COUNTIFS($B$5:$B$1635,B1163,$C$5:$C$1635,"&lt;"&amp;C1163)&gt;0),1,0)</f>
        <v>1</v>
      </c>
      <c r="I1163" s="29" t="n">
        <f aca="false">IF(AND(D1163="Feature Use",COUNTIFS($B$5:B1163,B1163,$D$5:D1163,"Feature Use",$E$5:E1163,E1163)=1),1,0)</f>
        <v>0</v>
      </c>
      <c r="J1163" s="29" t="n">
        <f aca="false">IF(AND(D1163="Feature Use",COUNTIFS($B$5:B1163,B1163,$D$5:D1163,"Feature Use",$E$5:E1163,E1163)=2),1,0)</f>
        <v>0</v>
      </c>
      <c r="K1163" s="29" t="n">
        <f aca="false">IF(COUNTIF($B$5:B1163,B1163)=1,1,0)</f>
        <v>0</v>
      </c>
      <c r="L1163" s="29" t="n">
        <f aca="false">IF(AND(C1163&gt;=Settings!$B$5-Settings!$B$8+1,C1163&lt;=Settings!$B$5,COUNTIFS($B$5:B1163,B1163,$C$5:C1163,"&gt;="&amp;(Settings!$B$5-Settings!$B$8+1),$C$5:C1163,"&lt;="&amp;Settings!$B$5)=1),1,0)</f>
        <v>0</v>
      </c>
      <c r="M1163" s="29" t="n">
        <f aca="false">IF(AND(C1163&gt;=Settings!$B$5-Settings!$B$9+1,C1163&lt;=Settings!$B$5,COUNTIFS($B$5:B1163,B1163,$C$5:C1163,"&gt;="&amp;(Settings!$B$5-Settings!$B$9+1),$C$5:C1163,"&lt;="&amp;Settings!$B$5)=1),1,0)</f>
        <v>0</v>
      </c>
      <c r="N1163" s="29" t="n">
        <f aca="false">IF(AND(D1163="Feature Use",COUNTIFS($B$5:B1163,B1163,$D$5:D1163,"Feature Use")=1),1,0)</f>
        <v>0</v>
      </c>
    </row>
    <row r="1164" customFormat="false" ht="15" hidden="false" customHeight="false" outlineLevel="0" collapsed="false">
      <c r="A1164" s="22" t="s">
        <v>1471</v>
      </c>
      <c r="B1164" s="22" t="s">
        <v>168</v>
      </c>
      <c r="C1164" s="31" t="n">
        <v>46301</v>
      </c>
      <c r="D1164" s="22" t="s">
        <v>300</v>
      </c>
      <c r="E1164" s="22" t="s">
        <v>305</v>
      </c>
      <c r="F1164" s="29" t="str">
        <f aca="false">IF(COUNTIF(Referral_Data!$C$5:$C$1000,B1164)&gt;0,"Referred",IF(COUNTIF(Referral_Data!$B$5:$B$1000,B1164)&gt;0,"Referrer","Organic"))</f>
        <v>Referred</v>
      </c>
      <c r="G1164" s="29" t="n">
        <f aca="false">IF(COUNTIFS($B$5:B1164,B1164,$C$5:C1164,C1164)=1,1,0)</f>
        <v>0</v>
      </c>
      <c r="H1164" s="29" t="n">
        <f aca="false">IF(AND(G1164=1,COUNTIFS($B$5:$B$1635,B1164,$C$5:$C$1635,"&lt;"&amp;C1164)&gt;0),1,0)</f>
        <v>0</v>
      </c>
      <c r="I1164" s="29" t="n">
        <f aca="false">IF(AND(D1164="Feature Use",COUNTIFS($B$5:B1164,B1164,$D$5:D1164,"Feature Use",$E$5:E1164,E1164)=1),1,0)</f>
        <v>0</v>
      </c>
      <c r="J1164" s="29" t="n">
        <f aca="false">IF(AND(D1164="Feature Use",COUNTIFS($B$5:B1164,B1164,$D$5:D1164,"Feature Use",$E$5:E1164,E1164)=2),1,0)</f>
        <v>0</v>
      </c>
      <c r="K1164" s="29" t="n">
        <f aca="false">IF(COUNTIF($B$5:B1164,B1164)=1,1,0)</f>
        <v>0</v>
      </c>
      <c r="L1164" s="29" t="n">
        <f aca="false">IF(AND(C1164&gt;=Settings!$B$5-Settings!$B$8+1,C1164&lt;=Settings!$B$5,COUNTIFS($B$5:B1164,B1164,$C$5:C1164,"&gt;="&amp;(Settings!$B$5-Settings!$B$8+1),$C$5:C1164,"&lt;="&amp;Settings!$B$5)=1),1,0)</f>
        <v>0</v>
      </c>
      <c r="M1164" s="29" t="n">
        <f aca="false">IF(AND(C1164&gt;=Settings!$B$5-Settings!$B$9+1,C1164&lt;=Settings!$B$5,COUNTIFS($B$5:B1164,B1164,$C$5:C1164,"&gt;="&amp;(Settings!$B$5-Settings!$B$9+1),$C$5:C1164,"&lt;="&amp;Settings!$B$5)=1),1,0)</f>
        <v>0</v>
      </c>
      <c r="N1164" s="29" t="n">
        <f aca="false">IF(AND(D1164="Feature Use",COUNTIFS($B$5:B1164,B1164,$D$5:D1164,"Feature Use")=1),1,0)</f>
        <v>0</v>
      </c>
    </row>
    <row r="1165" customFormat="false" ht="15" hidden="false" customHeight="false" outlineLevel="0" collapsed="false">
      <c r="A1165" s="22" t="s">
        <v>1472</v>
      </c>
      <c r="B1165" s="22" t="s">
        <v>176</v>
      </c>
      <c r="C1165" s="31" t="n">
        <v>46301</v>
      </c>
      <c r="D1165" s="22" t="s">
        <v>297</v>
      </c>
      <c r="E1165" s="22" t="s">
        <v>298</v>
      </c>
      <c r="F1165" s="29" t="str">
        <f aca="false">IF(COUNTIF(Referral_Data!$C$5:$C$1000,B1165)&gt;0,"Referred",IF(COUNTIF(Referral_Data!$B$5:$B$1000,B1165)&gt;0,"Referrer","Organic"))</f>
        <v>Referred</v>
      </c>
      <c r="G1165" s="29" t="n">
        <f aca="false">IF(COUNTIFS($B$5:B1165,B1165,$C$5:C1165,C1165)=1,1,0)</f>
        <v>1</v>
      </c>
      <c r="H1165" s="29" t="n">
        <f aca="false">IF(AND(G1165=1,COUNTIFS($B$5:$B$1635,B1165,$C$5:$C$1635,"&lt;"&amp;C1165)&gt;0),1,0)</f>
        <v>1</v>
      </c>
      <c r="I1165" s="29" t="n">
        <f aca="false">IF(AND(D1165="Feature Use",COUNTIFS($B$5:B1165,B1165,$D$5:D1165,"Feature Use",$E$5:E1165,E1165)=1),1,0)</f>
        <v>0</v>
      </c>
      <c r="J1165" s="29" t="n">
        <f aca="false">IF(AND(D1165="Feature Use",COUNTIFS($B$5:B1165,B1165,$D$5:D1165,"Feature Use",$E$5:E1165,E1165)=2),1,0)</f>
        <v>0</v>
      </c>
      <c r="K1165" s="29" t="n">
        <f aca="false">IF(COUNTIF($B$5:B1165,B1165)=1,1,0)</f>
        <v>0</v>
      </c>
      <c r="L1165" s="29" t="n">
        <f aca="false">IF(AND(C1165&gt;=Settings!$B$5-Settings!$B$8+1,C1165&lt;=Settings!$B$5,COUNTIFS($B$5:B1165,B1165,$C$5:C1165,"&gt;="&amp;(Settings!$B$5-Settings!$B$8+1),$C$5:C1165,"&lt;="&amp;Settings!$B$5)=1),1,0)</f>
        <v>0</v>
      </c>
      <c r="M1165" s="29" t="n">
        <f aca="false">IF(AND(C1165&gt;=Settings!$B$5-Settings!$B$9+1,C1165&lt;=Settings!$B$5,COUNTIFS($B$5:B1165,B1165,$C$5:C1165,"&gt;="&amp;(Settings!$B$5-Settings!$B$9+1),$C$5:C1165,"&lt;="&amp;Settings!$B$5)=1),1,0)</f>
        <v>0</v>
      </c>
      <c r="N1165" s="29" t="n">
        <f aca="false">IF(AND(D1165="Feature Use",COUNTIFS($B$5:B1165,B1165,$D$5:D1165,"Feature Use")=1),1,0)</f>
        <v>0</v>
      </c>
    </row>
    <row r="1166" customFormat="false" ht="15" hidden="false" customHeight="false" outlineLevel="0" collapsed="false">
      <c r="A1166" s="22" t="s">
        <v>1473</v>
      </c>
      <c r="B1166" s="22" t="s">
        <v>176</v>
      </c>
      <c r="C1166" s="31" t="n">
        <v>46301</v>
      </c>
      <c r="D1166" s="22" t="s">
        <v>300</v>
      </c>
      <c r="E1166" s="22" t="s">
        <v>305</v>
      </c>
      <c r="F1166" s="29" t="str">
        <f aca="false">IF(COUNTIF(Referral_Data!$C$5:$C$1000,B1166)&gt;0,"Referred",IF(COUNTIF(Referral_Data!$B$5:$B$1000,B1166)&gt;0,"Referrer","Organic"))</f>
        <v>Referred</v>
      </c>
      <c r="G1166" s="29" t="n">
        <f aca="false">IF(COUNTIFS($B$5:B1166,B1166,$C$5:C1166,C1166)=1,1,0)</f>
        <v>0</v>
      </c>
      <c r="H1166" s="29" t="n">
        <f aca="false">IF(AND(G1166=1,COUNTIFS($B$5:$B$1635,B1166,$C$5:$C$1635,"&lt;"&amp;C1166)&gt;0),1,0)</f>
        <v>0</v>
      </c>
      <c r="I1166" s="29" t="n">
        <f aca="false">IF(AND(D1166="Feature Use",COUNTIFS($B$5:B1166,B1166,$D$5:D1166,"Feature Use",$E$5:E1166,E1166)=1),1,0)</f>
        <v>0</v>
      </c>
      <c r="J1166" s="29" t="n">
        <f aca="false">IF(AND(D1166="Feature Use",COUNTIFS($B$5:B1166,B1166,$D$5:D1166,"Feature Use",$E$5:E1166,E1166)=2),1,0)</f>
        <v>0</v>
      </c>
      <c r="K1166" s="29" t="n">
        <f aca="false">IF(COUNTIF($B$5:B1166,B1166)=1,1,0)</f>
        <v>0</v>
      </c>
      <c r="L1166" s="29" t="n">
        <f aca="false">IF(AND(C1166&gt;=Settings!$B$5-Settings!$B$8+1,C1166&lt;=Settings!$B$5,COUNTIFS($B$5:B1166,B1166,$C$5:C1166,"&gt;="&amp;(Settings!$B$5-Settings!$B$8+1),$C$5:C1166,"&lt;="&amp;Settings!$B$5)=1),1,0)</f>
        <v>0</v>
      </c>
      <c r="M1166" s="29" t="n">
        <f aca="false">IF(AND(C1166&gt;=Settings!$B$5-Settings!$B$9+1,C1166&lt;=Settings!$B$5,COUNTIFS($B$5:B1166,B1166,$C$5:C1166,"&gt;="&amp;(Settings!$B$5-Settings!$B$9+1),$C$5:C1166,"&lt;="&amp;Settings!$B$5)=1),1,0)</f>
        <v>0</v>
      </c>
      <c r="N1166" s="29" t="n">
        <f aca="false">IF(AND(D1166="Feature Use",COUNTIFS($B$5:B1166,B1166,$D$5:D1166,"Feature Use")=1),1,0)</f>
        <v>0</v>
      </c>
    </row>
    <row r="1167" customFormat="false" ht="15" hidden="false" customHeight="false" outlineLevel="0" collapsed="false">
      <c r="A1167" s="22" t="s">
        <v>1474</v>
      </c>
      <c r="B1167" s="22" t="s">
        <v>192</v>
      </c>
      <c r="C1167" s="31" t="n">
        <v>46301</v>
      </c>
      <c r="D1167" s="22" t="s">
        <v>297</v>
      </c>
      <c r="E1167" s="22" t="s">
        <v>298</v>
      </c>
      <c r="F1167" s="29" t="str">
        <f aca="false">IF(COUNTIF(Referral_Data!$C$5:$C$1000,B1167)&gt;0,"Referred",IF(COUNTIF(Referral_Data!$B$5:$B$1000,B1167)&gt;0,"Referrer","Organic"))</f>
        <v>Referred</v>
      </c>
      <c r="G1167" s="29" t="n">
        <f aca="false">IF(COUNTIFS($B$5:B1167,B1167,$C$5:C1167,C1167)=1,1,0)</f>
        <v>1</v>
      </c>
      <c r="H1167" s="29" t="n">
        <f aca="false">IF(AND(G1167=1,COUNTIFS($B$5:$B$1635,B1167,$C$5:$C$1635,"&lt;"&amp;C1167)&gt;0),1,0)</f>
        <v>1</v>
      </c>
      <c r="I1167" s="29" t="n">
        <f aca="false">IF(AND(D1167="Feature Use",COUNTIFS($B$5:B1167,B1167,$D$5:D1167,"Feature Use",$E$5:E1167,E1167)=1),1,0)</f>
        <v>0</v>
      </c>
      <c r="J1167" s="29" t="n">
        <f aca="false">IF(AND(D1167="Feature Use",COUNTIFS($B$5:B1167,B1167,$D$5:D1167,"Feature Use",$E$5:E1167,E1167)=2),1,0)</f>
        <v>0</v>
      </c>
      <c r="K1167" s="29" t="n">
        <f aca="false">IF(COUNTIF($B$5:B1167,B1167)=1,1,0)</f>
        <v>0</v>
      </c>
      <c r="L1167" s="29" t="n">
        <f aca="false">IF(AND(C1167&gt;=Settings!$B$5-Settings!$B$8+1,C1167&lt;=Settings!$B$5,COUNTIFS($B$5:B1167,B1167,$C$5:C1167,"&gt;="&amp;(Settings!$B$5-Settings!$B$8+1),$C$5:C1167,"&lt;="&amp;Settings!$B$5)=1),1,0)</f>
        <v>0</v>
      </c>
      <c r="M1167" s="29" t="n">
        <f aca="false">IF(AND(C1167&gt;=Settings!$B$5-Settings!$B$9+1,C1167&lt;=Settings!$B$5,COUNTIFS($B$5:B1167,B1167,$C$5:C1167,"&gt;="&amp;(Settings!$B$5-Settings!$B$9+1),$C$5:C1167,"&lt;="&amp;Settings!$B$5)=1),1,0)</f>
        <v>0</v>
      </c>
      <c r="N1167" s="29" t="n">
        <f aca="false">IF(AND(D1167="Feature Use",COUNTIFS($B$5:B1167,B1167,$D$5:D1167,"Feature Use")=1),1,0)</f>
        <v>0</v>
      </c>
    </row>
    <row r="1168" customFormat="false" ht="15" hidden="false" customHeight="false" outlineLevel="0" collapsed="false">
      <c r="A1168" s="22" t="s">
        <v>1475</v>
      </c>
      <c r="B1168" s="22" t="s">
        <v>192</v>
      </c>
      <c r="C1168" s="31" t="n">
        <v>46301</v>
      </c>
      <c r="D1168" s="22" t="s">
        <v>300</v>
      </c>
      <c r="E1168" s="22" t="s">
        <v>305</v>
      </c>
      <c r="F1168" s="29" t="str">
        <f aca="false">IF(COUNTIF(Referral_Data!$C$5:$C$1000,B1168)&gt;0,"Referred",IF(COUNTIF(Referral_Data!$B$5:$B$1000,B1168)&gt;0,"Referrer","Organic"))</f>
        <v>Referred</v>
      </c>
      <c r="G1168" s="29" t="n">
        <f aca="false">IF(COUNTIFS($B$5:B1168,B1168,$C$5:C1168,C1168)=1,1,0)</f>
        <v>0</v>
      </c>
      <c r="H1168" s="29" t="n">
        <f aca="false">IF(AND(G1168=1,COUNTIFS($B$5:$B$1635,B1168,$C$5:$C$1635,"&lt;"&amp;C1168)&gt;0),1,0)</f>
        <v>0</v>
      </c>
      <c r="I1168" s="29" t="n">
        <f aca="false">IF(AND(D1168="Feature Use",COUNTIFS($B$5:B1168,B1168,$D$5:D1168,"Feature Use",$E$5:E1168,E1168)=1),1,0)</f>
        <v>0</v>
      </c>
      <c r="J1168" s="29" t="n">
        <f aca="false">IF(AND(D1168="Feature Use",COUNTIFS($B$5:B1168,B1168,$D$5:D1168,"Feature Use",$E$5:E1168,E1168)=2),1,0)</f>
        <v>0</v>
      </c>
      <c r="K1168" s="29" t="n">
        <f aca="false">IF(COUNTIF($B$5:B1168,B1168)=1,1,0)</f>
        <v>0</v>
      </c>
      <c r="L1168" s="29" t="n">
        <f aca="false">IF(AND(C1168&gt;=Settings!$B$5-Settings!$B$8+1,C1168&lt;=Settings!$B$5,COUNTIFS($B$5:B1168,B1168,$C$5:C1168,"&gt;="&amp;(Settings!$B$5-Settings!$B$8+1),$C$5:C1168,"&lt;="&amp;Settings!$B$5)=1),1,0)</f>
        <v>0</v>
      </c>
      <c r="M1168" s="29" t="n">
        <f aca="false">IF(AND(C1168&gt;=Settings!$B$5-Settings!$B$9+1,C1168&lt;=Settings!$B$5,COUNTIFS($B$5:B1168,B1168,$C$5:C1168,"&gt;="&amp;(Settings!$B$5-Settings!$B$9+1),$C$5:C1168,"&lt;="&amp;Settings!$B$5)=1),1,0)</f>
        <v>0</v>
      </c>
      <c r="N1168" s="29" t="n">
        <f aca="false">IF(AND(D1168="Feature Use",COUNTIFS($B$5:B1168,B1168,$D$5:D1168,"Feature Use")=1),1,0)</f>
        <v>0</v>
      </c>
    </row>
    <row r="1169" customFormat="false" ht="15" hidden="false" customHeight="false" outlineLevel="0" collapsed="false">
      <c r="A1169" s="22" t="s">
        <v>1476</v>
      </c>
      <c r="B1169" s="22" t="s">
        <v>192</v>
      </c>
      <c r="C1169" s="31" t="n">
        <v>46301</v>
      </c>
      <c r="D1169" s="22" t="s">
        <v>308</v>
      </c>
      <c r="E1169" s="22" t="s">
        <v>311</v>
      </c>
      <c r="F1169" s="29" t="str">
        <f aca="false">IF(COUNTIF(Referral_Data!$C$5:$C$1000,B1169)&gt;0,"Referred",IF(COUNTIF(Referral_Data!$B$5:$B$1000,B1169)&gt;0,"Referrer","Organic"))</f>
        <v>Referred</v>
      </c>
      <c r="G1169" s="29" t="n">
        <f aca="false">IF(COUNTIFS($B$5:B1169,B1169,$C$5:C1169,C1169)=1,1,0)</f>
        <v>0</v>
      </c>
      <c r="H1169" s="29" t="n">
        <f aca="false">IF(AND(G1169=1,COUNTIFS($B$5:$B$1635,B1169,$C$5:$C$1635,"&lt;"&amp;C1169)&gt;0),1,0)</f>
        <v>0</v>
      </c>
      <c r="I1169" s="29" t="n">
        <f aca="false">IF(AND(D1169="Feature Use",COUNTIFS($B$5:B1169,B1169,$D$5:D1169,"Feature Use",$E$5:E1169,E1169)=1),1,0)</f>
        <v>0</v>
      </c>
      <c r="J1169" s="29" t="n">
        <f aca="false">IF(AND(D1169="Feature Use",COUNTIFS($B$5:B1169,B1169,$D$5:D1169,"Feature Use",$E$5:E1169,E1169)=2),1,0)</f>
        <v>0</v>
      </c>
      <c r="K1169" s="29" t="n">
        <f aca="false">IF(COUNTIF($B$5:B1169,B1169)=1,1,0)</f>
        <v>0</v>
      </c>
      <c r="L1169" s="29" t="n">
        <f aca="false">IF(AND(C1169&gt;=Settings!$B$5-Settings!$B$8+1,C1169&lt;=Settings!$B$5,COUNTIFS($B$5:B1169,B1169,$C$5:C1169,"&gt;="&amp;(Settings!$B$5-Settings!$B$8+1),$C$5:C1169,"&lt;="&amp;Settings!$B$5)=1),1,0)</f>
        <v>0</v>
      </c>
      <c r="M1169" s="29" t="n">
        <f aca="false">IF(AND(C1169&gt;=Settings!$B$5-Settings!$B$9+1,C1169&lt;=Settings!$B$5,COUNTIFS($B$5:B1169,B1169,$C$5:C1169,"&gt;="&amp;(Settings!$B$5-Settings!$B$9+1),$C$5:C1169,"&lt;="&amp;Settings!$B$5)=1),1,0)</f>
        <v>0</v>
      </c>
      <c r="N1169" s="29" t="n">
        <f aca="false">IF(AND(D1169="Feature Use",COUNTIFS($B$5:B1169,B1169,$D$5:D1169,"Feature Use")=1),1,0)</f>
        <v>0</v>
      </c>
    </row>
    <row r="1170" customFormat="false" ht="15" hidden="false" customHeight="false" outlineLevel="0" collapsed="false">
      <c r="A1170" s="22" t="s">
        <v>1477</v>
      </c>
      <c r="B1170" s="22" t="s">
        <v>213</v>
      </c>
      <c r="C1170" s="31" t="n">
        <v>46301</v>
      </c>
      <c r="D1170" s="22" t="s">
        <v>297</v>
      </c>
      <c r="E1170" s="22" t="s">
        <v>298</v>
      </c>
      <c r="F1170" s="29" t="str">
        <f aca="false">IF(COUNTIF(Referral_Data!$C$5:$C$1000,B1170)&gt;0,"Referred",IF(COUNTIF(Referral_Data!$B$5:$B$1000,B1170)&gt;0,"Referrer","Organic"))</f>
        <v>Referred</v>
      </c>
      <c r="G1170" s="29" t="n">
        <f aca="false">IF(COUNTIFS($B$5:B1170,B1170,$C$5:C1170,C1170)=1,1,0)</f>
        <v>1</v>
      </c>
      <c r="H1170" s="29" t="n">
        <f aca="false">IF(AND(G1170=1,COUNTIFS($B$5:$B$1635,B1170,$C$5:$C$1635,"&lt;"&amp;C1170)&gt;0),1,0)</f>
        <v>1</v>
      </c>
      <c r="I1170" s="29" t="n">
        <f aca="false">IF(AND(D1170="Feature Use",COUNTIFS($B$5:B1170,B1170,$D$5:D1170,"Feature Use",$E$5:E1170,E1170)=1),1,0)</f>
        <v>0</v>
      </c>
      <c r="J1170" s="29" t="n">
        <f aca="false">IF(AND(D1170="Feature Use",COUNTIFS($B$5:B1170,B1170,$D$5:D1170,"Feature Use",$E$5:E1170,E1170)=2),1,0)</f>
        <v>0</v>
      </c>
      <c r="K1170" s="29" t="n">
        <f aca="false">IF(COUNTIF($B$5:B1170,B1170)=1,1,0)</f>
        <v>0</v>
      </c>
      <c r="L1170" s="29" t="n">
        <f aca="false">IF(AND(C1170&gt;=Settings!$B$5-Settings!$B$8+1,C1170&lt;=Settings!$B$5,COUNTIFS($B$5:B1170,B1170,$C$5:C1170,"&gt;="&amp;(Settings!$B$5-Settings!$B$8+1),$C$5:C1170,"&lt;="&amp;Settings!$B$5)=1),1,0)</f>
        <v>0</v>
      </c>
      <c r="M1170" s="29" t="n">
        <f aca="false">IF(AND(C1170&gt;=Settings!$B$5-Settings!$B$9+1,C1170&lt;=Settings!$B$5,COUNTIFS($B$5:B1170,B1170,$C$5:C1170,"&gt;="&amp;(Settings!$B$5-Settings!$B$9+1),$C$5:C1170,"&lt;="&amp;Settings!$B$5)=1),1,0)</f>
        <v>0</v>
      </c>
      <c r="N1170" s="29" t="n">
        <f aca="false">IF(AND(D1170="Feature Use",COUNTIFS($B$5:B1170,B1170,$D$5:D1170,"Feature Use")=1),1,0)</f>
        <v>0</v>
      </c>
    </row>
    <row r="1171" customFormat="false" ht="15" hidden="false" customHeight="false" outlineLevel="0" collapsed="false">
      <c r="A1171" s="22" t="s">
        <v>1478</v>
      </c>
      <c r="B1171" s="22" t="s">
        <v>213</v>
      </c>
      <c r="C1171" s="31" t="n">
        <v>46301</v>
      </c>
      <c r="D1171" s="22" t="s">
        <v>300</v>
      </c>
      <c r="E1171" s="22" t="s">
        <v>319</v>
      </c>
      <c r="F1171" s="29" t="str">
        <f aca="false">IF(COUNTIF(Referral_Data!$C$5:$C$1000,B1171)&gt;0,"Referred",IF(COUNTIF(Referral_Data!$B$5:$B$1000,B1171)&gt;0,"Referrer","Organic"))</f>
        <v>Referred</v>
      </c>
      <c r="G1171" s="29" t="n">
        <f aca="false">IF(COUNTIFS($B$5:B1171,B1171,$C$5:C1171,C1171)=1,1,0)</f>
        <v>0</v>
      </c>
      <c r="H1171" s="29" t="n">
        <f aca="false">IF(AND(G1171=1,COUNTIFS($B$5:$B$1635,B1171,$C$5:$C$1635,"&lt;"&amp;C1171)&gt;0),1,0)</f>
        <v>0</v>
      </c>
      <c r="I1171" s="29" t="n">
        <f aca="false">IF(AND(D1171="Feature Use",COUNTIFS($B$5:B1171,B1171,$D$5:D1171,"Feature Use",$E$5:E1171,E1171)=1),1,0)</f>
        <v>0</v>
      </c>
      <c r="J1171" s="29" t="n">
        <f aca="false">IF(AND(D1171="Feature Use",COUNTIFS($B$5:B1171,B1171,$D$5:D1171,"Feature Use",$E$5:E1171,E1171)=2),1,0)</f>
        <v>1</v>
      </c>
      <c r="K1171" s="29" t="n">
        <f aca="false">IF(COUNTIF($B$5:B1171,B1171)=1,1,0)</f>
        <v>0</v>
      </c>
      <c r="L1171" s="29" t="n">
        <f aca="false">IF(AND(C1171&gt;=Settings!$B$5-Settings!$B$8+1,C1171&lt;=Settings!$B$5,COUNTIFS($B$5:B1171,B1171,$C$5:C1171,"&gt;="&amp;(Settings!$B$5-Settings!$B$8+1),$C$5:C1171,"&lt;="&amp;Settings!$B$5)=1),1,0)</f>
        <v>0</v>
      </c>
      <c r="M1171" s="29" t="n">
        <f aca="false">IF(AND(C1171&gt;=Settings!$B$5-Settings!$B$9+1,C1171&lt;=Settings!$B$5,COUNTIFS($B$5:B1171,B1171,$C$5:C1171,"&gt;="&amp;(Settings!$B$5-Settings!$B$9+1),$C$5:C1171,"&lt;="&amp;Settings!$B$5)=1),1,0)</f>
        <v>0</v>
      </c>
      <c r="N1171" s="29" t="n">
        <f aca="false">IF(AND(D1171="Feature Use",COUNTIFS($B$5:B1171,B1171,$D$5:D1171,"Feature Use")=1),1,0)</f>
        <v>0</v>
      </c>
    </row>
    <row r="1172" customFormat="false" ht="15" hidden="false" customHeight="false" outlineLevel="0" collapsed="false">
      <c r="A1172" s="22" t="s">
        <v>1479</v>
      </c>
      <c r="B1172" s="22" t="s">
        <v>213</v>
      </c>
      <c r="C1172" s="31" t="n">
        <v>46301</v>
      </c>
      <c r="D1172" s="22" t="s">
        <v>300</v>
      </c>
      <c r="E1172" s="22" t="s">
        <v>311</v>
      </c>
      <c r="F1172" s="29" t="str">
        <f aca="false">IF(COUNTIF(Referral_Data!$C$5:$C$1000,B1172)&gt;0,"Referred",IF(COUNTIF(Referral_Data!$B$5:$B$1000,B1172)&gt;0,"Referrer","Organic"))</f>
        <v>Referred</v>
      </c>
      <c r="G1172" s="29" t="n">
        <f aca="false">IF(COUNTIFS($B$5:B1172,B1172,$C$5:C1172,C1172)=1,1,0)</f>
        <v>0</v>
      </c>
      <c r="H1172" s="29" t="n">
        <f aca="false">IF(AND(G1172=1,COUNTIFS($B$5:$B$1635,B1172,$C$5:$C$1635,"&lt;"&amp;C1172)&gt;0),1,0)</f>
        <v>0</v>
      </c>
      <c r="I1172" s="29" t="n">
        <f aca="false">IF(AND(D1172="Feature Use",COUNTIFS($B$5:B1172,B1172,$D$5:D1172,"Feature Use",$E$5:E1172,E1172)=1),1,0)</f>
        <v>0</v>
      </c>
      <c r="J1172" s="29" t="n">
        <f aca="false">IF(AND(D1172="Feature Use",COUNTIFS($B$5:B1172,B1172,$D$5:D1172,"Feature Use",$E$5:E1172,E1172)=2),1,0)</f>
        <v>0</v>
      </c>
      <c r="K1172" s="29" t="n">
        <f aca="false">IF(COUNTIF($B$5:B1172,B1172)=1,1,0)</f>
        <v>0</v>
      </c>
      <c r="L1172" s="29" t="n">
        <f aca="false">IF(AND(C1172&gt;=Settings!$B$5-Settings!$B$8+1,C1172&lt;=Settings!$B$5,COUNTIFS($B$5:B1172,B1172,$C$5:C1172,"&gt;="&amp;(Settings!$B$5-Settings!$B$8+1),$C$5:C1172,"&lt;="&amp;Settings!$B$5)=1),1,0)</f>
        <v>0</v>
      </c>
      <c r="M1172" s="29" t="n">
        <f aca="false">IF(AND(C1172&gt;=Settings!$B$5-Settings!$B$9+1,C1172&lt;=Settings!$B$5,COUNTIFS($B$5:B1172,B1172,$C$5:C1172,"&gt;="&amp;(Settings!$B$5-Settings!$B$9+1),$C$5:C1172,"&lt;="&amp;Settings!$B$5)=1),1,0)</f>
        <v>0</v>
      </c>
      <c r="N1172" s="29" t="n">
        <f aca="false">IF(AND(D1172="Feature Use",COUNTIFS($B$5:B1172,B1172,$D$5:D1172,"Feature Use")=1),1,0)</f>
        <v>0</v>
      </c>
    </row>
    <row r="1173" customFormat="false" ht="15" hidden="false" customHeight="false" outlineLevel="0" collapsed="false">
      <c r="A1173" s="22" t="s">
        <v>1480</v>
      </c>
      <c r="B1173" s="22" t="s">
        <v>220</v>
      </c>
      <c r="C1173" s="31" t="n">
        <v>46301</v>
      </c>
      <c r="D1173" s="22" t="s">
        <v>297</v>
      </c>
      <c r="E1173" s="22" t="s">
        <v>298</v>
      </c>
      <c r="F1173" s="29" t="str">
        <f aca="false">IF(COUNTIF(Referral_Data!$C$5:$C$1000,B1173)&gt;0,"Referred",IF(COUNTIF(Referral_Data!$B$5:$B$1000,B1173)&gt;0,"Referrer","Organic"))</f>
        <v>Referred</v>
      </c>
      <c r="G1173" s="29" t="n">
        <f aca="false">IF(COUNTIFS($B$5:B1173,B1173,$C$5:C1173,C1173)=1,1,0)</f>
        <v>1</v>
      </c>
      <c r="H1173" s="29" t="n">
        <f aca="false">IF(AND(G1173=1,COUNTIFS($B$5:$B$1635,B1173,$C$5:$C$1635,"&lt;"&amp;C1173)&gt;0),1,0)</f>
        <v>1</v>
      </c>
      <c r="I1173" s="29" t="n">
        <f aca="false">IF(AND(D1173="Feature Use",COUNTIFS($B$5:B1173,B1173,$D$5:D1173,"Feature Use",$E$5:E1173,E1173)=1),1,0)</f>
        <v>0</v>
      </c>
      <c r="J1173" s="29" t="n">
        <f aca="false">IF(AND(D1173="Feature Use",COUNTIFS($B$5:B1173,B1173,$D$5:D1173,"Feature Use",$E$5:E1173,E1173)=2),1,0)</f>
        <v>0</v>
      </c>
      <c r="K1173" s="29" t="n">
        <f aca="false">IF(COUNTIF($B$5:B1173,B1173)=1,1,0)</f>
        <v>0</v>
      </c>
      <c r="L1173" s="29" t="n">
        <f aca="false">IF(AND(C1173&gt;=Settings!$B$5-Settings!$B$8+1,C1173&lt;=Settings!$B$5,COUNTIFS($B$5:B1173,B1173,$C$5:C1173,"&gt;="&amp;(Settings!$B$5-Settings!$B$8+1),$C$5:C1173,"&lt;="&amp;Settings!$B$5)=1),1,0)</f>
        <v>0</v>
      </c>
      <c r="M1173" s="29" t="n">
        <f aca="false">IF(AND(C1173&gt;=Settings!$B$5-Settings!$B$9+1,C1173&lt;=Settings!$B$5,COUNTIFS($B$5:B1173,B1173,$C$5:C1173,"&gt;="&amp;(Settings!$B$5-Settings!$B$9+1),$C$5:C1173,"&lt;="&amp;Settings!$B$5)=1),1,0)</f>
        <v>0</v>
      </c>
      <c r="N1173" s="29" t="n">
        <f aca="false">IF(AND(D1173="Feature Use",COUNTIFS($B$5:B1173,B1173,$D$5:D1173,"Feature Use")=1),1,0)</f>
        <v>0</v>
      </c>
    </row>
    <row r="1174" customFormat="false" ht="15" hidden="false" customHeight="false" outlineLevel="0" collapsed="false">
      <c r="A1174" s="22" t="s">
        <v>1481</v>
      </c>
      <c r="B1174" s="22" t="s">
        <v>220</v>
      </c>
      <c r="C1174" s="31" t="n">
        <v>46301</v>
      </c>
      <c r="D1174" s="22" t="s">
        <v>300</v>
      </c>
      <c r="E1174" s="22" t="s">
        <v>301</v>
      </c>
      <c r="F1174" s="29" t="str">
        <f aca="false">IF(COUNTIF(Referral_Data!$C$5:$C$1000,B1174)&gt;0,"Referred",IF(COUNTIF(Referral_Data!$B$5:$B$1000,B1174)&gt;0,"Referrer","Organic"))</f>
        <v>Referred</v>
      </c>
      <c r="G1174" s="29" t="n">
        <f aca="false">IF(COUNTIFS($B$5:B1174,B1174,$C$5:C1174,C1174)=1,1,0)</f>
        <v>0</v>
      </c>
      <c r="H1174" s="29" t="n">
        <f aca="false">IF(AND(G1174=1,COUNTIFS($B$5:$B$1635,B1174,$C$5:$C$1635,"&lt;"&amp;C1174)&gt;0),1,0)</f>
        <v>0</v>
      </c>
      <c r="I1174" s="29" t="n">
        <f aca="false">IF(AND(D1174="Feature Use",COUNTIFS($B$5:B1174,B1174,$D$5:D1174,"Feature Use",$E$5:E1174,E1174)=1),1,0)</f>
        <v>0</v>
      </c>
      <c r="J1174" s="29" t="n">
        <f aca="false">IF(AND(D1174="Feature Use",COUNTIFS($B$5:B1174,B1174,$D$5:D1174,"Feature Use",$E$5:E1174,E1174)=2),1,0)</f>
        <v>0</v>
      </c>
      <c r="K1174" s="29" t="n">
        <f aca="false">IF(COUNTIF($B$5:B1174,B1174)=1,1,0)</f>
        <v>0</v>
      </c>
      <c r="L1174" s="29" t="n">
        <f aca="false">IF(AND(C1174&gt;=Settings!$B$5-Settings!$B$8+1,C1174&lt;=Settings!$B$5,COUNTIFS($B$5:B1174,B1174,$C$5:C1174,"&gt;="&amp;(Settings!$B$5-Settings!$B$8+1),$C$5:C1174,"&lt;="&amp;Settings!$B$5)=1),1,0)</f>
        <v>0</v>
      </c>
      <c r="M1174" s="29" t="n">
        <f aca="false">IF(AND(C1174&gt;=Settings!$B$5-Settings!$B$9+1,C1174&lt;=Settings!$B$5,COUNTIFS($B$5:B1174,B1174,$C$5:C1174,"&gt;="&amp;(Settings!$B$5-Settings!$B$9+1),$C$5:C1174,"&lt;="&amp;Settings!$B$5)=1),1,0)</f>
        <v>0</v>
      </c>
      <c r="N1174" s="29" t="n">
        <f aca="false">IF(AND(D1174="Feature Use",COUNTIFS($B$5:B1174,B1174,$D$5:D1174,"Feature Use")=1),1,0)</f>
        <v>0</v>
      </c>
    </row>
    <row r="1175" customFormat="false" ht="15" hidden="false" customHeight="false" outlineLevel="0" collapsed="false">
      <c r="A1175" s="22" t="s">
        <v>1482</v>
      </c>
      <c r="B1175" s="22" t="s">
        <v>220</v>
      </c>
      <c r="C1175" s="31" t="n">
        <v>46301</v>
      </c>
      <c r="D1175" s="22" t="s">
        <v>308</v>
      </c>
      <c r="E1175" s="22" t="s">
        <v>301</v>
      </c>
      <c r="F1175" s="29" t="str">
        <f aca="false">IF(COUNTIF(Referral_Data!$C$5:$C$1000,B1175)&gt;0,"Referred",IF(COUNTIF(Referral_Data!$B$5:$B$1000,B1175)&gt;0,"Referrer","Organic"))</f>
        <v>Referred</v>
      </c>
      <c r="G1175" s="29" t="n">
        <f aca="false">IF(COUNTIFS($B$5:B1175,B1175,$C$5:C1175,C1175)=1,1,0)</f>
        <v>0</v>
      </c>
      <c r="H1175" s="29" t="n">
        <f aca="false">IF(AND(G1175=1,COUNTIFS($B$5:$B$1635,B1175,$C$5:$C$1635,"&lt;"&amp;C1175)&gt;0),1,0)</f>
        <v>0</v>
      </c>
      <c r="I1175" s="29" t="n">
        <f aca="false">IF(AND(D1175="Feature Use",COUNTIFS($B$5:B1175,B1175,$D$5:D1175,"Feature Use",$E$5:E1175,E1175)=1),1,0)</f>
        <v>0</v>
      </c>
      <c r="J1175" s="29" t="n">
        <f aca="false">IF(AND(D1175="Feature Use",COUNTIFS($B$5:B1175,B1175,$D$5:D1175,"Feature Use",$E$5:E1175,E1175)=2),1,0)</f>
        <v>0</v>
      </c>
      <c r="K1175" s="29" t="n">
        <f aca="false">IF(COUNTIF($B$5:B1175,B1175)=1,1,0)</f>
        <v>0</v>
      </c>
      <c r="L1175" s="29" t="n">
        <f aca="false">IF(AND(C1175&gt;=Settings!$B$5-Settings!$B$8+1,C1175&lt;=Settings!$B$5,COUNTIFS($B$5:B1175,B1175,$C$5:C1175,"&gt;="&amp;(Settings!$B$5-Settings!$B$8+1),$C$5:C1175,"&lt;="&amp;Settings!$B$5)=1),1,0)</f>
        <v>0</v>
      </c>
      <c r="M1175" s="29" t="n">
        <f aca="false">IF(AND(C1175&gt;=Settings!$B$5-Settings!$B$9+1,C1175&lt;=Settings!$B$5,COUNTIFS($B$5:B1175,B1175,$C$5:C1175,"&gt;="&amp;(Settings!$B$5-Settings!$B$9+1),$C$5:C1175,"&lt;="&amp;Settings!$B$5)=1),1,0)</f>
        <v>0</v>
      </c>
      <c r="N1175" s="29" t="n">
        <f aca="false">IF(AND(D1175="Feature Use",COUNTIFS($B$5:B1175,B1175,$D$5:D1175,"Feature Use")=1),1,0)</f>
        <v>0</v>
      </c>
    </row>
    <row r="1176" customFormat="false" ht="15" hidden="false" customHeight="false" outlineLevel="0" collapsed="false">
      <c r="A1176" s="22" t="s">
        <v>1483</v>
      </c>
      <c r="B1176" s="22" t="s">
        <v>228</v>
      </c>
      <c r="C1176" s="31" t="n">
        <v>46301</v>
      </c>
      <c r="D1176" s="22" t="s">
        <v>297</v>
      </c>
      <c r="E1176" s="22" t="s">
        <v>298</v>
      </c>
      <c r="F1176" s="29" t="str">
        <f aca="false">IF(COUNTIF(Referral_Data!$C$5:$C$1000,B1176)&gt;0,"Referred",IF(COUNTIF(Referral_Data!$B$5:$B$1000,B1176)&gt;0,"Referrer","Organic"))</f>
        <v>Referred</v>
      </c>
      <c r="G1176" s="29" t="n">
        <f aca="false">IF(COUNTIFS($B$5:B1176,B1176,$C$5:C1176,C1176)=1,1,0)</f>
        <v>1</v>
      </c>
      <c r="H1176" s="29" t="n">
        <f aca="false">IF(AND(G1176=1,COUNTIFS($B$5:$B$1635,B1176,$C$5:$C$1635,"&lt;"&amp;C1176)&gt;0),1,0)</f>
        <v>1</v>
      </c>
      <c r="I1176" s="29" t="n">
        <f aca="false">IF(AND(D1176="Feature Use",COUNTIFS($B$5:B1176,B1176,$D$5:D1176,"Feature Use",$E$5:E1176,E1176)=1),1,0)</f>
        <v>0</v>
      </c>
      <c r="J1176" s="29" t="n">
        <f aca="false">IF(AND(D1176="Feature Use",COUNTIFS($B$5:B1176,B1176,$D$5:D1176,"Feature Use",$E$5:E1176,E1176)=2),1,0)</f>
        <v>0</v>
      </c>
      <c r="K1176" s="29" t="n">
        <f aca="false">IF(COUNTIF($B$5:B1176,B1176)=1,1,0)</f>
        <v>0</v>
      </c>
      <c r="L1176" s="29" t="n">
        <f aca="false">IF(AND(C1176&gt;=Settings!$B$5-Settings!$B$8+1,C1176&lt;=Settings!$B$5,COUNTIFS($B$5:B1176,B1176,$C$5:C1176,"&gt;="&amp;(Settings!$B$5-Settings!$B$8+1),$C$5:C1176,"&lt;="&amp;Settings!$B$5)=1),1,0)</f>
        <v>0</v>
      </c>
      <c r="M1176" s="29" t="n">
        <f aca="false">IF(AND(C1176&gt;=Settings!$B$5-Settings!$B$9+1,C1176&lt;=Settings!$B$5,COUNTIFS($B$5:B1176,B1176,$C$5:C1176,"&gt;="&amp;(Settings!$B$5-Settings!$B$9+1),$C$5:C1176,"&lt;="&amp;Settings!$B$5)=1),1,0)</f>
        <v>0</v>
      </c>
      <c r="N1176" s="29" t="n">
        <f aca="false">IF(AND(D1176="Feature Use",COUNTIFS($B$5:B1176,B1176,$D$5:D1176,"Feature Use")=1),1,0)</f>
        <v>0</v>
      </c>
    </row>
    <row r="1177" customFormat="false" ht="15" hidden="false" customHeight="false" outlineLevel="0" collapsed="false">
      <c r="A1177" s="22" t="s">
        <v>1484</v>
      </c>
      <c r="B1177" s="22" t="s">
        <v>228</v>
      </c>
      <c r="C1177" s="31" t="n">
        <v>46301</v>
      </c>
      <c r="D1177" s="22" t="s">
        <v>300</v>
      </c>
      <c r="E1177" s="22" t="s">
        <v>311</v>
      </c>
      <c r="F1177" s="29" t="str">
        <f aca="false">IF(COUNTIF(Referral_Data!$C$5:$C$1000,B1177)&gt;0,"Referred",IF(COUNTIF(Referral_Data!$B$5:$B$1000,B1177)&gt;0,"Referrer","Organic"))</f>
        <v>Referred</v>
      </c>
      <c r="G1177" s="29" t="n">
        <f aca="false">IF(COUNTIFS($B$5:B1177,B1177,$C$5:C1177,C1177)=1,1,0)</f>
        <v>0</v>
      </c>
      <c r="H1177" s="29" t="n">
        <f aca="false">IF(AND(G1177=1,COUNTIFS($B$5:$B$1635,B1177,$C$5:$C$1635,"&lt;"&amp;C1177)&gt;0),1,0)</f>
        <v>0</v>
      </c>
      <c r="I1177" s="29" t="n">
        <f aca="false">IF(AND(D1177="Feature Use",COUNTIFS($B$5:B1177,B1177,$D$5:D1177,"Feature Use",$E$5:E1177,E1177)=1),1,0)</f>
        <v>0</v>
      </c>
      <c r="J1177" s="29" t="n">
        <f aca="false">IF(AND(D1177="Feature Use",COUNTIFS($B$5:B1177,B1177,$D$5:D1177,"Feature Use",$E$5:E1177,E1177)=2),1,0)</f>
        <v>0</v>
      </c>
      <c r="K1177" s="29" t="n">
        <f aca="false">IF(COUNTIF($B$5:B1177,B1177)=1,1,0)</f>
        <v>0</v>
      </c>
      <c r="L1177" s="29" t="n">
        <f aca="false">IF(AND(C1177&gt;=Settings!$B$5-Settings!$B$8+1,C1177&lt;=Settings!$B$5,COUNTIFS($B$5:B1177,B1177,$C$5:C1177,"&gt;="&amp;(Settings!$B$5-Settings!$B$8+1),$C$5:C1177,"&lt;="&amp;Settings!$B$5)=1),1,0)</f>
        <v>0</v>
      </c>
      <c r="M1177" s="29" t="n">
        <f aca="false">IF(AND(C1177&gt;=Settings!$B$5-Settings!$B$9+1,C1177&lt;=Settings!$B$5,COUNTIFS($B$5:B1177,B1177,$C$5:C1177,"&gt;="&amp;(Settings!$B$5-Settings!$B$9+1),$C$5:C1177,"&lt;="&amp;Settings!$B$5)=1),1,0)</f>
        <v>0</v>
      </c>
      <c r="N1177" s="29" t="n">
        <f aca="false">IF(AND(D1177="Feature Use",COUNTIFS($B$5:B1177,B1177,$D$5:D1177,"Feature Use")=1),1,0)</f>
        <v>0</v>
      </c>
    </row>
    <row r="1178" customFormat="false" ht="15" hidden="false" customHeight="false" outlineLevel="0" collapsed="false">
      <c r="A1178" s="22" t="s">
        <v>1485</v>
      </c>
      <c r="B1178" s="22" t="s">
        <v>234</v>
      </c>
      <c r="C1178" s="31" t="n">
        <v>46301</v>
      </c>
      <c r="D1178" s="22" t="s">
        <v>297</v>
      </c>
      <c r="E1178" s="22" t="s">
        <v>298</v>
      </c>
      <c r="F1178" s="29" t="str">
        <f aca="false">IF(COUNTIF(Referral_Data!$C$5:$C$1000,B1178)&gt;0,"Referred",IF(COUNTIF(Referral_Data!$B$5:$B$1000,B1178)&gt;0,"Referrer","Organic"))</f>
        <v>Referred</v>
      </c>
      <c r="G1178" s="29" t="n">
        <f aca="false">IF(COUNTIFS($B$5:B1178,B1178,$C$5:C1178,C1178)=1,1,0)</f>
        <v>1</v>
      </c>
      <c r="H1178" s="29" t="n">
        <f aca="false">IF(AND(G1178=1,COUNTIFS($B$5:$B$1635,B1178,$C$5:$C$1635,"&lt;"&amp;C1178)&gt;0),1,0)</f>
        <v>1</v>
      </c>
      <c r="I1178" s="29" t="n">
        <f aca="false">IF(AND(D1178="Feature Use",COUNTIFS($B$5:B1178,B1178,$D$5:D1178,"Feature Use",$E$5:E1178,E1178)=1),1,0)</f>
        <v>0</v>
      </c>
      <c r="J1178" s="29" t="n">
        <f aca="false">IF(AND(D1178="Feature Use",COUNTIFS($B$5:B1178,B1178,$D$5:D1178,"Feature Use",$E$5:E1178,E1178)=2),1,0)</f>
        <v>0</v>
      </c>
      <c r="K1178" s="29" t="n">
        <f aca="false">IF(COUNTIF($B$5:B1178,B1178)=1,1,0)</f>
        <v>0</v>
      </c>
      <c r="L1178" s="29" t="n">
        <f aca="false">IF(AND(C1178&gt;=Settings!$B$5-Settings!$B$8+1,C1178&lt;=Settings!$B$5,COUNTIFS($B$5:B1178,B1178,$C$5:C1178,"&gt;="&amp;(Settings!$B$5-Settings!$B$8+1),$C$5:C1178,"&lt;="&amp;Settings!$B$5)=1),1,0)</f>
        <v>0</v>
      </c>
      <c r="M1178" s="29" t="n">
        <f aca="false">IF(AND(C1178&gt;=Settings!$B$5-Settings!$B$9+1,C1178&lt;=Settings!$B$5,COUNTIFS($B$5:B1178,B1178,$C$5:C1178,"&gt;="&amp;(Settings!$B$5-Settings!$B$9+1),$C$5:C1178,"&lt;="&amp;Settings!$B$5)=1),1,0)</f>
        <v>0</v>
      </c>
      <c r="N1178" s="29" t="n">
        <f aca="false">IF(AND(D1178="Feature Use",COUNTIFS($B$5:B1178,B1178,$D$5:D1178,"Feature Use")=1),1,0)</f>
        <v>0</v>
      </c>
    </row>
    <row r="1179" customFormat="false" ht="15" hidden="false" customHeight="false" outlineLevel="0" collapsed="false">
      <c r="A1179" s="22" t="s">
        <v>1486</v>
      </c>
      <c r="B1179" s="22" t="s">
        <v>234</v>
      </c>
      <c r="C1179" s="31" t="n">
        <v>46301</v>
      </c>
      <c r="D1179" s="22" t="s">
        <v>300</v>
      </c>
      <c r="E1179" s="22" t="s">
        <v>305</v>
      </c>
      <c r="F1179" s="29" t="str">
        <f aca="false">IF(COUNTIF(Referral_Data!$C$5:$C$1000,B1179)&gt;0,"Referred",IF(COUNTIF(Referral_Data!$B$5:$B$1000,B1179)&gt;0,"Referrer","Organic"))</f>
        <v>Referred</v>
      </c>
      <c r="G1179" s="29" t="n">
        <f aca="false">IF(COUNTIFS($B$5:B1179,B1179,$C$5:C1179,C1179)=1,1,0)</f>
        <v>0</v>
      </c>
      <c r="H1179" s="29" t="n">
        <f aca="false">IF(AND(G1179=1,COUNTIFS($B$5:$B$1635,B1179,$C$5:$C$1635,"&lt;"&amp;C1179)&gt;0),1,0)</f>
        <v>0</v>
      </c>
      <c r="I1179" s="29" t="n">
        <f aca="false">IF(AND(D1179="Feature Use",COUNTIFS($B$5:B1179,B1179,$D$5:D1179,"Feature Use",$E$5:E1179,E1179)=1),1,0)</f>
        <v>0</v>
      </c>
      <c r="J1179" s="29" t="n">
        <f aca="false">IF(AND(D1179="Feature Use",COUNTIFS($B$5:B1179,B1179,$D$5:D1179,"Feature Use",$E$5:E1179,E1179)=2),1,0)</f>
        <v>0</v>
      </c>
      <c r="K1179" s="29" t="n">
        <f aca="false">IF(COUNTIF($B$5:B1179,B1179)=1,1,0)</f>
        <v>0</v>
      </c>
      <c r="L1179" s="29" t="n">
        <f aca="false">IF(AND(C1179&gt;=Settings!$B$5-Settings!$B$8+1,C1179&lt;=Settings!$B$5,COUNTIFS($B$5:B1179,B1179,$C$5:C1179,"&gt;="&amp;(Settings!$B$5-Settings!$B$8+1),$C$5:C1179,"&lt;="&amp;Settings!$B$5)=1),1,0)</f>
        <v>0</v>
      </c>
      <c r="M1179" s="29" t="n">
        <f aca="false">IF(AND(C1179&gt;=Settings!$B$5-Settings!$B$9+1,C1179&lt;=Settings!$B$5,COUNTIFS($B$5:B1179,B1179,$C$5:C1179,"&gt;="&amp;(Settings!$B$5-Settings!$B$9+1),$C$5:C1179,"&lt;="&amp;Settings!$B$5)=1),1,0)</f>
        <v>0</v>
      </c>
      <c r="N1179" s="29" t="n">
        <f aca="false">IF(AND(D1179="Feature Use",COUNTIFS($B$5:B1179,B1179,$D$5:D1179,"Feature Use")=1),1,0)</f>
        <v>0</v>
      </c>
    </row>
    <row r="1180" customFormat="false" ht="15" hidden="false" customHeight="false" outlineLevel="0" collapsed="false">
      <c r="A1180" s="22" t="s">
        <v>1487</v>
      </c>
      <c r="B1180" s="22" t="s">
        <v>234</v>
      </c>
      <c r="C1180" s="31" t="n">
        <v>46301</v>
      </c>
      <c r="D1180" s="22" t="s">
        <v>300</v>
      </c>
      <c r="E1180" s="22" t="s">
        <v>311</v>
      </c>
      <c r="F1180" s="29" t="str">
        <f aca="false">IF(COUNTIF(Referral_Data!$C$5:$C$1000,B1180)&gt;0,"Referred",IF(COUNTIF(Referral_Data!$B$5:$B$1000,B1180)&gt;0,"Referrer","Organic"))</f>
        <v>Referred</v>
      </c>
      <c r="G1180" s="29" t="n">
        <f aca="false">IF(COUNTIFS($B$5:B1180,B1180,$C$5:C1180,C1180)=1,1,0)</f>
        <v>0</v>
      </c>
      <c r="H1180" s="29" t="n">
        <f aca="false">IF(AND(G1180=1,COUNTIFS($B$5:$B$1635,B1180,$C$5:$C$1635,"&lt;"&amp;C1180)&gt;0),1,0)</f>
        <v>0</v>
      </c>
      <c r="I1180" s="29" t="n">
        <f aca="false">IF(AND(D1180="Feature Use",COUNTIFS($B$5:B1180,B1180,$D$5:D1180,"Feature Use",$E$5:E1180,E1180)=1),1,0)</f>
        <v>0</v>
      </c>
      <c r="J1180" s="29" t="n">
        <f aca="false">IF(AND(D1180="Feature Use",COUNTIFS($B$5:B1180,B1180,$D$5:D1180,"Feature Use",$E$5:E1180,E1180)=2),1,0)</f>
        <v>1</v>
      </c>
      <c r="K1180" s="29" t="n">
        <f aca="false">IF(COUNTIF($B$5:B1180,B1180)=1,1,0)</f>
        <v>0</v>
      </c>
      <c r="L1180" s="29" t="n">
        <f aca="false">IF(AND(C1180&gt;=Settings!$B$5-Settings!$B$8+1,C1180&lt;=Settings!$B$5,COUNTIFS($B$5:B1180,B1180,$C$5:C1180,"&gt;="&amp;(Settings!$B$5-Settings!$B$8+1),$C$5:C1180,"&lt;="&amp;Settings!$B$5)=1),1,0)</f>
        <v>0</v>
      </c>
      <c r="M1180" s="29" t="n">
        <f aca="false">IF(AND(C1180&gt;=Settings!$B$5-Settings!$B$9+1,C1180&lt;=Settings!$B$5,COUNTIFS($B$5:B1180,B1180,$C$5:C1180,"&gt;="&amp;(Settings!$B$5-Settings!$B$9+1),$C$5:C1180,"&lt;="&amp;Settings!$B$5)=1),1,0)</f>
        <v>0</v>
      </c>
      <c r="N1180" s="29" t="n">
        <f aca="false">IF(AND(D1180="Feature Use",COUNTIFS($B$5:B1180,B1180,$D$5:D1180,"Feature Use")=1),1,0)</f>
        <v>0</v>
      </c>
    </row>
    <row r="1181" customFormat="false" ht="15" hidden="false" customHeight="false" outlineLevel="0" collapsed="false">
      <c r="A1181" s="22" t="s">
        <v>1488</v>
      </c>
      <c r="B1181" s="22" t="s">
        <v>237</v>
      </c>
      <c r="C1181" s="31" t="n">
        <v>46301</v>
      </c>
      <c r="D1181" s="22" t="s">
        <v>297</v>
      </c>
      <c r="E1181" s="22" t="s">
        <v>298</v>
      </c>
      <c r="F1181" s="29" t="str">
        <f aca="false">IF(COUNTIF(Referral_Data!$C$5:$C$1000,B1181)&gt;0,"Referred",IF(COUNTIF(Referral_Data!$B$5:$B$1000,B1181)&gt;0,"Referrer","Organic"))</f>
        <v>Referred</v>
      </c>
      <c r="G1181" s="29" t="n">
        <f aca="false">IF(COUNTIFS($B$5:B1181,B1181,$C$5:C1181,C1181)=1,1,0)</f>
        <v>1</v>
      </c>
      <c r="H1181" s="29" t="n">
        <f aca="false">IF(AND(G1181=1,COUNTIFS($B$5:$B$1635,B1181,$C$5:$C$1635,"&lt;"&amp;C1181)&gt;0),1,0)</f>
        <v>1</v>
      </c>
      <c r="I1181" s="29" t="n">
        <f aca="false">IF(AND(D1181="Feature Use",COUNTIFS($B$5:B1181,B1181,$D$5:D1181,"Feature Use",$E$5:E1181,E1181)=1),1,0)</f>
        <v>0</v>
      </c>
      <c r="J1181" s="29" t="n">
        <f aca="false">IF(AND(D1181="Feature Use",COUNTIFS($B$5:B1181,B1181,$D$5:D1181,"Feature Use",$E$5:E1181,E1181)=2),1,0)</f>
        <v>0</v>
      </c>
      <c r="K1181" s="29" t="n">
        <f aca="false">IF(COUNTIF($B$5:B1181,B1181)=1,1,0)</f>
        <v>0</v>
      </c>
      <c r="L1181" s="29" t="n">
        <f aca="false">IF(AND(C1181&gt;=Settings!$B$5-Settings!$B$8+1,C1181&lt;=Settings!$B$5,COUNTIFS($B$5:B1181,B1181,$C$5:C1181,"&gt;="&amp;(Settings!$B$5-Settings!$B$8+1),$C$5:C1181,"&lt;="&amp;Settings!$B$5)=1),1,0)</f>
        <v>0</v>
      </c>
      <c r="M1181" s="29" t="n">
        <f aca="false">IF(AND(C1181&gt;=Settings!$B$5-Settings!$B$9+1,C1181&lt;=Settings!$B$5,COUNTIFS($B$5:B1181,B1181,$C$5:C1181,"&gt;="&amp;(Settings!$B$5-Settings!$B$9+1),$C$5:C1181,"&lt;="&amp;Settings!$B$5)=1),1,0)</f>
        <v>0</v>
      </c>
      <c r="N1181" s="29" t="n">
        <f aca="false">IF(AND(D1181="Feature Use",COUNTIFS($B$5:B1181,B1181,$D$5:D1181,"Feature Use")=1),1,0)</f>
        <v>0</v>
      </c>
    </row>
    <row r="1182" customFormat="false" ht="15" hidden="false" customHeight="false" outlineLevel="0" collapsed="false">
      <c r="A1182" s="22" t="s">
        <v>1489</v>
      </c>
      <c r="B1182" s="22" t="s">
        <v>237</v>
      </c>
      <c r="C1182" s="31" t="n">
        <v>46301</v>
      </c>
      <c r="D1182" s="22" t="s">
        <v>300</v>
      </c>
      <c r="E1182" s="22" t="s">
        <v>319</v>
      </c>
      <c r="F1182" s="29" t="str">
        <f aca="false">IF(COUNTIF(Referral_Data!$C$5:$C$1000,B1182)&gt;0,"Referred",IF(COUNTIF(Referral_Data!$B$5:$B$1000,B1182)&gt;0,"Referrer","Organic"))</f>
        <v>Referred</v>
      </c>
      <c r="G1182" s="29" t="n">
        <f aca="false">IF(COUNTIFS($B$5:B1182,B1182,$C$5:C1182,C1182)=1,1,0)</f>
        <v>0</v>
      </c>
      <c r="H1182" s="29" t="n">
        <f aca="false">IF(AND(G1182=1,COUNTIFS($B$5:$B$1635,B1182,$C$5:$C$1635,"&lt;"&amp;C1182)&gt;0),1,0)</f>
        <v>0</v>
      </c>
      <c r="I1182" s="29" t="n">
        <f aca="false">IF(AND(D1182="Feature Use",COUNTIFS($B$5:B1182,B1182,$D$5:D1182,"Feature Use",$E$5:E1182,E1182)=1),1,0)</f>
        <v>1</v>
      </c>
      <c r="J1182" s="29" t="n">
        <f aca="false">IF(AND(D1182="Feature Use",COUNTIFS($B$5:B1182,B1182,$D$5:D1182,"Feature Use",$E$5:E1182,E1182)=2),1,0)</f>
        <v>0</v>
      </c>
      <c r="K1182" s="29" t="n">
        <f aca="false">IF(COUNTIF($B$5:B1182,B1182)=1,1,0)</f>
        <v>0</v>
      </c>
      <c r="L1182" s="29" t="n">
        <f aca="false">IF(AND(C1182&gt;=Settings!$B$5-Settings!$B$8+1,C1182&lt;=Settings!$B$5,COUNTIFS($B$5:B1182,B1182,$C$5:C1182,"&gt;="&amp;(Settings!$B$5-Settings!$B$8+1),$C$5:C1182,"&lt;="&amp;Settings!$B$5)=1),1,0)</f>
        <v>0</v>
      </c>
      <c r="M1182" s="29" t="n">
        <f aca="false">IF(AND(C1182&gt;=Settings!$B$5-Settings!$B$9+1,C1182&lt;=Settings!$B$5,COUNTIFS($B$5:B1182,B1182,$C$5:C1182,"&gt;="&amp;(Settings!$B$5-Settings!$B$9+1),$C$5:C1182,"&lt;="&amp;Settings!$B$5)=1),1,0)</f>
        <v>0</v>
      </c>
      <c r="N1182" s="29" t="n">
        <f aca="false">IF(AND(D1182="Feature Use",COUNTIFS($B$5:B1182,B1182,$D$5:D1182,"Feature Use")=1),1,0)</f>
        <v>0</v>
      </c>
    </row>
    <row r="1183" customFormat="false" ht="15" hidden="false" customHeight="false" outlineLevel="0" collapsed="false">
      <c r="A1183" s="22" t="s">
        <v>1490</v>
      </c>
      <c r="B1183" s="22" t="s">
        <v>237</v>
      </c>
      <c r="C1183" s="31" t="n">
        <v>46301</v>
      </c>
      <c r="D1183" s="22" t="s">
        <v>300</v>
      </c>
      <c r="E1183" s="22" t="s">
        <v>301</v>
      </c>
      <c r="F1183" s="29" t="str">
        <f aca="false">IF(COUNTIF(Referral_Data!$C$5:$C$1000,B1183)&gt;0,"Referred",IF(COUNTIF(Referral_Data!$B$5:$B$1000,B1183)&gt;0,"Referrer","Organic"))</f>
        <v>Referred</v>
      </c>
      <c r="G1183" s="29" t="n">
        <f aca="false">IF(COUNTIFS($B$5:B1183,B1183,$C$5:C1183,C1183)=1,1,0)</f>
        <v>0</v>
      </c>
      <c r="H1183" s="29" t="n">
        <f aca="false">IF(AND(G1183=1,COUNTIFS($B$5:$B$1635,B1183,$C$5:$C$1635,"&lt;"&amp;C1183)&gt;0),1,0)</f>
        <v>0</v>
      </c>
      <c r="I1183" s="29" t="n">
        <f aca="false">IF(AND(D1183="Feature Use",COUNTIFS($B$5:B1183,B1183,$D$5:D1183,"Feature Use",$E$5:E1183,E1183)=1),1,0)</f>
        <v>0</v>
      </c>
      <c r="J1183" s="29" t="n">
        <f aca="false">IF(AND(D1183="Feature Use",COUNTIFS($B$5:B1183,B1183,$D$5:D1183,"Feature Use",$E$5:E1183,E1183)=2),1,0)</f>
        <v>1</v>
      </c>
      <c r="K1183" s="29" t="n">
        <f aca="false">IF(COUNTIF($B$5:B1183,B1183)=1,1,0)</f>
        <v>0</v>
      </c>
      <c r="L1183" s="29" t="n">
        <f aca="false">IF(AND(C1183&gt;=Settings!$B$5-Settings!$B$8+1,C1183&lt;=Settings!$B$5,COUNTIFS($B$5:B1183,B1183,$C$5:C1183,"&gt;="&amp;(Settings!$B$5-Settings!$B$8+1),$C$5:C1183,"&lt;="&amp;Settings!$B$5)=1),1,0)</f>
        <v>0</v>
      </c>
      <c r="M1183" s="29" t="n">
        <f aca="false">IF(AND(C1183&gt;=Settings!$B$5-Settings!$B$9+1,C1183&lt;=Settings!$B$5,COUNTIFS($B$5:B1183,B1183,$C$5:C1183,"&gt;="&amp;(Settings!$B$5-Settings!$B$9+1),$C$5:C1183,"&lt;="&amp;Settings!$B$5)=1),1,0)</f>
        <v>0</v>
      </c>
      <c r="N1183" s="29" t="n">
        <f aca="false">IF(AND(D1183="Feature Use",COUNTIFS($B$5:B1183,B1183,$D$5:D1183,"Feature Use")=1),1,0)</f>
        <v>0</v>
      </c>
    </row>
    <row r="1184" customFormat="false" ht="15" hidden="false" customHeight="false" outlineLevel="0" collapsed="false">
      <c r="A1184" s="22" t="s">
        <v>1491</v>
      </c>
      <c r="B1184" s="22" t="s">
        <v>237</v>
      </c>
      <c r="C1184" s="31" t="n">
        <v>46301</v>
      </c>
      <c r="D1184" s="22" t="s">
        <v>308</v>
      </c>
      <c r="E1184" s="22" t="s">
        <v>301</v>
      </c>
      <c r="F1184" s="29" t="str">
        <f aca="false">IF(COUNTIF(Referral_Data!$C$5:$C$1000,B1184)&gt;0,"Referred",IF(COUNTIF(Referral_Data!$B$5:$B$1000,B1184)&gt;0,"Referrer","Organic"))</f>
        <v>Referred</v>
      </c>
      <c r="G1184" s="29" t="n">
        <f aca="false">IF(COUNTIFS($B$5:B1184,B1184,$C$5:C1184,C1184)=1,1,0)</f>
        <v>0</v>
      </c>
      <c r="H1184" s="29" t="n">
        <f aca="false">IF(AND(G1184=1,COUNTIFS($B$5:$B$1635,B1184,$C$5:$C$1635,"&lt;"&amp;C1184)&gt;0),1,0)</f>
        <v>0</v>
      </c>
      <c r="I1184" s="29" t="n">
        <f aca="false">IF(AND(D1184="Feature Use",COUNTIFS($B$5:B1184,B1184,$D$5:D1184,"Feature Use",$E$5:E1184,E1184)=1),1,0)</f>
        <v>0</v>
      </c>
      <c r="J1184" s="29" t="n">
        <f aca="false">IF(AND(D1184="Feature Use",COUNTIFS($B$5:B1184,B1184,$D$5:D1184,"Feature Use",$E$5:E1184,E1184)=2),1,0)</f>
        <v>0</v>
      </c>
      <c r="K1184" s="29" t="n">
        <f aca="false">IF(COUNTIF($B$5:B1184,B1184)=1,1,0)</f>
        <v>0</v>
      </c>
      <c r="L1184" s="29" t="n">
        <f aca="false">IF(AND(C1184&gt;=Settings!$B$5-Settings!$B$8+1,C1184&lt;=Settings!$B$5,COUNTIFS($B$5:B1184,B1184,$C$5:C1184,"&gt;="&amp;(Settings!$B$5-Settings!$B$8+1),$C$5:C1184,"&lt;="&amp;Settings!$B$5)=1),1,0)</f>
        <v>0</v>
      </c>
      <c r="M1184" s="29" t="n">
        <f aca="false">IF(AND(C1184&gt;=Settings!$B$5-Settings!$B$9+1,C1184&lt;=Settings!$B$5,COUNTIFS($B$5:B1184,B1184,$C$5:C1184,"&gt;="&amp;(Settings!$B$5-Settings!$B$9+1),$C$5:C1184,"&lt;="&amp;Settings!$B$5)=1),1,0)</f>
        <v>0</v>
      </c>
      <c r="N1184" s="29" t="n">
        <f aca="false">IF(AND(D1184="Feature Use",COUNTIFS($B$5:B1184,B1184,$D$5:D1184,"Feature Use")=1),1,0)</f>
        <v>0</v>
      </c>
    </row>
    <row r="1185" customFormat="false" ht="15" hidden="false" customHeight="false" outlineLevel="0" collapsed="false">
      <c r="A1185" s="22" t="s">
        <v>1492</v>
      </c>
      <c r="B1185" s="22" t="s">
        <v>237</v>
      </c>
      <c r="C1185" s="31" t="n">
        <v>46301</v>
      </c>
      <c r="D1185" s="22" t="s">
        <v>308</v>
      </c>
      <c r="E1185" s="22" t="s">
        <v>319</v>
      </c>
      <c r="F1185" s="29" t="str">
        <f aca="false">IF(COUNTIF(Referral_Data!$C$5:$C$1000,B1185)&gt;0,"Referred",IF(COUNTIF(Referral_Data!$B$5:$B$1000,B1185)&gt;0,"Referrer","Organic"))</f>
        <v>Referred</v>
      </c>
      <c r="G1185" s="29" t="n">
        <f aca="false">IF(COUNTIFS($B$5:B1185,B1185,$C$5:C1185,C1185)=1,1,0)</f>
        <v>0</v>
      </c>
      <c r="H1185" s="29" t="n">
        <f aca="false">IF(AND(G1185=1,COUNTIFS($B$5:$B$1635,B1185,$C$5:$C$1635,"&lt;"&amp;C1185)&gt;0),1,0)</f>
        <v>0</v>
      </c>
      <c r="I1185" s="29" t="n">
        <f aca="false">IF(AND(D1185="Feature Use",COUNTIFS($B$5:B1185,B1185,$D$5:D1185,"Feature Use",$E$5:E1185,E1185)=1),1,0)</f>
        <v>0</v>
      </c>
      <c r="J1185" s="29" t="n">
        <f aca="false">IF(AND(D1185="Feature Use",COUNTIFS($B$5:B1185,B1185,$D$5:D1185,"Feature Use",$E$5:E1185,E1185)=2),1,0)</f>
        <v>0</v>
      </c>
      <c r="K1185" s="29" t="n">
        <f aca="false">IF(COUNTIF($B$5:B1185,B1185)=1,1,0)</f>
        <v>0</v>
      </c>
      <c r="L1185" s="29" t="n">
        <f aca="false">IF(AND(C1185&gt;=Settings!$B$5-Settings!$B$8+1,C1185&lt;=Settings!$B$5,COUNTIFS($B$5:B1185,B1185,$C$5:C1185,"&gt;="&amp;(Settings!$B$5-Settings!$B$8+1),$C$5:C1185,"&lt;="&amp;Settings!$B$5)=1),1,0)</f>
        <v>0</v>
      </c>
      <c r="M1185" s="29" t="n">
        <f aca="false">IF(AND(C1185&gt;=Settings!$B$5-Settings!$B$9+1,C1185&lt;=Settings!$B$5,COUNTIFS($B$5:B1185,B1185,$C$5:C1185,"&gt;="&amp;(Settings!$B$5-Settings!$B$9+1),$C$5:C1185,"&lt;="&amp;Settings!$B$5)=1),1,0)</f>
        <v>0</v>
      </c>
      <c r="N1185" s="29" t="n">
        <f aca="false">IF(AND(D1185="Feature Use",COUNTIFS($B$5:B1185,B1185,$D$5:D1185,"Feature Use")=1),1,0)</f>
        <v>0</v>
      </c>
    </row>
    <row r="1186" customFormat="false" ht="15" hidden="false" customHeight="false" outlineLevel="0" collapsed="false">
      <c r="A1186" s="22" t="s">
        <v>1493</v>
      </c>
      <c r="B1186" s="22" t="s">
        <v>245</v>
      </c>
      <c r="C1186" s="31" t="n">
        <v>46301</v>
      </c>
      <c r="D1186" s="22" t="s">
        <v>297</v>
      </c>
      <c r="E1186" s="22" t="s">
        <v>298</v>
      </c>
      <c r="F1186" s="29" t="str">
        <f aca="false">IF(COUNTIF(Referral_Data!$C$5:$C$1000,B1186)&gt;0,"Referred",IF(COUNTIF(Referral_Data!$B$5:$B$1000,B1186)&gt;0,"Referrer","Organic"))</f>
        <v>Referred</v>
      </c>
      <c r="G1186" s="29" t="n">
        <f aca="false">IF(COUNTIFS($B$5:B1186,B1186,$C$5:C1186,C1186)=1,1,0)</f>
        <v>1</v>
      </c>
      <c r="H1186" s="29" t="n">
        <f aca="false">IF(AND(G1186=1,COUNTIFS($B$5:$B$1635,B1186,$C$5:$C$1635,"&lt;"&amp;C1186)&gt;0),1,0)</f>
        <v>0</v>
      </c>
      <c r="I1186" s="29" t="n">
        <f aca="false">IF(AND(D1186="Feature Use",COUNTIFS($B$5:B1186,B1186,$D$5:D1186,"Feature Use",$E$5:E1186,E1186)=1),1,0)</f>
        <v>0</v>
      </c>
      <c r="J1186" s="29" t="n">
        <f aca="false">IF(AND(D1186="Feature Use",COUNTIFS($B$5:B1186,B1186,$D$5:D1186,"Feature Use",$E$5:E1186,E1186)=2),1,0)</f>
        <v>0</v>
      </c>
      <c r="K1186" s="29" t="n">
        <f aca="false">IF(COUNTIF($B$5:B1186,B1186)=1,1,0)</f>
        <v>1</v>
      </c>
      <c r="L1186" s="29" t="n">
        <f aca="false">IF(AND(C1186&gt;=Settings!$B$5-Settings!$B$8+1,C1186&lt;=Settings!$B$5,COUNTIFS($B$5:B1186,B1186,$C$5:C1186,"&gt;="&amp;(Settings!$B$5-Settings!$B$8+1),$C$5:C1186,"&lt;="&amp;Settings!$B$5)=1),1,0)</f>
        <v>0</v>
      </c>
      <c r="M1186" s="29" t="n">
        <f aca="false">IF(AND(C1186&gt;=Settings!$B$5-Settings!$B$9+1,C1186&lt;=Settings!$B$5,COUNTIFS($B$5:B1186,B1186,$C$5:C1186,"&gt;="&amp;(Settings!$B$5-Settings!$B$9+1),$C$5:C1186,"&lt;="&amp;Settings!$B$5)=1),1,0)</f>
        <v>1</v>
      </c>
      <c r="N1186" s="29" t="n">
        <f aca="false">IF(AND(D1186="Feature Use",COUNTIFS($B$5:B1186,B1186,$D$5:D1186,"Feature Use")=1),1,0)</f>
        <v>0</v>
      </c>
    </row>
    <row r="1187" customFormat="false" ht="15" hidden="false" customHeight="false" outlineLevel="0" collapsed="false">
      <c r="A1187" s="22" t="s">
        <v>1494</v>
      </c>
      <c r="B1187" s="22" t="s">
        <v>245</v>
      </c>
      <c r="C1187" s="31" t="n">
        <v>46301</v>
      </c>
      <c r="D1187" s="22" t="s">
        <v>300</v>
      </c>
      <c r="E1187" s="22" t="s">
        <v>311</v>
      </c>
      <c r="F1187" s="29" t="str">
        <f aca="false">IF(COUNTIF(Referral_Data!$C$5:$C$1000,B1187)&gt;0,"Referred",IF(COUNTIF(Referral_Data!$B$5:$B$1000,B1187)&gt;0,"Referrer","Organic"))</f>
        <v>Referred</v>
      </c>
      <c r="G1187" s="29" t="n">
        <f aca="false">IF(COUNTIFS($B$5:B1187,B1187,$C$5:C1187,C1187)=1,1,0)</f>
        <v>0</v>
      </c>
      <c r="H1187" s="29" t="n">
        <f aca="false">IF(AND(G1187=1,COUNTIFS($B$5:$B$1635,B1187,$C$5:$C$1635,"&lt;"&amp;C1187)&gt;0),1,0)</f>
        <v>0</v>
      </c>
      <c r="I1187" s="29" t="n">
        <f aca="false">IF(AND(D1187="Feature Use",COUNTIFS($B$5:B1187,B1187,$D$5:D1187,"Feature Use",$E$5:E1187,E1187)=1),1,0)</f>
        <v>1</v>
      </c>
      <c r="J1187" s="29" t="n">
        <f aca="false">IF(AND(D1187="Feature Use",COUNTIFS($B$5:B1187,B1187,$D$5:D1187,"Feature Use",$E$5:E1187,E1187)=2),1,0)</f>
        <v>0</v>
      </c>
      <c r="K1187" s="29" t="n">
        <f aca="false">IF(COUNTIF($B$5:B1187,B1187)=1,1,0)</f>
        <v>0</v>
      </c>
      <c r="L1187" s="29" t="n">
        <f aca="false">IF(AND(C1187&gt;=Settings!$B$5-Settings!$B$8+1,C1187&lt;=Settings!$B$5,COUNTIFS($B$5:B1187,B1187,$C$5:C1187,"&gt;="&amp;(Settings!$B$5-Settings!$B$8+1),$C$5:C1187,"&lt;="&amp;Settings!$B$5)=1),1,0)</f>
        <v>0</v>
      </c>
      <c r="M1187" s="29" t="n">
        <f aca="false">IF(AND(C1187&gt;=Settings!$B$5-Settings!$B$9+1,C1187&lt;=Settings!$B$5,COUNTIFS($B$5:B1187,B1187,$C$5:C1187,"&gt;="&amp;(Settings!$B$5-Settings!$B$9+1),$C$5:C1187,"&lt;="&amp;Settings!$B$5)=1),1,0)</f>
        <v>0</v>
      </c>
      <c r="N1187" s="29" t="n">
        <f aca="false">IF(AND(D1187="Feature Use",COUNTIFS($B$5:B1187,B1187,$D$5:D1187,"Feature Use")=1),1,0)</f>
        <v>1</v>
      </c>
    </row>
    <row r="1188" customFormat="false" ht="15" hidden="false" customHeight="false" outlineLevel="0" collapsed="false">
      <c r="A1188" s="22" t="s">
        <v>1495</v>
      </c>
      <c r="B1188" s="22" t="s">
        <v>245</v>
      </c>
      <c r="C1188" s="31" t="n">
        <v>46301</v>
      </c>
      <c r="D1188" s="22" t="s">
        <v>300</v>
      </c>
      <c r="E1188" s="22" t="s">
        <v>311</v>
      </c>
      <c r="F1188" s="29" t="str">
        <f aca="false">IF(COUNTIF(Referral_Data!$C$5:$C$1000,B1188)&gt;0,"Referred",IF(COUNTIF(Referral_Data!$B$5:$B$1000,B1188)&gt;0,"Referrer","Organic"))</f>
        <v>Referred</v>
      </c>
      <c r="G1188" s="29" t="n">
        <f aca="false">IF(COUNTIFS($B$5:B1188,B1188,$C$5:C1188,C1188)=1,1,0)</f>
        <v>0</v>
      </c>
      <c r="H1188" s="29" t="n">
        <f aca="false">IF(AND(G1188=1,COUNTIFS($B$5:$B$1635,B1188,$C$5:$C$1635,"&lt;"&amp;C1188)&gt;0),1,0)</f>
        <v>0</v>
      </c>
      <c r="I1188" s="29" t="n">
        <f aca="false">IF(AND(D1188="Feature Use",COUNTIFS($B$5:B1188,B1188,$D$5:D1188,"Feature Use",$E$5:E1188,E1188)=1),1,0)</f>
        <v>0</v>
      </c>
      <c r="J1188" s="29" t="n">
        <f aca="false">IF(AND(D1188="Feature Use",COUNTIFS($B$5:B1188,B1188,$D$5:D1188,"Feature Use",$E$5:E1188,E1188)=2),1,0)</f>
        <v>1</v>
      </c>
      <c r="K1188" s="29" t="n">
        <f aca="false">IF(COUNTIF($B$5:B1188,B1188)=1,1,0)</f>
        <v>0</v>
      </c>
      <c r="L1188" s="29" t="n">
        <f aca="false">IF(AND(C1188&gt;=Settings!$B$5-Settings!$B$8+1,C1188&lt;=Settings!$B$5,COUNTIFS($B$5:B1188,B1188,$C$5:C1188,"&gt;="&amp;(Settings!$B$5-Settings!$B$8+1),$C$5:C1188,"&lt;="&amp;Settings!$B$5)=1),1,0)</f>
        <v>0</v>
      </c>
      <c r="M1188" s="29" t="n">
        <f aca="false">IF(AND(C1188&gt;=Settings!$B$5-Settings!$B$9+1,C1188&lt;=Settings!$B$5,COUNTIFS($B$5:B1188,B1188,$C$5:C1188,"&gt;="&amp;(Settings!$B$5-Settings!$B$9+1),$C$5:C1188,"&lt;="&amp;Settings!$B$5)=1),1,0)</f>
        <v>0</v>
      </c>
      <c r="N1188" s="29" t="n">
        <f aca="false">IF(AND(D1188="Feature Use",COUNTIFS($B$5:B1188,B1188,$D$5:D1188,"Feature Use")=1),1,0)</f>
        <v>0</v>
      </c>
    </row>
    <row r="1189" customFormat="false" ht="15" hidden="false" customHeight="false" outlineLevel="0" collapsed="false">
      <c r="A1189" s="22" t="s">
        <v>1496</v>
      </c>
      <c r="B1189" s="22" t="s">
        <v>263</v>
      </c>
      <c r="C1189" s="31" t="n">
        <v>46301</v>
      </c>
      <c r="D1189" s="22" t="s">
        <v>297</v>
      </c>
      <c r="E1189" s="22" t="s">
        <v>298</v>
      </c>
      <c r="F1189" s="29" t="str">
        <f aca="false">IF(COUNTIF(Referral_Data!$C$5:$C$1000,B1189)&gt;0,"Referred",IF(COUNTIF(Referral_Data!$B$5:$B$1000,B1189)&gt;0,"Referrer","Organic"))</f>
        <v>Referred</v>
      </c>
      <c r="G1189" s="29" t="n">
        <f aca="false">IF(COUNTIFS($B$5:B1189,B1189,$C$5:C1189,C1189)=1,1,0)</f>
        <v>1</v>
      </c>
      <c r="H1189" s="29" t="n">
        <f aca="false">IF(AND(G1189=1,COUNTIFS($B$5:$B$1635,B1189,$C$5:$C$1635,"&lt;"&amp;C1189)&gt;0),1,0)</f>
        <v>1</v>
      </c>
      <c r="I1189" s="29" t="n">
        <f aca="false">IF(AND(D1189="Feature Use",COUNTIFS($B$5:B1189,B1189,$D$5:D1189,"Feature Use",$E$5:E1189,E1189)=1),1,0)</f>
        <v>0</v>
      </c>
      <c r="J1189" s="29" t="n">
        <f aca="false">IF(AND(D1189="Feature Use",COUNTIFS($B$5:B1189,B1189,$D$5:D1189,"Feature Use",$E$5:E1189,E1189)=2),1,0)</f>
        <v>0</v>
      </c>
      <c r="K1189" s="29" t="n">
        <f aca="false">IF(COUNTIF($B$5:B1189,B1189)=1,1,0)</f>
        <v>0</v>
      </c>
      <c r="L1189" s="29" t="n">
        <f aca="false">IF(AND(C1189&gt;=Settings!$B$5-Settings!$B$8+1,C1189&lt;=Settings!$B$5,COUNTIFS($B$5:B1189,B1189,$C$5:C1189,"&gt;="&amp;(Settings!$B$5-Settings!$B$8+1),$C$5:C1189,"&lt;="&amp;Settings!$B$5)=1),1,0)</f>
        <v>0</v>
      </c>
      <c r="M1189" s="29" t="n">
        <f aca="false">IF(AND(C1189&gt;=Settings!$B$5-Settings!$B$9+1,C1189&lt;=Settings!$B$5,COUNTIFS($B$5:B1189,B1189,$C$5:C1189,"&gt;="&amp;(Settings!$B$5-Settings!$B$9+1),$C$5:C1189,"&lt;="&amp;Settings!$B$5)=1),1,0)</f>
        <v>0</v>
      </c>
      <c r="N1189" s="29" t="n">
        <f aca="false">IF(AND(D1189="Feature Use",COUNTIFS($B$5:B1189,B1189,$D$5:D1189,"Feature Use")=1),1,0)</f>
        <v>0</v>
      </c>
    </row>
    <row r="1190" customFormat="false" ht="15" hidden="false" customHeight="false" outlineLevel="0" collapsed="false">
      <c r="A1190" s="22" t="s">
        <v>1497</v>
      </c>
      <c r="B1190" s="22" t="s">
        <v>263</v>
      </c>
      <c r="C1190" s="31" t="n">
        <v>46301</v>
      </c>
      <c r="D1190" s="22" t="s">
        <v>300</v>
      </c>
      <c r="E1190" s="22" t="s">
        <v>305</v>
      </c>
      <c r="F1190" s="29" t="str">
        <f aca="false">IF(COUNTIF(Referral_Data!$C$5:$C$1000,B1190)&gt;0,"Referred",IF(COUNTIF(Referral_Data!$B$5:$B$1000,B1190)&gt;0,"Referrer","Organic"))</f>
        <v>Referred</v>
      </c>
      <c r="G1190" s="29" t="n">
        <f aca="false">IF(COUNTIFS($B$5:B1190,B1190,$C$5:C1190,C1190)=1,1,0)</f>
        <v>0</v>
      </c>
      <c r="H1190" s="29" t="n">
        <f aca="false">IF(AND(G1190=1,COUNTIFS($B$5:$B$1635,B1190,$C$5:$C$1635,"&lt;"&amp;C1190)&gt;0),1,0)</f>
        <v>0</v>
      </c>
      <c r="I1190" s="29" t="n">
        <f aca="false">IF(AND(D1190="Feature Use",COUNTIFS($B$5:B1190,B1190,$D$5:D1190,"Feature Use",$E$5:E1190,E1190)=1),1,0)</f>
        <v>0</v>
      </c>
      <c r="J1190" s="29" t="n">
        <f aca="false">IF(AND(D1190="Feature Use",COUNTIFS($B$5:B1190,B1190,$D$5:D1190,"Feature Use",$E$5:E1190,E1190)=2),1,0)</f>
        <v>0</v>
      </c>
      <c r="K1190" s="29" t="n">
        <f aca="false">IF(COUNTIF($B$5:B1190,B1190)=1,1,0)</f>
        <v>0</v>
      </c>
      <c r="L1190" s="29" t="n">
        <f aca="false">IF(AND(C1190&gt;=Settings!$B$5-Settings!$B$8+1,C1190&lt;=Settings!$B$5,COUNTIFS($B$5:B1190,B1190,$C$5:C1190,"&gt;="&amp;(Settings!$B$5-Settings!$B$8+1),$C$5:C1190,"&lt;="&amp;Settings!$B$5)=1),1,0)</f>
        <v>0</v>
      </c>
      <c r="M1190" s="29" t="n">
        <f aca="false">IF(AND(C1190&gt;=Settings!$B$5-Settings!$B$9+1,C1190&lt;=Settings!$B$5,COUNTIFS($B$5:B1190,B1190,$C$5:C1190,"&gt;="&amp;(Settings!$B$5-Settings!$B$9+1),$C$5:C1190,"&lt;="&amp;Settings!$B$5)=1),1,0)</f>
        <v>0</v>
      </c>
      <c r="N1190" s="29" t="n">
        <f aca="false">IF(AND(D1190="Feature Use",COUNTIFS($B$5:B1190,B1190,$D$5:D1190,"Feature Use")=1),1,0)</f>
        <v>0</v>
      </c>
    </row>
    <row r="1191" customFormat="false" ht="15" hidden="false" customHeight="false" outlineLevel="0" collapsed="false">
      <c r="A1191" s="22" t="s">
        <v>1498</v>
      </c>
      <c r="B1191" s="22" t="s">
        <v>263</v>
      </c>
      <c r="C1191" s="31" t="n">
        <v>46301</v>
      </c>
      <c r="D1191" s="22" t="s">
        <v>300</v>
      </c>
      <c r="E1191" s="22" t="s">
        <v>319</v>
      </c>
      <c r="F1191" s="29" t="str">
        <f aca="false">IF(COUNTIF(Referral_Data!$C$5:$C$1000,B1191)&gt;0,"Referred",IF(COUNTIF(Referral_Data!$B$5:$B$1000,B1191)&gt;0,"Referrer","Organic"))</f>
        <v>Referred</v>
      </c>
      <c r="G1191" s="29" t="n">
        <f aca="false">IF(COUNTIFS($B$5:B1191,B1191,$C$5:C1191,C1191)=1,1,0)</f>
        <v>0</v>
      </c>
      <c r="H1191" s="29" t="n">
        <f aca="false">IF(AND(G1191=1,COUNTIFS($B$5:$B$1635,B1191,$C$5:$C$1635,"&lt;"&amp;C1191)&gt;0),1,0)</f>
        <v>0</v>
      </c>
      <c r="I1191" s="29" t="n">
        <f aca="false">IF(AND(D1191="Feature Use",COUNTIFS($B$5:B1191,B1191,$D$5:D1191,"Feature Use",$E$5:E1191,E1191)=1),1,0)</f>
        <v>0</v>
      </c>
      <c r="J1191" s="29" t="n">
        <f aca="false">IF(AND(D1191="Feature Use",COUNTIFS($B$5:B1191,B1191,$D$5:D1191,"Feature Use",$E$5:E1191,E1191)=2),1,0)</f>
        <v>0</v>
      </c>
      <c r="K1191" s="29" t="n">
        <f aca="false">IF(COUNTIF($B$5:B1191,B1191)=1,1,0)</f>
        <v>0</v>
      </c>
      <c r="L1191" s="29" t="n">
        <f aca="false">IF(AND(C1191&gt;=Settings!$B$5-Settings!$B$8+1,C1191&lt;=Settings!$B$5,COUNTIFS($B$5:B1191,B1191,$C$5:C1191,"&gt;="&amp;(Settings!$B$5-Settings!$B$8+1),$C$5:C1191,"&lt;="&amp;Settings!$B$5)=1),1,0)</f>
        <v>0</v>
      </c>
      <c r="M1191" s="29" t="n">
        <f aca="false">IF(AND(C1191&gt;=Settings!$B$5-Settings!$B$9+1,C1191&lt;=Settings!$B$5,COUNTIFS($B$5:B1191,B1191,$C$5:C1191,"&gt;="&amp;(Settings!$B$5-Settings!$B$9+1),$C$5:C1191,"&lt;="&amp;Settings!$B$5)=1),1,0)</f>
        <v>0</v>
      </c>
      <c r="N1191" s="29" t="n">
        <f aca="false">IF(AND(D1191="Feature Use",COUNTIFS($B$5:B1191,B1191,$D$5:D1191,"Feature Use")=1),1,0)</f>
        <v>0</v>
      </c>
    </row>
    <row r="1192" customFormat="false" ht="15" hidden="false" customHeight="false" outlineLevel="0" collapsed="false">
      <c r="A1192" s="22" t="s">
        <v>1499</v>
      </c>
      <c r="B1192" s="22" t="s">
        <v>267</v>
      </c>
      <c r="C1192" s="31" t="n">
        <v>46301</v>
      </c>
      <c r="D1192" s="22" t="s">
        <v>297</v>
      </c>
      <c r="E1192" s="22" t="s">
        <v>298</v>
      </c>
      <c r="F1192" s="29" t="str">
        <f aca="false">IF(COUNTIF(Referral_Data!$C$5:$C$1000,B1192)&gt;0,"Referred",IF(COUNTIF(Referral_Data!$B$5:$B$1000,B1192)&gt;0,"Referrer","Organic"))</f>
        <v>Referred</v>
      </c>
      <c r="G1192" s="29" t="n">
        <f aca="false">IF(COUNTIFS($B$5:B1192,B1192,$C$5:C1192,C1192)=1,1,0)</f>
        <v>1</v>
      </c>
      <c r="H1192" s="29" t="n">
        <f aca="false">IF(AND(G1192=1,COUNTIFS($B$5:$B$1635,B1192,$C$5:$C$1635,"&lt;"&amp;C1192)&gt;0),1,0)</f>
        <v>1</v>
      </c>
      <c r="I1192" s="29" t="n">
        <f aca="false">IF(AND(D1192="Feature Use",COUNTIFS($B$5:B1192,B1192,$D$5:D1192,"Feature Use",$E$5:E1192,E1192)=1),1,0)</f>
        <v>0</v>
      </c>
      <c r="J1192" s="29" t="n">
        <f aca="false">IF(AND(D1192="Feature Use",COUNTIFS($B$5:B1192,B1192,$D$5:D1192,"Feature Use",$E$5:E1192,E1192)=2),1,0)</f>
        <v>0</v>
      </c>
      <c r="K1192" s="29" t="n">
        <f aca="false">IF(COUNTIF($B$5:B1192,B1192)=1,1,0)</f>
        <v>0</v>
      </c>
      <c r="L1192" s="29" t="n">
        <f aca="false">IF(AND(C1192&gt;=Settings!$B$5-Settings!$B$8+1,C1192&lt;=Settings!$B$5,COUNTIFS($B$5:B1192,B1192,$C$5:C1192,"&gt;="&amp;(Settings!$B$5-Settings!$B$8+1),$C$5:C1192,"&lt;="&amp;Settings!$B$5)=1),1,0)</f>
        <v>0</v>
      </c>
      <c r="M1192" s="29" t="n">
        <f aca="false">IF(AND(C1192&gt;=Settings!$B$5-Settings!$B$9+1,C1192&lt;=Settings!$B$5,COUNTIFS($B$5:B1192,B1192,$C$5:C1192,"&gt;="&amp;(Settings!$B$5-Settings!$B$9+1),$C$5:C1192,"&lt;="&amp;Settings!$B$5)=1),1,0)</f>
        <v>0</v>
      </c>
      <c r="N1192" s="29" t="n">
        <f aca="false">IF(AND(D1192="Feature Use",COUNTIFS($B$5:B1192,B1192,$D$5:D1192,"Feature Use")=1),1,0)</f>
        <v>0</v>
      </c>
    </row>
    <row r="1193" customFormat="false" ht="15" hidden="false" customHeight="false" outlineLevel="0" collapsed="false">
      <c r="A1193" s="22" t="s">
        <v>1500</v>
      </c>
      <c r="B1193" s="22" t="s">
        <v>267</v>
      </c>
      <c r="C1193" s="31" t="n">
        <v>46301</v>
      </c>
      <c r="D1193" s="22" t="s">
        <v>300</v>
      </c>
      <c r="E1193" s="22" t="s">
        <v>319</v>
      </c>
      <c r="F1193" s="29" t="str">
        <f aca="false">IF(COUNTIF(Referral_Data!$C$5:$C$1000,B1193)&gt;0,"Referred",IF(COUNTIF(Referral_Data!$B$5:$B$1000,B1193)&gt;0,"Referrer","Organic"))</f>
        <v>Referred</v>
      </c>
      <c r="G1193" s="29" t="n">
        <f aca="false">IF(COUNTIFS($B$5:B1193,B1193,$C$5:C1193,C1193)=1,1,0)</f>
        <v>0</v>
      </c>
      <c r="H1193" s="29" t="n">
        <f aca="false">IF(AND(G1193=1,COUNTIFS($B$5:$B$1635,B1193,$C$5:$C$1635,"&lt;"&amp;C1193)&gt;0),1,0)</f>
        <v>0</v>
      </c>
      <c r="I1193" s="29" t="n">
        <f aca="false">IF(AND(D1193="Feature Use",COUNTIFS($B$5:B1193,B1193,$D$5:D1193,"Feature Use",$E$5:E1193,E1193)=1),1,0)</f>
        <v>1</v>
      </c>
      <c r="J1193" s="29" t="n">
        <f aca="false">IF(AND(D1193="Feature Use",COUNTIFS($B$5:B1193,B1193,$D$5:D1193,"Feature Use",$E$5:E1193,E1193)=2),1,0)</f>
        <v>0</v>
      </c>
      <c r="K1193" s="29" t="n">
        <f aca="false">IF(COUNTIF($B$5:B1193,B1193)=1,1,0)</f>
        <v>0</v>
      </c>
      <c r="L1193" s="29" t="n">
        <f aca="false">IF(AND(C1193&gt;=Settings!$B$5-Settings!$B$8+1,C1193&lt;=Settings!$B$5,COUNTIFS($B$5:B1193,B1193,$C$5:C1193,"&gt;="&amp;(Settings!$B$5-Settings!$B$8+1),$C$5:C1193,"&lt;="&amp;Settings!$B$5)=1),1,0)</f>
        <v>0</v>
      </c>
      <c r="M1193" s="29" t="n">
        <f aca="false">IF(AND(C1193&gt;=Settings!$B$5-Settings!$B$9+1,C1193&lt;=Settings!$B$5,COUNTIFS($B$5:B1193,B1193,$C$5:C1193,"&gt;="&amp;(Settings!$B$5-Settings!$B$9+1),$C$5:C1193,"&lt;="&amp;Settings!$B$5)=1),1,0)</f>
        <v>0</v>
      </c>
      <c r="N1193" s="29" t="n">
        <f aca="false">IF(AND(D1193="Feature Use",COUNTIFS($B$5:B1193,B1193,$D$5:D1193,"Feature Use")=1),1,0)</f>
        <v>0</v>
      </c>
    </row>
    <row r="1194" customFormat="false" ht="15" hidden="false" customHeight="false" outlineLevel="0" collapsed="false">
      <c r="A1194" s="22" t="s">
        <v>1501</v>
      </c>
      <c r="B1194" s="22" t="s">
        <v>267</v>
      </c>
      <c r="C1194" s="31" t="n">
        <v>46301</v>
      </c>
      <c r="D1194" s="22" t="s">
        <v>300</v>
      </c>
      <c r="E1194" s="22" t="s">
        <v>319</v>
      </c>
      <c r="F1194" s="29" t="str">
        <f aca="false">IF(COUNTIF(Referral_Data!$C$5:$C$1000,B1194)&gt;0,"Referred",IF(COUNTIF(Referral_Data!$B$5:$B$1000,B1194)&gt;0,"Referrer","Organic"))</f>
        <v>Referred</v>
      </c>
      <c r="G1194" s="29" t="n">
        <f aca="false">IF(COUNTIFS($B$5:B1194,B1194,$C$5:C1194,C1194)=1,1,0)</f>
        <v>0</v>
      </c>
      <c r="H1194" s="29" t="n">
        <f aca="false">IF(AND(G1194=1,COUNTIFS($B$5:$B$1635,B1194,$C$5:$C$1635,"&lt;"&amp;C1194)&gt;0),1,0)</f>
        <v>0</v>
      </c>
      <c r="I1194" s="29" t="n">
        <f aca="false">IF(AND(D1194="Feature Use",COUNTIFS($B$5:B1194,B1194,$D$5:D1194,"Feature Use",$E$5:E1194,E1194)=1),1,0)</f>
        <v>0</v>
      </c>
      <c r="J1194" s="29" t="n">
        <f aca="false">IF(AND(D1194="Feature Use",COUNTIFS($B$5:B1194,B1194,$D$5:D1194,"Feature Use",$E$5:E1194,E1194)=2),1,0)</f>
        <v>1</v>
      </c>
      <c r="K1194" s="29" t="n">
        <f aca="false">IF(COUNTIF($B$5:B1194,B1194)=1,1,0)</f>
        <v>0</v>
      </c>
      <c r="L1194" s="29" t="n">
        <f aca="false">IF(AND(C1194&gt;=Settings!$B$5-Settings!$B$8+1,C1194&lt;=Settings!$B$5,COUNTIFS($B$5:B1194,B1194,$C$5:C1194,"&gt;="&amp;(Settings!$B$5-Settings!$B$8+1),$C$5:C1194,"&lt;="&amp;Settings!$B$5)=1),1,0)</f>
        <v>0</v>
      </c>
      <c r="M1194" s="29" t="n">
        <f aca="false">IF(AND(C1194&gt;=Settings!$B$5-Settings!$B$9+1,C1194&lt;=Settings!$B$5,COUNTIFS($B$5:B1194,B1194,$C$5:C1194,"&gt;="&amp;(Settings!$B$5-Settings!$B$9+1),$C$5:C1194,"&lt;="&amp;Settings!$B$5)=1),1,0)</f>
        <v>0</v>
      </c>
      <c r="N1194" s="29" t="n">
        <f aca="false">IF(AND(D1194="Feature Use",COUNTIFS($B$5:B1194,B1194,$D$5:D1194,"Feature Use")=1),1,0)</f>
        <v>0</v>
      </c>
    </row>
    <row r="1195" customFormat="false" ht="15" hidden="false" customHeight="false" outlineLevel="0" collapsed="false">
      <c r="A1195" s="22" t="s">
        <v>1502</v>
      </c>
      <c r="B1195" s="22" t="s">
        <v>267</v>
      </c>
      <c r="C1195" s="31" t="n">
        <v>46301</v>
      </c>
      <c r="D1195" s="22" t="s">
        <v>308</v>
      </c>
      <c r="E1195" s="22" t="s">
        <v>305</v>
      </c>
      <c r="F1195" s="29" t="str">
        <f aca="false">IF(COUNTIF(Referral_Data!$C$5:$C$1000,B1195)&gt;0,"Referred",IF(COUNTIF(Referral_Data!$B$5:$B$1000,B1195)&gt;0,"Referrer","Organic"))</f>
        <v>Referred</v>
      </c>
      <c r="G1195" s="29" t="n">
        <f aca="false">IF(COUNTIFS($B$5:B1195,B1195,$C$5:C1195,C1195)=1,1,0)</f>
        <v>0</v>
      </c>
      <c r="H1195" s="29" t="n">
        <f aca="false">IF(AND(G1195=1,COUNTIFS($B$5:$B$1635,B1195,$C$5:$C$1635,"&lt;"&amp;C1195)&gt;0),1,0)</f>
        <v>0</v>
      </c>
      <c r="I1195" s="29" t="n">
        <f aca="false">IF(AND(D1195="Feature Use",COUNTIFS($B$5:B1195,B1195,$D$5:D1195,"Feature Use",$E$5:E1195,E1195)=1),1,0)</f>
        <v>0</v>
      </c>
      <c r="J1195" s="29" t="n">
        <f aca="false">IF(AND(D1195="Feature Use",COUNTIFS($B$5:B1195,B1195,$D$5:D1195,"Feature Use",$E$5:E1195,E1195)=2),1,0)</f>
        <v>0</v>
      </c>
      <c r="K1195" s="29" t="n">
        <f aca="false">IF(COUNTIF($B$5:B1195,B1195)=1,1,0)</f>
        <v>0</v>
      </c>
      <c r="L1195" s="29" t="n">
        <f aca="false">IF(AND(C1195&gt;=Settings!$B$5-Settings!$B$8+1,C1195&lt;=Settings!$B$5,COUNTIFS($B$5:B1195,B1195,$C$5:C1195,"&gt;="&amp;(Settings!$B$5-Settings!$B$8+1),$C$5:C1195,"&lt;="&amp;Settings!$B$5)=1),1,0)</f>
        <v>0</v>
      </c>
      <c r="M1195" s="29" t="n">
        <f aca="false">IF(AND(C1195&gt;=Settings!$B$5-Settings!$B$9+1,C1195&lt;=Settings!$B$5,COUNTIFS($B$5:B1195,B1195,$C$5:C1195,"&gt;="&amp;(Settings!$B$5-Settings!$B$9+1),$C$5:C1195,"&lt;="&amp;Settings!$B$5)=1),1,0)</f>
        <v>0</v>
      </c>
      <c r="N1195" s="29" t="n">
        <f aca="false">IF(AND(D1195="Feature Use",COUNTIFS($B$5:B1195,B1195,$D$5:D1195,"Feature Use")=1),1,0)</f>
        <v>0</v>
      </c>
    </row>
    <row r="1196" customFormat="false" ht="15" hidden="false" customHeight="false" outlineLevel="0" collapsed="false">
      <c r="A1196" s="22" t="s">
        <v>1503</v>
      </c>
      <c r="B1196" s="22" t="s">
        <v>269</v>
      </c>
      <c r="C1196" s="31" t="n">
        <v>46301</v>
      </c>
      <c r="D1196" s="22" t="s">
        <v>297</v>
      </c>
      <c r="E1196" s="22" t="s">
        <v>298</v>
      </c>
      <c r="F1196" s="29" t="str">
        <f aca="false">IF(COUNTIF(Referral_Data!$C$5:$C$1000,B1196)&gt;0,"Referred",IF(COUNTIF(Referral_Data!$B$5:$B$1000,B1196)&gt;0,"Referrer","Organic"))</f>
        <v>Referred</v>
      </c>
      <c r="G1196" s="29" t="n">
        <f aca="false">IF(COUNTIFS($B$5:B1196,B1196,$C$5:C1196,C1196)=1,1,0)</f>
        <v>1</v>
      </c>
      <c r="H1196" s="29" t="n">
        <f aca="false">IF(AND(G1196=1,COUNTIFS($B$5:$B$1635,B1196,$C$5:$C$1635,"&lt;"&amp;C1196)&gt;0),1,0)</f>
        <v>1</v>
      </c>
      <c r="I1196" s="29" t="n">
        <f aca="false">IF(AND(D1196="Feature Use",COUNTIFS($B$5:B1196,B1196,$D$5:D1196,"Feature Use",$E$5:E1196,E1196)=1),1,0)</f>
        <v>0</v>
      </c>
      <c r="J1196" s="29" t="n">
        <f aca="false">IF(AND(D1196="Feature Use",COUNTIFS($B$5:B1196,B1196,$D$5:D1196,"Feature Use",$E$5:E1196,E1196)=2),1,0)</f>
        <v>0</v>
      </c>
      <c r="K1196" s="29" t="n">
        <f aca="false">IF(COUNTIF($B$5:B1196,B1196)=1,1,0)</f>
        <v>0</v>
      </c>
      <c r="L1196" s="29" t="n">
        <f aca="false">IF(AND(C1196&gt;=Settings!$B$5-Settings!$B$8+1,C1196&lt;=Settings!$B$5,COUNTIFS($B$5:B1196,B1196,$C$5:C1196,"&gt;="&amp;(Settings!$B$5-Settings!$B$8+1),$C$5:C1196,"&lt;="&amp;Settings!$B$5)=1),1,0)</f>
        <v>0</v>
      </c>
      <c r="M1196" s="29" t="n">
        <f aca="false">IF(AND(C1196&gt;=Settings!$B$5-Settings!$B$9+1,C1196&lt;=Settings!$B$5,COUNTIFS($B$5:B1196,B1196,$C$5:C1196,"&gt;="&amp;(Settings!$B$5-Settings!$B$9+1),$C$5:C1196,"&lt;="&amp;Settings!$B$5)=1),1,0)</f>
        <v>0</v>
      </c>
      <c r="N1196" s="29" t="n">
        <f aca="false">IF(AND(D1196="Feature Use",COUNTIFS($B$5:B1196,B1196,$D$5:D1196,"Feature Use")=1),1,0)</f>
        <v>0</v>
      </c>
    </row>
    <row r="1197" customFormat="false" ht="15" hidden="false" customHeight="false" outlineLevel="0" collapsed="false">
      <c r="A1197" s="22" t="s">
        <v>1504</v>
      </c>
      <c r="B1197" s="22" t="s">
        <v>269</v>
      </c>
      <c r="C1197" s="31" t="n">
        <v>46301</v>
      </c>
      <c r="D1197" s="22" t="s">
        <v>300</v>
      </c>
      <c r="E1197" s="22" t="s">
        <v>311</v>
      </c>
      <c r="F1197" s="29" t="str">
        <f aca="false">IF(COUNTIF(Referral_Data!$C$5:$C$1000,B1197)&gt;0,"Referred",IF(COUNTIF(Referral_Data!$B$5:$B$1000,B1197)&gt;0,"Referrer","Organic"))</f>
        <v>Referred</v>
      </c>
      <c r="G1197" s="29" t="n">
        <f aca="false">IF(COUNTIFS($B$5:B1197,B1197,$C$5:C1197,C1197)=1,1,0)</f>
        <v>0</v>
      </c>
      <c r="H1197" s="29" t="n">
        <f aca="false">IF(AND(G1197=1,COUNTIFS($B$5:$B$1635,B1197,$C$5:$C$1635,"&lt;"&amp;C1197)&gt;0),1,0)</f>
        <v>0</v>
      </c>
      <c r="I1197" s="29" t="n">
        <f aca="false">IF(AND(D1197="Feature Use",COUNTIFS($B$5:B1197,B1197,$D$5:D1197,"Feature Use",$E$5:E1197,E1197)=1),1,0)</f>
        <v>0</v>
      </c>
      <c r="J1197" s="29" t="n">
        <f aca="false">IF(AND(D1197="Feature Use",COUNTIFS($B$5:B1197,B1197,$D$5:D1197,"Feature Use",$E$5:E1197,E1197)=2),1,0)</f>
        <v>0</v>
      </c>
      <c r="K1197" s="29" t="n">
        <f aca="false">IF(COUNTIF($B$5:B1197,B1197)=1,1,0)</f>
        <v>0</v>
      </c>
      <c r="L1197" s="29" t="n">
        <f aca="false">IF(AND(C1197&gt;=Settings!$B$5-Settings!$B$8+1,C1197&lt;=Settings!$B$5,COUNTIFS($B$5:B1197,B1197,$C$5:C1197,"&gt;="&amp;(Settings!$B$5-Settings!$B$8+1),$C$5:C1197,"&lt;="&amp;Settings!$B$5)=1),1,0)</f>
        <v>0</v>
      </c>
      <c r="M1197" s="29" t="n">
        <f aca="false">IF(AND(C1197&gt;=Settings!$B$5-Settings!$B$9+1,C1197&lt;=Settings!$B$5,COUNTIFS($B$5:B1197,B1197,$C$5:C1197,"&gt;="&amp;(Settings!$B$5-Settings!$B$9+1),$C$5:C1197,"&lt;="&amp;Settings!$B$5)=1),1,0)</f>
        <v>0</v>
      </c>
      <c r="N1197" s="29" t="n">
        <f aca="false">IF(AND(D1197="Feature Use",COUNTIFS($B$5:B1197,B1197,$D$5:D1197,"Feature Use")=1),1,0)</f>
        <v>0</v>
      </c>
    </row>
    <row r="1198" customFormat="false" ht="15" hidden="false" customHeight="false" outlineLevel="0" collapsed="false">
      <c r="A1198" s="22" t="s">
        <v>1505</v>
      </c>
      <c r="B1198" s="22" t="s">
        <v>269</v>
      </c>
      <c r="C1198" s="31" t="n">
        <v>46301</v>
      </c>
      <c r="D1198" s="22" t="s">
        <v>308</v>
      </c>
      <c r="E1198" s="22" t="s">
        <v>311</v>
      </c>
      <c r="F1198" s="29" t="str">
        <f aca="false">IF(COUNTIF(Referral_Data!$C$5:$C$1000,B1198)&gt;0,"Referred",IF(COUNTIF(Referral_Data!$B$5:$B$1000,B1198)&gt;0,"Referrer","Organic"))</f>
        <v>Referred</v>
      </c>
      <c r="G1198" s="29" t="n">
        <f aca="false">IF(COUNTIFS($B$5:B1198,B1198,$C$5:C1198,C1198)=1,1,0)</f>
        <v>0</v>
      </c>
      <c r="H1198" s="29" t="n">
        <f aca="false">IF(AND(G1198=1,COUNTIFS($B$5:$B$1635,B1198,$C$5:$C$1635,"&lt;"&amp;C1198)&gt;0),1,0)</f>
        <v>0</v>
      </c>
      <c r="I1198" s="29" t="n">
        <f aca="false">IF(AND(D1198="Feature Use",COUNTIFS($B$5:B1198,B1198,$D$5:D1198,"Feature Use",$E$5:E1198,E1198)=1),1,0)</f>
        <v>0</v>
      </c>
      <c r="J1198" s="29" t="n">
        <f aca="false">IF(AND(D1198="Feature Use",COUNTIFS($B$5:B1198,B1198,$D$5:D1198,"Feature Use",$E$5:E1198,E1198)=2),1,0)</f>
        <v>0</v>
      </c>
      <c r="K1198" s="29" t="n">
        <f aca="false">IF(COUNTIF($B$5:B1198,B1198)=1,1,0)</f>
        <v>0</v>
      </c>
      <c r="L1198" s="29" t="n">
        <f aca="false">IF(AND(C1198&gt;=Settings!$B$5-Settings!$B$8+1,C1198&lt;=Settings!$B$5,COUNTIFS($B$5:B1198,B1198,$C$5:C1198,"&gt;="&amp;(Settings!$B$5-Settings!$B$8+1),$C$5:C1198,"&lt;="&amp;Settings!$B$5)=1),1,0)</f>
        <v>0</v>
      </c>
      <c r="M1198" s="29" t="n">
        <f aca="false">IF(AND(C1198&gt;=Settings!$B$5-Settings!$B$9+1,C1198&lt;=Settings!$B$5,COUNTIFS($B$5:B1198,B1198,$C$5:C1198,"&gt;="&amp;(Settings!$B$5-Settings!$B$9+1),$C$5:C1198,"&lt;="&amp;Settings!$B$5)=1),1,0)</f>
        <v>0</v>
      </c>
      <c r="N1198" s="29" t="n">
        <f aca="false">IF(AND(D1198="Feature Use",COUNTIFS($B$5:B1198,B1198,$D$5:D1198,"Feature Use")=1),1,0)</f>
        <v>0</v>
      </c>
    </row>
    <row r="1199" customFormat="false" ht="15" hidden="false" customHeight="false" outlineLevel="0" collapsed="false">
      <c r="A1199" s="22" t="s">
        <v>1506</v>
      </c>
      <c r="B1199" s="22" t="s">
        <v>170</v>
      </c>
      <c r="C1199" s="31" t="n">
        <v>46301</v>
      </c>
      <c r="D1199" s="22" t="s">
        <v>297</v>
      </c>
      <c r="E1199" s="22" t="s">
        <v>298</v>
      </c>
      <c r="F1199" s="29" t="str">
        <f aca="false">IF(COUNTIF(Referral_Data!$C$5:$C$1000,B1199)&gt;0,"Referred",IF(COUNTIF(Referral_Data!$B$5:$B$1000,B1199)&gt;0,"Referrer","Organic"))</f>
        <v>Referrer</v>
      </c>
      <c r="G1199" s="29" t="n">
        <f aca="false">IF(COUNTIFS($B$5:B1199,B1199,$C$5:C1199,C1199)=1,1,0)</f>
        <v>1</v>
      </c>
      <c r="H1199" s="29" t="n">
        <f aca="false">IF(AND(G1199=1,COUNTIFS($B$5:$B$1635,B1199,$C$5:$C$1635,"&lt;"&amp;C1199)&gt;0),1,0)</f>
        <v>1</v>
      </c>
      <c r="I1199" s="29" t="n">
        <f aca="false">IF(AND(D1199="Feature Use",COUNTIFS($B$5:B1199,B1199,$D$5:D1199,"Feature Use",$E$5:E1199,E1199)=1),1,0)</f>
        <v>0</v>
      </c>
      <c r="J1199" s="29" t="n">
        <f aca="false">IF(AND(D1199="Feature Use",COUNTIFS($B$5:B1199,B1199,$D$5:D1199,"Feature Use",$E$5:E1199,E1199)=2),1,0)</f>
        <v>0</v>
      </c>
      <c r="K1199" s="29" t="n">
        <f aca="false">IF(COUNTIF($B$5:B1199,B1199)=1,1,0)</f>
        <v>0</v>
      </c>
      <c r="L1199" s="29" t="n">
        <f aca="false">IF(AND(C1199&gt;=Settings!$B$5-Settings!$B$8+1,C1199&lt;=Settings!$B$5,COUNTIFS($B$5:B1199,B1199,$C$5:C1199,"&gt;="&amp;(Settings!$B$5-Settings!$B$8+1),$C$5:C1199,"&lt;="&amp;Settings!$B$5)=1),1,0)</f>
        <v>0</v>
      </c>
      <c r="M1199" s="29" t="n">
        <f aca="false">IF(AND(C1199&gt;=Settings!$B$5-Settings!$B$9+1,C1199&lt;=Settings!$B$5,COUNTIFS($B$5:B1199,B1199,$C$5:C1199,"&gt;="&amp;(Settings!$B$5-Settings!$B$9+1),$C$5:C1199,"&lt;="&amp;Settings!$B$5)=1),1,0)</f>
        <v>0</v>
      </c>
      <c r="N1199" s="29" t="n">
        <f aca="false">IF(AND(D1199="Feature Use",COUNTIFS($B$5:B1199,B1199,$D$5:D1199,"Feature Use")=1),1,0)</f>
        <v>0</v>
      </c>
    </row>
    <row r="1200" customFormat="false" ht="15" hidden="false" customHeight="false" outlineLevel="0" collapsed="false">
      <c r="A1200" s="22" t="s">
        <v>1507</v>
      </c>
      <c r="B1200" s="22" t="s">
        <v>170</v>
      </c>
      <c r="C1200" s="31" t="n">
        <v>46301</v>
      </c>
      <c r="D1200" s="22" t="s">
        <v>300</v>
      </c>
      <c r="E1200" s="22" t="s">
        <v>301</v>
      </c>
      <c r="F1200" s="29" t="str">
        <f aca="false">IF(COUNTIF(Referral_Data!$C$5:$C$1000,B1200)&gt;0,"Referred",IF(COUNTIF(Referral_Data!$B$5:$B$1000,B1200)&gt;0,"Referrer","Organic"))</f>
        <v>Referrer</v>
      </c>
      <c r="G1200" s="29" t="n">
        <f aca="false">IF(COUNTIFS($B$5:B1200,B1200,$C$5:C1200,C1200)=1,1,0)</f>
        <v>0</v>
      </c>
      <c r="H1200" s="29" t="n">
        <f aca="false">IF(AND(G1200=1,COUNTIFS($B$5:$B$1635,B1200,$C$5:$C$1635,"&lt;"&amp;C1200)&gt;0),1,0)</f>
        <v>0</v>
      </c>
      <c r="I1200" s="29" t="n">
        <f aca="false">IF(AND(D1200="Feature Use",COUNTIFS($B$5:B1200,B1200,$D$5:D1200,"Feature Use",$E$5:E1200,E1200)=1),1,0)</f>
        <v>0</v>
      </c>
      <c r="J1200" s="29" t="n">
        <f aca="false">IF(AND(D1200="Feature Use",COUNTIFS($B$5:B1200,B1200,$D$5:D1200,"Feature Use",$E$5:E1200,E1200)=2),1,0)</f>
        <v>0</v>
      </c>
      <c r="K1200" s="29" t="n">
        <f aca="false">IF(COUNTIF($B$5:B1200,B1200)=1,1,0)</f>
        <v>0</v>
      </c>
      <c r="L1200" s="29" t="n">
        <f aca="false">IF(AND(C1200&gt;=Settings!$B$5-Settings!$B$8+1,C1200&lt;=Settings!$B$5,COUNTIFS($B$5:B1200,B1200,$C$5:C1200,"&gt;="&amp;(Settings!$B$5-Settings!$B$8+1),$C$5:C1200,"&lt;="&amp;Settings!$B$5)=1),1,0)</f>
        <v>0</v>
      </c>
      <c r="M1200" s="29" t="n">
        <f aca="false">IF(AND(C1200&gt;=Settings!$B$5-Settings!$B$9+1,C1200&lt;=Settings!$B$5,COUNTIFS($B$5:B1200,B1200,$C$5:C1200,"&gt;="&amp;(Settings!$B$5-Settings!$B$9+1),$C$5:C1200,"&lt;="&amp;Settings!$B$5)=1),1,0)</f>
        <v>0</v>
      </c>
      <c r="N1200" s="29" t="n">
        <f aca="false">IF(AND(D1200="Feature Use",COUNTIFS($B$5:B1200,B1200,$D$5:D1200,"Feature Use")=1),1,0)</f>
        <v>0</v>
      </c>
    </row>
    <row r="1201" customFormat="false" ht="15" hidden="false" customHeight="false" outlineLevel="0" collapsed="false">
      <c r="A1201" s="22" t="s">
        <v>1508</v>
      </c>
      <c r="B1201" s="22" t="s">
        <v>170</v>
      </c>
      <c r="C1201" s="31" t="n">
        <v>46301</v>
      </c>
      <c r="D1201" s="22" t="s">
        <v>308</v>
      </c>
      <c r="E1201" s="22" t="s">
        <v>311</v>
      </c>
      <c r="F1201" s="29" t="str">
        <f aca="false">IF(COUNTIF(Referral_Data!$C$5:$C$1000,B1201)&gt;0,"Referred",IF(COUNTIF(Referral_Data!$B$5:$B$1000,B1201)&gt;0,"Referrer","Organic"))</f>
        <v>Referrer</v>
      </c>
      <c r="G1201" s="29" t="n">
        <f aca="false">IF(COUNTIFS($B$5:B1201,B1201,$C$5:C1201,C1201)=1,1,0)</f>
        <v>0</v>
      </c>
      <c r="H1201" s="29" t="n">
        <f aca="false">IF(AND(G1201=1,COUNTIFS($B$5:$B$1635,B1201,$C$5:$C$1635,"&lt;"&amp;C1201)&gt;0),1,0)</f>
        <v>0</v>
      </c>
      <c r="I1201" s="29" t="n">
        <f aca="false">IF(AND(D1201="Feature Use",COUNTIFS($B$5:B1201,B1201,$D$5:D1201,"Feature Use",$E$5:E1201,E1201)=1),1,0)</f>
        <v>0</v>
      </c>
      <c r="J1201" s="29" t="n">
        <f aca="false">IF(AND(D1201="Feature Use",COUNTIFS($B$5:B1201,B1201,$D$5:D1201,"Feature Use",$E$5:E1201,E1201)=2),1,0)</f>
        <v>0</v>
      </c>
      <c r="K1201" s="29" t="n">
        <f aca="false">IF(COUNTIF($B$5:B1201,B1201)=1,1,0)</f>
        <v>0</v>
      </c>
      <c r="L1201" s="29" t="n">
        <f aca="false">IF(AND(C1201&gt;=Settings!$B$5-Settings!$B$8+1,C1201&lt;=Settings!$B$5,COUNTIFS($B$5:B1201,B1201,$C$5:C1201,"&gt;="&amp;(Settings!$B$5-Settings!$B$8+1),$C$5:C1201,"&lt;="&amp;Settings!$B$5)=1),1,0)</f>
        <v>0</v>
      </c>
      <c r="M1201" s="29" t="n">
        <f aca="false">IF(AND(C1201&gt;=Settings!$B$5-Settings!$B$9+1,C1201&lt;=Settings!$B$5,COUNTIFS($B$5:B1201,B1201,$C$5:C1201,"&gt;="&amp;(Settings!$B$5-Settings!$B$9+1),$C$5:C1201,"&lt;="&amp;Settings!$B$5)=1),1,0)</f>
        <v>0</v>
      </c>
      <c r="N1201" s="29" t="n">
        <f aca="false">IF(AND(D1201="Feature Use",COUNTIFS($B$5:B1201,B1201,$D$5:D1201,"Feature Use")=1),1,0)</f>
        <v>0</v>
      </c>
    </row>
    <row r="1202" customFormat="false" ht="15" hidden="false" customHeight="false" outlineLevel="0" collapsed="false">
      <c r="A1202" s="22" t="s">
        <v>1509</v>
      </c>
      <c r="B1202" s="22" t="s">
        <v>170</v>
      </c>
      <c r="C1202" s="31" t="n">
        <v>46301</v>
      </c>
      <c r="D1202" s="22" t="s">
        <v>308</v>
      </c>
      <c r="E1202" s="22" t="s">
        <v>319</v>
      </c>
      <c r="F1202" s="29" t="str">
        <f aca="false">IF(COUNTIF(Referral_Data!$C$5:$C$1000,B1202)&gt;0,"Referred",IF(COUNTIF(Referral_Data!$B$5:$B$1000,B1202)&gt;0,"Referrer","Organic"))</f>
        <v>Referrer</v>
      </c>
      <c r="G1202" s="29" t="n">
        <f aca="false">IF(COUNTIFS($B$5:B1202,B1202,$C$5:C1202,C1202)=1,1,0)</f>
        <v>0</v>
      </c>
      <c r="H1202" s="29" t="n">
        <f aca="false">IF(AND(G1202=1,COUNTIFS($B$5:$B$1635,B1202,$C$5:$C$1635,"&lt;"&amp;C1202)&gt;0),1,0)</f>
        <v>0</v>
      </c>
      <c r="I1202" s="29" t="n">
        <f aca="false">IF(AND(D1202="Feature Use",COUNTIFS($B$5:B1202,B1202,$D$5:D1202,"Feature Use",$E$5:E1202,E1202)=1),1,0)</f>
        <v>0</v>
      </c>
      <c r="J1202" s="29" t="n">
        <f aca="false">IF(AND(D1202="Feature Use",COUNTIFS($B$5:B1202,B1202,$D$5:D1202,"Feature Use",$E$5:E1202,E1202)=2),1,0)</f>
        <v>0</v>
      </c>
      <c r="K1202" s="29" t="n">
        <f aca="false">IF(COUNTIF($B$5:B1202,B1202)=1,1,0)</f>
        <v>0</v>
      </c>
      <c r="L1202" s="29" t="n">
        <f aca="false">IF(AND(C1202&gt;=Settings!$B$5-Settings!$B$8+1,C1202&lt;=Settings!$B$5,COUNTIFS($B$5:B1202,B1202,$C$5:C1202,"&gt;="&amp;(Settings!$B$5-Settings!$B$8+1),$C$5:C1202,"&lt;="&amp;Settings!$B$5)=1),1,0)</f>
        <v>0</v>
      </c>
      <c r="M1202" s="29" t="n">
        <f aca="false">IF(AND(C1202&gt;=Settings!$B$5-Settings!$B$9+1,C1202&lt;=Settings!$B$5,COUNTIFS($B$5:B1202,B1202,$C$5:C1202,"&gt;="&amp;(Settings!$B$5-Settings!$B$9+1),$C$5:C1202,"&lt;="&amp;Settings!$B$5)=1),1,0)</f>
        <v>0</v>
      </c>
      <c r="N1202" s="29" t="n">
        <f aca="false">IF(AND(D1202="Feature Use",COUNTIFS($B$5:B1202,B1202,$D$5:D1202,"Feature Use")=1),1,0)</f>
        <v>0</v>
      </c>
    </row>
    <row r="1203" customFormat="false" ht="15" hidden="false" customHeight="false" outlineLevel="0" collapsed="false">
      <c r="A1203" s="22" t="s">
        <v>1510</v>
      </c>
      <c r="B1203" s="22" t="s">
        <v>190</v>
      </c>
      <c r="C1203" s="31" t="n">
        <v>46301</v>
      </c>
      <c r="D1203" s="22" t="s">
        <v>297</v>
      </c>
      <c r="E1203" s="22" t="s">
        <v>298</v>
      </c>
      <c r="F1203" s="29" t="str">
        <f aca="false">IF(COUNTIF(Referral_Data!$C$5:$C$1000,B1203)&gt;0,"Referred",IF(COUNTIF(Referral_Data!$B$5:$B$1000,B1203)&gt;0,"Referrer","Organic"))</f>
        <v>Referrer</v>
      </c>
      <c r="G1203" s="29" t="n">
        <f aca="false">IF(COUNTIFS($B$5:B1203,B1203,$C$5:C1203,C1203)=1,1,0)</f>
        <v>1</v>
      </c>
      <c r="H1203" s="29" t="n">
        <f aca="false">IF(AND(G1203=1,COUNTIFS($B$5:$B$1635,B1203,$C$5:$C$1635,"&lt;"&amp;C1203)&gt;0),1,0)</f>
        <v>1</v>
      </c>
      <c r="I1203" s="29" t="n">
        <f aca="false">IF(AND(D1203="Feature Use",COUNTIFS($B$5:B1203,B1203,$D$5:D1203,"Feature Use",$E$5:E1203,E1203)=1),1,0)</f>
        <v>0</v>
      </c>
      <c r="J1203" s="29" t="n">
        <f aca="false">IF(AND(D1203="Feature Use",COUNTIFS($B$5:B1203,B1203,$D$5:D1203,"Feature Use",$E$5:E1203,E1203)=2),1,0)</f>
        <v>0</v>
      </c>
      <c r="K1203" s="29" t="n">
        <f aca="false">IF(COUNTIF($B$5:B1203,B1203)=1,1,0)</f>
        <v>0</v>
      </c>
      <c r="L1203" s="29" t="n">
        <f aca="false">IF(AND(C1203&gt;=Settings!$B$5-Settings!$B$8+1,C1203&lt;=Settings!$B$5,COUNTIFS($B$5:B1203,B1203,$C$5:C1203,"&gt;="&amp;(Settings!$B$5-Settings!$B$8+1),$C$5:C1203,"&lt;="&amp;Settings!$B$5)=1),1,0)</f>
        <v>0</v>
      </c>
      <c r="M1203" s="29" t="n">
        <f aca="false">IF(AND(C1203&gt;=Settings!$B$5-Settings!$B$9+1,C1203&lt;=Settings!$B$5,COUNTIFS($B$5:B1203,B1203,$C$5:C1203,"&gt;="&amp;(Settings!$B$5-Settings!$B$9+1),$C$5:C1203,"&lt;="&amp;Settings!$B$5)=1),1,0)</f>
        <v>0</v>
      </c>
      <c r="N1203" s="29" t="n">
        <f aca="false">IF(AND(D1203="Feature Use",COUNTIFS($B$5:B1203,B1203,$D$5:D1203,"Feature Use")=1),1,0)</f>
        <v>0</v>
      </c>
    </row>
    <row r="1204" customFormat="false" ht="15" hidden="false" customHeight="false" outlineLevel="0" collapsed="false">
      <c r="A1204" s="22" t="s">
        <v>1511</v>
      </c>
      <c r="B1204" s="22" t="s">
        <v>190</v>
      </c>
      <c r="C1204" s="31" t="n">
        <v>46301</v>
      </c>
      <c r="D1204" s="22" t="s">
        <v>300</v>
      </c>
      <c r="E1204" s="22" t="s">
        <v>311</v>
      </c>
      <c r="F1204" s="29" t="str">
        <f aca="false">IF(COUNTIF(Referral_Data!$C$5:$C$1000,B1204)&gt;0,"Referred",IF(COUNTIF(Referral_Data!$B$5:$B$1000,B1204)&gt;0,"Referrer","Organic"))</f>
        <v>Referrer</v>
      </c>
      <c r="G1204" s="29" t="n">
        <f aca="false">IF(COUNTIFS($B$5:B1204,B1204,$C$5:C1204,C1204)=1,1,0)</f>
        <v>0</v>
      </c>
      <c r="H1204" s="29" t="n">
        <f aca="false">IF(AND(G1204=1,COUNTIFS($B$5:$B$1635,B1204,$C$5:$C$1635,"&lt;"&amp;C1204)&gt;0),1,0)</f>
        <v>0</v>
      </c>
      <c r="I1204" s="29" t="n">
        <f aca="false">IF(AND(D1204="Feature Use",COUNTIFS($B$5:B1204,B1204,$D$5:D1204,"Feature Use",$E$5:E1204,E1204)=1),1,0)</f>
        <v>0</v>
      </c>
      <c r="J1204" s="29" t="n">
        <f aca="false">IF(AND(D1204="Feature Use",COUNTIFS($B$5:B1204,B1204,$D$5:D1204,"Feature Use",$E$5:E1204,E1204)=2),1,0)</f>
        <v>0</v>
      </c>
      <c r="K1204" s="29" t="n">
        <f aca="false">IF(COUNTIF($B$5:B1204,B1204)=1,1,0)</f>
        <v>0</v>
      </c>
      <c r="L1204" s="29" t="n">
        <f aca="false">IF(AND(C1204&gt;=Settings!$B$5-Settings!$B$8+1,C1204&lt;=Settings!$B$5,COUNTIFS($B$5:B1204,B1204,$C$5:C1204,"&gt;="&amp;(Settings!$B$5-Settings!$B$8+1),$C$5:C1204,"&lt;="&amp;Settings!$B$5)=1),1,0)</f>
        <v>0</v>
      </c>
      <c r="M1204" s="29" t="n">
        <f aca="false">IF(AND(C1204&gt;=Settings!$B$5-Settings!$B$9+1,C1204&lt;=Settings!$B$5,COUNTIFS($B$5:B1204,B1204,$C$5:C1204,"&gt;="&amp;(Settings!$B$5-Settings!$B$9+1),$C$5:C1204,"&lt;="&amp;Settings!$B$5)=1),1,0)</f>
        <v>0</v>
      </c>
      <c r="N1204" s="29" t="n">
        <f aca="false">IF(AND(D1204="Feature Use",COUNTIFS($B$5:B1204,B1204,$D$5:D1204,"Feature Use")=1),1,0)</f>
        <v>0</v>
      </c>
    </row>
    <row r="1205" customFormat="false" ht="15" hidden="false" customHeight="false" outlineLevel="0" collapsed="false">
      <c r="A1205" s="22" t="s">
        <v>1512</v>
      </c>
      <c r="B1205" s="22" t="s">
        <v>303</v>
      </c>
      <c r="C1205" s="31" t="n">
        <v>46302</v>
      </c>
      <c r="D1205" s="22" t="s">
        <v>297</v>
      </c>
      <c r="E1205" s="22" t="s">
        <v>298</v>
      </c>
      <c r="F1205" s="29" t="str">
        <f aca="false">IF(COUNTIF(Referral_Data!$C$5:$C$1000,B1205)&gt;0,"Referred",IF(COUNTIF(Referral_Data!$B$5:$B$1000,B1205)&gt;0,"Referrer","Organic"))</f>
        <v>Organic</v>
      </c>
      <c r="G1205" s="29" t="n">
        <f aca="false">IF(COUNTIFS($B$5:B1205,B1205,$C$5:C1205,C1205)=1,1,0)</f>
        <v>1</v>
      </c>
      <c r="H1205" s="29" t="n">
        <f aca="false">IF(AND(G1205=1,COUNTIFS($B$5:$B$1635,B1205,$C$5:$C$1635,"&lt;"&amp;C1205)&gt;0),1,0)</f>
        <v>1</v>
      </c>
      <c r="I1205" s="29" t="n">
        <f aca="false">IF(AND(D1205="Feature Use",COUNTIFS($B$5:B1205,B1205,$D$5:D1205,"Feature Use",$E$5:E1205,E1205)=1),1,0)</f>
        <v>0</v>
      </c>
      <c r="J1205" s="29" t="n">
        <f aca="false">IF(AND(D1205="Feature Use",COUNTIFS($B$5:B1205,B1205,$D$5:D1205,"Feature Use",$E$5:E1205,E1205)=2),1,0)</f>
        <v>0</v>
      </c>
      <c r="K1205" s="29" t="n">
        <f aca="false">IF(COUNTIF($B$5:B1205,B1205)=1,1,0)</f>
        <v>0</v>
      </c>
      <c r="L1205" s="29" t="n">
        <f aca="false">IF(AND(C1205&gt;=Settings!$B$5-Settings!$B$8+1,C1205&lt;=Settings!$B$5,COUNTIFS($B$5:B1205,B1205,$C$5:C1205,"&gt;="&amp;(Settings!$B$5-Settings!$B$8+1),$C$5:C1205,"&lt;="&amp;Settings!$B$5)=1),1,0)</f>
        <v>0</v>
      </c>
      <c r="M1205" s="29" t="n">
        <f aca="false">IF(AND(C1205&gt;=Settings!$B$5-Settings!$B$9+1,C1205&lt;=Settings!$B$5,COUNTIFS($B$5:B1205,B1205,$C$5:C1205,"&gt;="&amp;(Settings!$B$5-Settings!$B$9+1),$C$5:C1205,"&lt;="&amp;Settings!$B$5)=1),1,0)</f>
        <v>0</v>
      </c>
      <c r="N1205" s="29" t="n">
        <f aca="false">IF(AND(D1205="Feature Use",COUNTIFS($B$5:B1205,B1205,$D$5:D1205,"Feature Use")=1),1,0)</f>
        <v>0</v>
      </c>
    </row>
    <row r="1206" customFormat="false" ht="15" hidden="false" customHeight="false" outlineLevel="0" collapsed="false">
      <c r="A1206" s="22" t="s">
        <v>1513</v>
      </c>
      <c r="B1206" s="22" t="s">
        <v>303</v>
      </c>
      <c r="C1206" s="31" t="n">
        <v>46302</v>
      </c>
      <c r="D1206" s="22" t="s">
        <v>300</v>
      </c>
      <c r="E1206" s="22" t="s">
        <v>301</v>
      </c>
      <c r="F1206" s="29" t="str">
        <f aca="false">IF(COUNTIF(Referral_Data!$C$5:$C$1000,B1206)&gt;0,"Referred",IF(COUNTIF(Referral_Data!$B$5:$B$1000,B1206)&gt;0,"Referrer","Organic"))</f>
        <v>Organic</v>
      </c>
      <c r="G1206" s="29" t="n">
        <f aca="false">IF(COUNTIFS($B$5:B1206,B1206,$C$5:C1206,C1206)=1,1,0)</f>
        <v>0</v>
      </c>
      <c r="H1206" s="29" t="n">
        <f aca="false">IF(AND(G1206=1,COUNTIFS($B$5:$B$1635,B1206,$C$5:$C$1635,"&lt;"&amp;C1206)&gt;0),1,0)</f>
        <v>0</v>
      </c>
      <c r="I1206" s="29" t="n">
        <f aca="false">IF(AND(D1206="Feature Use",COUNTIFS($B$5:B1206,B1206,$D$5:D1206,"Feature Use",$E$5:E1206,E1206)=1),1,0)</f>
        <v>0</v>
      </c>
      <c r="J1206" s="29" t="n">
        <f aca="false">IF(AND(D1206="Feature Use",COUNTIFS($B$5:B1206,B1206,$D$5:D1206,"Feature Use",$E$5:E1206,E1206)=2),1,0)</f>
        <v>0</v>
      </c>
      <c r="K1206" s="29" t="n">
        <f aca="false">IF(COUNTIF($B$5:B1206,B1206)=1,1,0)</f>
        <v>0</v>
      </c>
      <c r="L1206" s="29" t="n">
        <f aca="false">IF(AND(C1206&gt;=Settings!$B$5-Settings!$B$8+1,C1206&lt;=Settings!$B$5,COUNTIFS($B$5:B1206,B1206,$C$5:C1206,"&gt;="&amp;(Settings!$B$5-Settings!$B$8+1),$C$5:C1206,"&lt;="&amp;Settings!$B$5)=1),1,0)</f>
        <v>0</v>
      </c>
      <c r="M1206" s="29" t="n">
        <f aca="false">IF(AND(C1206&gt;=Settings!$B$5-Settings!$B$9+1,C1206&lt;=Settings!$B$5,COUNTIFS($B$5:B1206,B1206,$C$5:C1206,"&gt;="&amp;(Settings!$B$5-Settings!$B$9+1),$C$5:C1206,"&lt;="&amp;Settings!$B$5)=1),1,0)</f>
        <v>0</v>
      </c>
      <c r="N1206" s="29" t="n">
        <f aca="false">IF(AND(D1206="Feature Use",COUNTIFS($B$5:B1206,B1206,$D$5:D1206,"Feature Use")=1),1,0)</f>
        <v>0</v>
      </c>
    </row>
    <row r="1207" customFormat="false" ht="15" hidden="false" customHeight="false" outlineLevel="0" collapsed="false">
      <c r="A1207" s="22" t="s">
        <v>1514</v>
      </c>
      <c r="B1207" s="22" t="s">
        <v>230</v>
      </c>
      <c r="C1207" s="31" t="n">
        <v>46302</v>
      </c>
      <c r="D1207" s="22" t="s">
        <v>297</v>
      </c>
      <c r="E1207" s="22" t="s">
        <v>298</v>
      </c>
      <c r="F1207" s="29" t="str">
        <f aca="false">IF(COUNTIF(Referral_Data!$C$5:$C$1000,B1207)&gt;0,"Referred",IF(COUNTIF(Referral_Data!$B$5:$B$1000,B1207)&gt;0,"Referrer","Organic"))</f>
        <v>Referred</v>
      </c>
      <c r="G1207" s="29" t="n">
        <f aca="false">IF(COUNTIFS($B$5:B1207,B1207,$C$5:C1207,C1207)=1,1,0)</f>
        <v>1</v>
      </c>
      <c r="H1207" s="29" t="n">
        <f aca="false">IF(AND(G1207=1,COUNTIFS($B$5:$B$1635,B1207,$C$5:$C$1635,"&lt;"&amp;C1207)&gt;0),1,0)</f>
        <v>1</v>
      </c>
      <c r="I1207" s="29" t="n">
        <f aca="false">IF(AND(D1207="Feature Use",COUNTIFS($B$5:B1207,B1207,$D$5:D1207,"Feature Use",$E$5:E1207,E1207)=1),1,0)</f>
        <v>0</v>
      </c>
      <c r="J1207" s="29" t="n">
        <f aca="false">IF(AND(D1207="Feature Use",COUNTIFS($B$5:B1207,B1207,$D$5:D1207,"Feature Use",$E$5:E1207,E1207)=2),1,0)</f>
        <v>0</v>
      </c>
      <c r="K1207" s="29" t="n">
        <f aca="false">IF(COUNTIF($B$5:B1207,B1207)=1,1,0)</f>
        <v>0</v>
      </c>
      <c r="L1207" s="29" t="n">
        <f aca="false">IF(AND(C1207&gt;=Settings!$B$5-Settings!$B$8+1,C1207&lt;=Settings!$B$5,COUNTIFS($B$5:B1207,B1207,$C$5:C1207,"&gt;="&amp;(Settings!$B$5-Settings!$B$8+1),$C$5:C1207,"&lt;="&amp;Settings!$B$5)=1),1,0)</f>
        <v>0</v>
      </c>
      <c r="M1207" s="29" t="n">
        <f aca="false">IF(AND(C1207&gt;=Settings!$B$5-Settings!$B$9+1,C1207&lt;=Settings!$B$5,COUNTIFS($B$5:B1207,B1207,$C$5:C1207,"&gt;="&amp;(Settings!$B$5-Settings!$B$9+1),$C$5:C1207,"&lt;="&amp;Settings!$B$5)=1),1,0)</f>
        <v>0</v>
      </c>
      <c r="N1207" s="29" t="n">
        <f aca="false">IF(AND(D1207="Feature Use",COUNTIFS($B$5:B1207,B1207,$D$5:D1207,"Feature Use")=1),1,0)</f>
        <v>0</v>
      </c>
    </row>
    <row r="1208" customFormat="false" ht="15" hidden="false" customHeight="false" outlineLevel="0" collapsed="false">
      <c r="A1208" s="22" t="s">
        <v>1515</v>
      </c>
      <c r="B1208" s="22" t="s">
        <v>230</v>
      </c>
      <c r="C1208" s="31" t="n">
        <v>46302</v>
      </c>
      <c r="D1208" s="22" t="s">
        <v>300</v>
      </c>
      <c r="E1208" s="22" t="s">
        <v>301</v>
      </c>
      <c r="F1208" s="29" t="str">
        <f aca="false">IF(COUNTIF(Referral_Data!$C$5:$C$1000,B1208)&gt;0,"Referred",IF(COUNTIF(Referral_Data!$B$5:$B$1000,B1208)&gt;0,"Referrer","Organic"))</f>
        <v>Referred</v>
      </c>
      <c r="G1208" s="29" t="n">
        <f aca="false">IF(COUNTIFS($B$5:B1208,B1208,$C$5:C1208,C1208)=1,1,0)</f>
        <v>0</v>
      </c>
      <c r="H1208" s="29" t="n">
        <f aca="false">IF(AND(G1208=1,COUNTIFS($B$5:$B$1635,B1208,$C$5:$C$1635,"&lt;"&amp;C1208)&gt;0),1,0)</f>
        <v>0</v>
      </c>
      <c r="I1208" s="29" t="n">
        <f aca="false">IF(AND(D1208="Feature Use",COUNTIFS($B$5:B1208,B1208,$D$5:D1208,"Feature Use",$E$5:E1208,E1208)=1),1,0)</f>
        <v>0</v>
      </c>
      <c r="J1208" s="29" t="n">
        <f aca="false">IF(AND(D1208="Feature Use",COUNTIFS($B$5:B1208,B1208,$D$5:D1208,"Feature Use",$E$5:E1208,E1208)=2),1,0)</f>
        <v>1</v>
      </c>
      <c r="K1208" s="29" t="n">
        <f aca="false">IF(COUNTIF($B$5:B1208,B1208)=1,1,0)</f>
        <v>0</v>
      </c>
      <c r="L1208" s="29" t="n">
        <f aca="false">IF(AND(C1208&gt;=Settings!$B$5-Settings!$B$8+1,C1208&lt;=Settings!$B$5,COUNTIFS($B$5:B1208,B1208,$C$5:C1208,"&gt;="&amp;(Settings!$B$5-Settings!$B$8+1),$C$5:C1208,"&lt;="&amp;Settings!$B$5)=1),1,0)</f>
        <v>0</v>
      </c>
      <c r="M1208" s="29" t="n">
        <f aca="false">IF(AND(C1208&gt;=Settings!$B$5-Settings!$B$9+1,C1208&lt;=Settings!$B$5,COUNTIFS($B$5:B1208,B1208,$C$5:C1208,"&gt;="&amp;(Settings!$B$5-Settings!$B$9+1),$C$5:C1208,"&lt;="&amp;Settings!$B$5)=1),1,0)</f>
        <v>0</v>
      </c>
      <c r="N1208" s="29" t="n">
        <f aca="false">IF(AND(D1208="Feature Use",COUNTIFS($B$5:B1208,B1208,$D$5:D1208,"Feature Use")=1),1,0)</f>
        <v>0</v>
      </c>
    </row>
    <row r="1209" customFormat="false" ht="15" hidden="false" customHeight="false" outlineLevel="0" collapsed="false">
      <c r="A1209" s="22" t="s">
        <v>1516</v>
      </c>
      <c r="B1209" s="22" t="s">
        <v>234</v>
      </c>
      <c r="C1209" s="31" t="n">
        <v>46302</v>
      </c>
      <c r="D1209" s="22" t="s">
        <v>297</v>
      </c>
      <c r="E1209" s="22" t="s">
        <v>298</v>
      </c>
      <c r="F1209" s="29" t="str">
        <f aca="false">IF(COUNTIF(Referral_Data!$C$5:$C$1000,B1209)&gt;0,"Referred",IF(COUNTIF(Referral_Data!$B$5:$B$1000,B1209)&gt;0,"Referrer","Organic"))</f>
        <v>Referred</v>
      </c>
      <c r="G1209" s="29" t="n">
        <f aca="false">IF(COUNTIFS($B$5:B1209,B1209,$C$5:C1209,C1209)=1,1,0)</f>
        <v>1</v>
      </c>
      <c r="H1209" s="29" t="n">
        <f aca="false">IF(AND(G1209=1,COUNTIFS($B$5:$B$1635,B1209,$C$5:$C$1635,"&lt;"&amp;C1209)&gt;0),1,0)</f>
        <v>1</v>
      </c>
      <c r="I1209" s="29" t="n">
        <f aca="false">IF(AND(D1209="Feature Use",COUNTIFS($B$5:B1209,B1209,$D$5:D1209,"Feature Use",$E$5:E1209,E1209)=1),1,0)</f>
        <v>0</v>
      </c>
      <c r="J1209" s="29" t="n">
        <f aca="false">IF(AND(D1209="Feature Use",COUNTIFS($B$5:B1209,B1209,$D$5:D1209,"Feature Use",$E$5:E1209,E1209)=2),1,0)</f>
        <v>0</v>
      </c>
      <c r="K1209" s="29" t="n">
        <f aca="false">IF(COUNTIF($B$5:B1209,B1209)=1,1,0)</f>
        <v>0</v>
      </c>
      <c r="L1209" s="29" t="n">
        <f aca="false">IF(AND(C1209&gt;=Settings!$B$5-Settings!$B$8+1,C1209&lt;=Settings!$B$5,COUNTIFS($B$5:B1209,B1209,$C$5:C1209,"&gt;="&amp;(Settings!$B$5-Settings!$B$8+1),$C$5:C1209,"&lt;="&amp;Settings!$B$5)=1),1,0)</f>
        <v>0</v>
      </c>
      <c r="M1209" s="29" t="n">
        <f aca="false">IF(AND(C1209&gt;=Settings!$B$5-Settings!$B$9+1,C1209&lt;=Settings!$B$5,COUNTIFS($B$5:B1209,B1209,$C$5:C1209,"&gt;="&amp;(Settings!$B$5-Settings!$B$9+1),$C$5:C1209,"&lt;="&amp;Settings!$B$5)=1),1,0)</f>
        <v>0</v>
      </c>
      <c r="N1209" s="29" t="n">
        <f aca="false">IF(AND(D1209="Feature Use",COUNTIFS($B$5:B1209,B1209,$D$5:D1209,"Feature Use")=1),1,0)</f>
        <v>0</v>
      </c>
    </row>
    <row r="1210" customFormat="false" ht="15" hidden="false" customHeight="false" outlineLevel="0" collapsed="false">
      <c r="A1210" s="22" t="s">
        <v>1517</v>
      </c>
      <c r="B1210" s="22" t="s">
        <v>234</v>
      </c>
      <c r="C1210" s="31" t="n">
        <v>46302</v>
      </c>
      <c r="D1210" s="22" t="s">
        <v>300</v>
      </c>
      <c r="E1210" s="22" t="s">
        <v>311</v>
      </c>
      <c r="F1210" s="29" t="str">
        <f aca="false">IF(COUNTIF(Referral_Data!$C$5:$C$1000,B1210)&gt;0,"Referred",IF(COUNTIF(Referral_Data!$B$5:$B$1000,B1210)&gt;0,"Referrer","Organic"))</f>
        <v>Referred</v>
      </c>
      <c r="G1210" s="29" t="n">
        <f aca="false">IF(COUNTIFS($B$5:B1210,B1210,$C$5:C1210,C1210)=1,1,0)</f>
        <v>0</v>
      </c>
      <c r="H1210" s="29" t="n">
        <f aca="false">IF(AND(G1210=1,COUNTIFS($B$5:$B$1635,B1210,$C$5:$C$1635,"&lt;"&amp;C1210)&gt;0),1,0)</f>
        <v>0</v>
      </c>
      <c r="I1210" s="29" t="n">
        <f aca="false">IF(AND(D1210="Feature Use",COUNTIFS($B$5:B1210,B1210,$D$5:D1210,"Feature Use",$E$5:E1210,E1210)=1),1,0)</f>
        <v>0</v>
      </c>
      <c r="J1210" s="29" t="n">
        <f aca="false">IF(AND(D1210="Feature Use",COUNTIFS($B$5:B1210,B1210,$D$5:D1210,"Feature Use",$E$5:E1210,E1210)=2),1,0)</f>
        <v>0</v>
      </c>
      <c r="K1210" s="29" t="n">
        <f aca="false">IF(COUNTIF($B$5:B1210,B1210)=1,1,0)</f>
        <v>0</v>
      </c>
      <c r="L1210" s="29" t="n">
        <f aca="false">IF(AND(C1210&gt;=Settings!$B$5-Settings!$B$8+1,C1210&lt;=Settings!$B$5,COUNTIFS($B$5:B1210,B1210,$C$5:C1210,"&gt;="&amp;(Settings!$B$5-Settings!$B$8+1),$C$5:C1210,"&lt;="&amp;Settings!$B$5)=1),1,0)</f>
        <v>0</v>
      </c>
      <c r="M1210" s="29" t="n">
        <f aca="false">IF(AND(C1210&gt;=Settings!$B$5-Settings!$B$9+1,C1210&lt;=Settings!$B$5,COUNTIFS($B$5:B1210,B1210,$C$5:C1210,"&gt;="&amp;(Settings!$B$5-Settings!$B$9+1),$C$5:C1210,"&lt;="&amp;Settings!$B$5)=1),1,0)</f>
        <v>0</v>
      </c>
      <c r="N1210" s="29" t="n">
        <f aca="false">IF(AND(D1210="Feature Use",COUNTIFS($B$5:B1210,B1210,$D$5:D1210,"Feature Use")=1),1,0)</f>
        <v>0</v>
      </c>
    </row>
    <row r="1211" customFormat="false" ht="15" hidden="false" customHeight="false" outlineLevel="0" collapsed="false">
      <c r="A1211" s="22" t="s">
        <v>1518</v>
      </c>
      <c r="B1211" s="22" t="s">
        <v>241</v>
      </c>
      <c r="C1211" s="31" t="n">
        <v>46302</v>
      </c>
      <c r="D1211" s="22" t="s">
        <v>297</v>
      </c>
      <c r="E1211" s="22" t="s">
        <v>298</v>
      </c>
      <c r="F1211" s="29" t="str">
        <f aca="false">IF(COUNTIF(Referral_Data!$C$5:$C$1000,B1211)&gt;0,"Referred",IF(COUNTIF(Referral_Data!$B$5:$B$1000,B1211)&gt;0,"Referrer","Organic"))</f>
        <v>Referred</v>
      </c>
      <c r="G1211" s="29" t="n">
        <f aca="false">IF(COUNTIFS($B$5:B1211,B1211,$C$5:C1211,C1211)=1,1,0)</f>
        <v>1</v>
      </c>
      <c r="H1211" s="29" t="n">
        <f aca="false">IF(AND(G1211=1,COUNTIFS($B$5:$B$1635,B1211,$C$5:$C$1635,"&lt;"&amp;C1211)&gt;0),1,0)</f>
        <v>1</v>
      </c>
      <c r="I1211" s="29" t="n">
        <f aca="false">IF(AND(D1211="Feature Use",COUNTIFS($B$5:B1211,B1211,$D$5:D1211,"Feature Use",$E$5:E1211,E1211)=1),1,0)</f>
        <v>0</v>
      </c>
      <c r="J1211" s="29" t="n">
        <f aca="false">IF(AND(D1211="Feature Use",COUNTIFS($B$5:B1211,B1211,$D$5:D1211,"Feature Use",$E$5:E1211,E1211)=2),1,0)</f>
        <v>0</v>
      </c>
      <c r="K1211" s="29" t="n">
        <f aca="false">IF(COUNTIF($B$5:B1211,B1211)=1,1,0)</f>
        <v>0</v>
      </c>
      <c r="L1211" s="29" t="n">
        <f aca="false">IF(AND(C1211&gt;=Settings!$B$5-Settings!$B$8+1,C1211&lt;=Settings!$B$5,COUNTIFS($B$5:B1211,B1211,$C$5:C1211,"&gt;="&amp;(Settings!$B$5-Settings!$B$8+1),$C$5:C1211,"&lt;="&amp;Settings!$B$5)=1),1,0)</f>
        <v>0</v>
      </c>
      <c r="M1211" s="29" t="n">
        <f aca="false">IF(AND(C1211&gt;=Settings!$B$5-Settings!$B$9+1,C1211&lt;=Settings!$B$5,COUNTIFS($B$5:B1211,B1211,$C$5:C1211,"&gt;="&amp;(Settings!$B$5-Settings!$B$9+1),$C$5:C1211,"&lt;="&amp;Settings!$B$5)=1),1,0)</f>
        <v>0</v>
      </c>
      <c r="N1211" s="29" t="n">
        <f aca="false">IF(AND(D1211="Feature Use",COUNTIFS($B$5:B1211,B1211,$D$5:D1211,"Feature Use")=1),1,0)</f>
        <v>0</v>
      </c>
    </row>
    <row r="1212" customFormat="false" ht="15" hidden="false" customHeight="false" outlineLevel="0" collapsed="false">
      <c r="A1212" s="22" t="s">
        <v>1519</v>
      </c>
      <c r="B1212" s="22" t="s">
        <v>241</v>
      </c>
      <c r="C1212" s="31" t="n">
        <v>46302</v>
      </c>
      <c r="D1212" s="22" t="s">
        <v>300</v>
      </c>
      <c r="E1212" s="22" t="s">
        <v>305</v>
      </c>
      <c r="F1212" s="29" t="str">
        <f aca="false">IF(COUNTIF(Referral_Data!$C$5:$C$1000,B1212)&gt;0,"Referred",IF(COUNTIF(Referral_Data!$B$5:$B$1000,B1212)&gt;0,"Referrer","Organic"))</f>
        <v>Referred</v>
      </c>
      <c r="G1212" s="29" t="n">
        <f aca="false">IF(COUNTIFS($B$5:B1212,B1212,$C$5:C1212,C1212)=1,1,0)</f>
        <v>0</v>
      </c>
      <c r="H1212" s="29" t="n">
        <f aca="false">IF(AND(G1212=1,COUNTIFS($B$5:$B$1635,B1212,$C$5:$C$1635,"&lt;"&amp;C1212)&gt;0),1,0)</f>
        <v>0</v>
      </c>
      <c r="I1212" s="29" t="n">
        <f aca="false">IF(AND(D1212="Feature Use",COUNTIFS($B$5:B1212,B1212,$D$5:D1212,"Feature Use",$E$5:E1212,E1212)=1),1,0)</f>
        <v>0</v>
      </c>
      <c r="J1212" s="29" t="n">
        <f aca="false">IF(AND(D1212="Feature Use",COUNTIFS($B$5:B1212,B1212,$D$5:D1212,"Feature Use",$E$5:E1212,E1212)=2),1,0)</f>
        <v>0</v>
      </c>
      <c r="K1212" s="29" t="n">
        <f aca="false">IF(COUNTIF($B$5:B1212,B1212)=1,1,0)</f>
        <v>0</v>
      </c>
      <c r="L1212" s="29" t="n">
        <f aca="false">IF(AND(C1212&gt;=Settings!$B$5-Settings!$B$8+1,C1212&lt;=Settings!$B$5,COUNTIFS($B$5:B1212,B1212,$C$5:C1212,"&gt;="&amp;(Settings!$B$5-Settings!$B$8+1),$C$5:C1212,"&lt;="&amp;Settings!$B$5)=1),1,0)</f>
        <v>0</v>
      </c>
      <c r="M1212" s="29" t="n">
        <f aca="false">IF(AND(C1212&gt;=Settings!$B$5-Settings!$B$9+1,C1212&lt;=Settings!$B$5,COUNTIFS($B$5:B1212,B1212,$C$5:C1212,"&gt;="&amp;(Settings!$B$5-Settings!$B$9+1),$C$5:C1212,"&lt;="&amp;Settings!$B$5)=1),1,0)</f>
        <v>0</v>
      </c>
      <c r="N1212" s="29" t="n">
        <f aca="false">IF(AND(D1212="Feature Use",COUNTIFS($B$5:B1212,B1212,$D$5:D1212,"Feature Use")=1),1,0)</f>
        <v>0</v>
      </c>
    </row>
    <row r="1213" customFormat="false" ht="15" hidden="false" customHeight="false" outlineLevel="0" collapsed="false">
      <c r="A1213" s="22" t="s">
        <v>1520</v>
      </c>
      <c r="B1213" s="22" t="s">
        <v>241</v>
      </c>
      <c r="C1213" s="31" t="n">
        <v>46302</v>
      </c>
      <c r="D1213" s="22" t="s">
        <v>300</v>
      </c>
      <c r="E1213" s="22" t="s">
        <v>305</v>
      </c>
      <c r="F1213" s="29" t="str">
        <f aca="false">IF(COUNTIF(Referral_Data!$C$5:$C$1000,B1213)&gt;0,"Referred",IF(COUNTIF(Referral_Data!$B$5:$B$1000,B1213)&gt;0,"Referrer","Organic"))</f>
        <v>Referred</v>
      </c>
      <c r="G1213" s="29" t="n">
        <f aca="false">IF(COUNTIFS($B$5:B1213,B1213,$C$5:C1213,C1213)=1,1,0)</f>
        <v>0</v>
      </c>
      <c r="H1213" s="29" t="n">
        <f aca="false">IF(AND(G1213=1,COUNTIFS($B$5:$B$1635,B1213,$C$5:$C$1635,"&lt;"&amp;C1213)&gt;0),1,0)</f>
        <v>0</v>
      </c>
      <c r="I1213" s="29" t="n">
        <f aca="false">IF(AND(D1213="Feature Use",COUNTIFS($B$5:B1213,B1213,$D$5:D1213,"Feature Use",$E$5:E1213,E1213)=1),1,0)</f>
        <v>0</v>
      </c>
      <c r="J1213" s="29" t="n">
        <f aca="false">IF(AND(D1213="Feature Use",COUNTIFS($B$5:B1213,B1213,$D$5:D1213,"Feature Use",$E$5:E1213,E1213)=2),1,0)</f>
        <v>0</v>
      </c>
      <c r="K1213" s="29" t="n">
        <f aca="false">IF(COUNTIF($B$5:B1213,B1213)=1,1,0)</f>
        <v>0</v>
      </c>
      <c r="L1213" s="29" t="n">
        <f aca="false">IF(AND(C1213&gt;=Settings!$B$5-Settings!$B$8+1,C1213&lt;=Settings!$B$5,COUNTIFS($B$5:B1213,B1213,$C$5:C1213,"&gt;="&amp;(Settings!$B$5-Settings!$B$8+1),$C$5:C1213,"&lt;="&amp;Settings!$B$5)=1),1,0)</f>
        <v>0</v>
      </c>
      <c r="M1213" s="29" t="n">
        <f aca="false">IF(AND(C1213&gt;=Settings!$B$5-Settings!$B$9+1,C1213&lt;=Settings!$B$5,COUNTIFS($B$5:B1213,B1213,$C$5:C1213,"&gt;="&amp;(Settings!$B$5-Settings!$B$9+1),$C$5:C1213,"&lt;="&amp;Settings!$B$5)=1),1,0)</f>
        <v>0</v>
      </c>
      <c r="N1213" s="29" t="n">
        <f aca="false">IF(AND(D1213="Feature Use",COUNTIFS($B$5:B1213,B1213,$D$5:D1213,"Feature Use")=1),1,0)</f>
        <v>0</v>
      </c>
    </row>
    <row r="1214" customFormat="false" ht="15" hidden="false" customHeight="false" outlineLevel="0" collapsed="false">
      <c r="A1214" s="22" t="s">
        <v>1521</v>
      </c>
      <c r="B1214" s="22" t="s">
        <v>265</v>
      </c>
      <c r="C1214" s="31" t="n">
        <v>46302</v>
      </c>
      <c r="D1214" s="22" t="s">
        <v>297</v>
      </c>
      <c r="E1214" s="22" t="s">
        <v>298</v>
      </c>
      <c r="F1214" s="29" t="str">
        <f aca="false">IF(COUNTIF(Referral_Data!$C$5:$C$1000,B1214)&gt;0,"Referred",IF(COUNTIF(Referral_Data!$B$5:$B$1000,B1214)&gt;0,"Referrer","Organic"))</f>
        <v>Referred</v>
      </c>
      <c r="G1214" s="29" t="n">
        <f aca="false">IF(COUNTIFS($B$5:B1214,B1214,$C$5:C1214,C1214)=1,1,0)</f>
        <v>1</v>
      </c>
      <c r="H1214" s="29" t="n">
        <f aca="false">IF(AND(G1214=1,COUNTIFS($B$5:$B$1635,B1214,$C$5:$C$1635,"&lt;"&amp;C1214)&gt;0),1,0)</f>
        <v>0</v>
      </c>
      <c r="I1214" s="29" t="n">
        <f aca="false">IF(AND(D1214="Feature Use",COUNTIFS($B$5:B1214,B1214,$D$5:D1214,"Feature Use",$E$5:E1214,E1214)=1),1,0)</f>
        <v>0</v>
      </c>
      <c r="J1214" s="29" t="n">
        <f aca="false">IF(AND(D1214="Feature Use",COUNTIFS($B$5:B1214,B1214,$D$5:D1214,"Feature Use",$E$5:E1214,E1214)=2),1,0)</f>
        <v>0</v>
      </c>
      <c r="K1214" s="29" t="n">
        <f aca="false">IF(COUNTIF($B$5:B1214,B1214)=1,1,0)</f>
        <v>1</v>
      </c>
      <c r="L1214" s="29" t="n">
        <f aca="false">IF(AND(C1214&gt;=Settings!$B$5-Settings!$B$8+1,C1214&lt;=Settings!$B$5,COUNTIFS($B$5:B1214,B1214,$C$5:C1214,"&gt;="&amp;(Settings!$B$5-Settings!$B$8+1),$C$5:C1214,"&lt;="&amp;Settings!$B$5)=1),1,0)</f>
        <v>0</v>
      </c>
      <c r="M1214" s="29" t="n">
        <f aca="false">IF(AND(C1214&gt;=Settings!$B$5-Settings!$B$9+1,C1214&lt;=Settings!$B$5,COUNTIFS($B$5:B1214,B1214,$C$5:C1214,"&gt;="&amp;(Settings!$B$5-Settings!$B$9+1),$C$5:C1214,"&lt;="&amp;Settings!$B$5)=1),1,0)</f>
        <v>1</v>
      </c>
      <c r="N1214" s="29" t="n">
        <f aca="false">IF(AND(D1214="Feature Use",COUNTIFS($B$5:B1214,B1214,$D$5:D1214,"Feature Use")=1),1,0)</f>
        <v>0</v>
      </c>
    </row>
    <row r="1215" customFormat="false" ht="15" hidden="false" customHeight="false" outlineLevel="0" collapsed="false">
      <c r="A1215" s="22" t="s">
        <v>1522</v>
      </c>
      <c r="B1215" s="22" t="s">
        <v>265</v>
      </c>
      <c r="C1215" s="31" t="n">
        <v>46302</v>
      </c>
      <c r="D1215" s="22" t="s">
        <v>300</v>
      </c>
      <c r="E1215" s="22" t="s">
        <v>311</v>
      </c>
      <c r="F1215" s="29" t="str">
        <f aca="false">IF(COUNTIF(Referral_Data!$C$5:$C$1000,B1215)&gt;0,"Referred",IF(COUNTIF(Referral_Data!$B$5:$B$1000,B1215)&gt;0,"Referrer","Organic"))</f>
        <v>Referred</v>
      </c>
      <c r="G1215" s="29" t="n">
        <f aca="false">IF(COUNTIFS($B$5:B1215,B1215,$C$5:C1215,C1215)=1,1,0)</f>
        <v>0</v>
      </c>
      <c r="H1215" s="29" t="n">
        <f aca="false">IF(AND(G1215=1,COUNTIFS($B$5:$B$1635,B1215,$C$5:$C$1635,"&lt;"&amp;C1215)&gt;0),1,0)</f>
        <v>0</v>
      </c>
      <c r="I1215" s="29" t="n">
        <f aca="false">IF(AND(D1215="Feature Use",COUNTIFS($B$5:B1215,B1215,$D$5:D1215,"Feature Use",$E$5:E1215,E1215)=1),1,0)</f>
        <v>1</v>
      </c>
      <c r="J1215" s="29" t="n">
        <f aca="false">IF(AND(D1215="Feature Use",COUNTIFS($B$5:B1215,B1215,$D$5:D1215,"Feature Use",$E$5:E1215,E1215)=2),1,0)</f>
        <v>0</v>
      </c>
      <c r="K1215" s="29" t="n">
        <f aca="false">IF(COUNTIF($B$5:B1215,B1215)=1,1,0)</f>
        <v>0</v>
      </c>
      <c r="L1215" s="29" t="n">
        <f aca="false">IF(AND(C1215&gt;=Settings!$B$5-Settings!$B$8+1,C1215&lt;=Settings!$B$5,COUNTIFS($B$5:B1215,B1215,$C$5:C1215,"&gt;="&amp;(Settings!$B$5-Settings!$B$8+1),$C$5:C1215,"&lt;="&amp;Settings!$B$5)=1),1,0)</f>
        <v>0</v>
      </c>
      <c r="M1215" s="29" t="n">
        <f aca="false">IF(AND(C1215&gt;=Settings!$B$5-Settings!$B$9+1,C1215&lt;=Settings!$B$5,COUNTIFS($B$5:B1215,B1215,$C$5:C1215,"&gt;="&amp;(Settings!$B$5-Settings!$B$9+1),$C$5:C1215,"&lt;="&amp;Settings!$B$5)=1),1,0)</f>
        <v>0</v>
      </c>
      <c r="N1215" s="29" t="n">
        <f aca="false">IF(AND(D1215="Feature Use",COUNTIFS($B$5:B1215,B1215,$D$5:D1215,"Feature Use")=1),1,0)</f>
        <v>1</v>
      </c>
    </row>
    <row r="1216" customFormat="false" ht="15" hidden="false" customHeight="false" outlineLevel="0" collapsed="false">
      <c r="A1216" s="22" t="s">
        <v>1523</v>
      </c>
      <c r="B1216" s="22" t="s">
        <v>196</v>
      </c>
      <c r="C1216" s="31" t="n">
        <v>46302</v>
      </c>
      <c r="D1216" s="22" t="s">
        <v>297</v>
      </c>
      <c r="E1216" s="22" t="s">
        <v>298</v>
      </c>
      <c r="F1216" s="29" t="str">
        <f aca="false">IF(COUNTIF(Referral_Data!$C$5:$C$1000,B1216)&gt;0,"Referred",IF(COUNTIF(Referral_Data!$B$5:$B$1000,B1216)&gt;0,"Referrer","Organic"))</f>
        <v>Referrer</v>
      </c>
      <c r="G1216" s="29" t="n">
        <f aca="false">IF(COUNTIFS($B$5:B1216,B1216,$C$5:C1216,C1216)=1,1,0)</f>
        <v>1</v>
      </c>
      <c r="H1216" s="29" t="n">
        <f aca="false">IF(AND(G1216=1,COUNTIFS($B$5:$B$1635,B1216,$C$5:$C$1635,"&lt;"&amp;C1216)&gt;0),1,0)</f>
        <v>1</v>
      </c>
      <c r="I1216" s="29" t="n">
        <f aca="false">IF(AND(D1216="Feature Use",COUNTIFS($B$5:B1216,B1216,$D$5:D1216,"Feature Use",$E$5:E1216,E1216)=1),1,0)</f>
        <v>0</v>
      </c>
      <c r="J1216" s="29" t="n">
        <f aca="false">IF(AND(D1216="Feature Use",COUNTIFS($B$5:B1216,B1216,$D$5:D1216,"Feature Use",$E$5:E1216,E1216)=2),1,0)</f>
        <v>0</v>
      </c>
      <c r="K1216" s="29" t="n">
        <f aca="false">IF(COUNTIF($B$5:B1216,B1216)=1,1,0)</f>
        <v>0</v>
      </c>
      <c r="L1216" s="29" t="n">
        <f aca="false">IF(AND(C1216&gt;=Settings!$B$5-Settings!$B$8+1,C1216&lt;=Settings!$B$5,COUNTIFS($B$5:B1216,B1216,$C$5:C1216,"&gt;="&amp;(Settings!$B$5-Settings!$B$8+1),$C$5:C1216,"&lt;="&amp;Settings!$B$5)=1),1,0)</f>
        <v>0</v>
      </c>
      <c r="M1216" s="29" t="n">
        <f aca="false">IF(AND(C1216&gt;=Settings!$B$5-Settings!$B$9+1,C1216&lt;=Settings!$B$5,COUNTIFS($B$5:B1216,B1216,$C$5:C1216,"&gt;="&amp;(Settings!$B$5-Settings!$B$9+1),$C$5:C1216,"&lt;="&amp;Settings!$B$5)=1),1,0)</f>
        <v>0</v>
      </c>
      <c r="N1216" s="29" t="n">
        <f aca="false">IF(AND(D1216="Feature Use",COUNTIFS($B$5:B1216,B1216,$D$5:D1216,"Feature Use")=1),1,0)</f>
        <v>0</v>
      </c>
    </row>
    <row r="1217" customFormat="false" ht="15" hidden="false" customHeight="false" outlineLevel="0" collapsed="false">
      <c r="A1217" s="22" t="s">
        <v>1524</v>
      </c>
      <c r="B1217" s="22" t="s">
        <v>196</v>
      </c>
      <c r="C1217" s="31" t="n">
        <v>46302</v>
      </c>
      <c r="D1217" s="22" t="s">
        <v>300</v>
      </c>
      <c r="E1217" s="22" t="s">
        <v>301</v>
      </c>
      <c r="F1217" s="29" t="str">
        <f aca="false">IF(COUNTIF(Referral_Data!$C$5:$C$1000,B1217)&gt;0,"Referred",IF(COUNTIF(Referral_Data!$B$5:$B$1000,B1217)&gt;0,"Referrer","Organic"))</f>
        <v>Referrer</v>
      </c>
      <c r="G1217" s="29" t="n">
        <f aca="false">IF(COUNTIFS($B$5:B1217,B1217,$C$5:C1217,C1217)=1,1,0)</f>
        <v>0</v>
      </c>
      <c r="H1217" s="29" t="n">
        <f aca="false">IF(AND(G1217=1,COUNTIFS($B$5:$B$1635,B1217,$C$5:$C$1635,"&lt;"&amp;C1217)&gt;0),1,0)</f>
        <v>0</v>
      </c>
      <c r="I1217" s="29" t="n">
        <f aca="false">IF(AND(D1217="Feature Use",COUNTIFS($B$5:B1217,B1217,$D$5:D1217,"Feature Use",$E$5:E1217,E1217)=1),1,0)</f>
        <v>0</v>
      </c>
      <c r="J1217" s="29" t="n">
        <f aca="false">IF(AND(D1217="Feature Use",COUNTIFS($B$5:B1217,B1217,$D$5:D1217,"Feature Use",$E$5:E1217,E1217)=2),1,0)</f>
        <v>0</v>
      </c>
      <c r="K1217" s="29" t="n">
        <f aca="false">IF(COUNTIF($B$5:B1217,B1217)=1,1,0)</f>
        <v>0</v>
      </c>
      <c r="L1217" s="29" t="n">
        <f aca="false">IF(AND(C1217&gt;=Settings!$B$5-Settings!$B$8+1,C1217&lt;=Settings!$B$5,COUNTIFS($B$5:B1217,B1217,$C$5:C1217,"&gt;="&amp;(Settings!$B$5-Settings!$B$8+1),$C$5:C1217,"&lt;="&amp;Settings!$B$5)=1),1,0)</f>
        <v>0</v>
      </c>
      <c r="M1217" s="29" t="n">
        <f aca="false">IF(AND(C1217&gt;=Settings!$B$5-Settings!$B$9+1,C1217&lt;=Settings!$B$5,COUNTIFS($B$5:B1217,B1217,$C$5:C1217,"&gt;="&amp;(Settings!$B$5-Settings!$B$9+1),$C$5:C1217,"&lt;="&amp;Settings!$B$5)=1),1,0)</f>
        <v>0</v>
      </c>
      <c r="N1217" s="29" t="n">
        <f aca="false">IF(AND(D1217="Feature Use",COUNTIFS($B$5:B1217,B1217,$D$5:D1217,"Feature Use")=1),1,0)</f>
        <v>0</v>
      </c>
    </row>
    <row r="1218" customFormat="false" ht="15" hidden="false" customHeight="false" outlineLevel="0" collapsed="false">
      <c r="A1218" s="22" t="s">
        <v>1525</v>
      </c>
      <c r="B1218" s="22" t="s">
        <v>196</v>
      </c>
      <c r="C1218" s="31" t="n">
        <v>46302</v>
      </c>
      <c r="D1218" s="22" t="s">
        <v>300</v>
      </c>
      <c r="E1218" s="22" t="s">
        <v>301</v>
      </c>
      <c r="F1218" s="29" t="str">
        <f aca="false">IF(COUNTIF(Referral_Data!$C$5:$C$1000,B1218)&gt;0,"Referred",IF(COUNTIF(Referral_Data!$B$5:$B$1000,B1218)&gt;0,"Referrer","Organic"))</f>
        <v>Referrer</v>
      </c>
      <c r="G1218" s="29" t="n">
        <f aca="false">IF(COUNTIFS($B$5:B1218,B1218,$C$5:C1218,C1218)=1,1,0)</f>
        <v>0</v>
      </c>
      <c r="H1218" s="29" t="n">
        <f aca="false">IF(AND(G1218=1,COUNTIFS($B$5:$B$1635,B1218,$C$5:$C$1635,"&lt;"&amp;C1218)&gt;0),1,0)</f>
        <v>0</v>
      </c>
      <c r="I1218" s="29" t="n">
        <f aca="false">IF(AND(D1218="Feature Use",COUNTIFS($B$5:B1218,B1218,$D$5:D1218,"Feature Use",$E$5:E1218,E1218)=1),1,0)</f>
        <v>0</v>
      </c>
      <c r="J1218" s="29" t="n">
        <f aca="false">IF(AND(D1218="Feature Use",COUNTIFS($B$5:B1218,B1218,$D$5:D1218,"Feature Use",$E$5:E1218,E1218)=2),1,0)</f>
        <v>0</v>
      </c>
      <c r="K1218" s="29" t="n">
        <f aca="false">IF(COUNTIF($B$5:B1218,B1218)=1,1,0)</f>
        <v>0</v>
      </c>
      <c r="L1218" s="29" t="n">
        <f aca="false">IF(AND(C1218&gt;=Settings!$B$5-Settings!$B$8+1,C1218&lt;=Settings!$B$5,COUNTIFS($B$5:B1218,B1218,$C$5:C1218,"&gt;="&amp;(Settings!$B$5-Settings!$B$8+1),$C$5:C1218,"&lt;="&amp;Settings!$B$5)=1),1,0)</f>
        <v>0</v>
      </c>
      <c r="M1218" s="29" t="n">
        <f aca="false">IF(AND(C1218&gt;=Settings!$B$5-Settings!$B$9+1,C1218&lt;=Settings!$B$5,COUNTIFS($B$5:B1218,B1218,$C$5:C1218,"&gt;="&amp;(Settings!$B$5-Settings!$B$9+1),$C$5:C1218,"&lt;="&amp;Settings!$B$5)=1),1,0)</f>
        <v>0</v>
      </c>
      <c r="N1218" s="29" t="n">
        <f aca="false">IF(AND(D1218="Feature Use",COUNTIFS($B$5:B1218,B1218,$D$5:D1218,"Feature Use")=1),1,0)</f>
        <v>0</v>
      </c>
    </row>
    <row r="1219" customFormat="false" ht="15" hidden="false" customHeight="false" outlineLevel="0" collapsed="false">
      <c r="A1219" s="22" t="s">
        <v>1526</v>
      </c>
      <c r="B1219" s="22" t="s">
        <v>196</v>
      </c>
      <c r="C1219" s="31" t="n">
        <v>46302</v>
      </c>
      <c r="D1219" s="22" t="s">
        <v>308</v>
      </c>
      <c r="E1219" s="22" t="s">
        <v>319</v>
      </c>
      <c r="F1219" s="29" t="str">
        <f aca="false">IF(COUNTIF(Referral_Data!$C$5:$C$1000,B1219)&gt;0,"Referred",IF(COUNTIF(Referral_Data!$B$5:$B$1000,B1219)&gt;0,"Referrer","Organic"))</f>
        <v>Referrer</v>
      </c>
      <c r="G1219" s="29" t="n">
        <f aca="false">IF(COUNTIFS($B$5:B1219,B1219,$C$5:C1219,C1219)=1,1,0)</f>
        <v>0</v>
      </c>
      <c r="H1219" s="29" t="n">
        <f aca="false">IF(AND(G1219=1,COUNTIFS($B$5:$B$1635,B1219,$C$5:$C$1635,"&lt;"&amp;C1219)&gt;0),1,0)</f>
        <v>0</v>
      </c>
      <c r="I1219" s="29" t="n">
        <f aca="false">IF(AND(D1219="Feature Use",COUNTIFS($B$5:B1219,B1219,$D$5:D1219,"Feature Use",$E$5:E1219,E1219)=1),1,0)</f>
        <v>0</v>
      </c>
      <c r="J1219" s="29" t="n">
        <f aca="false">IF(AND(D1219="Feature Use",COUNTIFS($B$5:B1219,B1219,$D$5:D1219,"Feature Use",$E$5:E1219,E1219)=2),1,0)</f>
        <v>0</v>
      </c>
      <c r="K1219" s="29" t="n">
        <f aca="false">IF(COUNTIF($B$5:B1219,B1219)=1,1,0)</f>
        <v>0</v>
      </c>
      <c r="L1219" s="29" t="n">
        <f aca="false">IF(AND(C1219&gt;=Settings!$B$5-Settings!$B$8+1,C1219&lt;=Settings!$B$5,COUNTIFS($B$5:B1219,B1219,$C$5:C1219,"&gt;="&amp;(Settings!$B$5-Settings!$B$8+1),$C$5:C1219,"&lt;="&amp;Settings!$B$5)=1),1,0)</f>
        <v>0</v>
      </c>
      <c r="M1219" s="29" t="n">
        <f aca="false">IF(AND(C1219&gt;=Settings!$B$5-Settings!$B$9+1,C1219&lt;=Settings!$B$5,COUNTIFS($B$5:B1219,B1219,$C$5:C1219,"&gt;="&amp;(Settings!$B$5-Settings!$B$9+1),$C$5:C1219,"&lt;="&amp;Settings!$B$5)=1),1,0)</f>
        <v>0</v>
      </c>
      <c r="N1219" s="29" t="n">
        <f aca="false">IF(AND(D1219="Feature Use",COUNTIFS($B$5:B1219,B1219,$D$5:D1219,"Feature Use")=1),1,0)</f>
        <v>0</v>
      </c>
    </row>
    <row r="1220" customFormat="false" ht="15" hidden="false" customHeight="false" outlineLevel="0" collapsed="false">
      <c r="A1220" s="22" t="s">
        <v>1527</v>
      </c>
      <c r="B1220" s="22" t="s">
        <v>173</v>
      </c>
      <c r="C1220" s="31" t="n">
        <v>46302</v>
      </c>
      <c r="D1220" s="22" t="s">
        <v>297</v>
      </c>
      <c r="E1220" s="22" t="s">
        <v>298</v>
      </c>
      <c r="F1220" s="29" t="str">
        <f aca="false">IF(COUNTIF(Referral_Data!$C$5:$C$1000,B1220)&gt;0,"Referred",IF(COUNTIF(Referral_Data!$B$5:$B$1000,B1220)&gt;0,"Referrer","Organic"))</f>
        <v>Referrer</v>
      </c>
      <c r="G1220" s="29" t="n">
        <f aca="false">IF(COUNTIFS($B$5:B1220,B1220,$C$5:C1220,C1220)=1,1,0)</f>
        <v>1</v>
      </c>
      <c r="H1220" s="29" t="n">
        <f aca="false">IF(AND(G1220=1,COUNTIFS($B$5:$B$1635,B1220,$C$5:$C$1635,"&lt;"&amp;C1220)&gt;0),1,0)</f>
        <v>1</v>
      </c>
      <c r="I1220" s="29" t="n">
        <f aca="false">IF(AND(D1220="Feature Use",COUNTIFS($B$5:B1220,B1220,$D$5:D1220,"Feature Use",$E$5:E1220,E1220)=1),1,0)</f>
        <v>0</v>
      </c>
      <c r="J1220" s="29" t="n">
        <f aca="false">IF(AND(D1220="Feature Use",COUNTIFS($B$5:B1220,B1220,$D$5:D1220,"Feature Use",$E$5:E1220,E1220)=2),1,0)</f>
        <v>0</v>
      </c>
      <c r="K1220" s="29" t="n">
        <f aca="false">IF(COUNTIF($B$5:B1220,B1220)=1,1,0)</f>
        <v>0</v>
      </c>
      <c r="L1220" s="29" t="n">
        <f aca="false">IF(AND(C1220&gt;=Settings!$B$5-Settings!$B$8+1,C1220&lt;=Settings!$B$5,COUNTIFS($B$5:B1220,B1220,$C$5:C1220,"&gt;="&amp;(Settings!$B$5-Settings!$B$8+1),$C$5:C1220,"&lt;="&amp;Settings!$B$5)=1),1,0)</f>
        <v>0</v>
      </c>
      <c r="M1220" s="29" t="n">
        <f aca="false">IF(AND(C1220&gt;=Settings!$B$5-Settings!$B$9+1,C1220&lt;=Settings!$B$5,COUNTIFS($B$5:B1220,B1220,$C$5:C1220,"&gt;="&amp;(Settings!$B$5-Settings!$B$9+1),$C$5:C1220,"&lt;="&amp;Settings!$B$5)=1),1,0)</f>
        <v>0</v>
      </c>
      <c r="N1220" s="29" t="n">
        <f aca="false">IF(AND(D1220="Feature Use",COUNTIFS($B$5:B1220,B1220,$D$5:D1220,"Feature Use")=1),1,0)</f>
        <v>0</v>
      </c>
    </row>
    <row r="1221" customFormat="false" ht="15" hidden="false" customHeight="false" outlineLevel="0" collapsed="false">
      <c r="A1221" s="22" t="s">
        <v>1528</v>
      </c>
      <c r="B1221" s="22" t="s">
        <v>173</v>
      </c>
      <c r="C1221" s="31" t="n">
        <v>46302</v>
      </c>
      <c r="D1221" s="22" t="s">
        <v>300</v>
      </c>
      <c r="E1221" s="22" t="s">
        <v>301</v>
      </c>
      <c r="F1221" s="29" t="str">
        <f aca="false">IF(COUNTIF(Referral_Data!$C$5:$C$1000,B1221)&gt;0,"Referred",IF(COUNTIF(Referral_Data!$B$5:$B$1000,B1221)&gt;0,"Referrer","Organic"))</f>
        <v>Referrer</v>
      </c>
      <c r="G1221" s="29" t="n">
        <f aca="false">IF(COUNTIFS($B$5:B1221,B1221,$C$5:C1221,C1221)=1,1,0)</f>
        <v>0</v>
      </c>
      <c r="H1221" s="29" t="n">
        <f aca="false">IF(AND(G1221=1,COUNTIFS($B$5:$B$1635,B1221,$C$5:$C$1635,"&lt;"&amp;C1221)&gt;0),1,0)</f>
        <v>0</v>
      </c>
      <c r="I1221" s="29" t="n">
        <f aca="false">IF(AND(D1221="Feature Use",COUNTIFS($B$5:B1221,B1221,$D$5:D1221,"Feature Use",$E$5:E1221,E1221)=1),1,0)</f>
        <v>0</v>
      </c>
      <c r="J1221" s="29" t="n">
        <f aca="false">IF(AND(D1221="Feature Use",COUNTIFS($B$5:B1221,B1221,$D$5:D1221,"Feature Use",$E$5:E1221,E1221)=2),1,0)</f>
        <v>0</v>
      </c>
      <c r="K1221" s="29" t="n">
        <f aca="false">IF(COUNTIF($B$5:B1221,B1221)=1,1,0)</f>
        <v>0</v>
      </c>
      <c r="L1221" s="29" t="n">
        <f aca="false">IF(AND(C1221&gt;=Settings!$B$5-Settings!$B$8+1,C1221&lt;=Settings!$B$5,COUNTIFS($B$5:B1221,B1221,$C$5:C1221,"&gt;="&amp;(Settings!$B$5-Settings!$B$8+1),$C$5:C1221,"&lt;="&amp;Settings!$B$5)=1),1,0)</f>
        <v>0</v>
      </c>
      <c r="M1221" s="29" t="n">
        <f aca="false">IF(AND(C1221&gt;=Settings!$B$5-Settings!$B$9+1,C1221&lt;=Settings!$B$5,COUNTIFS($B$5:B1221,B1221,$C$5:C1221,"&gt;="&amp;(Settings!$B$5-Settings!$B$9+1),$C$5:C1221,"&lt;="&amp;Settings!$B$5)=1),1,0)</f>
        <v>0</v>
      </c>
      <c r="N1221" s="29" t="n">
        <f aca="false">IF(AND(D1221="Feature Use",COUNTIFS($B$5:B1221,B1221,$D$5:D1221,"Feature Use")=1),1,0)</f>
        <v>0</v>
      </c>
    </row>
    <row r="1222" customFormat="false" ht="15" hidden="false" customHeight="false" outlineLevel="0" collapsed="false">
      <c r="A1222" s="22" t="s">
        <v>1529</v>
      </c>
      <c r="B1222" s="22" t="s">
        <v>173</v>
      </c>
      <c r="C1222" s="31" t="n">
        <v>46302</v>
      </c>
      <c r="D1222" s="22" t="s">
        <v>300</v>
      </c>
      <c r="E1222" s="22" t="s">
        <v>305</v>
      </c>
      <c r="F1222" s="29" t="str">
        <f aca="false">IF(COUNTIF(Referral_Data!$C$5:$C$1000,B1222)&gt;0,"Referred",IF(COUNTIF(Referral_Data!$B$5:$B$1000,B1222)&gt;0,"Referrer","Organic"))</f>
        <v>Referrer</v>
      </c>
      <c r="G1222" s="29" t="n">
        <f aca="false">IF(COUNTIFS($B$5:B1222,B1222,$C$5:C1222,C1222)=1,1,0)</f>
        <v>0</v>
      </c>
      <c r="H1222" s="29" t="n">
        <f aca="false">IF(AND(G1222=1,COUNTIFS($B$5:$B$1635,B1222,$C$5:$C$1635,"&lt;"&amp;C1222)&gt;0),1,0)</f>
        <v>0</v>
      </c>
      <c r="I1222" s="29" t="n">
        <f aca="false">IF(AND(D1222="Feature Use",COUNTIFS($B$5:B1222,B1222,$D$5:D1222,"Feature Use",$E$5:E1222,E1222)=1),1,0)</f>
        <v>0</v>
      </c>
      <c r="J1222" s="29" t="n">
        <f aca="false">IF(AND(D1222="Feature Use",COUNTIFS($B$5:B1222,B1222,$D$5:D1222,"Feature Use",$E$5:E1222,E1222)=2),1,0)</f>
        <v>0</v>
      </c>
      <c r="K1222" s="29" t="n">
        <f aca="false">IF(COUNTIF($B$5:B1222,B1222)=1,1,0)</f>
        <v>0</v>
      </c>
      <c r="L1222" s="29" t="n">
        <f aca="false">IF(AND(C1222&gt;=Settings!$B$5-Settings!$B$8+1,C1222&lt;=Settings!$B$5,COUNTIFS($B$5:B1222,B1222,$C$5:C1222,"&gt;="&amp;(Settings!$B$5-Settings!$B$8+1),$C$5:C1222,"&lt;="&amp;Settings!$B$5)=1),1,0)</f>
        <v>0</v>
      </c>
      <c r="M1222" s="29" t="n">
        <f aca="false">IF(AND(C1222&gt;=Settings!$B$5-Settings!$B$9+1,C1222&lt;=Settings!$B$5,COUNTIFS($B$5:B1222,B1222,$C$5:C1222,"&gt;="&amp;(Settings!$B$5-Settings!$B$9+1),$C$5:C1222,"&lt;="&amp;Settings!$B$5)=1),1,0)</f>
        <v>0</v>
      </c>
      <c r="N1222" s="29" t="n">
        <f aca="false">IF(AND(D1222="Feature Use",COUNTIFS($B$5:B1222,B1222,$D$5:D1222,"Feature Use")=1),1,0)</f>
        <v>0</v>
      </c>
    </row>
    <row r="1223" customFormat="false" ht="15" hidden="false" customHeight="false" outlineLevel="0" collapsed="false">
      <c r="A1223" s="22" t="s">
        <v>1530</v>
      </c>
      <c r="B1223" s="22" t="s">
        <v>329</v>
      </c>
      <c r="C1223" s="31" t="n">
        <v>46303</v>
      </c>
      <c r="D1223" s="22" t="s">
        <v>297</v>
      </c>
      <c r="E1223" s="22" t="s">
        <v>298</v>
      </c>
      <c r="F1223" s="29" t="str">
        <f aca="false">IF(COUNTIF(Referral_Data!$C$5:$C$1000,B1223)&gt;0,"Referred",IF(COUNTIF(Referral_Data!$B$5:$B$1000,B1223)&gt;0,"Referrer","Organic"))</f>
        <v>Organic</v>
      </c>
      <c r="G1223" s="29" t="n">
        <f aca="false">IF(COUNTIFS($B$5:B1223,B1223,$C$5:C1223,C1223)=1,1,0)</f>
        <v>1</v>
      </c>
      <c r="H1223" s="29" t="n">
        <f aca="false">IF(AND(G1223=1,COUNTIFS($B$5:$B$1635,B1223,$C$5:$C$1635,"&lt;"&amp;C1223)&gt;0),1,0)</f>
        <v>1</v>
      </c>
      <c r="I1223" s="29" t="n">
        <f aca="false">IF(AND(D1223="Feature Use",COUNTIFS($B$5:B1223,B1223,$D$5:D1223,"Feature Use",$E$5:E1223,E1223)=1),1,0)</f>
        <v>0</v>
      </c>
      <c r="J1223" s="29" t="n">
        <f aca="false">IF(AND(D1223="Feature Use",COUNTIFS($B$5:B1223,B1223,$D$5:D1223,"Feature Use",$E$5:E1223,E1223)=2),1,0)</f>
        <v>0</v>
      </c>
      <c r="K1223" s="29" t="n">
        <f aca="false">IF(COUNTIF($B$5:B1223,B1223)=1,1,0)</f>
        <v>0</v>
      </c>
      <c r="L1223" s="29" t="n">
        <f aca="false">IF(AND(C1223&gt;=Settings!$B$5-Settings!$B$8+1,C1223&lt;=Settings!$B$5,COUNTIFS($B$5:B1223,B1223,$C$5:C1223,"&gt;="&amp;(Settings!$B$5-Settings!$B$8+1),$C$5:C1223,"&lt;="&amp;Settings!$B$5)=1),1,0)</f>
        <v>0</v>
      </c>
      <c r="M1223" s="29" t="n">
        <f aca="false">IF(AND(C1223&gt;=Settings!$B$5-Settings!$B$9+1,C1223&lt;=Settings!$B$5,COUNTIFS($B$5:B1223,B1223,$C$5:C1223,"&gt;="&amp;(Settings!$B$5-Settings!$B$9+1),$C$5:C1223,"&lt;="&amp;Settings!$B$5)=1),1,0)</f>
        <v>0</v>
      </c>
      <c r="N1223" s="29" t="n">
        <f aca="false">IF(AND(D1223="Feature Use",COUNTIFS($B$5:B1223,B1223,$D$5:D1223,"Feature Use")=1),1,0)</f>
        <v>0</v>
      </c>
    </row>
    <row r="1224" customFormat="false" ht="15" hidden="false" customHeight="false" outlineLevel="0" collapsed="false">
      <c r="A1224" s="22" t="s">
        <v>1531</v>
      </c>
      <c r="B1224" s="22" t="s">
        <v>329</v>
      </c>
      <c r="C1224" s="31" t="n">
        <v>46303</v>
      </c>
      <c r="D1224" s="22" t="s">
        <v>300</v>
      </c>
      <c r="E1224" s="22" t="s">
        <v>301</v>
      </c>
      <c r="F1224" s="29" t="str">
        <f aca="false">IF(COUNTIF(Referral_Data!$C$5:$C$1000,B1224)&gt;0,"Referred",IF(COUNTIF(Referral_Data!$B$5:$B$1000,B1224)&gt;0,"Referrer","Organic"))</f>
        <v>Organic</v>
      </c>
      <c r="G1224" s="29" t="n">
        <f aca="false">IF(COUNTIFS($B$5:B1224,B1224,$C$5:C1224,C1224)=1,1,0)</f>
        <v>0</v>
      </c>
      <c r="H1224" s="29" t="n">
        <f aca="false">IF(AND(G1224=1,COUNTIFS($B$5:$B$1635,B1224,$C$5:$C$1635,"&lt;"&amp;C1224)&gt;0),1,0)</f>
        <v>0</v>
      </c>
      <c r="I1224" s="29" t="n">
        <f aca="false">IF(AND(D1224="Feature Use",COUNTIFS($B$5:B1224,B1224,$D$5:D1224,"Feature Use",$E$5:E1224,E1224)=1),1,0)</f>
        <v>0</v>
      </c>
      <c r="J1224" s="29" t="n">
        <f aca="false">IF(AND(D1224="Feature Use",COUNTIFS($B$5:B1224,B1224,$D$5:D1224,"Feature Use",$E$5:E1224,E1224)=2),1,0)</f>
        <v>0</v>
      </c>
      <c r="K1224" s="29" t="n">
        <f aca="false">IF(COUNTIF($B$5:B1224,B1224)=1,1,0)</f>
        <v>0</v>
      </c>
      <c r="L1224" s="29" t="n">
        <f aca="false">IF(AND(C1224&gt;=Settings!$B$5-Settings!$B$8+1,C1224&lt;=Settings!$B$5,COUNTIFS($B$5:B1224,B1224,$C$5:C1224,"&gt;="&amp;(Settings!$B$5-Settings!$B$8+1),$C$5:C1224,"&lt;="&amp;Settings!$B$5)=1),1,0)</f>
        <v>0</v>
      </c>
      <c r="M1224" s="29" t="n">
        <f aca="false">IF(AND(C1224&gt;=Settings!$B$5-Settings!$B$9+1,C1224&lt;=Settings!$B$5,COUNTIFS($B$5:B1224,B1224,$C$5:C1224,"&gt;="&amp;(Settings!$B$5-Settings!$B$9+1),$C$5:C1224,"&lt;="&amp;Settings!$B$5)=1),1,0)</f>
        <v>0</v>
      </c>
      <c r="N1224" s="29" t="n">
        <f aca="false">IF(AND(D1224="Feature Use",COUNTIFS($B$5:B1224,B1224,$D$5:D1224,"Feature Use")=1),1,0)</f>
        <v>0</v>
      </c>
    </row>
    <row r="1225" customFormat="false" ht="15" hidden="false" customHeight="false" outlineLevel="0" collapsed="false">
      <c r="A1225" s="22" t="s">
        <v>1532</v>
      </c>
      <c r="B1225" s="22" t="s">
        <v>530</v>
      </c>
      <c r="C1225" s="31" t="n">
        <v>46303</v>
      </c>
      <c r="D1225" s="22" t="s">
        <v>297</v>
      </c>
      <c r="E1225" s="22" t="s">
        <v>298</v>
      </c>
      <c r="F1225" s="29" t="str">
        <f aca="false">IF(COUNTIF(Referral_Data!$C$5:$C$1000,B1225)&gt;0,"Referred",IF(COUNTIF(Referral_Data!$B$5:$B$1000,B1225)&gt;0,"Referrer","Organic"))</f>
        <v>Organic</v>
      </c>
      <c r="G1225" s="29" t="n">
        <f aca="false">IF(COUNTIFS($B$5:B1225,B1225,$C$5:C1225,C1225)=1,1,0)</f>
        <v>1</v>
      </c>
      <c r="H1225" s="29" t="n">
        <f aca="false">IF(AND(G1225=1,COUNTIFS($B$5:$B$1635,B1225,$C$5:$C$1635,"&lt;"&amp;C1225)&gt;0),1,0)</f>
        <v>1</v>
      </c>
      <c r="I1225" s="29" t="n">
        <f aca="false">IF(AND(D1225="Feature Use",COUNTIFS($B$5:B1225,B1225,$D$5:D1225,"Feature Use",$E$5:E1225,E1225)=1),1,0)</f>
        <v>0</v>
      </c>
      <c r="J1225" s="29" t="n">
        <f aca="false">IF(AND(D1225="Feature Use",COUNTIFS($B$5:B1225,B1225,$D$5:D1225,"Feature Use",$E$5:E1225,E1225)=2),1,0)</f>
        <v>0</v>
      </c>
      <c r="K1225" s="29" t="n">
        <f aca="false">IF(COUNTIF($B$5:B1225,B1225)=1,1,0)</f>
        <v>0</v>
      </c>
      <c r="L1225" s="29" t="n">
        <f aca="false">IF(AND(C1225&gt;=Settings!$B$5-Settings!$B$8+1,C1225&lt;=Settings!$B$5,COUNTIFS($B$5:B1225,B1225,$C$5:C1225,"&gt;="&amp;(Settings!$B$5-Settings!$B$8+1),$C$5:C1225,"&lt;="&amp;Settings!$B$5)=1),1,0)</f>
        <v>0</v>
      </c>
      <c r="M1225" s="29" t="n">
        <f aca="false">IF(AND(C1225&gt;=Settings!$B$5-Settings!$B$9+1,C1225&lt;=Settings!$B$5,COUNTIFS($B$5:B1225,B1225,$C$5:C1225,"&gt;="&amp;(Settings!$B$5-Settings!$B$9+1),$C$5:C1225,"&lt;="&amp;Settings!$B$5)=1),1,0)</f>
        <v>0</v>
      </c>
      <c r="N1225" s="29" t="n">
        <f aca="false">IF(AND(D1225="Feature Use",COUNTIFS($B$5:B1225,B1225,$D$5:D1225,"Feature Use")=1),1,0)</f>
        <v>0</v>
      </c>
    </row>
    <row r="1226" customFormat="false" ht="15" hidden="false" customHeight="false" outlineLevel="0" collapsed="false">
      <c r="A1226" s="22" t="s">
        <v>1533</v>
      </c>
      <c r="B1226" s="22" t="s">
        <v>530</v>
      </c>
      <c r="C1226" s="31" t="n">
        <v>46303</v>
      </c>
      <c r="D1226" s="22" t="s">
        <v>300</v>
      </c>
      <c r="E1226" s="22" t="s">
        <v>305</v>
      </c>
      <c r="F1226" s="29" t="str">
        <f aca="false">IF(COUNTIF(Referral_Data!$C$5:$C$1000,B1226)&gt;0,"Referred",IF(COUNTIF(Referral_Data!$B$5:$B$1000,B1226)&gt;0,"Referrer","Organic"))</f>
        <v>Organic</v>
      </c>
      <c r="G1226" s="29" t="n">
        <f aca="false">IF(COUNTIFS($B$5:B1226,B1226,$C$5:C1226,C1226)=1,1,0)</f>
        <v>0</v>
      </c>
      <c r="H1226" s="29" t="n">
        <f aca="false">IF(AND(G1226=1,COUNTIFS($B$5:$B$1635,B1226,$C$5:$C$1635,"&lt;"&amp;C1226)&gt;0),1,0)</f>
        <v>0</v>
      </c>
      <c r="I1226" s="29" t="n">
        <f aca="false">IF(AND(D1226="Feature Use",COUNTIFS($B$5:B1226,B1226,$D$5:D1226,"Feature Use",$E$5:E1226,E1226)=1),1,0)</f>
        <v>0</v>
      </c>
      <c r="J1226" s="29" t="n">
        <f aca="false">IF(AND(D1226="Feature Use",COUNTIFS($B$5:B1226,B1226,$D$5:D1226,"Feature Use",$E$5:E1226,E1226)=2),1,0)</f>
        <v>0</v>
      </c>
      <c r="K1226" s="29" t="n">
        <f aca="false">IF(COUNTIF($B$5:B1226,B1226)=1,1,0)</f>
        <v>0</v>
      </c>
      <c r="L1226" s="29" t="n">
        <f aca="false">IF(AND(C1226&gt;=Settings!$B$5-Settings!$B$8+1,C1226&lt;=Settings!$B$5,COUNTIFS($B$5:B1226,B1226,$C$5:C1226,"&gt;="&amp;(Settings!$B$5-Settings!$B$8+1),$C$5:C1226,"&lt;="&amp;Settings!$B$5)=1),1,0)</f>
        <v>0</v>
      </c>
      <c r="M1226" s="29" t="n">
        <f aca="false">IF(AND(C1226&gt;=Settings!$B$5-Settings!$B$9+1,C1226&lt;=Settings!$B$5,COUNTIFS($B$5:B1226,B1226,$C$5:C1226,"&gt;="&amp;(Settings!$B$5-Settings!$B$9+1),$C$5:C1226,"&lt;="&amp;Settings!$B$5)=1),1,0)</f>
        <v>0</v>
      </c>
      <c r="N1226" s="29" t="n">
        <f aca="false">IF(AND(D1226="Feature Use",COUNTIFS($B$5:B1226,B1226,$D$5:D1226,"Feature Use")=1),1,0)</f>
        <v>0</v>
      </c>
    </row>
    <row r="1227" customFormat="false" ht="15" hidden="false" customHeight="false" outlineLevel="0" collapsed="false">
      <c r="A1227" s="22" t="s">
        <v>1534</v>
      </c>
      <c r="B1227" s="22" t="s">
        <v>530</v>
      </c>
      <c r="C1227" s="31" t="n">
        <v>46303</v>
      </c>
      <c r="D1227" s="22" t="s">
        <v>300</v>
      </c>
      <c r="E1227" s="22" t="s">
        <v>311</v>
      </c>
      <c r="F1227" s="29" t="str">
        <f aca="false">IF(COUNTIF(Referral_Data!$C$5:$C$1000,B1227)&gt;0,"Referred",IF(COUNTIF(Referral_Data!$B$5:$B$1000,B1227)&gt;0,"Referrer","Organic"))</f>
        <v>Organic</v>
      </c>
      <c r="G1227" s="29" t="n">
        <f aca="false">IF(COUNTIFS($B$5:B1227,B1227,$C$5:C1227,C1227)=1,1,0)</f>
        <v>0</v>
      </c>
      <c r="H1227" s="29" t="n">
        <f aca="false">IF(AND(G1227=1,COUNTIFS($B$5:$B$1635,B1227,$C$5:$C$1635,"&lt;"&amp;C1227)&gt;0),1,0)</f>
        <v>0</v>
      </c>
      <c r="I1227" s="29" t="n">
        <f aca="false">IF(AND(D1227="Feature Use",COUNTIFS($B$5:B1227,B1227,$D$5:D1227,"Feature Use",$E$5:E1227,E1227)=1),1,0)</f>
        <v>0</v>
      </c>
      <c r="J1227" s="29" t="n">
        <f aca="false">IF(AND(D1227="Feature Use",COUNTIFS($B$5:B1227,B1227,$D$5:D1227,"Feature Use",$E$5:E1227,E1227)=2),1,0)</f>
        <v>0</v>
      </c>
      <c r="K1227" s="29" t="n">
        <f aca="false">IF(COUNTIF($B$5:B1227,B1227)=1,1,0)</f>
        <v>0</v>
      </c>
      <c r="L1227" s="29" t="n">
        <f aca="false">IF(AND(C1227&gt;=Settings!$B$5-Settings!$B$8+1,C1227&lt;=Settings!$B$5,COUNTIFS($B$5:B1227,B1227,$C$5:C1227,"&gt;="&amp;(Settings!$B$5-Settings!$B$8+1),$C$5:C1227,"&lt;="&amp;Settings!$B$5)=1),1,0)</f>
        <v>0</v>
      </c>
      <c r="M1227" s="29" t="n">
        <f aca="false">IF(AND(C1227&gt;=Settings!$B$5-Settings!$B$9+1,C1227&lt;=Settings!$B$5,COUNTIFS($B$5:B1227,B1227,$C$5:C1227,"&gt;="&amp;(Settings!$B$5-Settings!$B$9+1),$C$5:C1227,"&lt;="&amp;Settings!$B$5)=1),1,0)</f>
        <v>0</v>
      </c>
      <c r="N1227" s="29" t="n">
        <f aca="false">IF(AND(D1227="Feature Use",COUNTIFS($B$5:B1227,B1227,$D$5:D1227,"Feature Use")=1),1,0)</f>
        <v>0</v>
      </c>
    </row>
    <row r="1228" customFormat="false" ht="15" hidden="false" customHeight="false" outlineLevel="0" collapsed="false">
      <c r="A1228" s="22" t="s">
        <v>1535</v>
      </c>
      <c r="B1228" s="22" t="s">
        <v>530</v>
      </c>
      <c r="C1228" s="31" t="n">
        <v>46303</v>
      </c>
      <c r="D1228" s="22" t="s">
        <v>308</v>
      </c>
      <c r="E1228" s="22" t="s">
        <v>301</v>
      </c>
      <c r="F1228" s="29" t="str">
        <f aca="false">IF(COUNTIF(Referral_Data!$C$5:$C$1000,B1228)&gt;0,"Referred",IF(COUNTIF(Referral_Data!$B$5:$B$1000,B1228)&gt;0,"Referrer","Organic"))</f>
        <v>Organic</v>
      </c>
      <c r="G1228" s="29" t="n">
        <f aca="false">IF(COUNTIFS($B$5:B1228,B1228,$C$5:C1228,C1228)=1,1,0)</f>
        <v>0</v>
      </c>
      <c r="H1228" s="29" t="n">
        <f aca="false">IF(AND(G1228=1,COUNTIFS($B$5:$B$1635,B1228,$C$5:$C$1635,"&lt;"&amp;C1228)&gt;0),1,0)</f>
        <v>0</v>
      </c>
      <c r="I1228" s="29" t="n">
        <f aca="false">IF(AND(D1228="Feature Use",COUNTIFS($B$5:B1228,B1228,$D$5:D1228,"Feature Use",$E$5:E1228,E1228)=1),1,0)</f>
        <v>0</v>
      </c>
      <c r="J1228" s="29" t="n">
        <f aca="false">IF(AND(D1228="Feature Use",COUNTIFS($B$5:B1228,B1228,$D$5:D1228,"Feature Use",$E$5:E1228,E1228)=2),1,0)</f>
        <v>0</v>
      </c>
      <c r="K1228" s="29" t="n">
        <f aca="false">IF(COUNTIF($B$5:B1228,B1228)=1,1,0)</f>
        <v>0</v>
      </c>
      <c r="L1228" s="29" t="n">
        <f aca="false">IF(AND(C1228&gt;=Settings!$B$5-Settings!$B$8+1,C1228&lt;=Settings!$B$5,COUNTIFS($B$5:B1228,B1228,$C$5:C1228,"&gt;="&amp;(Settings!$B$5-Settings!$B$8+1),$C$5:C1228,"&lt;="&amp;Settings!$B$5)=1),1,0)</f>
        <v>0</v>
      </c>
      <c r="M1228" s="29" t="n">
        <f aca="false">IF(AND(C1228&gt;=Settings!$B$5-Settings!$B$9+1,C1228&lt;=Settings!$B$5,COUNTIFS($B$5:B1228,B1228,$C$5:C1228,"&gt;="&amp;(Settings!$B$5-Settings!$B$9+1),$C$5:C1228,"&lt;="&amp;Settings!$B$5)=1),1,0)</f>
        <v>0</v>
      </c>
      <c r="N1228" s="29" t="n">
        <f aca="false">IF(AND(D1228="Feature Use",COUNTIFS($B$5:B1228,B1228,$D$5:D1228,"Feature Use")=1),1,0)</f>
        <v>0</v>
      </c>
    </row>
    <row r="1229" customFormat="false" ht="15" hidden="false" customHeight="false" outlineLevel="0" collapsed="false">
      <c r="A1229" s="22" t="s">
        <v>1536</v>
      </c>
      <c r="B1229" s="22" t="s">
        <v>530</v>
      </c>
      <c r="C1229" s="31" t="n">
        <v>46303</v>
      </c>
      <c r="D1229" s="22" t="s">
        <v>308</v>
      </c>
      <c r="E1229" s="22" t="s">
        <v>301</v>
      </c>
      <c r="F1229" s="29" t="str">
        <f aca="false">IF(COUNTIF(Referral_Data!$C$5:$C$1000,B1229)&gt;0,"Referred",IF(COUNTIF(Referral_Data!$B$5:$B$1000,B1229)&gt;0,"Referrer","Organic"))</f>
        <v>Organic</v>
      </c>
      <c r="G1229" s="29" t="n">
        <f aca="false">IF(COUNTIFS($B$5:B1229,B1229,$C$5:C1229,C1229)=1,1,0)</f>
        <v>0</v>
      </c>
      <c r="H1229" s="29" t="n">
        <f aca="false">IF(AND(G1229=1,COUNTIFS($B$5:$B$1635,B1229,$C$5:$C$1635,"&lt;"&amp;C1229)&gt;0),1,0)</f>
        <v>0</v>
      </c>
      <c r="I1229" s="29" t="n">
        <f aca="false">IF(AND(D1229="Feature Use",COUNTIFS($B$5:B1229,B1229,$D$5:D1229,"Feature Use",$E$5:E1229,E1229)=1),1,0)</f>
        <v>0</v>
      </c>
      <c r="J1229" s="29" t="n">
        <f aca="false">IF(AND(D1229="Feature Use",COUNTIFS($B$5:B1229,B1229,$D$5:D1229,"Feature Use",$E$5:E1229,E1229)=2),1,0)</f>
        <v>0</v>
      </c>
      <c r="K1229" s="29" t="n">
        <f aca="false">IF(COUNTIF($B$5:B1229,B1229)=1,1,0)</f>
        <v>0</v>
      </c>
      <c r="L1229" s="29" t="n">
        <f aca="false">IF(AND(C1229&gt;=Settings!$B$5-Settings!$B$8+1,C1229&lt;=Settings!$B$5,COUNTIFS($B$5:B1229,B1229,$C$5:C1229,"&gt;="&amp;(Settings!$B$5-Settings!$B$8+1),$C$5:C1229,"&lt;="&amp;Settings!$B$5)=1),1,0)</f>
        <v>0</v>
      </c>
      <c r="M1229" s="29" t="n">
        <f aca="false">IF(AND(C1229&gt;=Settings!$B$5-Settings!$B$9+1,C1229&lt;=Settings!$B$5,COUNTIFS($B$5:B1229,B1229,$C$5:C1229,"&gt;="&amp;(Settings!$B$5-Settings!$B$9+1),$C$5:C1229,"&lt;="&amp;Settings!$B$5)=1),1,0)</f>
        <v>0</v>
      </c>
      <c r="N1229" s="29" t="n">
        <f aca="false">IF(AND(D1229="Feature Use",COUNTIFS($B$5:B1229,B1229,$D$5:D1229,"Feature Use")=1),1,0)</f>
        <v>0</v>
      </c>
    </row>
    <row r="1230" customFormat="false" ht="15" hidden="false" customHeight="false" outlineLevel="0" collapsed="false">
      <c r="A1230" s="22" t="s">
        <v>1537</v>
      </c>
      <c r="B1230" s="22" t="s">
        <v>313</v>
      </c>
      <c r="C1230" s="31" t="n">
        <v>46303</v>
      </c>
      <c r="D1230" s="22" t="s">
        <v>297</v>
      </c>
      <c r="E1230" s="22" t="s">
        <v>298</v>
      </c>
      <c r="F1230" s="29" t="str">
        <f aca="false">IF(COUNTIF(Referral_Data!$C$5:$C$1000,B1230)&gt;0,"Referred",IF(COUNTIF(Referral_Data!$B$5:$B$1000,B1230)&gt;0,"Referrer","Organic"))</f>
        <v>Organic</v>
      </c>
      <c r="G1230" s="29" t="n">
        <f aca="false">IF(COUNTIFS($B$5:B1230,B1230,$C$5:C1230,C1230)=1,1,0)</f>
        <v>1</v>
      </c>
      <c r="H1230" s="29" t="n">
        <f aca="false">IF(AND(G1230=1,COUNTIFS($B$5:$B$1635,B1230,$C$5:$C$1635,"&lt;"&amp;C1230)&gt;0),1,0)</f>
        <v>1</v>
      </c>
      <c r="I1230" s="29" t="n">
        <f aca="false">IF(AND(D1230="Feature Use",COUNTIFS($B$5:B1230,B1230,$D$5:D1230,"Feature Use",$E$5:E1230,E1230)=1),1,0)</f>
        <v>0</v>
      </c>
      <c r="J1230" s="29" t="n">
        <f aca="false">IF(AND(D1230="Feature Use",COUNTIFS($B$5:B1230,B1230,$D$5:D1230,"Feature Use",$E$5:E1230,E1230)=2),1,0)</f>
        <v>0</v>
      </c>
      <c r="K1230" s="29" t="n">
        <f aca="false">IF(COUNTIF($B$5:B1230,B1230)=1,1,0)</f>
        <v>0</v>
      </c>
      <c r="L1230" s="29" t="n">
        <f aca="false">IF(AND(C1230&gt;=Settings!$B$5-Settings!$B$8+1,C1230&lt;=Settings!$B$5,COUNTIFS($B$5:B1230,B1230,$C$5:C1230,"&gt;="&amp;(Settings!$B$5-Settings!$B$8+1),$C$5:C1230,"&lt;="&amp;Settings!$B$5)=1),1,0)</f>
        <v>0</v>
      </c>
      <c r="M1230" s="29" t="n">
        <f aca="false">IF(AND(C1230&gt;=Settings!$B$5-Settings!$B$9+1,C1230&lt;=Settings!$B$5,COUNTIFS($B$5:B1230,B1230,$C$5:C1230,"&gt;="&amp;(Settings!$B$5-Settings!$B$9+1),$C$5:C1230,"&lt;="&amp;Settings!$B$5)=1),1,0)</f>
        <v>0</v>
      </c>
      <c r="N1230" s="29" t="n">
        <f aca="false">IF(AND(D1230="Feature Use",COUNTIFS($B$5:B1230,B1230,$D$5:D1230,"Feature Use")=1),1,0)</f>
        <v>0</v>
      </c>
    </row>
    <row r="1231" customFormat="false" ht="15" hidden="false" customHeight="false" outlineLevel="0" collapsed="false">
      <c r="A1231" s="22" t="s">
        <v>1538</v>
      </c>
      <c r="B1231" s="22" t="s">
        <v>313</v>
      </c>
      <c r="C1231" s="31" t="n">
        <v>46303</v>
      </c>
      <c r="D1231" s="22" t="s">
        <v>300</v>
      </c>
      <c r="E1231" s="22" t="s">
        <v>305</v>
      </c>
      <c r="F1231" s="29" t="str">
        <f aca="false">IF(COUNTIF(Referral_Data!$C$5:$C$1000,B1231)&gt;0,"Referred",IF(COUNTIF(Referral_Data!$B$5:$B$1000,B1231)&gt;0,"Referrer","Organic"))</f>
        <v>Organic</v>
      </c>
      <c r="G1231" s="29" t="n">
        <f aca="false">IF(COUNTIFS($B$5:B1231,B1231,$C$5:C1231,C1231)=1,1,0)</f>
        <v>0</v>
      </c>
      <c r="H1231" s="29" t="n">
        <f aca="false">IF(AND(G1231=1,COUNTIFS($B$5:$B$1635,B1231,$C$5:$C$1635,"&lt;"&amp;C1231)&gt;0),1,0)</f>
        <v>0</v>
      </c>
      <c r="I1231" s="29" t="n">
        <f aca="false">IF(AND(D1231="Feature Use",COUNTIFS($B$5:B1231,B1231,$D$5:D1231,"Feature Use",$E$5:E1231,E1231)=1),1,0)</f>
        <v>0</v>
      </c>
      <c r="J1231" s="29" t="n">
        <f aca="false">IF(AND(D1231="Feature Use",COUNTIFS($B$5:B1231,B1231,$D$5:D1231,"Feature Use",$E$5:E1231,E1231)=2),1,0)</f>
        <v>0</v>
      </c>
      <c r="K1231" s="29" t="n">
        <f aca="false">IF(COUNTIF($B$5:B1231,B1231)=1,1,0)</f>
        <v>0</v>
      </c>
      <c r="L1231" s="29" t="n">
        <f aca="false">IF(AND(C1231&gt;=Settings!$B$5-Settings!$B$8+1,C1231&lt;=Settings!$B$5,COUNTIFS($B$5:B1231,B1231,$C$5:C1231,"&gt;="&amp;(Settings!$B$5-Settings!$B$8+1),$C$5:C1231,"&lt;="&amp;Settings!$B$5)=1),1,0)</f>
        <v>0</v>
      </c>
      <c r="M1231" s="29" t="n">
        <f aca="false">IF(AND(C1231&gt;=Settings!$B$5-Settings!$B$9+1,C1231&lt;=Settings!$B$5,COUNTIFS($B$5:B1231,B1231,$C$5:C1231,"&gt;="&amp;(Settings!$B$5-Settings!$B$9+1),$C$5:C1231,"&lt;="&amp;Settings!$B$5)=1),1,0)</f>
        <v>0</v>
      </c>
      <c r="N1231" s="29" t="n">
        <f aca="false">IF(AND(D1231="Feature Use",COUNTIFS($B$5:B1231,B1231,$D$5:D1231,"Feature Use")=1),1,0)</f>
        <v>0</v>
      </c>
    </row>
    <row r="1232" customFormat="false" ht="15" hidden="false" customHeight="false" outlineLevel="0" collapsed="false">
      <c r="A1232" s="22" t="s">
        <v>1539</v>
      </c>
      <c r="B1232" s="22" t="s">
        <v>313</v>
      </c>
      <c r="C1232" s="31" t="n">
        <v>46303</v>
      </c>
      <c r="D1232" s="22" t="s">
        <v>300</v>
      </c>
      <c r="E1232" s="22" t="s">
        <v>319</v>
      </c>
      <c r="F1232" s="29" t="str">
        <f aca="false">IF(COUNTIF(Referral_Data!$C$5:$C$1000,B1232)&gt;0,"Referred",IF(COUNTIF(Referral_Data!$B$5:$B$1000,B1232)&gt;0,"Referrer","Organic"))</f>
        <v>Organic</v>
      </c>
      <c r="G1232" s="29" t="n">
        <f aca="false">IF(COUNTIFS($B$5:B1232,B1232,$C$5:C1232,C1232)=1,1,0)</f>
        <v>0</v>
      </c>
      <c r="H1232" s="29" t="n">
        <f aca="false">IF(AND(G1232=1,COUNTIFS($B$5:$B$1635,B1232,$C$5:$C$1635,"&lt;"&amp;C1232)&gt;0),1,0)</f>
        <v>0</v>
      </c>
      <c r="I1232" s="29" t="n">
        <f aca="false">IF(AND(D1232="Feature Use",COUNTIFS($B$5:B1232,B1232,$D$5:D1232,"Feature Use",$E$5:E1232,E1232)=1),1,0)</f>
        <v>0</v>
      </c>
      <c r="J1232" s="29" t="n">
        <f aca="false">IF(AND(D1232="Feature Use",COUNTIFS($B$5:B1232,B1232,$D$5:D1232,"Feature Use",$E$5:E1232,E1232)=2),1,0)</f>
        <v>0</v>
      </c>
      <c r="K1232" s="29" t="n">
        <f aca="false">IF(COUNTIF($B$5:B1232,B1232)=1,1,0)</f>
        <v>0</v>
      </c>
      <c r="L1232" s="29" t="n">
        <f aca="false">IF(AND(C1232&gt;=Settings!$B$5-Settings!$B$8+1,C1232&lt;=Settings!$B$5,COUNTIFS($B$5:B1232,B1232,$C$5:C1232,"&gt;="&amp;(Settings!$B$5-Settings!$B$8+1),$C$5:C1232,"&lt;="&amp;Settings!$B$5)=1),1,0)</f>
        <v>0</v>
      </c>
      <c r="M1232" s="29" t="n">
        <f aca="false">IF(AND(C1232&gt;=Settings!$B$5-Settings!$B$9+1,C1232&lt;=Settings!$B$5,COUNTIFS($B$5:B1232,B1232,$C$5:C1232,"&gt;="&amp;(Settings!$B$5-Settings!$B$9+1),$C$5:C1232,"&lt;="&amp;Settings!$B$5)=1),1,0)</f>
        <v>0</v>
      </c>
      <c r="N1232" s="29" t="n">
        <f aca="false">IF(AND(D1232="Feature Use",COUNTIFS($B$5:B1232,B1232,$D$5:D1232,"Feature Use")=1),1,0)</f>
        <v>0</v>
      </c>
    </row>
    <row r="1233" customFormat="false" ht="15" hidden="false" customHeight="false" outlineLevel="0" collapsed="false">
      <c r="A1233" s="22" t="s">
        <v>1540</v>
      </c>
      <c r="B1233" s="22" t="s">
        <v>168</v>
      </c>
      <c r="C1233" s="31" t="n">
        <v>46303</v>
      </c>
      <c r="D1233" s="22" t="s">
        <v>297</v>
      </c>
      <c r="E1233" s="22" t="s">
        <v>298</v>
      </c>
      <c r="F1233" s="29" t="str">
        <f aca="false">IF(COUNTIF(Referral_Data!$C$5:$C$1000,B1233)&gt;0,"Referred",IF(COUNTIF(Referral_Data!$B$5:$B$1000,B1233)&gt;0,"Referrer","Organic"))</f>
        <v>Referred</v>
      </c>
      <c r="G1233" s="29" t="n">
        <f aca="false">IF(COUNTIFS($B$5:B1233,B1233,$C$5:C1233,C1233)=1,1,0)</f>
        <v>1</v>
      </c>
      <c r="H1233" s="29" t="n">
        <f aca="false">IF(AND(G1233=1,COUNTIFS($B$5:$B$1635,B1233,$C$5:$C$1635,"&lt;"&amp;C1233)&gt;0),1,0)</f>
        <v>1</v>
      </c>
      <c r="I1233" s="29" t="n">
        <f aca="false">IF(AND(D1233="Feature Use",COUNTIFS($B$5:B1233,B1233,$D$5:D1233,"Feature Use",$E$5:E1233,E1233)=1),1,0)</f>
        <v>0</v>
      </c>
      <c r="J1233" s="29" t="n">
        <f aca="false">IF(AND(D1233="Feature Use",COUNTIFS($B$5:B1233,B1233,$D$5:D1233,"Feature Use",$E$5:E1233,E1233)=2),1,0)</f>
        <v>0</v>
      </c>
      <c r="K1233" s="29" t="n">
        <f aca="false">IF(COUNTIF($B$5:B1233,B1233)=1,1,0)</f>
        <v>0</v>
      </c>
      <c r="L1233" s="29" t="n">
        <f aca="false">IF(AND(C1233&gt;=Settings!$B$5-Settings!$B$8+1,C1233&lt;=Settings!$B$5,COUNTIFS($B$5:B1233,B1233,$C$5:C1233,"&gt;="&amp;(Settings!$B$5-Settings!$B$8+1),$C$5:C1233,"&lt;="&amp;Settings!$B$5)=1),1,0)</f>
        <v>0</v>
      </c>
      <c r="M1233" s="29" t="n">
        <f aca="false">IF(AND(C1233&gt;=Settings!$B$5-Settings!$B$9+1,C1233&lt;=Settings!$B$5,COUNTIFS($B$5:B1233,B1233,$C$5:C1233,"&gt;="&amp;(Settings!$B$5-Settings!$B$9+1),$C$5:C1233,"&lt;="&amp;Settings!$B$5)=1),1,0)</f>
        <v>0</v>
      </c>
      <c r="N1233" s="29" t="n">
        <f aca="false">IF(AND(D1233="Feature Use",COUNTIFS($B$5:B1233,B1233,$D$5:D1233,"Feature Use")=1),1,0)</f>
        <v>0</v>
      </c>
    </row>
    <row r="1234" customFormat="false" ht="15" hidden="false" customHeight="false" outlineLevel="0" collapsed="false">
      <c r="A1234" s="22" t="s">
        <v>1541</v>
      </c>
      <c r="B1234" s="22" t="s">
        <v>168</v>
      </c>
      <c r="C1234" s="31" t="n">
        <v>46303</v>
      </c>
      <c r="D1234" s="22" t="s">
        <v>300</v>
      </c>
      <c r="E1234" s="22" t="s">
        <v>301</v>
      </c>
      <c r="F1234" s="29" t="str">
        <f aca="false">IF(COUNTIF(Referral_Data!$C$5:$C$1000,B1234)&gt;0,"Referred",IF(COUNTIF(Referral_Data!$B$5:$B$1000,B1234)&gt;0,"Referrer","Organic"))</f>
        <v>Referred</v>
      </c>
      <c r="G1234" s="29" t="n">
        <f aca="false">IF(COUNTIFS($B$5:B1234,B1234,$C$5:C1234,C1234)=1,1,0)</f>
        <v>0</v>
      </c>
      <c r="H1234" s="29" t="n">
        <f aca="false">IF(AND(G1234=1,COUNTIFS($B$5:$B$1635,B1234,$C$5:$C$1635,"&lt;"&amp;C1234)&gt;0),1,0)</f>
        <v>0</v>
      </c>
      <c r="I1234" s="29" t="n">
        <f aca="false">IF(AND(D1234="Feature Use",COUNTIFS($B$5:B1234,B1234,$D$5:D1234,"Feature Use",$E$5:E1234,E1234)=1),1,0)</f>
        <v>0</v>
      </c>
      <c r="J1234" s="29" t="n">
        <f aca="false">IF(AND(D1234="Feature Use",COUNTIFS($B$5:B1234,B1234,$D$5:D1234,"Feature Use",$E$5:E1234,E1234)=2),1,0)</f>
        <v>0</v>
      </c>
      <c r="K1234" s="29" t="n">
        <f aca="false">IF(COUNTIF($B$5:B1234,B1234)=1,1,0)</f>
        <v>0</v>
      </c>
      <c r="L1234" s="29" t="n">
        <f aca="false">IF(AND(C1234&gt;=Settings!$B$5-Settings!$B$8+1,C1234&lt;=Settings!$B$5,COUNTIFS($B$5:B1234,B1234,$C$5:C1234,"&gt;="&amp;(Settings!$B$5-Settings!$B$8+1),$C$5:C1234,"&lt;="&amp;Settings!$B$5)=1),1,0)</f>
        <v>0</v>
      </c>
      <c r="M1234" s="29" t="n">
        <f aca="false">IF(AND(C1234&gt;=Settings!$B$5-Settings!$B$9+1,C1234&lt;=Settings!$B$5,COUNTIFS($B$5:B1234,B1234,$C$5:C1234,"&gt;="&amp;(Settings!$B$5-Settings!$B$9+1),$C$5:C1234,"&lt;="&amp;Settings!$B$5)=1),1,0)</f>
        <v>0</v>
      </c>
      <c r="N1234" s="29" t="n">
        <f aca="false">IF(AND(D1234="Feature Use",COUNTIFS($B$5:B1234,B1234,$D$5:D1234,"Feature Use")=1),1,0)</f>
        <v>0</v>
      </c>
    </row>
    <row r="1235" customFormat="false" ht="15" hidden="false" customHeight="false" outlineLevel="0" collapsed="false">
      <c r="A1235" s="22" t="s">
        <v>1542</v>
      </c>
      <c r="B1235" s="22" t="s">
        <v>168</v>
      </c>
      <c r="C1235" s="31" t="n">
        <v>46303</v>
      </c>
      <c r="D1235" s="22" t="s">
        <v>300</v>
      </c>
      <c r="E1235" s="22" t="s">
        <v>319</v>
      </c>
      <c r="F1235" s="29" t="str">
        <f aca="false">IF(COUNTIF(Referral_Data!$C$5:$C$1000,B1235)&gt;0,"Referred",IF(COUNTIF(Referral_Data!$B$5:$B$1000,B1235)&gt;0,"Referrer","Organic"))</f>
        <v>Referred</v>
      </c>
      <c r="G1235" s="29" t="n">
        <f aca="false">IF(COUNTIFS($B$5:B1235,B1235,$C$5:C1235,C1235)=1,1,0)</f>
        <v>0</v>
      </c>
      <c r="H1235" s="29" t="n">
        <f aca="false">IF(AND(G1235=1,COUNTIFS($B$5:$B$1635,B1235,$C$5:$C$1635,"&lt;"&amp;C1235)&gt;0),1,0)</f>
        <v>0</v>
      </c>
      <c r="I1235" s="29" t="n">
        <f aca="false">IF(AND(D1235="Feature Use",COUNTIFS($B$5:B1235,B1235,$D$5:D1235,"Feature Use",$E$5:E1235,E1235)=1),1,0)</f>
        <v>0</v>
      </c>
      <c r="J1235" s="29" t="n">
        <f aca="false">IF(AND(D1235="Feature Use",COUNTIFS($B$5:B1235,B1235,$D$5:D1235,"Feature Use",$E$5:E1235,E1235)=2),1,0)</f>
        <v>0</v>
      </c>
      <c r="K1235" s="29" t="n">
        <f aca="false">IF(COUNTIF($B$5:B1235,B1235)=1,1,0)</f>
        <v>0</v>
      </c>
      <c r="L1235" s="29" t="n">
        <f aca="false">IF(AND(C1235&gt;=Settings!$B$5-Settings!$B$8+1,C1235&lt;=Settings!$B$5,COUNTIFS($B$5:B1235,B1235,$C$5:C1235,"&gt;="&amp;(Settings!$B$5-Settings!$B$8+1),$C$5:C1235,"&lt;="&amp;Settings!$B$5)=1),1,0)</f>
        <v>0</v>
      </c>
      <c r="M1235" s="29" t="n">
        <f aca="false">IF(AND(C1235&gt;=Settings!$B$5-Settings!$B$9+1,C1235&lt;=Settings!$B$5,COUNTIFS($B$5:B1235,B1235,$C$5:C1235,"&gt;="&amp;(Settings!$B$5-Settings!$B$9+1),$C$5:C1235,"&lt;="&amp;Settings!$B$5)=1),1,0)</f>
        <v>0</v>
      </c>
      <c r="N1235" s="29" t="n">
        <f aca="false">IF(AND(D1235="Feature Use",COUNTIFS($B$5:B1235,B1235,$D$5:D1235,"Feature Use")=1),1,0)</f>
        <v>0</v>
      </c>
    </row>
    <row r="1236" customFormat="false" ht="15" hidden="false" customHeight="false" outlineLevel="0" collapsed="false">
      <c r="A1236" s="22" t="s">
        <v>1543</v>
      </c>
      <c r="B1236" s="22" t="s">
        <v>168</v>
      </c>
      <c r="C1236" s="31" t="n">
        <v>46303</v>
      </c>
      <c r="D1236" s="22" t="s">
        <v>308</v>
      </c>
      <c r="E1236" s="22" t="s">
        <v>305</v>
      </c>
      <c r="F1236" s="29" t="str">
        <f aca="false">IF(COUNTIF(Referral_Data!$C$5:$C$1000,B1236)&gt;0,"Referred",IF(COUNTIF(Referral_Data!$B$5:$B$1000,B1236)&gt;0,"Referrer","Organic"))</f>
        <v>Referred</v>
      </c>
      <c r="G1236" s="29" t="n">
        <f aca="false">IF(COUNTIFS($B$5:B1236,B1236,$C$5:C1236,C1236)=1,1,0)</f>
        <v>0</v>
      </c>
      <c r="H1236" s="29" t="n">
        <f aca="false">IF(AND(G1236=1,COUNTIFS($B$5:$B$1635,B1236,$C$5:$C$1635,"&lt;"&amp;C1236)&gt;0),1,0)</f>
        <v>0</v>
      </c>
      <c r="I1236" s="29" t="n">
        <f aca="false">IF(AND(D1236="Feature Use",COUNTIFS($B$5:B1236,B1236,$D$5:D1236,"Feature Use",$E$5:E1236,E1236)=1),1,0)</f>
        <v>0</v>
      </c>
      <c r="J1236" s="29" t="n">
        <f aca="false">IF(AND(D1236="Feature Use",COUNTIFS($B$5:B1236,B1236,$D$5:D1236,"Feature Use",$E$5:E1236,E1236)=2),1,0)</f>
        <v>0</v>
      </c>
      <c r="K1236" s="29" t="n">
        <f aca="false">IF(COUNTIF($B$5:B1236,B1236)=1,1,0)</f>
        <v>0</v>
      </c>
      <c r="L1236" s="29" t="n">
        <f aca="false">IF(AND(C1236&gt;=Settings!$B$5-Settings!$B$8+1,C1236&lt;=Settings!$B$5,COUNTIFS($B$5:B1236,B1236,$C$5:C1236,"&gt;="&amp;(Settings!$B$5-Settings!$B$8+1),$C$5:C1236,"&lt;="&amp;Settings!$B$5)=1),1,0)</f>
        <v>0</v>
      </c>
      <c r="M1236" s="29" t="n">
        <f aca="false">IF(AND(C1236&gt;=Settings!$B$5-Settings!$B$9+1,C1236&lt;=Settings!$B$5,COUNTIFS($B$5:B1236,B1236,$C$5:C1236,"&gt;="&amp;(Settings!$B$5-Settings!$B$9+1),$C$5:C1236,"&lt;="&amp;Settings!$B$5)=1),1,0)</f>
        <v>0</v>
      </c>
      <c r="N1236" s="29" t="n">
        <f aca="false">IF(AND(D1236="Feature Use",COUNTIFS($B$5:B1236,B1236,$D$5:D1236,"Feature Use")=1),1,0)</f>
        <v>0</v>
      </c>
    </row>
    <row r="1237" customFormat="false" ht="15" hidden="false" customHeight="false" outlineLevel="0" collapsed="false">
      <c r="A1237" s="22" t="s">
        <v>1544</v>
      </c>
      <c r="B1237" s="22" t="s">
        <v>192</v>
      </c>
      <c r="C1237" s="31" t="n">
        <v>46303</v>
      </c>
      <c r="D1237" s="22" t="s">
        <v>297</v>
      </c>
      <c r="E1237" s="22" t="s">
        <v>298</v>
      </c>
      <c r="F1237" s="29" t="str">
        <f aca="false">IF(COUNTIF(Referral_Data!$C$5:$C$1000,B1237)&gt;0,"Referred",IF(COUNTIF(Referral_Data!$B$5:$B$1000,B1237)&gt;0,"Referrer","Organic"))</f>
        <v>Referred</v>
      </c>
      <c r="G1237" s="29" t="n">
        <f aca="false">IF(COUNTIFS($B$5:B1237,B1237,$C$5:C1237,C1237)=1,1,0)</f>
        <v>1</v>
      </c>
      <c r="H1237" s="29" t="n">
        <f aca="false">IF(AND(G1237=1,COUNTIFS($B$5:$B$1635,B1237,$C$5:$C$1635,"&lt;"&amp;C1237)&gt;0),1,0)</f>
        <v>1</v>
      </c>
      <c r="I1237" s="29" t="n">
        <f aca="false">IF(AND(D1237="Feature Use",COUNTIFS($B$5:B1237,B1237,$D$5:D1237,"Feature Use",$E$5:E1237,E1237)=1),1,0)</f>
        <v>0</v>
      </c>
      <c r="J1237" s="29" t="n">
        <f aca="false">IF(AND(D1237="Feature Use",COUNTIFS($B$5:B1237,B1237,$D$5:D1237,"Feature Use",$E$5:E1237,E1237)=2),1,0)</f>
        <v>0</v>
      </c>
      <c r="K1237" s="29" t="n">
        <f aca="false">IF(COUNTIF($B$5:B1237,B1237)=1,1,0)</f>
        <v>0</v>
      </c>
      <c r="L1237" s="29" t="n">
        <f aca="false">IF(AND(C1237&gt;=Settings!$B$5-Settings!$B$8+1,C1237&lt;=Settings!$B$5,COUNTIFS($B$5:B1237,B1237,$C$5:C1237,"&gt;="&amp;(Settings!$B$5-Settings!$B$8+1),$C$5:C1237,"&lt;="&amp;Settings!$B$5)=1),1,0)</f>
        <v>0</v>
      </c>
      <c r="M1237" s="29" t="n">
        <f aca="false">IF(AND(C1237&gt;=Settings!$B$5-Settings!$B$9+1,C1237&lt;=Settings!$B$5,COUNTIFS($B$5:B1237,B1237,$C$5:C1237,"&gt;="&amp;(Settings!$B$5-Settings!$B$9+1),$C$5:C1237,"&lt;="&amp;Settings!$B$5)=1),1,0)</f>
        <v>0</v>
      </c>
      <c r="N1237" s="29" t="n">
        <f aca="false">IF(AND(D1237="Feature Use",COUNTIFS($B$5:B1237,B1237,$D$5:D1237,"Feature Use")=1),1,0)</f>
        <v>0</v>
      </c>
    </row>
    <row r="1238" customFormat="false" ht="15" hidden="false" customHeight="false" outlineLevel="0" collapsed="false">
      <c r="A1238" s="22" t="s">
        <v>1545</v>
      </c>
      <c r="B1238" s="22" t="s">
        <v>192</v>
      </c>
      <c r="C1238" s="31" t="n">
        <v>46303</v>
      </c>
      <c r="D1238" s="22" t="s">
        <v>300</v>
      </c>
      <c r="E1238" s="22" t="s">
        <v>319</v>
      </c>
      <c r="F1238" s="29" t="str">
        <f aca="false">IF(COUNTIF(Referral_Data!$C$5:$C$1000,B1238)&gt;0,"Referred",IF(COUNTIF(Referral_Data!$B$5:$B$1000,B1238)&gt;0,"Referrer","Organic"))</f>
        <v>Referred</v>
      </c>
      <c r="G1238" s="29" t="n">
        <f aca="false">IF(COUNTIFS($B$5:B1238,B1238,$C$5:C1238,C1238)=1,1,0)</f>
        <v>0</v>
      </c>
      <c r="H1238" s="29" t="n">
        <f aca="false">IF(AND(G1238=1,COUNTIFS($B$5:$B$1635,B1238,$C$5:$C$1635,"&lt;"&amp;C1238)&gt;0),1,0)</f>
        <v>0</v>
      </c>
      <c r="I1238" s="29" t="n">
        <f aca="false">IF(AND(D1238="Feature Use",COUNTIFS($B$5:B1238,B1238,$D$5:D1238,"Feature Use",$E$5:E1238,E1238)=1),1,0)</f>
        <v>0</v>
      </c>
      <c r="J1238" s="29" t="n">
        <f aca="false">IF(AND(D1238="Feature Use",COUNTIFS($B$5:B1238,B1238,$D$5:D1238,"Feature Use",$E$5:E1238,E1238)=2),1,0)</f>
        <v>0</v>
      </c>
      <c r="K1238" s="29" t="n">
        <f aca="false">IF(COUNTIF($B$5:B1238,B1238)=1,1,0)</f>
        <v>0</v>
      </c>
      <c r="L1238" s="29" t="n">
        <f aca="false">IF(AND(C1238&gt;=Settings!$B$5-Settings!$B$8+1,C1238&lt;=Settings!$B$5,COUNTIFS($B$5:B1238,B1238,$C$5:C1238,"&gt;="&amp;(Settings!$B$5-Settings!$B$8+1),$C$5:C1238,"&lt;="&amp;Settings!$B$5)=1),1,0)</f>
        <v>0</v>
      </c>
      <c r="M1238" s="29" t="n">
        <f aca="false">IF(AND(C1238&gt;=Settings!$B$5-Settings!$B$9+1,C1238&lt;=Settings!$B$5,COUNTIFS($B$5:B1238,B1238,$C$5:C1238,"&gt;="&amp;(Settings!$B$5-Settings!$B$9+1),$C$5:C1238,"&lt;="&amp;Settings!$B$5)=1),1,0)</f>
        <v>0</v>
      </c>
      <c r="N1238" s="29" t="n">
        <f aca="false">IF(AND(D1238="Feature Use",COUNTIFS($B$5:B1238,B1238,$D$5:D1238,"Feature Use")=1),1,0)</f>
        <v>0</v>
      </c>
    </row>
    <row r="1239" customFormat="false" ht="15" hidden="false" customHeight="false" outlineLevel="0" collapsed="false">
      <c r="A1239" s="22" t="s">
        <v>1546</v>
      </c>
      <c r="B1239" s="22" t="s">
        <v>192</v>
      </c>
      <c r="C1239" s="31" t="n">
        <v>46303</v>
      </c>
      <c r="D1239" s="22" t="s">
        <v>300</v>
      </c>
      <c r="E1239" s="22" t="s">
        <v>301</v>
      </c>
      <c r="F1239" s="29" t="str">
        <f aca="false">IF(COUNTIF(Referral_Data!$C$5:$C$1000,B1239)&gt;0,"Referred",IF(COUNTIF(Referral_Data!$B$5:$B$1000,B1239)&gt;0,"Referrer","Organic"))</f>
        <v>Referred</v>
      </c>
      <c r="G1239" s="29" t="n">
        <f aca="false">IF(COUNTIFS($B$5:B1239,B1239,$C$5:C1239,C1239)=1,1,0)</f>
        <v>0</v>
      </c>
      <c r="H1239" s="29" t="n">
        <f aca="false">IF(AND(G1239=1,COUNTIFS($B$5:$B$1635,B1239,$C$5:$C$1635,"&lt;"&amp;C1239)&gt;0),1,0)</f>
        <v>0</v>
      </c>
      <c r="I1239" s="29" t="n">
        <f aca="false">IF(AND(D1239="Feature Use",COUNTIFS($B$5:B1239,B1239,$D$5:D1239,"Feature Use",$E$5:E1239,E1239)=1),1,0)</f>
        <v>0</v>
      </c>
      <c r="J1239" s="29" t="n">
        <f aca="false">IF(AND(D1239="Feature Use",COUNTIFS($B$5:B1239,B1239,$D$5:D1239,"Feature Use",$E$5:E1239,E1239)=2),1,0)</f>
        <v>0</v>
      </c>
      <c r="K1239" s="29" t="n">
        <f aca="false">IF(COUNTIF($B$5:B1239,B1239)=1,1,0)</f>
        <v>0</v>
      </c>
      <c r="L1239" s="29" t="n">
        <f aca="false">IF(AND(C1239&gt;=Settings!$B$5-Settings!$B$8+1,C1239&lt;=Settings!$B$5,COUNTIFS($B$5:B1239,B1239,$C$5:C1239,"&gt;="&amp;(Settings!$B$5-Settings!$B$8+1),$C$5:C1239,"&lt;="&amp;Settings!$B$5)=1),1,0)</f>
        <v>0</v>
      </c>
      <c r="M1239" s="29" t="n">
        <f aca="false">IF(AND(C1239&gt;=Settings!$B$5-Settings!$B$9+1,C1239&lt;=Settings!$B$5,COUNTIFS($B$5:B1239,B1239,$C$5:C1239,"&gt;="&amp;(Settings!$B$5-Settings!$B$9+1),$C$5:C1239,"&lt;="&amp;Settings!$B$5)=1),1,0)</f>
        <v>0</v>
      </c>
      <c r="N1239" s="29" t="n">
        <f aca="false">IF(AND(D1239="Feature Use",COUNTIFS($B$5:B1239,B1239,$D$5:D1239,"Feature Use")=1),1,0)</f>
        <v>0</v>
      </c>
    </row>
    <row r="1240" customFormat="false" ht="15" hidden="false" customHeight="false" outlineLevel="0" collapsed="false">
      <c r="A1240" s="22" t="s">
        <v>1547</v>
      </c>
      <c r="B1240" s="22" t="s">
        <v>204</v>
      </c>
      <c r="C1240" s="31" t="n">
        <v>46303</v>
      </c>
      <c r="D1240" s="22" t="s">
        <v>297</v>
      </c>
      <c r="E1240" s="22" t="s">
        <v>298</v>
      </c>
      <c r="F1240" s="29" t="str">
        <f aca="false">IF(COUNTIF(Referral_Data!$C$5:$C$1000,B1240)&gt;0,"Referred",IF(COUNTIF(Referral_Data!$B$5:$B$1000,B1240)&gt;0,"Referrer","Organic"))</f>
        <v>Referred</v>
      </c>
      <c r="G1240" s="29" t="n">
        <f aca="false">IF(COUNTIFS($B$5:B1240,B1240,$C$5:C1240,C1240)=1,1,0)</f>
        <v>1</v>
      </c>
      <c r="H1240" s="29" t="n">
        <f aca="false">IF(AND(G1240=1,COUNTIFS($B$5:$B$1635,B1240,$C$5:$C$1635,"&lt;"&amp;C1240)&gt;0),1,0)</f>
        <v>1</v>
      </c>
      <c r="I1240" s="29" t="n">
        <f aca="false">IF(AND(D1240="Feature Use",COUNTIFS($B$5:B1240,B1240,$D$5:D1240,"Feature Use",$E$5:E1240,E1240)=1),1,0)</f>
        <v>0</v>
      </c>
      <c r="J1240" s="29" t="n">
        <f aca="false">IF(AND(D1240="Feature Use",COUNTIFS($B$5:B1240,B1240,$D$5:D1240,"Feature Use",$E$5:E1240,E1240)=2),1,0)</f>
        <v>0</v>
      </c>
      <c r="K1240" s="29" t="n">
        <f aca="false">IF(COUNTIF($B$5:B1240,B1240)=1,1,0)</f>
        <v>0</v>
      </c>
      <c r="L1240" s="29" t="n">
        <f aca="false">IF(AND(C1240&gt;=Settings!$B$5-Settings!$B$8+1,C1240&lt;=Settings!$B$5,COUNTIFS($B$5:B1240,B1240,$C$5:C1240,"&gt;="&amp;(Settings!$B$5-Settings!$B$8+1),$C$5:C1240,"&lt;="&amp;Settings!$B$5)=1),1,0)</f>
        <v>0</v>
      </c>
      <c r="M1240" s="29" t="n">
        <f aca="false">IF(AND(C1240&gt;=Settings!$B$5-Settings!$B$9+1,C1240&lt;=Settings!$B$5,COUNTIFS($B$5:B1240,B1240,$C$5:C1240,"&gt;="&amp;(Settings!$B$5-Settings!$B$9+1),$C$5:C1240,"&lt;="&amp;Settings!$B$5)=1),1,0)</f>
        <v>0</v>
      </c>
      <c r="N1240" s="29" t="n">
        <f aca="false">IF(AND(D1240="Feature Use",COUNTIFS($B$5:B1240,B1240,$D$5:D1240,"Feature Use")=1),1,0)</f>
        <v>0</v>
      </c>
    </row>
    <row r="1241" customFormat="false" ht="15" hidden="false" customHeight="false" outlineLevel="0" collapsed="false">
      <c r="A1241" s="22" t="s">
        <v>1548</v>
      </c>
      <c r="B1241" s="22" t="s">
        <v>204</v>
      </c>
      <c r="C1241" s="31" t="n">
        <v>46303</v>
      </c>
      <c r="D1241" s="22" t="s">
        <v>300</v>
      </c>
      <c r="E1241" s="22" t="s">
        <v>311</v>
      </c>
      <c r="F1241" s="29" t="str">
        <f aca="false">IF(COUNTIF(Referral_Data!$C$5:$C$1000,B1241)&gt;0,"Referred",IF(COUNTIF(Referral_Data!$B$5:$B$1000,B1241)&gt;0,"Referrer","Organic"))</f>
        <v>Referred</v>
      </c>
      <c r="G1241" s="29" t="n">
        <f aca="false">IF(COUNTIFS($B$5:B1241,B1241,$C$5:C1241,C1241)=1,1,0)</f>
        <v>0</v>
      </c>
      <c r="H1241" s="29" t="n">
        <f aca="false">IF(AND(G1241=1,COUNTIFS($B$5:$B$1635,B1241,$C$5:$C$1635,"&lt;"&amp;C1241)&gt;0),1,0)</f>
        <v>0</v>
      </c>
      <c r="I1241" s="29" t="n">
        <f aca="false">IF(AND(D1241="Feature Use",COUNTIFS($B$5:B1241,B1241,$D$5:D1241,"Feature Use",$E$5:E1241,E1241)=1),1,0)</f>
        <v>0</v>
      </c>
      <c r="J1241" s="29" t="n">
        <f aca="false">IF(AND(D1241="Feature Use",COUNTIFS($B$5:B1241,B1241,$D$5:D1241,"Feature Use",$E$5:E1241,E1241)=2),1,0)</f>
        <v>1</v>
      </c>
      <c r="K1241" s="29" t="n">
        <f aca="false">IF(COUNTIF($B$5:B1241,B1241)=1,1,0)</f>
        <v>0</v>
      </c>
      <c r="L1241" s="29" t="n">
        <f aca="false">IF(AND(C1241&gt;=Settings!$B$5-Settings!$B$8+1,C1241&lt;=Settings!$B$5,COUNTIFS($B$5:B1241,B1241,$C$5:C1241,"&gt;="&amp;(Settings!$B$5-Settings!$B$8+1),$C$5:C1241,"&lt;="&amp;Settings!$B$5)=1),1,0)</f>
        <v>0</v>
      </c>
      <c r="M1241" s="29" t="n">
        <f aca="false">IF(AND(C1241&gt;=Settings!$B$5-Settings!$B$9+1,C1241&lt;=Settings!$B$5,COUNTIFS($B$5:B1241,B1241,$C$5:C1241,"&gt;="&amp;(Settings!$B$5-Settings!$B$9+1),$C$5:C1241,"&lt;="&amp;Settings!$B$5)=1),1,0)</f>
        <v>0</v>
      </c>
      <c r="N1241" s="29" t="n">
        <f aca="false">IF(AND(D1241="Feature Use",COUNTIFS($B$5:B1241,B1241,$D$5:D1241,"Feature Use")=1),1,0)</f>
        <v>0</v>
      </c>
    </row>
    <row r="1242" customFormat="false" ht="15" hidden="false" customHeight="false" outlineLevel="0" collapsed="false">
      <c r="A1242" s="22" t="s">
        <v>1549</v>
      </c>
      <c r="B1242" s="22" t="s">
        <v>204</v>
      </c>
      <c r="C1242" s="31" t="n">
        <v>46303</v>
      </c>
      <c r="D1242" s="22" t="s">
        <v>300</v>
      </c>
      <c r="E1242" s="22" t="s">
        <v>311</v>
      </c>
      <c r="F1242" s="29" t="str">
        <f aca="false">IF(COUNTIF(Referral_Data!$C$5:$C$1000,B1242)&gt;0,"Referred",IF(COUNTIF(Referral_Data!$B$5:$B$1000,B1242)&gt;0,"Referrer","Organic"))</f>
        <v>Referred</v>
      </c>
      <c r="G1242" s="29" t="n">
        <f aca="false">IF(COUNTIFS($B$5:B1242,B1242,$C$5:C1242,C1242)=1,1,0)</f>
        <v>0</v>
      </c>
      <c r="H1242" s="29" t="n">
        <f aca="false">IF(AND(G1242=1,COUNTIFS($B$5:$B$1635,B1242,$C$5:$C$1635,"&lt;"&amp;C1242)&gt;0),1,0)</f>
        <v>0</v>
      </c>
      <c r="I1242" s="29" t="n">
        <f aca="false">IF(AND(D1242="Feature Use",COUNTIFS($B$5:B1242,B1242,$D$5:D1242,"Feature Use",$E$5:E1242,E1242)=1),1,0)</f>
        <v>0</v>
      </c>
      <c r="J1242" s="29" t="n">
        <f aca="false">IF(AND(D1242="Feature Use",COUNTIFS($B$5:B1242,B1242,$D$5:D1242,"Feature Use",$E$5:E1242,E1242)=2),1,0)</f>
        <v>0</v>
      </c>
      <c r="K1242" s="29" t="n">
        <f aca="false">IF(COUNTIF($B$5:B1242,B1242)=1,1,0)</f>
        <v>0</v>
      </c>
      <c r="L1242" s="29" t="n">
        <f aca="false">IF(AND(C1242&gt;=Settings!$B$5-Settings!$B$8+1,C1242&lt;=Settings!$B$5,COUNTIFS($B$5:B1242,B1242,$C$5:C1242,"&gt;="&amp;(Settings!$B$5-Settings!$B$8+1),$C$5:C1242,"&lt;="&amp;Settings!$B$5)=1),1,0)</f>
        <v>0</v>
      </c>
      <c r="M1242" s="29" t="n">
        <f aca="false">IF(AND(C1242&gt;=Settings!$B$5-Settings!$B$9+1,C1242&lt;=Settings!$B$5,COUNTIFS($B$5:B1242,B1242,$C$5:C1242,"&gt;="&amp;(Settings!$B$5-Settings!$B$9+1),$C$5:C1242,"&lt;="&amp;Settings!$B$5)=1),1,0)</f>
        <v>0</v>
      </c>
      <c r="N1242" s="29" t="n">
        <f aca="false">IF(AND(D1242="Feature Use",COUNTIFS($B$5:B1242,B1242,$D$5:D1242,"Feature Use")=1),1,0)</f>
        <v>0</v>
      </c>
    </row>
    <row r="1243" customFormat="false" ht="15" hidden="false" customHeight="false" outlineLevel="0" collapsed="false">
      <c r="A1243" s="22" t="s">
        <v>1550</v>
      </c>
      <c r="B1243" s="22" t="s">
        <v>204</v>
      </c>
      <c r="C1243" s="31" t="n">
        <v>46303</v>
      </c>
      <c r="D1243" s="22" t="s">
        <v>308</v>
      </c>
      <c r="E1243" s="22" t="s">
        <v>301</v>
      </c>
      <c r="F1243" s="29" t="str">
        <f aca="false">IF(COUNTIF(Referral_Data!$C$5:$C$1000,B1243)&gt;0,"Referred",IF(COUNTIF(Referral_Data!$B$5:$B$1000,B1243)&gt;0,"Referrer","Organic"))</f>
        <v>Referred</v>
      </c>
      <c r="G1243" s="29" t="n">
        <f aca="false">IF(COUNTIFS($B$5:B1243,B1243,$C$5:C1243,C1243)=1,1,0)</f>
        <v>0</v>
      </c>
      <c r="H1243" s="29" t="n">
        <f aca="false">IF(AND(G1243=1,COUNTIFS($B$5:$B$1635,B1243,$C$5:$C$1635,"&lt;"&amp;C1243)&gt;0),1,0)</f>
        <v>0</v>
      </c>
      <c r="I1243" s="29" t="n">
        <f aca="false">IF(AND(D1243="Feature Use",COUNTIFS($B$5:B1243,B1243,$D$5:D1243,"Feature Use",$E$5:E1243,E1243)=1),1,0)</f>
        <v>0</v>
      </c>
      <c r="J1243" s="29" t="n">
        <f aca="false">IF(AND(D1243="Feature Use",COUNTIFS($B$5:B1243,B1243,$D$5:D1243,"Feature Use",$E$5:E1243,E1243)=2),1,0)</f>
        <v>0</v>
      </c>
      <c r="K1243" s="29" t="n">
        <f aca="false">IF(COUNTIF($B$5:B1243,B1243)=1,1,0)</f>
        <v>0</v>
      </c>
      <c r="L1243" s="29" t="n">
        <f aca="false">IF(AND(C1243&gt;=Settings!$B$5-Settings!$B$8+1,C1243&lt;=Settings!$B$5,COUNTIFS($B$5:B1243,B1243,$C$5:C1243,"&gt;="&amp;(Settings!$B$5-Settings!$B$8+1),$C$5:C1243,"&lt;="&amp;Settings!$B$5)=1),1,0)</f>
        <v>0</v>
      </c>
      <c r="M1243" s="29" t="n">
        <f aca="false">IF(AND(C1243&gt;=Settings!$B$5-Settings!$B$9+1,C1243&lt;=Settings!$B$5,COUNTIFS($B$5:B1243,B1243,$C$5:C1243,"&gt;="&amp;(Settings!$B$5-Settings!$B$9+1),$C$5:C1243,"&lt;="&amp;Settings!$B$5)=1),1,0)</f>
        <v>0</v>
      </c>
      <c r="N1243" s="29" t="n">
        <f aca="false">IF(AND(D1243="Feature Use",COUNTIFS($B$5:B1243,B1243,$D$5:D1243,"Feature Use")=1),1,0)</f>
        <v>0</v>
      </c>
    </row>
    <row r="1244" customFormat="false" ht="15" hidden="false" customHeight="false" outlineLevel="0" collapsed="false">
      <c r="A1244" s="22" t="s">
        <v>1551</v>
      </c>
      <c r="B1244" s="22" t="s">
        <v>213</v>
      </c>
      <c r="C1244" s="31" t="n">
        <v>46303</v>
      </c>
      <c r="D1244" s="22" t="s">
        <v>297</v>
      </c>
      <c r="E1244" s="22" t="s">
        <v>298</v>
      </c>
      <c r="F1244" s="29" t="str">
        <f aca="false">IF(COUNTIF(Referral_Data!$C$5:$C$1000,B1244)&gt;0,"Referred",IF(COUNTIF(Referral_Data!$B$5:$B$1000,B1244)&gt;0,"Referrer","Organic"))</f>
        <v>Referred</v>
      </c>
      <c r="G1244" s="29" t="n">
        <f aca="false">IF(COUNTIFS($B$5:B1244,B1244,$C$5:C1244,C1244)=1,1,0)</f>
        <v>1</v>
      </c>
      <c r="H1244" s="29" t="n">
        <f aca="false">IF(AND(G1244=1,COUNTIFS($B$5:$B$1635,B1244,$C$5:$C$1635,"&lt;"&amp;C1244)&gt;0),1,0)</f>
        <v>1</v>
      </c>
      <c r="I1244" s="29" t="n">
        <f aca="false">IF(AND(D1244="Feature Use",COUNTIFS($B$5:B1244,B1244,$D$5:D1244,"Feature Use",$E$5:E1244,E1244)=1),1,0)</f>
        <v>0</v>
      </c>
      <c r="J1244" s="29" t="n">
        <f aca="false">IF(AND(D1244="Feature Use",COUNTIFS($B$5:B1244,B1244,$D$5:D1244,"Feature Use",$E$5:E1244,E1244)=2),1,0)</f>
        <v>0</v>
      </c>
      <c r="K1244" s="29" t="n">
        <f aca="false">IF(COUNTIF($B$5:B1244,B1244)=1,1,0)</f>
        <v>0</v>
      </c>
      <c r="L1244" s="29" t="n">
        <f aca="false">IF(AND(C1244&gt;=Settings!$B$5-Settings!$B$8+1,C1244&lt;=Settings!$B$5,COUNTIFS($B$5:B1244,B1244,$C$5:C1244,"&gt;="&amp;(Settings!$B$5-Settings!$B$8+1),$C$5:C1244,"&lt;="&amp;Settings!$B$5)=1),1,0)</f>
        <v>0</v>
      </c>
      <c r="M1244" s="29" t="n">
        <f aca="false">IF(AND(C1244&gt;=Settings!$B$5-Settings!$B$9+1,C1244&lt;=Settings!$B$5,COUNTIFS($B$5:B1244,B1244,$C$5:C1244,"&gt;="&amp;(Settings!$B$5-Settings!$B$9+1),$C$5:C1244,"&lt;="&amp;Settings!$B$5)=1),1,0)</f>
        <v>0</v>
      </c>
      <c r="N1244" s="29" t="n">
        <f aca="false">IF(AND(D1244="Feature Use",COUNTIFS($B$5:B1244,B1244,$D$5:D1244,"Feature Use")=1),1,0)</f>
        <v>0</v>
      </c>
    </row>
    <row r="1245" customFormat="false" ht="15" hidden="false" customHeight="false" outlineLevel="0" collapsed="false">
      <c r="A1245" s="22" t="s">
        <v>1552</v>
      </c>
      <c r="B1245" s="22" t="s">
        <v>213</v>
      </c>
      <c r="C1245" s="31" t="n">
        <v>46303</v>
      </c>
      <c r="D1245" s="22" t="s">
        <v>300</v>
      </c>
      <c r="E1245" s="22" t="s">
        <v>319</v>
      </c>
      <c r="F1245" s="29" t="str">
        <f aca="false">IF(COUNTIF(Referral_Data!$C$5:$C$1000,B1245)&gt;0,"Referred",IF(COUNTIF(Referral_Data!$B$5:$B$1000,B1245)&gt;0,"Referrer","Organic"))</f>
        <v>Referred</v>
      </c>
      <c r="G1245" s="29" t="n">
        <f aca="false">IF(COUNTIFS($B$5:B1245,B1245,$C$5:C1245,C1245)=1,1,0)</f>
        <v>0</v>
      </c>
      <c r="H1245" s="29" t="n">
        <f aca="false">IF(AND(G1245=1,COUNTIFS($B$5:$B$1635,B1245,$C$5:$C$1635,"&lt;"&amp;C1245)&gt;0),1,0)</f>
        <v>0</v>
      </c>
      <c r="I1245" s="29" t="n">
        <f aca="false">IF(AND(D1245="Feature Use",COUNTIFS($B$5:B1245,B1245,$D$5:D1245,"Feature Use",$E$5:E1245,E1245)=1),1,0)</f>
        <v>0</v>
      </c>
      <c r="J1245" s="29" t="n">
        <f aca="false">IF(AND(D1245="Feature Use",COUNTIFS($B$5:B1245,B1245,$D$5:D1245,"Feature Use",$E$5:E1245,E1245)=2),1,0)</f>
        <v>0</v>
      </c>
      <c r="K1245" s="29" t="n">
        <f aca="false">IF(COUNTIF($B$5:B1245,B1245)=1,1,0)</f>
        <v>0</v>
      </c>
      <c r="L1245" s="29" t="n">
        <f aca="false">IF(AND(C1245&gt;=Settings!$B$5-Settings!$B$8+1,C1245&lt;=Settings!$B$5,COUNTIFS($B$5:B1245,B1245,$C$5:C1245,"&gt;="&amp;(Settings!$B$5-Settings!$B$8+1),$C$5:C1245,"&lt;="&amp;Settings!$B$5)=1),1,0)</f>
        <v>0</v>
      </c>
      <c r="M1245" s="29" t="n">
        <f aca="false">IF(AND(C1245&gt;=Settings!$B$5-Settings!$B$9+1,C1245&lt;=Settings!$B$5,COUNTIFS($B$5:B1245,B1245,$C$5:C1245,"&gt;="&amp;(Settings!$B$5-Settings!$B$9+1),$C$5:C1245,"&lt;="&amp;Settings!$B$5)=1),1,0)</f>
        <v>0</v>
      </c>
      <c r="N1245" s="29" t="n">
        <f aca="false">IF(AND(D1245="Feature Use",COUNTIFS($B$5:B1245,B1245,$D$5:D1245,"Feature Use")=1),1,0)</f>
        <v>0</v>
      </c>
    </row>
    <row r="1246" customFormat="false" ht="15" hidden="false" customHeight="false" outlineLevel="0" collapsed="false">
      <c r="A1246" s="22" t="s">
        <v>1553</v>
      </c>
      <c r="B1246" s="22" t="s">
        <v>213</v>
      </c>
      <c r="C1246" s="31" t="n">
        <v>46303</v>
      </c>
      <c r="D1246" s="22" t="s">
        <v>300</v>
      </c>
      <c r="E1246" s="22" t="s">
        <v>311</v>
      </c>
      <c r="F1246" s="29" t="str">
        <f aca="false">IF(COUNTIF(Referral_Data!$C$5:$C$1000,B1246)&gt;0,"Referred",IF(COUNTIF(Referral_Data!$B$5:$B$1000,B1246)&gt;0,"Referrer","Organic"))</f>
        <v>Referred</v>
      </c>
      <c r="G1246" s="29" t="n">
        <f aca="false">IF(COUNTIFS($B$5:B1246,B1246,$C$5:C1246,C1246)=1,1,0)</f>
        <v>0</v>
      </c>
      <c r="H1246" s="29" t="n">
        <f aca="false">IF(AND(G1246=1,COUNTIFS($B$5:$B$1635,B1246,$C$5:$C$1635,"&lt;"&amp;C1246)&gt;0),1,0)</f>
        <v>0</v>
      </c>
      <c r="I1246" s="29" t="n">
        <f aca="false">IF(AND(D1246="Feature Use",COUNTIFS($B$5:B1246,B1246,$D$5:D1246,"Feature Use",$E$5:E1246,E1246)=1),1,0)</f>
        <v>0</v>
      </c>
      <c r="J1246" s="29" t="n">
        <f aca="false">IF(AND(D1246="Feature Use",COUNTIFS($B$5:B1246,B1246,$D$5:D1246,"Feature Use",$E$5:E1246,E1246)=2),1,0)</f>
        <v>0</v>
      </c>
      <c r="K1246" s="29" t="n">
        <f aca="false">IF(COUNTIF($B$5:B1246,B1246)=1,1,0)</f>
        <v>0</v>
      </c>
      <c r="L1246" s="29" t="n">
        <f aca="false">IF(AND(C1246&gt;=Settings!$B$5-Settings!$B$8+1,C1246&lt;=Settings!$B$5,COUNTIFS($B$5:B1246,B1246,$C$5:C1246,"&gt;="&amp;(Settings!$B$5-Settings!$B$8+1),$C$5:C1246,"&lt;="&amp;Settings!$B$5)=1),1,0)</f>
        <v>0</v>
      </c>
      <c r="M1246" s="29" t="n">
        <f aca="false">IF(AND(C1246&gt;=Settings!$B$5-Settings!$B$9+1,C1246&lt;=Settings!$B$5,COUNTIFS($B$5:B1246,B1246,$C$5:C1246,"&gt;="&amp;(Settings!$B$5-Settings!$B$9+1),$C$5:C1246,"&lt;="&amp;Settings!$B$5)=1),1,0)</f>
        <v>0</v>
      </c>
      <c r="N1246" s="29" t="n">
        <f aca="false">IF(AND(D1246="Feature Use",COUNTIFS($B$5:B1246,B1246,$D$5:D1246,"Feature Use")=1),1,0)</f>
        <v>0</v>
      </c>
    </row>
    <row r="1247" customFormat="false" ht="15" hidden="false" customHeight="false" outlineLevel="0" collapsed="false">
      <c r="A1247" s="22" t="s">
        <v>1554</v>
      </c>
      <c r="B1247" s="22" t="s">
        <v>218</v>
      </c>
      <c r="C1247" s="31" t="n">
        <v>46303</v>
      </c>
      <c r="D1247" s="22" t="s">
        <v>297</v>
      </c>
      <c r="E1247" s="22" t="s">
        <v>298</v>
      </c>
      <c r="F1247" s="29" t="str">
        <f aca="false">IF(COUNTIF(Referral_Data!$C$5:$C$1000,B1247)&gt;0,"Referred",IF(COUNTIF(Referral_Data!$B$5:$B$1000,B1247)&gt;0,"Referrer","Organic"))</f>
        <v>Referred</v>
      </c>
      <c r="G1247" s="29" t="n">
        <f aca="false">IF(COUNTIFS($B$5:B1247,B1247,$C$5:C1247,C1247)=1,1,0)</f>
        <v>1</v>
      </c>
      <c r="H1247" s="29" t="n">
        <f aca="false">IF(AND(G1247=1,COUNTIFS($B$5:$B$1635,B1247,$C$5:$C$1635,"&lt;"&amp;C1247)&gt;0),1,0)</f>
        <v>0</v>
      </c>
      <c r="I1247" s="29" t="n">
        <f aca="false">IF(AND(D1247="Feature Use",COUNTIFS($B$5:B1247,B1247,$D$5:D1247,"Feature Use",$E$5:E1247,E1247)=1),1,0)</f>
        <v>0</v>
      </c>
      <c r="J1247" s="29" t="n">
        <f aca="false">IF(AND(D1247="Feature Use",COUNTIFS($B$5:B1247,B1247,$D$5:D1247,"Feature Use",$E$5:E1247,E1247)=2),1,0)</f>
        <v>0</v>
      </c>
      <c r="K1247" s="29" t="n">
        <f aca="false">IF(COUNTIF($B$5:B1247,B1247)=1,1,0)</f>
        <v>1</v>
      </c>
      <c r="L1247" s="29" t="n">
        <f aca="false">IF(AND(C1247&gt;=Settings!$B$5-Settings!$B$8+1,C1247&lt;=Settings!$B$5,COUNTIFS($B$5:B1247,B1247,$C$5:C1247,"&gt;="&amp;(Settings!$B$5-Settings!$B$8+1),$C$5:C1247,"&lt;="&amp;Settings!$B$5)=1),1,0)</f>
        <v>0</v>
      </c>
      <c r="M1247" s="29" t="n">
        <f aca="false">IF(AND(C1247&gt;=Settings!$B$5-Settings!$B$9+1,C1247&lt;=Settings!$B$5,COUNTIFS($B$5:B1247,B1247,$C$5:C1247,"&gt;="&amp;(Settings!$B$5-Settings!$B$9+1),$C$5:C1247,"&lt;="&amp;Settings!$B$5)=1),1,0)</f>
        <v>1</v>
      </c>
      <c r="N1247" s="29" t="n">
        <f aca="false">IF(AND(D1247="Feature Use",COUNTIFS($B$5:B1247,B1247,$D$5:D1247,"Feature Use")=1),1,0)</f>
        <v>0</v>
      </c>
    </row>
    <row r="1248" customFormat="false" ht="15" hidden="false" customHeight="false" outlineLevel="0" collapsed="false">
      <c r="A1248" s="22" t="s">
        <v>1555</v>
      </c>
      <c r="B1248" s="22" t="s">
        <v>218</v>
      </c>
      <c r="C1248" s="31" t="n">
        <v>46303</v>
      </c>
      <c r="D1248" s="22" t="s">
        <v>300</v>
      </c>
      <c r="E1248" s="22" t="s">
        <v>311</v>
      </c>
      <c r="F1248" s="29" t="str">
        <f aca="false">IF(COUNTIF(Referral_Data!$C$5:$C$1000,B1248)&gt;0,"Referred",IF(COUNTIF(Referral_Data!$B$5:$B$1000,B1248)&gt;0,"Referrer","Organic"))</f>
        <v>Referred</v>
      </c>
      <c r="G1248" s="29" t="n">
        <f aca="false">IF(COUNTIFS($B$5:B1248,B1248,$C$5:C1248,C1248)=1,1,0)</f>
        <v>0</v>
      </c>
      <c r="H1248" s="29" t="n">
        <f aca="false">IF(AND(G1248=1,COUNTIFS($B$5:$B$1635,B1248,$C$5:$C$1635,"&lt;"&amp;C1248)&gt;0),1,0)</f>
        <v>0</v>
      </c>
      <c r="I1248" s="29" t="n">
        <f aca="false">IF(AND(D1248="Feature Use",COUNTIFS($B$5:B1248,B1248,$D$5:D1248,"Feature Use",$E$5:E1248,E1248)=1),1,0)</f>
        <v>1</v>
      </c>
      <c r="J1248" s="29" t="n">
        <f aca="false">IF(AND(D1248="Feature Use",COUNTIFS($B$5:B1248,B1248,$D$5:D1248,"Feature Use",$E$5:E1248,E1248)=2),1,0)</f>
        <v>0</v>
      </c>
      <c r="K1248" s="29" t="n">
        <f aca="false">IF(COUNTIF($B$5:B1248,B1248)=1,1,0)</f>
        <v>0</v>
      </c>
      <c r="L1248" s="29" t="n">
        <f aca="false">IF(AND(C1248&gt;=Settings!$B$5-Settings!$B$8+1,C1248&lt;=Settings!$B$5,COUNTIFS($B$5:B1248,B1248,$C$5:C1248,"&gt;="&amp;(Settings!$B$5-Settings!$B$8+1),$C$5:C1248,"&lt;="&amp;Settings!$B$5)=1),1,0)</f>
        <v>0</v>
      </c>
      <c r="M1248" s="29" t="n">
        <f aca="false">IF(AND(C1248&gt;=Settings!$B$5-Settings!$B$9+1,C1248&lt;=Settings!$B$5,COUNTIFS($B$5:B1248,B1248,$C$5:C1248,"&gt;="&amp;(Settings!$B$5-Settings!$B$9+1),$C$5:C1248,"&lt;="&amp;Settings!$B$5)=1),1,0)</f>
        <v>0</v>
      </c>
      <c r="N1248" s="29" t="n">
        <f aca="false">IF(AND(D1248="Feature Use",COUNTIFS($B$5:B1248,B1248,$D$5:D1248,"Feature Use")=1),1,0)</f>
        <v>1</v>
      </c>
    </row>
    <row r="1249" customFormat="false" ht="15" hidden="false" customHeight="false" outlineLevel="0" collapsed="false">
      <c r="A1249" s="22" t="s">
        <v>1556</v>
      </c>
      <c r="B1249" s="22" t="s">
        <v>220</v>
      </c>
      <c r="C1249" s="31" t="n">
        <v>46303</v>
      </c>
      <c r="D1249" s="22" t="s">
        <v>297</v>
      </c>
      <c r="E1249" s="22" t="s">
        <v>298</v>
      </c>
      <c r="F1249" s="29" t="str">
        <f aca="false">IF(COUNTIF(Referral_Data!$C$5:$C$1000,B1249)&gt;0,"Referred",IF(COUNTIF(Referral_Data!$B$5:$B$1000,B1249)&gt;0,"Referrer","Organic"))</f>
        <v>Referred</v>
      </c>
      <c r="G1249" s="29" t="n">
        <f aca="false">IF(COUNTIFS($B$5:B1249,B1249,$C$5:C1249,C1249)=1,1,0)</f>
        <v>1</v>
      </c>
      <c r="H1249" s="29" t="n">
        <f aca="false">IF(AND(G1249=1,COUNTIFS($B$5:$B$1635,B1249,$C$5:$C$1635,"&lt;"&amp;C1249)&gt;0),1,0)</f>
        <v>1</v>
      </c>
      <c r="I1249" s="29" t="n">
        <f aca="false">IF(AND(D1249="Feature Use",COUNTIFS($B$5:B1249,B1249,$D$5:D1249,"Feature Use",$E$5:E1249,E1249)=1),1,0)</f>
        <v>0</v>
      </c>
      <c r="J1249" s="29" t="n">
        <f aca="false">IF(AND(D1249="Feature Use",COUNTIFS($B$5:B1249,B1249,$D$5:D1249,"Feature Use",$E$5:E1249,E1249)=2),1,0)</f>
        <v>0</v>
      </c>
      <c r="K1249" s="29" t="n">
        <f aca="false">IF(COUNTIF($B$5:B1249,B1249)=1,1,0)</f>
        <v>0</v>
      </c>
      <c r="L1249" s="29" t="n">
        <f aca="false">IF(AND(C1249&gt;=Settings!$B$5-Settings!$B$8+1,C1249&lt;=Settings!$B$5,COUNTIFS($B$5:B1249,B1249,$C$5:C1249,"&gt;="&amp;(Settings!$B$5-Settings!$B$8+1),$C$5:C1249,"&lt;="&amp;Settings!$B$5)=1),1,0)</f>
        <v>0</v>
      </c>
      <c r="M1249" s="29" t="n">
        <f aca="false">IF(AND(C1249&gt;=Settings!$B$5-Settings!$B$9+1,C1249&lt;=Settings!$B$5,COUNTIFS($B$5:B1249,B1249,$C$5:C1249,"&gt;="&amp;(Settings!$B$5-Settings!$B$9+1),$C$5:C1249,"&lt;="&amp;Settings!$B$5)=1),1,0)</f>
        <v>0</v>
      </c>
      <c r="N1249" s="29" t="n">
        <f aca="false">IF(AND(D1249="Feature Use",COUNTIFS($B$5:B1249,B1249,$D$5:D1249,"Feature Use")=1),1,0)</f>
        <v>0</v>
      </c>
    </row>
    <row r="1250" customFormat="false" ht="15" hidden="false" customHeight="false" outlineLevel="0" collapsed="false">
      <c r="A1250" s="22" t="s">
        <v>1557</v>
      </c>
      <c r="B1250" s="22" t="s">
        <v>220</v>
      </c>
      <c r="C1250" s="31" t="n">
        <v>46303</v>
      </c>
      <c r="D1250" s="22" t="s">
        <v>300</v>
      </c>
      <c r="E1250" s="22" t="s">
        <v>305</v>
      </c>
      <c r="F1250" s="29" t="str">
        <f aca="false">IF(COUNTIF(Referral_Data!$C$5:$C$1000,B1250)&gt;0,"Referred",IF(COUNTIF(Referral_Data!$B$5:$B$1000,B1250)&gt;0,"Referrer","Organic"))</f>
        <v>Referred</v>
      </c>
      <c r="G1250" s="29" t="n">
        <f aca="false">IF(COUNTIFS($B$5:B1250,B1250,$C$5:C1250,C1250)=1,1,0)</f>
        <v>0</v>
      </c>
      <c r="H1250" s="29" t="n">
        <f aca="false">IF(AND(G1250=1,COUNTIFS($B$5:$B$1635,B1250,$C$5:$C$1635,"&lt;"&amp;C1250)&gt;0),1,0)</f>
        <v>0</v>
      </c>
      <c r="I1250" s="29" t="n">
        <f aca="false">IF(AND(D1250="Feature Use",COUNTIFS($B$5:B1250,B1250,$D$5:D1250,"Feature Use",$E$5:E1250,E1250)=1),1,0)</f>
        <v>0</v>
      </c>
      <c r="J1250" s="29" t="n">
        <f aca="false">IF(AND(D1250="Feature Use",COUNTIFS($B$5:B1250,B1250,$D$5:D1250,"Feature Use",$E$5:E1250,E1250)=2),1,0)</f>
        <v>1</v>
      </c>
      <c r="K1250" s="29" t="n">
        <f aca="false">IF(COUNTIF($B$5:B1250,B1250)=1,1,0)</f>
        <v>0</v>
      </c>
      <c r="L1250" s="29" t="n">
        <f aca="false">IF(AND(C1250&gt;=Settings!$B$5-Settings!$B$8+1,C1250&lt;=Settings!$B$5,COUNTIFS($B$5:B1250,B1250,$C$5:C1250,"&gt;="&amp;(Settings!$B$5-Settings!$B$8+1),$C$5:C1250,"&lt;="&amp;Settings!$B$5)=1),1,0)</f>
        <v>0</v>
      </c>
      <c r="M1250" s="29" t="n">
        <f aca="false">IF(AND(C1250&gt;=Settings!$B$5-Settings!$B$9+1,C1250&lt;=Settings!$B$5,COUNTIFS($B$5:B1250,B1250,$C$5:C1250,"&gt;="&amp;(Settings!$B$5-Settings!$B$9+1),$C$5:C1250,"&lt;="&amp;Settings!$B$5)=1),1,0)</f>
        <v>0</v>
      </c>
      <c r="N1250" s="29" t="n">
        <f aca="false">IF(AND(D1250="Feature Use",COUNTIFS($B$5:B1250,B1250,$D$5:D1250,"Feature Use")=1),1,0)</f>
        <v>0</v>
      </c>
    </row>
    <row r="1251" customFormat="false" ht="15" hidden="false" customHeight="false" outlineLevel="0" collapsed="false">
      <c r="A1251" s="22" t="s">
        <v>1558</v>
      </c>
      <c r="B1251" s="22" t="s">
        <v>237</v>
      </c>
      <c r="C1251" s="31" t="n">
        <v>46303</v>
      </c>
      <c r="D1251" s="22" t="s">
        <v>297</v>
      </c>
      <c r="E1251" s="22" t="s">
        <v>298</v>
      </c>
      <c r="F1251" s="29" t="str">
        <f aca="false">IF(COUNTIF(Referral_Data!$C$5:$C$1000,B1251)&gt;0,"Referred",IF(COUNTIF(Referral_Data!$B$5:$B$1000,B1251)&gt;0,"Referrer","Organic"))</f>
        <v>Referred</v>
      </c>
      <c r="G1251" s="29" t="n">
        <f aca="false">IF(COUNTIFS($B$5:B1251,B1251,$C$5:C1251,C1251)=1,1,0)</f>
        <v>1</v>
      </c>
      <c r="H1251" s="29" t="n">
        <f aca="false">IF(AND(G1251=1,COUNTIFS($B$5:$B$1635,B1251,$C$5:$C$1635,"&lt;"&amp;C1251)&gt;0),1,0)</f>
        <v>1</v>
      </c>
      <c r="I1251" s="29" t="n">
        <f aca="false">IF(AND(D1251="Feature Use",COUNTIFS($B$5:B1251,B1251,$D$5:D1251,"Feature Use",$E$5:E1251,E1251)=1),1,0)</f>
        <v>0</v>
      </c>
      <c r="J1251" s="29" t="n">
        <f aca="false">IF(AND(D1251="Feature Use",COUNTIFS($B$5:B1251,B1251,$D$5:D1251,"Feature Use",$E$5:E1251,E1251)=2),1,0)</f>
        <v>0</v>
      </c>
      <c r="K1251" s="29" t="n">
        <f aca="false">IF(COUNTIF($B$5:B1251,B1251)=1,1,0)</f>
        <v>0</v>
      </c>
      <c r="L1251" s="29" t="n">
        <f aca="false">IF(AND(C1251&gt;=Settings!$B$5-Settings!$B$8+1,C1251&lt;=Settings!$B$5,COUNTIFS($B$5:B1251,B1251,$C$5:C1251,"&gt;="&amp;(Settings!$B$5-Settings!$B$8+1),$C$5:C1251,"&lt;="&amp;Settings!$B$5)=1),1,0)</f>
        <v>0</v>
      </c>
      <c r="M1251" s="29" t="n">
        <f aca="false">IF(AND(C1251&gt;=Settings!$B$5-Settings!$B$9+1,C1251&lt;=Settings!$B$5,COUNTIFS($B$5:B1251,B1251,$C$5:C1251,"&gt;="&amp;(Settings!$B$5-Settings!$B$9+1),$C$5:C1251,"&lt;="&amp;Settings!$B$5)=1),1,0)</f>
        <v>0</v>
      </c>
      <c r="N1251" s="29" t="n">
        <f aca="false">IF(AND(D1251="Feature Use",COUNTIFS($B$5:B1251,B1251,$D$5:D1251,"Feature Use")=1),1,0)</f>
        <v>0</v>
      </c>
    </row>
    <row r="1252" customFormat="false" ht="15" hidden="false" customHeight="false" outlineLevel="0" collapsed="false">
      <c r="A1252" s="22" t="s">
        <v>1559</v>
      </c>
      <c r="B1252" s="22" t="s">
        <v>237</v>
      </c>
      <c r="C1252" s="31" t="n">
        <v>46303</v>
      </c>
      <c r="D1252" s="22" t="s">
        <v>300</v>
      </c>
      <c r="E1252" s="22" t="s">
        <v>301</v>
      </c>
      <c r="F1252" s="29" t="str">
        <f aca="false">IF(COUNTIF(Referral_Data!$C$5:$C$1000,B1252)&gt;0,"Referred",IF(COUNTIF(Referral_Data!$B$5:$B$1000,B1252)&gt;0,"Referrer","Organic"))</f>
        <v>Referred</v>
      </c>
      <c r="G1252" s="29" t="n">
        <f aca="false">IF(COUNTIFS($B$5:B1252,B1252,$C$5:C1252,C1252)=1,1,0)</f>
        <v>0</v>
      </c>
      <c r="H1252" s="29" t="n">
        <f aca="false">IF(AND(G1252=1,COUNTIFS($B$5:$B$1635,B1252,$C$5:$C$1635,"&lt;"&amp;C1252)&gt;0),1,0)</f>
        <v>0</v>
      </c>
      <c r="I1252" s="29" t="n">
        <f aca="false">IF(AND(D1252="Feature Use",COUNTIFS($B$5:B1252,B1252,$D$5:D1252,"Feature Use",$E$5:E1252,E1252)=1),1,0)</f>
        <v>0</v>
      </c>
      <c r="J1252" s="29" t="n">
        <f aca="false">IF(AND(D1252="Feature Use",COUNTIFS($B$5:B1252,B1252,$D$5:D1252,"Feature Use",$E$5:E1252,E1252)=2),1,0)</f>
        <v>0</v>
      </c>
      <c r="K1252" s="29" t="n">
        <f aca="false">IF(COUNTIF($B$5:B1252,B1252)=1,1,0)</f>
        <v>0</v>
      </c>
      <c r="L1252" s="29" t="n">
        <f aca="false">IF(AND(C1252&gt;=Settings!$B$5-Settings!$B$8+1,C1252&lt;=Settings!$B$5,COUNTIFS($B$5:B1252,B1252,$C$5:C1252,"&gt;="&amp;(Settings!$B$5-Settings!$B$8+1),$C$5:C1252,"&lt;="&amp;Settings!$B$5)=1),1,0)</f>
        <v>0</v>
      </c>
      <c r="M1252" s="29" t="n">
        <f aca="false">IF(AND(C1252&gt;=Settings!$B$5-Settings!$B$9+1,C1252&lt;=Settings!$B$5,COUNTIFS($B$5:B1252,B1252,$C$5:C1252,"&gt;="&amp;(Settings!$B$5-Settings!$B$9+1),$C$5:C1252,"&lt;="&amp;Settings!$B$5)=1),1,0)</f>
        <v>0</v>
      </c>
      <c r="N1252" s="29" t="n">
        <f aca="false">IF(AND(D1252="Feature Use",COUNTIFS($B$5:B1252,B1252,$D$5:D1252,"Feature Use")=1),1,0)</f>
        <v>0</v>
      </c>
    </row>
    <row r="1253" customFormat="false" ht="15" hidden="false" customHeight="false" outlineLevel="0" collapsed="false">
      <c r="A1253" s="22" t="s">
        <v>1560</v>
      </c>
      <c r="B1253" s="22" t="s">
        <v>237</v>
      </c>
      <c r="C1253" s="31" t="n">
        <v>46303</v>
      </c>
      <c r="D1253" s="22" t="s">
        <v>300</v>
      </c>
      <c r="E1253" s="22" t="s">
        <v>311</v>
      </c>
      <c r="F1253" s="29" t="str">
        <f aca="false">IF(COUNTIF(Referral_Data!$C$5:$C$1000,B1253)&gt;0,"Referred",IF(COUNTIF(Referral_Data!$B$5:$B$1000,B1253)&gt;0,"Referrer","Organic"))</f>
        <v>Referred</v>
      </c>
      <c r="G1253" s="29" t="n">
        <f aca="false">IF(COUNTIFS($B$5:B1253,B1253,$C$5:C1253,C1253)=1,1,0)</f>
        <v>0</v>
      </c>
      <c r="H1253" s="29" t="n">
        <f aca="false">IF(AND(G1253=1,COUNTIFS($B$5:$B$1635,B1253,$C$5:$C$1635,"&lt;"&amp;C1253)&gt;0),1,0)</f>
        <v>0</v>
      </c>
      <c r="I1253" s="29" t="n">
        <f aca="false">IF(AND(D1253="Feature Use",COUNTIFS($B$5:B1253,B1253,$D$5:D1253,"Feature Use",$E$5:E1253,E1253)=1),1,0)</f>
        <v>1</v>
      </c>
      <c r="J1253" s="29" t="n">
        <f aca="false">IF(AND(D1253="Feature Use",COUNTIFS($B$5:B1253,B1253,$D$5:D1253,"Feature Use",$E$5:E1253,E1253)=2),1,0)</f>
        <v>0</v>
      </c>
      <c r="K1253" s="29" t="n">
        <f aca="false">IF(COUNTIF($B$5:B1253,B1253)=1,1,0)</f>
        <v>0</v>
      </c>
      <c r="L1253" s="29" t="n">
        <f aca="false">IF(AND(C1253&gt;=Settings!$B$5-Settings!$B$8+1,C1253&lt;=Settings!$B$5,COUNTIFS($B$5:B1253,B1253,$C$5:C1253,"&gt;="&amp;(Settings!$B$5-Settings!$B$8+1),$C$5:C1253,"&lt;="&amp;Settings!$B$5)=1),1,0)</f>
        <v>0</v>
      </c>
      <c r="M1253" s="29" t="n">
        <f aca="false">IF(AND(C1253&gt;=Settings!$B$5-Settings!$B$9+1,C1253&lt;=Settings!$B$5,COUNTIFS($B$5:B1253,B1253,$C$5:C1253,"&gt;="&amp;(Settings!$B$5-Settings!$B$9+1),$C$5:C1253,"&lt;="&amp;Settings!$B$5)=1),1,0)</f>
        <v>0</v>
      </c>
      <c r="N1253" s="29" t="n">
        <f aca="false">IF(AND(D1253="Feature Use",COUNTIFS($B$5:B1253,B1253,$D$5:D1253,"Feature Use")=1),1,0)</f>
        <v>0</v>
      </c>
    </row>
    <row r="1254" customFormat="false" ht="15" hidden="false" customHeight="false" outlineLevel="0" collapsed="false">
      <c r="A1254" s="22" t="s">
        <v>1561</v>
      </c>
      <c r="B1254" s="22" t="s">
        <v>237</v>
      </c>
      <c r="C1254" s="31" t="n">
        <v>46303</v>
      </c>
      <c r="D1254" s="22" t="s">
        <v>308</v>
      </c>
      <c r="E1254" s="22" t="s">
        <v>305</v>
      </c>
      <c r="F1254" s="29" t="str">
        <f aca="false">IF(COUNTIF(Referral_Data!$C$5:$C$1000,B1254)&gt;0,"Referred",IF(COUNTIF(Referral_Data!$B$5:$B$1000,B1254)&gt;0,"Referrer","Organic"))</f>
        <v>Referred</v>
      </c>
      <c r="G1254" s="29" t="n">
        <f aca="false">IF(COUNTIFS($B$5:B1254,B1254,$C$5:C1254,C1254)=1,1,0)</f>
        <v>0</v>
      </c>
      <c r="H1254" s="29" t="n">
        <f aca="false">IF(AND(G1254=1,COUNTIFS($B$5:$B$1635,B1254,$C$5:$C$1635,"&lt;"&amp;C1254)&gt;0),1,0)</f>
        <v>0</v>
      </c>
      <c r="I1254" s="29" t="n">
        <f aca="false">IF(AND(D1254="Feature Use",COUNTIFS($B$5:B1254,B1254,$D$5:D1254,"Feature Use",$E$5:E1254,E1254)=1),1,0)</f>
        <v>0</v>
      </c>
      <c r="J1254" s="29" t="n">
        <f aca="false">IF(AND(D1254="Feature Use",COUNTIFS($B$5:B1254,B1254,$D$5:D1254,"Feature Use",$E$5:E1254,E1254)=2),1,0)</f>
        <v>0</v>
      </c>
      <c r="K1254" s="29" t="n">
        <f aca="false">IF(COUNTIF($B$5:B1254,B1254)=1,1,0)</f>
        <v>0</v>
      </c>
      <c r="L1254" s="29" t="n">
        <f aca="false">IF(AND(C1254&gt;=Settings!$B$5-Settings!$B$8+1,C1254&lt;=Settings!$B$5,COUNTIFS($B$5:B1254,B1254,$C$5:C1254,"&gt;="&amp;(Settings!$B$5-Settings!$B$8+1),$C$5:C1254,"&lt;="&amp;Settings!$B$5)=1),1,0)</f>
        <v>0</v>
      </c>
      <c r="M1254" s="29" t="n">
        <f aca="false">IF(AND(C1254&gt;=Settings!$B$5-Settings!$B$9+1,C1254&lt;=Settings!$B$5,COUNTIFS($B$5:B1254,B1254,$C$5:C1254,"&gt;="&amp;(Settings!$B$5-Settings!$B$9+1),$C$5:C1254,"&lt;="&amp;Settings!$B$5)=1),1,0)</f>
        <v>0</v>
      </c>
      <c r="N1254" s="29" t="n">
        <f aca="false">IF(AND(D1254="Feature Use",COUNTIFS($B$5:B1254,B1254,$D$5:D1254,"Feature Use")=1),1,0)</f>
        <v>0</v>
      </c>
    </row>
    <row r="1255" customFormat="false" ht="15" hidden="false" customHeight="false" outlineLevel="0" collapsed="false">
      <c r="A1255" s="22" t="s">
        <v>1562</v>
      </c>
      <c r="B1255" s="22" t="s">
        <v>241</v>
      </c>
      <c r="C1255" s="31" t="n">
        <v>46303</v>
      </c>
      <c r="D1255" s="22" t="s">
        <v>297</v>
      </c>
      <c r="E1255" s="22" t="s">
        <v>298</v>
      </c>
      <c r="F1255" s="29" t="str">
        <f aca="false">IF(COUNTIF(Referral_Data!$C$5:$C$1000,B1255)&gt;0,"Referred",IF(COUNTIF(Referral_Data!$B$5:$B$1000,B1255)&gt;0,"Referrer","Organic"))</f>
        <v>Referred</v>
      </c>
      <c r="G1255" s="29" t="n">
        <f aca="false">IF(COUNTIFS($B$5:B1255,B1255,$C$5:C1255,C1255)=1,1,0)</f>
        <v>1</v>
      </c>
      <c r="H1255" s="29" t="n">
        <f aca="false">IF(AND(G1255=1,COUNTIFS($B$5:$B$1635,B1255,$C$5:$C$1635,"&lt;"&amp;C1255)&gt;0),1,0)</f>
        <v>1</v>
      </c>
      <c r="I1255" s="29" t="n">
        <f aca="false">IF(AND(D1255="Feature Use",COUNTIFS($B$5:B1255,B1255,$D$5:D1255,"Feature Use",$E$5:E1255,E1255)=1),1,0)</f>
        <v>0</v>
      </c>
      <c r="J1255" s="29" t="n">
        <f aca="false">IF(AND(D1255="Feature Use",COUNTIFS($B$5:B1255,B1255,$D$5:D1255,"Feature Use",$E$5:E1255,E1255)=2),1,0)</f>
        <v>0</v>
      </c>
      <c r="K1255" s="29" t="n">
        <f aca="false">IF(COUNTIF($B$5:B1255,B1255)=1,1,0)</f>
        <v>0</v>
      </c>
      <c r="L1255" s="29" t="n">
        <f aca="false">IF(AND(C1255&gt;=Settings!$B$5-Settings!$B$8+1,C1255&lt;=Settings!$B$5,COUNTIFS($B$5:B1255,B1255,$C$5:C1255,"&gt;="&amp;(Settings!$B$5-Settings!$B$8+1),$C$5:C1255,"&lt;="&amp;Settings!$B$5)=1),1,0)</f>
        <v>0</v>
      </c>
      <c r="M1255" s="29" t="n">
        <f aca="false">IF(AND(C1255&gt;=Settings!$B$5-Settings!$B$9+1,C1255&lt;=Settings!$B$5,COUNTIFS($B$5:B1255,B1255,$C$5:C1255,"&gt;="&amp;(Settings!$B$5-Settings!$B$9+1),$C$5:C1255,"&lt;="&amp;Settings!$B$5)=1),1,0)</f>
        <v>0</v>
      </c>
      <c r="N1255" s="29" t="n">
        <f aca="false">IF(AND(D1255="Feature Use",COUNTIFS($B$5:B1255,B1255,$D$5:D1255,"Feature Use")=1),1,0)</f>
        <v>0</v>
      </c>
    </row>
    <row r="1256" customFormat="false" ht="15" hidden="false" customHeight="false" outlineLevel="0" collapsed="false">
      <c r="A1256" s="22" t="s">
        <v>1563</v>
      </c>
      <c r="B1256" s="22" t="s">
        <v>241</v>
      </c>
      <c r="C1256" s="31" t="n">
        <v>46303</v>
      </c>
      <c r="D1256" s="22" t="s">
        <v>300</v>
      </c>
      <c r="E1256" s="22" t="s">
        <v>319</v>
      </c>
      <c r="F1256" s="29" t="str">
        <f aca="false">IF(COUNTIF(Referral_Data!$C$5:$C$1000,B1256)&gt;0,"Referred",IF(COUNTIF(Referral_Data!$B$5:$B$1000,B1256)&gt;0,"Referrer","Organic"))</f>
        <v>Referred</v>
      </c>
      <c r="G1256" s="29" t="n">
        <f aca="false">IF(COUNTIFS($B$5:B1256,B1256,$C$5:C1256,C1256)=1,1,0)</f>
        <v>0</v>
      </c>
      <c r="H1256" s="29" t="n">
        <f aca="false">IF(AND(G1256=1,COUNTIFS($B$5:$B$1635,B1256,$C$5:$C$1635,"&lt;"&amp;C1256)&gt;0),1,0)</f>
        <v>0</v>
      </c>
      <c r="I1256" s="29" t="n">
        <f aca="false">IF(AND(D1256="Feature Use",COUNTIFS($B$5:B1256,B1256,$D$5:D1256,"Feature Use",$E$5:E1256,E1256)=1),1,0)</f>
        <v>0</v>
      </c>
      <c r="J1256" s="29" t="n">
        <f aca="false">IF(AND(D1256="Feature Use",COUNTIFS($B$5:B1256,B1256,$D$5:D1256,"Feature Use",$E$5:E1256,E1256)=2),1,0)</f>
        <v>0</v>
      </c>
      <c r="K1256" s="29" t="n">
        <f aca="false">IF(COUNTIF($B$5:B1256,B1256)=1,1,0)</f>
        <v>0</v>
      </c>
      <c r="L1256" s="29" t="n">
        <f aca="false">IF(AND(C1256&gt;=Settings!$B$5-Settings!$B$8+1,C1256&lt;=Settings!$B$5,COUNTIFS($B$5:B1256,B1256,$C$5:C1256,"&gt;="&amp;(Settings!$B$5-Settings!$B$8+1),$C$5:C1256,"&lt;="&amp;Settings!$B$5)=1),1,0)</f>
        <v>0</v>
      </c>
      <c r="M1256" s="29" t="n">
        <f aca="false">IF(AND(C1256&gt;=Settings!$B$5-Settings!$B$9+1,C1256&lt;=Settings!$B$5,COUNTIFS($B$5:B1256,B1256,$C$5:C1256,"&gt;="&amp;(Settings!$B$5-Settings!$B$9+1),$C$5:C1256,"&lt;="&amp;Settings!$B$5)=1),1,0)</f>
        <v>0</v>
      </c>
      <c r="N1256" s="29" t="n">
        <f aca="false">IF(AND(D1256="Feature Use",COUNTIFS($B$5:B1256,B1256,$D$5:D1256,"Feature Use")=1),1,0)</f>
        <v>0</v>
      </c>
    </row>
    <row r="1257" customFormat="false" ht="15" hidden="false" customHeight="false" outlineLevel="0" collapsed="false">
      <c r="A1257" s="22" t="s">
        <v>1564</v>
      </c>
      <c r="B1257" s="22" t="s">
        <v>241</v>
      </c>
      <c r="C1257" s="31" t="n">
        <v>46303</v>
      </c>
      <c r="D1257" s="22" t="s">
        <v>300</v>
      </c>
      <c r="E1257" s="22" t="s">
        <v>311</v>
      </c>
      <c r="F1257" s="29" t="str">
        <f aca="false">IF(COUNTIF(Referral_Data!$C$5:$C$1000,B1257)&gt;0,"Referred",IF(COUNTIF(Referral_Data!$B$5:$B$1000,B1257)&gt;0,"Referrer","Organic"))</f>
        <v>Referred</v>
      </c>
      <c r="G1257" s="29" t="n">
        <f aca="false">IF(COUNTIFS($B$5:B1257,B1257,$C$5:C1257,C1257)=1,1,0)</f>
        <v>0</v>
      </c>
      <c r="H1257" s="29" t="n">
        <f aca="false">IF(AND(G1257=1,COUNTIFS($B$5:$B$1635,B1257,$C$5:$C$1635,"&lt;"&amp;C1257)&gt;0),1,0)</f>
        <v>0</v>
      </c>
      <c r="I1257" s="29" t="n">
        <f aca="false">IF(AND(D1257="Feature Use",COUNTIFS($B$5:B1257,B1257,$D$5:D1257,"Feature Use",$E$5:E1257,E1257)=1),1,0)</f>
        <v>0</v>
      </c>
      <c r="J1257" s="29" t="n">
        <f aca="false">IF(AND(D1257="Feature Use",COUNTIFS($B$5:B1257,B1257,$D$5:D1257,"Feature Use",$E$5:E1257,E1257)=2),1,0)</f>
        <v>0</v>
      </c>
      <c r="K1257" s="29" t="n">
        <f aca="false">IF(COUNTIF($B$5:B1257,B1257)=1,1,0)</f>
        <v>0</v>
      </c>
      <c r="L1257" s="29" t="n">
        <f aca="false">IF(AND(C1257&gt;=Settings!$B$5-Settings!$B$8+1,C1257&lt;=Settings!$B$5,COUNTIFS($B$5:B1257,B1257,$C$5:C1257,"&gt;="&amp;(Settings!$B$5-Settings!$B$8+1),$C$5:C1257,"&lt;="&amp;Settings!$B$5)=1),1,0)</f>
        <v>0</v>
      </c>
      <c r="M1257" s="29" t="n">
        <f aca="false">IF(AND(C1257&gt;=Settings!$B$5-Settings!$B$9+1,C1257&lt;=Settings!$B$5,COUNTIFS($B$5:B1257,B1257,$C$5:C1257,"&gt;="&amp;(Settings!$B$5-Settings!$B$9+1),$C$5:C1257,"&lt;="&amp;Settings!$B$5)=1),1,0)</f>
        <v>0</v>
      </c>
      <c r="N1257" s="29" t="n">
        <f aca="false">IF(AND(D1257="Feature Use",COUNTIFS($B$5:B1257,B1257,$D$5:D1257,"Feature Use")=1),1,0)</f>
        <v>0</v>
      </c>
    </row>
    <row r="1258" customFormat="false" ht="15" hidden="false" customHeight="false" outlineLevel="0" collapsed="false">
      <c r="A1258" s="22" t="s">
        <v>1565</v>
      </c>
      <c r="B1258" s="22" t="s">
        <v>241</v>
      </c>
      <c r="C1258" s="31" t="n">
        <v>46303</v>
      </c>
      <c r="D1258" s="22" t="s">
        <v>308</v>
      </c>
      <c r="E1258" s="22" t="s">
        <v>301</v>
      </c>
      <c r="F1258" s="29" t="str">
        <f aca="false">IF(COUNTIF(Referral_Data!$C$5:$C$1000,B1258)&gt;0,"Referred",IF(COUNTIF(Referral_Data!$B$5:$B$1000,B1258)&gt;0,"Referrer","Organic"))</f>
        <v>Referred</v>
      </c>
      <c r="G1258" s="29" t="n">
        <f aca="false">IF(COUNTIFS($B$5:B1258,B1258,$C$5:C1258,C1258)=1,1,0)</f>
        <v>0</v>
      </c>
      <c r="H1258" s="29" t="n">
        <f aca="false">IF(AND(G1258=1,COUNTIFS($B$5:$B$1635,B1258,$C$5:$C$1635,"&lt;"&amp;C1258)&gt;0),1,0)</f>
        <v>0</v>
      </c>
      <c r="I1258" s="29" t="n">
        <f aca="false">IF(AND(D1258="Feature Use",COUNTIFS($B$5:B1258,B1258,$D$5:D1258,"Feature Use",$E$5:E1258,E1258)=1),1,0)</f>
        <v>0</v>
      </c>
      <c r="J1258" s="29" t="n">
        <f aca="false">IF(AND(D1258="Feature Use",COUNTIFS($B$5:B1258,B1258,$D$5:D1258,"Feature Use",$E$5:E1258,E1258)=2),1,0)</f>
        <v>0</v>
      </c>
      <c r="K1258" s="29" t="n">
        <f aca="false">IF(COUNTIF($B$5:B1258,B1258)=1,1,0)</f>
        <v>0</v>
      </c>
      <c r="L1258" s="29" t="n">
        <f aca="false">IF(AND(C1258&gt;=Settings!$B$5-Settings!$B$8+1,C1258&lt;=Settings!$B$5,COUNTIFS($B$5:B1258,B1258,$C$5:C1258,"&gt;="&amp;(Settings!$B$5-Settings!$B$8+1),$C$5:C1258,"&lt;="&amp;Settings!$B$5)=1),1,0)</f>
        <v>0</v>
      </c>
      <c r="M1258" s="29" t="n">
        <f aca="false">IF(AND(C1258&gt;=Settings!$B$5-Settings!$B$9+1,C1258&lt;=Settings!$B$5,COUNTIFS($B$5:B1258,B1258,$C$5:C1258,"&gt;="&amp;(Settings!$B$5-Settings!$B$9+1),$C$5:C1258,"&lt;="&amp;Settings!$B$5)=1),1,0)</f>
        <v>0</v>
      </c>
      <c r="N1258" s="29" t="n">
        <f aca="false">IF(AND(D1258="Feature Use",COUNTIFS($B$5:B1258,B1258,$D$5:D1258,"Feature Use")=1),1,0)</f>
        <v>0</v>
      </c>
    </row>
    <row r="1259" customFormat="false" ht="15" hidden="false" customHeight="false" outlineLevel="0" collapsed="false">
      <c r="A1259" s="22" t="s">
        <v>1566</v>
      </c>
      <c r="B1259" s="22" t="s">
        <v>245</v>
      </c>
      <c r="C1259" s="31" t="n">
        <v>46303</v>
      </c>
      <c r="D1259" s="22" t="s">
        <v>297</v>
      </c>
      <c r="E1259" s="22" t="s">
        <v>298</v>
      </c>
      <c r="F1259" s="29" t="str">
        <f aca="false">IF(COUNTIF(Referral_Data!$C$5:$C$1000,B1259)&gt;0,"Referred",IF(COUNTIF(Referral_Data!$B$5:$B$1000,B1259)&gt;0,"Referrer","Organic"))</f>
        <v>Referred</v>
      </c>
      <c r="G1259" s="29" t="n">
        <f aca="false">IF(COUNTIFS($B$5:B1259,B1259,$C$5:C1259,C1259)=1,1,0)</f>
        <v>1</v>
      </c>
      <c r="H1259" s="29" t="n">
        <f aca="false">IF(AND(G1259=1,COUNTIFS($B$5:$B$1635,B1259,$C$5:$C$1635,"&lt;"&amp;C1259)&gt;0),1,0)</f>
        <v>1</v>
      </c>
      <c r="I1259" s="29" t="n">
        <f aca="false">IF(AND(D1259="Feature Use",COUNTIFS($B$5:B1259,B1259,$D$5:D1259,"Feature Use",$E$5:E1259,E1259)=1),1,0)</f>
        <v>0</v>
      </c>
      <c r="J1259" s="29" t="n">
        <f aca="false">IF(AND(D1259="Feature Use",COUNTIFS($B$5:B1259,B1259,$D$5:D1259,"Feature Use",$E$5:E1259,E1259)=2),1,0)</f>
        <v>0</v>
      </c>
      <c r="K1259" s="29" t="n">
        <f aca="false">IF(COUNTIF($B$5:B1259,B1259)=1,1,0)</f>
        <v>0</v>
      </c>
      <c r="L1259" s="29" t="n">
        <f aca="false">IF(AND(C1259&gt;=Settings!$B$5-Settings!$B$8+1,C1259&lt;=Settings!$B$5,COUNTIFS($B$5:B1259,B1259,$C$5:C1259,"&gt;="&amp;(Settings!$B$5-Settings!$B$8+1),$C$5:C1259,"&lt;="&amp;Settings!$B$5)=1),1,0)</f>
        <v>0</v>
      </c>
      <c r="M1259" s="29" t="n">
        <f aca="false">IF(AND(C1259&gt;=Settings!$B$5-Settings!$B$9+1,C1259&lt;=Settings!$B$5,COUNTIFS($B$5:B1259,B1259,$C$5:C1259,"&gt;="&amp;(Settings!$B$5-Settings!$B$9+1),$C$5:C1259,"&lt;="&amp;Settings!$B$5)=1),1,0)</f>
        <v>0</v>
      </c>
      <c r="N1259" s="29" t="n">
        <f aca="false">IF(AND(D1259="Feature Use",COUNTIFS($B$5:B1259,B1259,$D$5:D1259,"Feature Use")=1),1,0)</f>
        <v>0</v>
      </c>
    </row>
    <row r="1260" customFormat="false" ht="15" hidden="false" customHeight="false" outlineLevel="0" collapsed="false">
      <c r="A1260" s="22" t="s">
        <v>1567</v>
      </c>
      <c r="B1260" s="22" t="s">
        <v>245</v>
      </c>
      <c r="C1260" s="31" t="n">
        <v>46303</v>
      </c>
      <c r="D1260" s="22" t="s">
        <v>300</v>
      </c>
      <c r="E1260" s="22" t="s">
        <v>311</v>
      </c>
      <c r="F1260" s="29" t="str">
        <f aca="false">IF(COUNTIF(Referral_Data!$C$5:$C$1000,B1260)&gt;0,"Referred",IF(COUNTIF(Referral_Data!$B$5:$B$1000,B1260)&gt;0,"Referrer","Organic"))</f>
        <v>Referred</v>
      </c>
      <c r="G1260" s="29" t="n">
        <f aca="false">IF(COUNTIFS($B$5:B1260,B1260,$C$5:C1260,C1260)=1,1,0)</f>
        <v>0</v>
      </c>
      <c r="H1260" s="29" t="n">
        <f aca="false">IF(AND(G1260=1,COUNTIFS($B$5:$B$1635,B1260,$C$5:$C$1635,"&lt;"&amp;C1260)&gt;0),1,0)</f>
        <v>0</v>
      </c>
      <c r="I1260" s="29" t="n">
        <f aca="false">IF(AND(D1260="Feature Use",COUNTIFS($B$5:B1260,B1260,$D$5:D1260,"Feature Use",$E$5:E1260,E1260)=1),1,0)</f>
        <v>0</v>
      </c>
      <c r="J1260" s="29" t="n">
        <f aca="false">IF(AND(D1260="Feature Use",COUNTIFS($B$5:B1260,B1260,$D$5:D1260,"Feature Use",$E$5:E1260,E1260)=2),1,0)</f>
        <v>0</v>
      </c>
      <c r="K1260" s="29" t="n">
        <f aca="false">IF(COUNTIF($B$5:B1260,B1260)=1,1,0)</f>
        <v>0</v>
      </c>
      <c r="L1260" s="29" t="n">
        <f aca="false">IF(AND(C1260&gt;=Settings!$B$5-Settings!$B$8+1,C1260&lt;=Settings!$B$5,COUNTIFS($B$5:B1260,B1260,$C$5:C1260,"&gt;="&amp;(Settings!$B$5-Settings!$B$8+1),$C$5:C1260,"&lt;="&amp;Settings!$B$5)=1),1,0)</f>
        <v>0</v>
      </c>
      <c r="M1260" s="29" t="n">
        <f aca="false">IF(AND(C1260&gt;=Settings!$B$5-Settings!$B$9+1,C1260&lt;=Settings!$B$5,COUNTIFS($B$5:B1260,B1260,$C$5:C1260,"&gt;="&amp;(Settings!$B$5-Settings!$B$9+1),$C$5:C1260,"&lt;="&amp;Settings!$B$5)=1),1,0)</f>
        <v>0</v>
      </c>
      <c r="N1260" s="29" t="n">
        <f aca="false">IF(AND(D1260="Feature Use",COUNTIFS($B$5:B1260,B1260,$D$5:D1260,"Feature Use")=1),1,0)</f>
        <v>0</v>
      </c>
    </row>
    <row r="1261" customFormat="false" ht="15" hidden="false" customHeight="false" outlineLevel="0" collapsed="false">
      <c r="A1261" s="22" t="s">
        <v>1568</v>
      </c>
      <c r="B1261" s="22" t="s">
        <v>245</v>
      </c>
      <c r="C1261" s="31" t="n">
        <v>46303</v>
      </c>
      <c r="D1261" s="22" t="s">
        <v>300</v>
      </c>
      <c r="E1261" s="22" t="s">
        <v>301</v>
      </c>
      <c r="F1261" s="29" t="str">
        <f aca="false">IF(COUNTIF(Referral_Data!$C$5:$C$1000,B1261)&gt;0,"Referred",IF(COUNTIF(Referral_Data!$B$5:$B$1000,B1261)&gt;0,"Referrer","Organic"))</f>
        <v>Referred</v>
      </c>
      <c r="G1261" s="29" t="n">
        <f aca="false">IF(COUNTIFS($B$5:B1261,B1261,$C$5:C1261,C1261)=1,1,0)</f>
        <v>0</v>
      </c>
      <c r="H1261" s="29" t="n">
        <f aca="false">IF(AND(G1261=1,COUNTIFS($B$5:$B$1635,B1261,$C$5:$C$1635,"&lt;"&amp;C1261)&gt;0),1,0)</f>
        <v>0</v>
      </c>
      <c r="I1261" s="29" t="n">
        <f aca="false">IF(AND(D1261="Feature Use",COUNTIFS($B$5:B1261,B1261,$D$5:D1261,"Feature Use",$E$5:E1261,E1261)=1),1,0)</f>
        <v>1</v>
      </c>
      <c r="J1261" s="29" t="n">
        <f aca="false">IF(AND(D1261="Feature Use",COUNTIFS($B$5:B1261,B1261,$D$5:D1261,"Feature Use",$E$5:E1261,E1261)=2),1,0)</f>
        <v>0</v>
      </c>
      <c r="K1261" s="29" t="n">
        <f aca="false">IF(COUNTIF($B$5:B1261,B1261)=1,1,0)</f>
        <v>0</v>
      </c>
      <c r="L1261" s="29" t="n">
        <f aca="false">IF(AND(C1261&gt;=Settings!$B$5-Settings!$B$8+1,C1261&lt;=Settings!$B$5,COUNTIFS($B$5:B1261,B1261,$C$5:C1261,"&gt;="&amp;(Settings!$B$5-Settings!$B$8+1),$C$5:C1261,"&lt;="&amp;Settings!$B$5)=1),1,0)</f>
        <v>0</v>
      </c>
      <c r="M1261" s="29" t="n">
        <f aca="false">IF(AND(C1261&gt;=Settings!$B$5-Settings!$B$9+1,C1261&lt;=Settings!$B$5,COUNTIFS($B$5:B1261,B1261,$C$5:C1261,"&gt;="&amp;(Settings!$B$5-Settings!$B$9+1),$C$5:C1261,"&lt;="&amp;Settings!$B$5)=1),1,0)</f>
        <v>0</v>
      </c>
      <c r="N1261" s="29" t="n">
        <f aca="false">IF(AND(D1261="Feature Use",COUNTIFS($B$5:B1261,B1261,$D$5:D1261,"Feature Use")=1),1,0)</f>
        <v>0</v>
      </c>
    </row>
    <row r="1262" customFormat="false" ht="15" hidden="false" customHeight="false" outlineLevel="0" collapsed="false">
      <c r="A1262" s="22" t="s">
        <v>1569</v>
      </c>
      <c r="B1262" s="22" t="s">
        <v>245</v>
      </c>
      <c r="C1262" s="31" t="n">
        <v>46303</v>
      </c>
      <c r="D1262" s="22" t="s">
        <v>308</v>
      </c>
      <c r="E1262" s="22" t="s">
        <v>305</v>
      </c>
      <c r="F1262" s="29" t="str">
        <f aca="false">IF(COUNTIF(Referral_Data!$C$5:$C$1000,B1262)&gt;0,"Referred",IF(COUNTIF(Referral_Data!$B$5:$B$1000,B1262)&gt;0,"Referrer","Organic"))</f>
        <v>Referred</v>
      </c>
      <c r="G1262" s="29" t="n">
        <f aca="false">IF(COUNTIFS($B$5:B1262,B1262,$C$5:C1262,C1262)=1,1,0)</f>
        <v>0</v>
      </c>
      <c r="H1262" s="29" t="n">
        <f aca="false">IF(AND(G1262=1,COUNTIFS($B$5:$B$1635,B1262,$C$5:$C$1635,"&lt;"&amp;C1262)&gt;0),1,0)</f>
        <v>0</v>
      </c>
      <c r="I1262" s="29" t="n">
        <f aca="false">IF(AND(D1262="Feature Use",COUNTIFS($B$5:B1262,B1262,$D$5:D1262,"Feature Use",$E$5:E1262,E1262)=1),1,0)</f>
        <v>0</v>
      </c>
      <c r="J1262" s="29" t="n">
        <f aca="false">IF(AND(D1262="Feature Use",COUNTIFS($B$5:B1262,B1262,$D$5:D1262,"Feature Use",$E$5:E1262,E1262)=2),1,0)</f>
        <v>0</v>
      </c>
      <c r="K1262" s="29" t="n">
        <f aca="false">IF(COUNTIF($B$5:B1262,B1262)=1,1,0)</f>
        <v>0</v>
      </c>
      <c r="L1262" s="29" t="n">
        <f aca="false">IF(AND(C1262&gt;=Settings!$B$5-Settings!$B$8+1,C1262&lt;=Settings!$B$5,COUNTIFS($B$5:B1262,B1262,$C$5:C1262,"&gt;="&amp;(Settings!$B$5-Settings!$B$8+1),$C$5:C1262,"&lt;="&amp;Settings!$B$5)=1),1,0)</f>
        <v>0</v>
      </c>
      <c r="M1262" s="29" t="n">
        <f aca="false">IF(AND(C1262&gt;=Settings!$B$5-Settings!$B$9+1,C1262&lt;=Settings!$B$5,COUNTIFS($B$5:B1262,B1262,$C$5:C1262,"&gt;="&amp;(Settings!$B$5-Settings!$B$9+1),$C$5:C1262,"&lt;="&amp;Settings!$B$5)=1),1,0)</f>
        <v>0</v>
      </c>
      <c r="N1262" s="29" t="n">
        <f aca="false">IF(AND(D1262="Feature Use",COUNTIFS($B$5:B1262,B1262,$D$5:D1262,"Feature Use")=1),1,0)</f>
        <v>0</v>
      </c>
    </row>
    <row r="1263" customFormat="false" ht="15" hidden="false" customHeight="false" outlineLevel="0" collapsed="false">
      <c r="A1263" s="22" t="s">
        <v>1570</v>
      </c>
      <c r="B1263" s="22" t="s">
        <v>245</v>
      </c>
      <c r="C1263" s="31" t="n">
        <v>46303</v>
      </c>
      <c r="D1263" s="22" t="s">
        <v>308</v>
      </c>
      <c r="E1263" s="22" t="s">
        <v>309</v>
      </c>
      <c r="F1263" s="29" t="str">
        <f aca="false">IF(COUNTIF(Referral_Data!$C$5:$C$1000,B1263)&gt;0,"Referred",IF(COUNTIF(Referral_Data!$B$5:$B$1000,B1263)&gt;0,"Referrer","Organic"))</f>
        <v>Referred</v>
      </c>
      <c r="G1263" s="29" t="n">
        <f aca="false">IF(COUNTIFS($B$5:B1263,B1263,$C$5:C1263,C1263)=1,1,0)</f>
        <v>0</v>
      </c>
      <c r="H1263" s="29" t="n">
        <f aca="false">IF(AND(G1263=1,COUNTIFS($B$5:$B$1635,B1263,$C$5:$C$1635,"&lt;"&amp;C1263)&gt;0),1,0)</f>
        <v>0</v>
      </c>
      <c r="I1263" s="29" t="n">
        <f aca="false">IF(AND(D1263="Feature Use",COUNTIFS($B$5:B1263,B1263,$D$5:D1263,"Feature Use",$E$5:E1263,E1263)=1),1,0)</f>
        <v>0</v>
      </c>
      <c r="J1263" s="29" t="n">
        <f aca="false">IF(AND(D1263="Feature Use",COUNTIFS($B$5:B1263,B1263,$D$5:D1263,"Feature Use",$E$5:E1263,E1263)=2),1,0)</f>
        <v>0</v>
      </c>
      <c r="K1263" s="29" t="n">
        <f aca="false">IF(COUNTIF($B$5:B1263,B1263)=1,1,0)</f>
        <v>0</v>
      </c>
      <c r="L1263" s="29" t="n">
        <f aca="false">IF(AND(C1263&gt;=Settings!$B$5-Settings!$B$8+1,C1263&lt;=Settings!$B$5,COUNTIFS($B$5:B1263,B1263,$C$5:C1263,"&gt;="&amp;(Settings!$B$5-Settings!$B$8+1),$C$5:C1263,"&lt;="&amp;Settings!$B$5)=1),1,0)</f>
        <v>0</v>
      </c>
      <c r="M1263" s="29" t="n">
        <f aca="false">IF(AND(C1263&gt;=Settings!$B$5-Settings!$B$9+1,C1263&lt;=Settings!$B$5,COUNTIFS($B$5:B1263,B1263,$C$5:C1263,"&gt;="&amp;(Settings!$B$5-Settings!$B$9+1),$C$5:C1263,"&lt;="&amp;Settings!$B$5)=1),1,0)</f>
        <v>0</v>
      </c>
      <c r="N1263" s="29" t="n">
        <f aca="false">IF(AND(D1263="Feature Use",COUNTIFS($B$5:B1263,B1263,$D$5:D1263,"Feature Use")=1),1,0)</f>
        <v>0</v>
      </c>
    </row>
    <row r="1264" customFormat="false" ht="15" hidden="false" customHeight="false" outlineLevel="0" collapsed="false">
      <c r="A1264" s="22" t="s">
        <v>1571</v>
      </c>
      <c r="B1264" s="22" t="s">
        <v>254</v>
      </c>
      <c r="C1264" s="31" t="n">
        <v>46303</v>
      </c>
      <c r="D1264" s="22" t="s">
        <v>297</v>
      </c>
      <c r="E1264" s="22" t="s">
        <v>298</v>
      </c>
      <c r="F1264" s="29" t="str">
        <f aca="false">IF(COUNTIF(Referral_Data!$C$5:$C$1000,B1264)&gt;0,"Referred",IF(COUNTIF(Referral_Data!$B$5:$B$1000,B1264)&gt;0,"Referrer","Organic"))</f>
        <v>Referred</v>
      </c>
      <c r="G1264" s="29" t="n">
        <f aca="false">IF(COUNTIFS($B$5:B1264,B1264,$C$5:C1264,C1264)=1,1,0)</f>
        <v>1</v>
      </c>
      <c r="H1264" s="29" t="n">
        <f aca="false">IF(AND(G1264=1,COUNTIFS($B$5:$B$1635,B1264,$C$5:$C$1635,"&lt;"&amp;C1264)&gt;0),1,0)</f>
        <v>1</v>
      </c>
      <c r="I1264" s="29" t="n">
        <f aca="false">IF(AND(D1264="Feature Use",COUNTIFS($B$5:B1264,B1264,$D$5:D1264,"Feature Use",$E$5:E1264,E1264)=1),1,0)</f>
        <v>0</v>
      </c>
      <c r="J1264" s="29" t="n">
        <f aca="false">IF(AND(D1264="Feature Use",COUNTIFS($B$5:B1264,B1264,$D$5:D1264,"Feature Use",$E$5:E1264,E1264)=2),1,0)</f>
        <v>0</v>
      </c>
      <c r="K1264" s="29" t="n">
        <f aca="false">IF(COUNTIF($B$5:B1264,B1264)=1,1,0)</f>
        <v>0</v>
      </c>
      <c r="L1264" s="29" t="n">
        <f aca="false">IF(AND(C1264&gt;=Settings!$B$5-Settings!$B$8+1,C1264&lt;=Settings!$B$5,COUNTIFS($B$5:B1264,B1264,$C$5:C1264,"&gt;="&amp;(Settings!$B$5-Settings!$B$8+1),$C$5:C1264,"&lt;="&amp;Settings!$B$5)=1),1,0)</f>
        <v>0</v>
      </c>
      <c r="M1264" s="29" t="n">
        <f aca="false">IF(AND(C1264&gt;=Settings!$B$5-Settings!$B$9+1,C1264&lt;=Settings!$B$5,COUNTIFS($B$5:B1264,B1264,$C$5:C1264,"&gt;="&amp;(Settings!$B$5-Settings!$B$9+1),$C$5:C1264,"&lt;="&amp;Settings!$B$5)=1),1,0)</f>
        <v>0</v>
      </c>
      <c r="N1264" s="29" t="n">
        <f aca="false">IF(AND(D1264="Feature Use",COUNTIFS($B$5:B1264,B1264,$D$5:D1264,"Feature Use")=1),1,0)</f>
        <v>0</v>
      </c>
    </row>
    <row r="1265" customFormat="false" ht="15" hidden="false" customHeight="false" outlineLevel="0" collapsed="false">
      <c r="A1265" s="22" t="s">
        <v>1572</v>
      </c>
      <c r="B1265" s="22" t="s">
        <v>254</v>
      </c>
      <c r="C1265" s="31" t="n">
        <v>46303</v>
      </c>
      <c r="D1265" s="22" t="s">
        <v>300</v>
      </c>
      <c r="E1265" s="22" t="s">
        <v>301</v>
      </c>
      <c r="F1265" s="29" t="str">
        <f aca="false">IF(COUNTIF(Referral_Data!$C$5:$C$1000,B1265)&gt;0,"Referred",IF(COUNTIF(Referral_Data!$B$5:$B$1000,B1265)&gt;0,"Referrer","Organic"))</f>
        <v>Referred</v>
      </c>
      <c r="G1265" s="29" t="n">
        <f aca="false">IF(COUNTIFS($B$5:B1265,B1265,$C$5:C1265,C1265)=1,1,0)</f>
        <v>0</v>
      </c>
      <c r="H1265" s="29" t="n">
        <f aca="false">IF(AND(G1265=1,COUNTIFS($B$5:$B$1635,B1265,$C$5:$C$1635,"&lt;"&amp;C1265)&gt;0),1,0)</f>
        <v>0</v>
      </c>
      <c r="I1265" s="29" t="n">
        <f aca="false">IF(AND(D1265="Feature Use",COUNTIFS($B$5:B1265,B1265,$D$5:D1265,"Feature Use",$E$5:E1265,E1265)=1),1,0)</f>
        <v>1</v>
      </c>
      <c r="J1265" s="29" t="n">
        <f aca="false">IF(AND(D1265="Feature Use",COUNTIFS($B$5:B1265,B1265,$D$5:D1265,"Feature Use",$E$5:E1265,E1265)=2),1,0)</f>
        <v>0</v>
      </c>
      <c r="K1265" s="29" t="n">
        <f aca="false">IF(COUNTIF($B$5:B1265,B1265)=1,1,0)</f>
        <v>0</v>
      </c>
      <c r="L1265" s="29" t="n">
        <f aca="false">IF(AND(C1265&gt;=Settings!$B$5-Settings!$B$8+1,C1265&lt;=Settings!$B$5,COUNTIFS($B$5:B1265,B1265,$C$5:C1265,"&gt;="&amp;(Settings!$B$5-Settings!$B$8+1),$C$5:C1265,"&lt;="&amp;Settings!$B$5)=1),1,0)</f>
        <v>0</v>
      </c>
      <c r="M1265" s="29" t="n">
        <f aca="false">IF(AND(C1265&gt;=Settings!$B$5-Settings!$B$9+1,C1265&lt;=Settings!$B$5,COUNTIFS($B$5:B1265,B1265,$C$5:C1265,"&gt;="&amp;(Settings!$B$5-Settings!$B$9+1),$C$5:C1265,"&lt;="&amp;Settings!$B$5)=1),1,0)</f>
        <v>0</v>
      </c>
      <c r="N1265" s="29" t="n">
        <f aca="false">IF(AND(D1265="Feature Use",COUNTIFS($B$5:B1265,B1265,$D$5:D1265,"Feature Use")=1),1,0)</f>
        <v>0</v>
      </c>
    </row>
    <row r="1266" customFormat="false" ht="15" hidden="false" customHeight="false" outlineLevel="0" collapsed="false">
      <c r="A1266" s="22" t="s">
        <v>1573</v>
      </c>
      <c r="B1266" s="22" t="s">
        <v>254</v>
      </c>
      <c r="C1266" s="31" t="n">
        <v>46303</v>
      </c>
      <c r="D1266" s="22" t="s">
        <v>300</v>
      </c>
      <c r="E1266" s="22" t="s">
        <v>311</v>
      </c>
      <c r="F1266" s="29" t="str">
        <f aca="false">IF(COUNTIF(Referral_Data!$C$5:$C$1000,B1266)&gt;0,"Referred",IF(COUNTIF(Referral_Data!$B$5:$B$1000,B1266)&gt;0,"Referrer","Organic"))</f>
        <v>Referred</v>
      </c>
      <c r="G1266" s="29" t="n">
        <f aca="false">IF(COUNTIFS($B$5:B1266,B1266,$C$5:C1266,C1266)=1,1,0)</f>
        <v>0</v>
      </c>
      <c r="H1266" s="29" t="n">
        <f aca="false">IF(AND(G1266=1,COUNTIFS($B$5:$B$1635,B1266,$C$5:$C$1635,"&lt;"&amp;C1266)&gt;0),1,0)</f>
        <v>0</v>
      </c>
      <c r="I1266" s="29" t="n">
        <f aca="false">IF(AND(D1266="Feature Use",COUNTIFS($B$5:B1266,B1266,$D$5:D1266,"Feature Use",$E$5:E1266,E1266)=1),1,0)</f>
        <v>0</v>
      </c>
      <c r="J1266" s="29" t="n">
        <f aca="false">IF(AND(D1266="Feature Use",COUNTIFS($B$5:B1266,B1266,$D$5:D1266,"Feature Use",$E$5:E1266,E1266)=2),1,0)</f>
        <v>1</v>
      </c>
      <c r="K1266" s="29" t="n">
        <f aca="false">IF(COUNTIF($B$5:B1266,B1266)=1,1,0)</f>
        <v>0</v>
      </c>
      <c r="L1266" s="29" t="n">
        <f aca="false">IF(AND(C1266&gt;=Settings!$B$5-Settings!$B$8+1,C1266&lt;=Settings!$B$5,COUNTIFS($B$5:B1266,B1266,$C$5:C1266,"&gt;="&amp;(Settings!$B$5-Settings!$B$8+1),$C$5:C1266,"&lt;="&amp;Settings!$B$5)=1),1,0)</f>
        <v>0</v>
      </c>
      <c r="M1266" s="29" t="n">
        <f aca="false">IF(AND(C1266&gt;=Settings!$B$5-Settings!$B$9+1,C1266&lt;=Settings!$B$5,COUNTIFS($B$5:B1266,B1266,$C$5:C1266,"&gt;="&amp;(Settings!$B$5-Settings!$B$9+1),$C$5:C1266,"&lt;="&amp;Settings!$B$5)=1),1,0)</f>
        <v>0</v>
      </c>
      <c r="N1266" s="29" t="n">
        <f aca="false">IF(AND(D1266="Feature Use",COUNTIFS($B$5:B1266,B1266,$D$5:D1266,"Feature Use")=1),1,0)</f>
        <v>0</v>
      </c>
    </row>
    <row r="1267" customFormat="false" ht="15" hidden="false" customHeight="false" outlineLevel="0" collapsed="false">
      <c r="A1267" s="22" t="s">
        <v>1574</v>
      </c>
      <c r="B1267" s="22" t="s">
        <v>167</v>
      </c>
      <c r="C1267" s="31" t="n">
        <v>46303</v>
      </c>
      <c r="D1267" s="22" t="s">
        <v>297</v>
      </c>
      <c r="E1267" s="22" t="s">
        <v>298</v>
      </c>
      <c r="F1267" s="29" t="str">
        <f aca="false">IF(COUNTIF(Referral_Data!$C$5:$C$1000,B1267)&gt;0,"Referred",IF(COUNTIF(Referral_Data!$B$5:$B$1000,B1267)&gt;0,"Referrer","Organic"))</f>
        <v>Referrer</v>
      </c>
      <c r="G1267" s="29" t="n">
        <f aca="false">IF(COUNTIFS($B$5:B1267,B1267,$C$5:C1267,C1267)=1,1,0)</f>
        <v>1</v>
      </c>
      <c r="H1267" s="29" t="n">
        <f aca="false">IF(AND(G1267=1,COUNTIFS($B$5:$B$1635,B1267,$C$5:$C$1635,"&lt;"&amp;C1267)&gt;0),1,0)</f>
        <v>1</v>
      </c>
      <c r="I1267" s="29" t="n">
        <f aca="false">IF(AND(D1267="Feature Use",COUNTIFS($B$5:B1267,B1267,$D$5:D1267,"Feature Use",$E$5:E1267,E1267)=1),1,0)</f>
        <v>0</v>
      </c>
      <c r="J1267" s="29" t="n">
        <f aca="false">IF(AND(D1267="Feature Use",COUNTIFS($B$5:B1267,B1267,$D$5:D1267,"Feature Use",$E$5:E1267,E1267)=2),1,0)</f>
        <v>0</v>
      </c>
      <c r="K1267" s="29" t="n">
        <f aca="false">IF(COUNTIF($B$5:B1267,B1267)=1,1,0)</f>
        <v>0</v>
      </c>
      <c r="L1267" s="29" t="n">
        <f aca="false">IF(AND(C1267&gt;=Settings!$B$5-Settings!$B$8+1,C1267&lt;=Settings!$B$5,COUNTIFS($B$5:B1267,B1267,$C$5:C1267,"&gt;="&amp;(Settings!$B$5-Settings!$B$8+1),$C$5:C1267,"&lt;="&amp;Settings!$B$5)=1),1,0)</f>
        <v>0</v>
      </c>
      <c r="M1267" s="29" t="n">
        <f aca="false">IF(AND(C1267&gt;=Settings!$B$5-Settings!$B$9+1,C1267&lt;=Settings!$B$5,COUNTIFS($B$5:B1267,B1267,$C$5:C1267,"&gt;="&amp;(Settings!$B$5-Settings!$B$9+1),$C$5:C1267,"&lt;="&amp;Settings!$B$5)=1),1,0)</f>
        <v>0</v>
      </c>
      <c r="N1267" s="29" t="n">
        <f aca="false">IF(AND(D1267="Feature Use",COUNTIFS($B$5:B1267,B1267,$D$5:D1267,"Feature Use")=1),1,0)</f>
        <v>0</v>
      </c>
    </row>
    <row r="1268" customFormat="false" ht="15" hidden="false" customHeight="false" outlineLevel="0" collapsed="false">
      <c r="A1268" s="22" t="s">
        <v>1575</v>
      </c>
      <c r="B1268" s="22" t="s">
        <v>167</v>
      </c>
      <c r="C1268" s="31" t="n">
        <v>46303</v>
      </c>
      <c r="D1268" s="22" t="s">
        <v>300</v>
      </c>
      <c r="E1268" s="22" t="s">
        <v>301</v>
      </c>
      <c r="F1268" s="29" t="str">
        <f aca="false">IF(COUNTIF(Referral_Data!$C$5:$C$1000,B1268)&gt;0,"Referred",IF(COUNTIF(Referral_Data!$B$5:$B$1000,B1268)&gt;0,"Referrer","Organic"))</f>
        <v>Referrer</v>
      </c>
      <c r="G1268" s="29" t="n">
        <f aca="false">IF(COUNTIFS($B$5:B1268,B1268,$C$5:C1268,C1268)=1,1,0)</f>
        <v>0</v>
      </c>
      <c r="H1268" s="29" t="n">
        <f aca="false">IF(AND(G1268=1,COUNTIFS($B$5:$B$1635,B1268,$C$5:$C$1635,"&lt;"&amp;C1268)&gt;0),1,0)</f>
        <v>0</v>
      </c>
      <c r="I1268" s="29" t="n">
        <f aca="false">IF(AND(D1268="Feature Use",COUNTIFS($B$5:B1268,B1268,$D$5:D1268,"Feature Use",$E$5:E1268,E1268)=1),1,0)</f>
        <v>0</v>
      </c>
      <c r="J1268" s="29" t="n">
        <f aca="false">IF(AND(D1268="Feature Use",COUNTIFS($B$5:B1268,B1268,$D$5:D1268,"Feature Use",$E$5:E1268,E1268)=2),1,0)</f>
        <v>0</v>
      </c>
      <c r="K1268" s="29" t="n">
        <f aca="false">IF(COUNTIF($B$5:B1268,B1268)=1,1,0)</f>
        <v>0</v>
      </c>
      <c r="L1268" s="29" t="n">
        <f aca="false">IF(AND(C1268&gt;=Settings!$B$5-Settings!$B$8+1,C1268&lt;=Settings!$B$5,COUNTIFS($B$5:B1268,B1268,$C$5:C1268,"&gt;="&amp;(Settings!$B$5-Settings!$B$8+1),$C$5:C1268,"&lt;="&amp;Settings!$B$5)=1),1,0)</f>
        <v>0</v>
      </c>
      <c r="M1268" s="29" t="n">
        <f aca="false">IF(AND(C1268&gt;=Settings!$B$5-Settings!$B$9+1,C1268&lt;=Settings!$B$5,COUNTIFS($B$5:B1268,B1268,$C$5:C1268,"&gt;="&amp;(Settings!$B$5-Settings!$B$9+1),$C$5:C1268,"&lt;="&amp;Settings!$B$5)=1),1,0)</f>
        <v>0</v>
      </c>
      <c r="N1268" s="29" t="n">
        <f aca="false">IF(AND(D1268="Feature Use",COUNTIFS($B$5:B1268,B1268,$D$5:D1268,"Feature Use")=1),1,0)</f>
        <v>0</v>
      </c>
    </row>
    <row r="1269" customFormat="false" ht="15" hidden="false" customHeight="false" outlineLevel="0" collapsed="false">
      <c r="A1269" s="22" t="s">
        <v>1576</v>
      </c>
      <c r="B1269" s="22" t="s">
        <v>196</v>
      </c>
      <c r="C1269" s="31" t="n">
        <v>46303</v>
      </c>
      <c r="D1269" s="22" t="s">
        <v>297</v>
      </c>
      <c r="E1269" s="22" t="s">
        <v>298</v>
      </c>
      <c r="F1269" s="29" t="str">
        <f aca="false">IF(COUNTIF(Referral_Data!$C$5:$C$1000,B1269)&gt;0,"Referred",IF(COUNTIF(Referral_Data!$B$5:$B$1000,B1269)&gt;0,"Referrer","Organic"))</f>
        <v>Referrer</v>
      </c>
      <c r="G1269" s="29" t="n">
        <f aca="false">IF(COUNTIFS($B$5:B1269,B1269,$C$5:C1269,C1269)=1,1,0)</f>
        <v>1</v>
      </c>
      <c r="H1269" s="29" t="n">
        <f aca="false">IF(AND(G1269=1,COUNTIFS($B$5:$B$1635,B1269,$C$5:$C$1635,"&lt;"&amp;C1269)&gt;0),1,0)</f>
        <v>1</v>
      </c>
      <c r="I1269" s="29" t="n">
        <f aca="false">IF(AND(D1269="Feature Use",COUNTIFS($B$5:B1269,B1269,$D$5:D1269,"Feature Use",$E$5:E1269,E1269)=1),1,0)</f>
        <v>0</v>
      </c>
      <c r="J1269" s="29" t="n">
        <f aca="false">IF(AND(D1269="Feature Use",COUNTIFS($B$5:B1269,B1269,$D$5:D1269,"Feature Use",$E$5:E1269,E1269)=2),1,0)</f>
        <v>0</v>
      </c>
      <c r="K1269" s="29" t="n">
        <f aca="false">IF(COUNTIF($B$5:B1269,B1269)=1,1,0)</f>
        <v>0</v>
      </c>
      <c r="L1269" s="29" t="n">
        <f aca="false">IF(AND(C1269&gt;=Settings!$B$5-Settings!$B$8+1,C1269&lt;=Settings!$B$5,COUNTIFS($B$5:B1269,B1269,$C$5:C1269,"&gt;="&amp;(Settings!$B$5-Settings!$B$8+1),$C$5:C1269,"&lt;="&amp;Settings!$B$5)=1),1,0)</f>
        <v>0</v>
      </c>
      <c r="M1269" s="29" t="n">
        <f aca="false">IF(AND(C1269&gt;=Settings!$B$5-Settings!$B$9+1,C1269&lt;=Settings!$B$5,COUNTIFS($B$5:B1269,B1269,$C$5:C1269,"&gt;="&amp;(Settings!$B$5-Settings!$B$9+1),$C$5:C1269,"&lt;="&amp;Settings!$B$5)=1),1,0)</f>
        <v>0</v>
      </c>
      <c r="N1269" s="29" t="n">
        <f aca="false">IF(AND(D1269="Feature Use",COUNTIFS($B$5:B1269,B1269,$D$5:D1269,"Feature Use")=1),1,0)</f>
        <v>0</v>
      </c>
    </row>
    <row r="1270" customFormat="false" ht="15" hidden="false" customHeight="false" outlineLevel="0" collapsed="false">
      <c r="A1270" s="22" t="s">
        <v>1577</v>
      </c>
      <c r="B1270" s="22" t="s">
        <v>196</v>
      </c>
      <c r="C1270" s="31" t="n">
        <v>46303</v>
      </c>
      <c r="D1270" s="22" t="s">
        <v>300</v>
      </c>
      <c r="E1270" s="22" t="s">
        <v>305</v>
      </c>
      <c r="F1270" s="29" t="str">
        <f aca="false">IF(COUNTIF(Referral_Data!$C$5:$C$1000,B1270)&gt;0,"Referred",IF(COUNTIF(Referral_Data!$B$5:$B$1000,B1270)&gt;0,"Referrer","Organic"))</f>
        <v>Referrer</v>
      </c>
      <c r="G1270" s="29" t="n">
        <f aca="false">IF(COUNTIFS($B$5:B1270,B1270,$C$5:C1270,C1270)=1,1,0)</f>
        <v>0</v>
      </c>
      <c r="H1270" s="29" t="n">
        <f aca="false">IF(AND(G1270=1,COUNTIFS($B$5:$B$1635,B1270,$C$5:$C$1635,"&lt;"&amp;C1270)&gt;0),1,0)</f>
        <v>0</v>
      </c>
      <c r="I1270" s="29" t="n">
        <f aca="false">IF(AND(D1270="Feature Use",COUNTIFS($B$5:B1270,B1270,$D$5:D1270,"Feature Use",$E$5:E1270,E1270)=1),1,0)</f>
        <v>0</v>
      </c>
      <c r="J1270" s="29" t="n">
        <f aca="false">IF(AND(D1270="Feature Use",COUNTIFS($B$5:B1270,B1270,$D$5:D1270,"Feature Use",$E$5:E1270,E1270)=2),1,0)</f>
        <v>0</v>
      </c>
      <c r="K1270" s="29" t="n">
        <f aca="false">IF(COUNTIF($B$5:B1270,B1270)=1,1,0)</f>
        <v>0</v>
      </c>
      <c r="L1270" s="29" t="n">
        <f aca="false">IF(AND(C1270&gt;=Settings!$B$5-Settings!$B$8+1,C1270&lt;=Settings!$B$5,COUNTIFS($B$5:B1270,B1270,$C$5:C1270,"&gt;="&amp;(Settings!$B$5-Settings!$B$8+1),$C$5:C1270,"&lt;="&amp;Settings!$B$5)=1),1,0)</f>
        <v>0</v>
      </c>
      <c r="M1270" s="29" t="n">
        <f aca="false">IF(AND(C1270&gt;=Settings!$B$5-Settings!$B$9+1,C1270&lt;=Settings!$B$5,COUNTIFS($B$5:B1270,B1270,$C$5:C1270,"&gt;="&amp;(Settings!$B$5-Settings!$B$9+1),$C$5:C1270,"&lt;="&amp;Settings!$B$5)=1),1,0)</f>
        <v>0</v>
      </c>
      <c r="N1270" s="29" t="n">
        <f aca="false">IF(AND(D1270="Feature Use",COUNTIFS($B$5:B1270,B1270,$D$5:D1270,"Feature Use")=1),1,0)</f>
        <v>0</v>
      </c>
    </row>
    <row r="1271" customFormat="false" ht="15" hidden="false" customHeight="false" outlineLevel="0" collapsed="false">
      <c r="A1271" s="22" t="s">
        <v>1578</v>
      </c>
      <c r="B1271" s="22" t="s">
        <v>173</v>
      </c>
      <c r="C1271" s="31" t="n">
        <v>46303</v>
      </c>
      <c r="D1271" s="22" t="s">
        <v>297</v>
      </c>
      <c r="E1271" s="22" t="s">
        <v>298</v>
      </c>
      <c r="F1271" s="29" t="str">
        <f aca="false">IF(COUNTIF(Referral_Data!$C$5:$C$1000,B1271)&gt;0,"Referred",IF(COUNTIF(Referral_Data!$B$5:$B$1000,B1271)&gt;0,"Referrer","Organic"))</f>
        <v>Referrer</v>
      </c>
      <c r="G1271" s="29" t="n">
        <f aca="false">IF(COUNTIFS($B$5:B1271,B1271,$C$5:C1271,C1271)=1,1,0)</f>
        <v>1</v>
      </c>
      <c r="H1271" s="29" t="n">
        <f aca="false">IF(AND(G1271=1,COUNTIFS($B$5:$B$1635,B1271,$C$5:$C$1635,"&lt;"&amp;C1271)&gt;0),1,0)</f>
        <v>1</v>
      </c>
      <c r="I1271" s="29" t="n">
        <f aca="false">IF(AND(D1271="Feature Use",COUNTIFS($B$5:B1271,B1271,$D$5:D1271,"Feature Use",$E$5:E1271,E1271)=1),1,0)</f>
        <v>0</v>
      </c>
      <c r="J1271" s="29" t="n">
        <f aca="false">IF(AND(D1271="Feature Use",COUNTIFS($B$5:B1271,B1271,$D$5:D1271,"Feature Use",$E$5:E1271,E1271)=2),1,0)</f>
        <v>0</v>
      </c>
      <c r="K1271" s="29" t="n">
        <f aca="false">IF(COUNTIF($B$5:B1271,B1271)=1,1,0)</f>
        <v>0</v>
      </c>
      <c r="L1271" s="29" t="n">
        <f aca="false">IF(AND(C1271&gt;=Settings!$B$5-Settings!$B$8+1,C1271&lt;=Settings!$B$5,COUNTIFS($B$5:B1271,B1271,$C$5:C1271,"&gt;="&amp;(Settings!$B$5-Settings!$B$8+1),$C$5:C1271,"&lt;="&amp;Settings!$B$5)=1),1,0)</f>
        <v>0</v>
      </c>
      <c r="M1271" s="29" t="n">
        <f aca="false">IF(AND(C1271&gt;=Settings!$B$5-Settings!$B$9+1,C1271&lt;=Settings!$B$5,COUNTIFS($B$5:B1271,B1271,$C$5:C1271,"&gt;="&amp;(Settings!$B$5-Settings!$B$9+1),$C$5:C1271,"&lt;="&amp;Settings!$B$5)=1),1,0)</f>
        <v>0</v>
      </c>
      <c r="N1271" s="29" t="n">
        <f aca="false">IF(AND(D1271="Feature Use",COUNTIFS($B$5:B1271,B1271,$D$5:D1271,"Feature Use")=1),1,0)</f>
        <v>0</v>
      </c>
    </row>
    <row r="1272" customFormat="false" ht="15" hidden="false" customHeight="false" outlineLevel="0" collapsed="false">
      <c r="A1272" s="22" t="s">
        <v>1579</v>
      </c>
      <c r="B1272" s="22" t="s">
        <v>173</v>
      </c>
      <c r="C1272" s="31" t="n">
        <v>46303</v>
      </c>
      <c r="D1272" s="22" t="s">
        <v>300</v>
      </c>
      <c r="E1272" s="22" t="s">
        <v>311</v>
      </c>
      <c r="F1272" s="29" t="str">
        <f aca="false">IF(COUNTIF(Referral_Data!$C$5:$C$1000,B1272)&gt;0,"Referred",IF(COUNTIF(Referral_Data!$B$5:$B$1000,B1272)&gt;0,"Referrer","Organic"))</f>
        <v>Referrer</v>
      </c>
      <c r="G1272" s="29" t="n">
        <f aca="false">IF(COUNTIFS($B$5:B1272,B1272,$C$5:C1272,C1272)=1,1,0)</f>
        <v>0</v>
      </c>
      <c r="H1272" s="29" t="n">
        <f aca="false">IF(AND(G1272=1,COUNTIFS($B$5:$B$1635,B1272,$C$5:$C$1635,"&lt;"&amp;C1272)&gt;0),1,0)</f>
        <v>0</v>
      </c>
      <c r="I1272" s="29" t="n">
        <f aca="false">IF(AND(D1272="Feature Use",COUNTIFS($B$5:B1272,B1272,$D$5:D1272,"Feature Use",$E$5:E1272,E1272)=1),1,0)</f>
        <v>0</v>
      </c>
      <c r="J1272" s="29" t="n">
        <f aca="false">IF(AND(D1272="Feature Use",COUNTIFS($B$5:B1272,B1272,$D$5:D1272,"Feature Use",$E$5:E1272,E1272)=2),1,0)</f>
        <v>0</v>
      </c>
      <c r="K1272" s="29" t="n">
        <f aca="false">IF(COUNTIF($B$5:B1272,B1272)=1,1,0)</f>
        <v>0</v>
      </c>
      <c r="L1272" s="29" t="n">
        <f aca="false">IF(AND(C1272&gt;=Settings!$B$5-Settings!$B$8+1,C1272&lt;=Settings!$B$5,COUNTIFS($B$5:B1272,B1272,$C$5:C1272,"&gt;="&amp;(Settings!$B$5-Settings!$B$8+1),$C$5:C1272,"&lt;="&amp;Settings!$B$5)=1),1,0)</f>
        <v>0</v>
      </c>
      <c r="M1272" s="29" t="n">
        <f aca="false">IF(AND(C1272&gt;=Settings!$B$5-Settings!$B$9+1,C1272&lt;=Settings!$B$5,COUNTIFS($B$5:B1272,B1272,$C$5:C1272,"&gt;="&amp;(Settings!$B$5-Settings!$B$9+1),$C$5:C1272,"&lt;="&amp;Settings!$B$5)=1),1,0)</f>
        <v>0</v>
      </c>
      <c r="N1272" s="29" t="n">
        <f aca="false">IF(AND(D1272="Feature Use",COUNTIFS($B$5:B1272,B1272,$D$5:D1272,"Feature Use")=1),1,0)</f>
        <v>0</v>
      </c>
    </row>
    <row r="1273" customFormat="false" ht="15" hidden="false" customHeight="false" outlineLevel="0" collapsed="false">
      <c r="A1273" s="22" t="s">
        <v>1580</v>
      </c>
      <c r="B1273" s="22" t="s">
        <v>173</v>
      </c>
      <c r="C1273" s="31" t="n">
        <v>46303</v>
      </c>
      <c r="D1273" s="22" t="s">
        <v>300</v>
      </c>
      <c r="E1273" s="22" t="s">
        <v>301</v>
      </c>
      <c r="F1273" s="29" t="str">
        <f aca="false">IF(COUNTIF(Referral_Data!$C$5:$C$1000,B1273)&gt;0,"Referred",IF(COUNTIF(Referral_Data!$B$5:$B$1000,B1273)&gt;0,"Referrer","Organic"))</f>
        <v>Referrer</v>
      </c>
      <c r="G1273" s="29" t="n">
        <f aca="false">IF(COUNTIFS($B$5:B1273,B1273,$C$5:C1273,C1273)=1,1,0)</f>
        <v>0</v>
      </c>
      <c r="H1273" s="29" t="n">
        <f aca="false">IF(AND(G1273=1,COUNTIFS($B$5:$B$1635,B1273,$C$5:$C$1635,"&lt;"&amp;C1273)&gt;0),1,0)</f>
        <v>0</v>
      </c>
      <c r="I1273" s="29" t="n">
        <f aca="false">IF(AND(D1273="Feature Use",COUNTIFS($B$5:B1273,B1273,$D$5:D1273,"Feature Use",$E$5:E1273,E1273)=1),1,0)</f>
        <v>0</v>
      </c>
      <c r="J1273" s="29" t="n">
        <f aca="false">IF(AND(D1273="Feature Use",COUNTIFS($B$5:B1273,B1273,$D$5:D1273,"Feature Use",$E$5:E1273,E1273)=2),1,0)</f>
        <v>0</v>
      </c>
      <c r="K1273" s="29" t="n">
        <f aca="false">IF(COUNTIF($B$5:B1273,B1273)=1,1,0)</f>
        <v>0</v>
      </c>
      <c r="L1273" s="29" t="n">
        <f aca="false">IF(AND(C1273&gt;=Settings!$B$5-Settings!$B$8+1,C1273&lt;=Settings!$B$5,COUNTIFS($B$5:B1273,B1273,$C$5:C1273,"&gt;="&amp;(Settings!$B$5-Settings!$B$8+1),$C$5:C1273,"&lt;="&amp;Settings!$B$5)=1),1,0)</f>
        <v>0</v>
      </c>
      <c r="M1273" s="29" t="n">
        <f aca="false">IF(AND(C1273&gt;=Settings!$B$5-Settings!$B$9+1,C1273&lt;=Settings!$B$5,COUNTIFS($B$5:B1273,B1273,$C$5:C1273,"&gt;="&amp;(Settings!$B$5-Settings!$B$9+1),$C$5:C1273,"&lt;="&amp;Settings!$B$5)=1),1,0)</f>
        <v>0</v>
      </c>
      <c r="N1273" s="29" t="n">
        <f aca="false">IF(AND(D1273="Feature Use",COUNTIFS($B$5:B1273,B1273,$D$5:D1273,"Feature Use")=1),1,0)</f>
        <v>0</v>
      </c>
    </row>
    <row r="1274" customFormat="false" ht="15" hidden="false" customHeight="false" outlineLevel="0" collapsed="false">
      <c r="A1274" s="22" t="s">
        <v>1581</v>
      </c>
      <c r="B1274" s="22" t="s">
        <v>170</v>
      </c>
      <c r="C1274" s="31" t="n">
        <v>46303</v>
      </c>
      <c r="D1274" s="22" t="s">
        <v>297</v>
      </c>
      <c r="E1274" s="22" t="s">
        <v>298</v>
      </c>
      <c r="F1274" s="29" t="str">
        <f aca="false">IF(COUNTIF(Referral_Data!$C$5:$C$1000,B1274)&gt;0,"Referred",IF(COUNTIF(Referral_Data!$B$5:$B$1000,B1274)&gt;0,"Referrer","Organic"))</f>
        <v>Referrer</v>
      </c>
      <c r="G1274" s="29" t="n">
        <f aca="false">IF(COUNTIFS($B$5:B1274,B1274,$C$5:C1274,C1274)=1,1,0)</f>
        <v>1</v>
      </c>
      <c r="H1274" s="29" t="n">
        <f aca="false">IF(AND(G1274=1,COUNTIFS($B$5:$B$1635,B1274,$C$5:$C$1635,"&lt;"&amp;C1274)&gt;0),1,0)</f>
        <v>1</v>
      </c>
      <c r="I1274" s="29" t="n">
        <f aca="false">IF(AND(D1274="Feature Use",COUNTIFS($B$5:B1274,B1274,$D$5:D1274,"Feature Use",$E$5:E1274,E1274)=1),1,0)</f>
        <v>0</v>
      </c>
      <c r="J1274" s="29" t="n">
        <f aca="false">IF(AND(D1274="Feature Use",COUNTIFS($B$5:B1274,B1274,$D$5:D1274,"Feature Use",$E$5:E1274,E1274)=2),1,0)</f>
        <v>0</v>
      </c>
      <c r="K1274" s="29" t="n">
        <f aca="false">IF(COUNTIF($B$5:B1274,B1274)=1,1,0)</f>
        <v>0</v>
      </c>
      <c r="L1274" s="29" t="n">
        <f aca="false">IF(AND(C1274&gt;=Settings!$B$5-Settings!$B$8+1,C1274&lt;=Settings!$B$5,COUNTIFS($B$5:B1274,B1274,$C$5:C1274,"&gt;="&amp;(Settings!$B$5-Settings!$B$8+1),$C$5:C1274,"&lt;="&amp;Settings!$B$5)=1),1,0)</f>
        <v>0</v>
      </c>
      <c r="M1274" s="29" t="n">
        <f aca="false">IF(AND(C1274&gt;=Settings!$B$5-Settings!$B$9+1,C1274&lt;=Settings!$B$5,COUNTIFS($B$5:B1274,B1274,$C$5:C1274,"&gt;="&amp;(Settings!$B$5-Settings!$B$9+1),$C$5:C1274,"&lt;="&amp;Settings!$B$5)=1),1,0)</f>
        <v>0</v>
      </c>
      <c r="N1274" s="29" t="n">
        <f aca="false">IF(AND(D1274="Feature Use",COUNTIFS($B$5:B1274,B1274,$D$5:D1274,"Feature Use")=1),1,0)</f>
        <v>0</v>
      </c>
    </row>
    <row r="1275" customFormat="false" ht="15" hidden="false" customHeight="false" outlineLevel="0" collapsed="false">
      <c r="A1275" s="22" t="s">
        <v>1582</v>
      </c>
      <c r="B1275" s="22" t="s">
        <v>170</v>
      </c>
      <c r="C1275" s="31" t="n">
        <v>46303</v>
      </c>
      <c r="D1275" s="22" t="s">
        <v>300</v>
      </c>
      <c r="E1275" s="22" t="s">
        <v>301</v>
      </c>
      <c r="F1275" s="29" t="str">
        <f aca="false">IF(COUNTIF(Referral_Data!$C$5:$C$1000,B1275)&gt;0,"Referred",IF(COUNTIF(Referral_Data!$B$5:$B$1000,B1275)&gt;0,"Referrer","Organic"))</f>
        <v>Referrer</v>
      </c>
      <c r="G1275" s="29" t="n">
        <f aca="false">IF(COUNTIFS($B$5:B1275,B1275,$C$5:C1275,C1275)=1,1,0)</f>
        <v>0</v>
      </c>
      <c r="H1275" s="29" t="n">
        <f aca="false">IF(AND(G1275=1,COUNTIFS($B$5:$B$1635,B1275,$C$5:$C$1635,"&lt;"&amp;C1275)&gt;0),1,0)</f>
        <v>0</v>
      </c>
      <c r="I1275" s="29" t="n">
        <f aca="false">IF(AND(D1275="Feature Use",COUNTIFS($B$5:B1275,B1275,$D$5:D1275,"Feature Use",$E$5:E1275,E1275)=1),1,0)</f>
        <v>0</v>
      </c>
      <c r="J1275" s="29" t="n">
        <f aca="false">IF(AND(D1275="Feature Use",COUNTIFS($B$5:B1275,B1275,$D$5:D1275,"Feature Use",$E$5:E1275,E1275)=2),1,0)</f>
        <v>0</v>
      </c>
      <c r="K1275" s="29" t="n">
        <f aca="false">IF(COUNTIF($B$5:B1275,B1275)=1,1,0)</f>
        <v>0</v>
      </c>
      <c r="L1275" s="29" t="n">
        <f aca="false">IF(AND(C1275&gt;=Settings!$B$5-Settings!$B$8+1,C1275&lt;=Settings!$B$5,COUNTIFS($B$5:B1275,B1275,$C$5:C1275,"&gt;="&amp;(Settings!$B$5-Settings!$B$8+1),$C$5:C1275,"&lt;="&amp;Settings!$B$5)=1),1,0)</f>
        <v>0</v>
      </c>
      <c r="M1275" s="29" t="n">
        <f aca="false">IF(AND(C1275&gt;=Settings!$B$5-Settings!$B$9+1,C1275&lt;=Settings!$B$5,COUNTIFS($B$5:B1275,B1275,$C$5:C1275,"&gt;="&amp;(Settings!$B$5-Settings!$B$9+1),$C$5:C1275,"&lt;="&amp;Settings!$B$5)=1),1,0)</f>
        <v>0</v>
      </c>
      <c r="N1275" s="29" t="n">
        <f aca="false">IF(AND(D1275="Feature Use",COUNTIFS($B$5:B1275,B1275,$D$5:D1275,"Feature Use")=1),1,0)</f>
        <v>0</v>
      </c>
    </row>
    <row r="1276" customFormat="false" ht="15" hidden="false" customHeight="false" outlineLevel="0" collapsed="false">
      <c r="A1276" s="22" t="s">
        <v>1583</v>
      </c>
      <c r="B1276" s="22" t="s">
        <v>175</v>
      </c>
      <c r="C1276" s="31" t="n">
        <v>46303</v>
      </c>
      <c r="D1276" s="22" t="s">
        <v>297</v>
      </c>
      <c r="E1276" s="22" t="s">
        <v>298</v>
      </c>
      <c r="F1276" s="29" t="str">
        <f aca="false">IF(COUNTIF(Referral_Data!$C$5:$C$1000,B1276)&gt;0,"Referred",IF(COUNTIF(Referral_Data!$B$5:$B$1000,B1276)&gt;0,"Referrer","Organic"))</f>
        <v>Referrer</v>
      </c>
      <c r="G1276" s="29" t="n">
        <f aca="false">IF(COUNTIFS($B$5:B1276,B1276,$C$5:C1276,C1276)=1,1,0)</f>
        <v>1</v>
      </c>
      <c r="H1276" s="29" t="n">
        <f aca="false">IF(AND(G1276=1,COUNTIFS($B$5:$B$1635,B1276,$C$5:$C$1635,"&lt;"&amp;C1276)&gt;0),1,0)</f>
        <v>1</v>
      </c>
      <c r="I1276" s="29" t="n">
        <f aca="false">IF(AND(D1276="Feature Use",COUNTIFS($B$5:B1276,B1276,$D$5:D1276,"Feature Use",$E$5:E1276,E1276)=1),1,0)</f>
        <v>0</v>
      </c>
      <c r="J1276" s="29" t="n">
        <f aca="false">IF(AND(D1276="Feature Use",COUNTIFS($B$5:B1276,B1276,$D$5:D1276,"Feature Use",$E$5:E1276,E1276)=2),1,0)</f>
        <v>0</v>
      </c>
      <c r="K1276" s="29" t="n">
        <f aca="false">IF(COUNTIF($B$5:B1276,B1276)=1,1,0)</f>
        <v>0</v>
      </c>
      <c r="L1276" s="29" t="n">
        <f aca="false">IF(AND(C1276&gt;=Settings!$B$5-Settings!$B$8+1,C1276&lt;=Settings!$B$5,COUNTIFS($B$5:B1276,B1276,$C$5:C1276,"&gt;="&amp;(Settings!$B$5-Settings!$B$8+1),$C$5:C1276,"&lt;="&amp;Settings!$B$5)=1),1,0)</f>
        <v>0</v>
      </c>
      <c r="M1276" s="29" t="n">
        <f aca="false">IF(AND(C1276&gt;=Settings!$B$5-Settings!$B$9+1,C1276&lt;=Settings!$B$5,COUNTIFS($B$5:B1276,B1276,$C$5:C1276,"&gt;="&amp;(Settings!$B$5-Settings!$B$9+1),$C$5:C1276,"&lt;="&amp;Settings!$B$5)=1),1,0)</f>
        <v>0</v>
      </c>
      <c r="N1276" s="29" t="n">
        <f aca="false">IF(AND(D1276="Feature Use",COUNTIFS($B$5:B1276,B1276,$D$5:D1276,"Feature Use")=1),1,0)</f>
        <v>0</v>
      </c>
    </row>
    <row r="1277" customFormat="false" ht="15" hidden="false" customHeight="false" outlineLevel="0" collapsed="false">
      <c r="A1277" s="22" t="s">
        <v>1584</v>
      </c>
      <c r="B1277" s="22" t="s">
        <v>175</v>
      </c>
      <c r="C1277" s="31" t="n">
        <v>46303</v>
      </c>
      <c r="D1277" s="22" t="s">
        <v>300</v>
      </c>
      <c r="E1277" s="22" t="s">
        <v>319</v>
      </c>
      <c r="F1277" s="29" t="str">
        <f aca="false">IF(COUNTIF(Referral_Data!$C$5:$C$1000,B1277)&gt;0,"Referred",IF(COUNTIF(Referral_Data!$B$5:$B$1000,B1277)&gt;0,"Referrer","Organic"))</f>
        <v>Referrer</v>
      </c>
      <c r="G1277" s="29" t="n">
        <f aca="false">IF(COUNTIFS($B$5:B1277,B1277,$C$5:C1277,C1277)=1,1,0)</f>
        <v>0</v>
      </c>
      <c r="H1277" s="29" t="n">
        <f aca="false">IF(AND(G1277=1,COUNTIFS($B$5:$B$1635,B1277,$C$5:$C$1635,"&lt;"&amp;C1277)&gt;0),1,0)</f>
        <v>0</v>
      </c>
      <c r="I1277" s="29" t="n">
        <f aca="false">IF(AND(D1277="Feature Use",COUNTIFS($B$5:B1277,B1277,$D$5:D1277,"Feature Use",$E$5:E1277,E1277)=1),1,0)</f>
        <v>1</v>
      </c>
      <c r="J1277" s="29" t="n">
        <f aca="false">IF(AND(D1277="Feature Use",COUNTIFS($B$5:B1277,B1277,$D$5:D1277,"Feature Use",$E$5:E1277,E1277)=2),1,0)</f>
        <v>0</v>
      </c>
      <c r="K1277" s="29" t="n">
        <f aca="false">IF(COUNTIF($B$5:B1277,B1277)=1,1,0)</f>
        <v>0</v>
      </c>
      <c r="L1277" s="29" t="n">
        <f aca="false">IF(AND(C1277&gt;=Settings!$B$5-Settings!$B$8+1,C1277&lt;=Settings!$B$5,COUNTIFS($B$5:B1277,B1277,$C$5:C1277,"&gt;="&amp;(Settings!$B$5-Settings!$B$8+1),$C$5:C1277,"&lt;="&amp;Settings!$B$5)=1),1,0)</f>
        <v>0</v>
      </c>
      <c r="M1277" s="29" t="n">
        <f aca="false">IF(AND(C1277&gt;=Settings!$B$5-Settings!$B$9+1,C1277&lt;=Settings!$B$5,COUNTIFS($B$5:B1277,B1277,$C$5:C1277,"&gt;="&amp;(Settings!$B$5-Settings!$B$9+1),$C$5:C1277,"&lt;="&amp;Settings!$B$5)=1),1,0)</f>
        <v>0</v>
      </c>
      <c r="N1277" s="29" t="n">
        <f aca="false">IF(AND(D1277="Feature Use",COUNTIFS($B$5:B1277,B1277,$D$5:D1277,"Feature Use")=1),1,0)</f>
        <v>0</v>
      </c>
    </row>
    <row r="1278" customFormat="false" ht="15" hidden="false" customHeight="false" outlineLevel="0" collapsed="false">
      <c r="A1278" s="22" t="s">
        <v>1585</v>
      </c>
      <c r="B1278" s="22" t="s">
        <v>530</v>
      </c>
      <c r="C1278" s="31" t="n">
        <v>46304</v>
      </c>
      <c r="D1278" s="22" t="s">
        <v>297</v>
      </c>
      <c r="E1278" s="22" t="s">
        <v>298</v>
      </c>
      <c r="F1278" s="29" t="str">
        <f aca="false">IF(COUNTIF(Referral_Data!$C$5:$C$1000,B1278)&gt;0,"Referred",IF(COUNTIF(Referral_Data!$B$5:$B$1000,B1278)&gt;0,"Referrer","Organic"))</f>
        <v>Organic</v>
      </c>
      <c r="G1278" s="29" t="n">
        <f aca="false">IF(COUNTIFS($B$5:B1278,B1278,$C$5:C1278,C1278)=1,1,0)</f>
        <v>1</v>
      </c>
      <c r="H1278" s="29" t="n">
        <f aca="false">IF(AND(G1278=1,COUNTIFS($B$5:$B$1635,B1278,$C$5:$C$1635,"&lt;"&amp;C1278)&gt;0),1,0)</f>
        <v>1</v>
      </c>
      <c r="I1278" s="29" t="n">
        <f aca="false">IF(AND(D1278="Feature Use",COUNTIFS($B$5:B1278,B1278,$D$5:D1278,"Feature Use",$E$5:E1278,E1278)=1),1,0)</f>
        <v>0</v>
      </c>
      <c r="J1278" s="29" t="n">
        <f aca="false">IF(AND(D1278="Feature Use",COUNTIFS($B$5:B1278,B1278,$D$5:D1278,"Feature Use",$E$5:E1278,E1278)=2),1,0)</f>
        <v>0</v>
      </c>
      <c r="K1278" s="29" t="n">
        <f aca="false">IF(COUNTIF($B$5:B1278,B1278)=1,1,0)</f>
        <v>0</v>
      </c>
      <c r="L1278" s="29" t="n">
        <f aca="false">IF(AND(C1278&gt;=Settings!$B$5-Settings!$B$8+1,C1278&lt;=Settings!$B$5,COUNTIFS($B$5:B1278,B1278,$C$5:C1278,"&gt;="&amp;(Settings!$B$5-Settings!$B$8+1),$C$5:C1278,"&lt;="&amp;Settings!$B$5)=1),1,0)</f>
        <v>1</v>
      </c>
      <c r="M1278" s="29" t="n">
        <f aca="false">IF(AND(C1278&gt;=Settings!$B$5-Settings!$B$9+1,C1278&lt;=Settings!$B$5,COUNTIFS($B$5:B1278,B1278,$C$5:C1278,"&gt;="&amp;(Settings!$B$5-Settings!$B$9+1),$C$5:C1278,"&lt;="&amp;Settings!$B$5)=1),1,0)</f>
        <v>0</v>
      </c>
      <c r="N1278" s="29" t="n">
        <f aca="false">IF(AND(D1278="Feature Use",COUNTIFS($B$5:B1278,B1278,$D$5:D1278,"Feature Use")=1),1,0)</f>
        <v>0</v>
      </c>
    </row>
    <row r="1279" customFormat="false" ht="15" hidden="false" customHeight="false" outlineLevel="0" collapsed="false">
      <c r="A1279" s="22" t="s">
        <v>1586</v>
      </c>
      <c r="B1279" s="22" t="s">
        <v>530</v>
      </c>
      <c r="C1279" s="31" t="n">
        <v>46304</v>
      </c>
      <c r="D1279" s="22" t="s">
        <v>300</v>
      </c>
      <c r="E1279" s="22" t="s">
        <v>311</v>
      </c>
      <c r="F1279" s="29" t="str">
        <f aca="false">IF(COUNTIF(Referral_Data!$C$5:$C$1000,B1279)&gt;0,"Referred",IF(COUNTIF(Referral_Data!$B$5:$B$1000,B1279)&gt;0,"Referrer","Organic"))</f>
        <v>Organic</v>
      </c>
      <c r="G1279" s="29" t="n">
        <f aca="false">IF(COUNTIFS($B$5:B1279,B1279,$C$5:C1279,C1279)=1,1,0)</f>
        <v>0</v>
      </c>
      <c r="H1279" s="29" t="n">
        <f aca="false">IF(AND(G1279=1,COUNTIFS($B$5:$B$1635,B1279,$C$5:$C$1635,"&lt;"&amp;C1279)&gt;0),1,0)</f>
        <v>0</v>
      </c>
      <c r="I1279" s="29" t="n">
        <f aca="false">IF(AND(D1279="Feature Use",COUNTIFS($B$5:B1279,B1279,$D$5:D1279,"Feature Use",$E$5:E1279,E1279)=1),1,0)</f>
        <v>0</v>
      </c>
      <c r="J1279" s="29" t="n">
        <f aca="false">IF(AND(D1279="Feature Use",COUNTIFS($B$5:B1279,B1279,$D$5:D1279,"Feature Use",$E$5:E1279,E1279)=2),1,0)</f>
        <v>0</v>
      </c>
      <c r="K1279" s="29" t="n">
        <f aca="false">IF(COUNTIF($B$5:B1279,B1279)=1,1,0)</f>
        <v>0</v>
      </c>
      <c r="L1279" s="29" t="n">
        <f aca="false">IF(AND(C1279&gt;=Settings!$B$5-Settings!$B$8+1,C1279&lt;=Settings!$B$5,COUNTIFS($B$5:B1279,B1279,$C$5:C1279,"&gt;="&amp;(Settings!$B$5-Settings!$B$8+1),$C$5:C1279,"&lt;="&amp;Settings!$B$5)=1),1,0)</f>
        <v>0</v>
      </c>
      <c r="M1279" s="29" t="n">
        <f aca="false">IF(AND(C1279&gt;=Settings!$B$5-Settings!$B$9+1,C1279&lt;=Settings!$B$5,COUNTIFS($B$5:B1279,B1279,$C$5:C1279,"&gt;="&amp;(Settings!$B$5-Settings!$B$9+1),$C$5:C1279,"&lt;="&amp;Settings!$B$5)=1),1,0)</f>
        <v>0</v>
      </c>
      <c r="N1279" s="29" t="n">
        <f aca="false">IF(AND(D1279="Feature Use",COUNTIFS($B$5:B1279,B1279,$D$5:D1279,"Feature Use")=1),1,0)</f>
        <v>0</v>
      </c>
    </row>
    <row r="1280" customFormat="false" ht="15" hidden="false" customHeight="false" outlineLevel="0" collapsed="false">
      <c r="A1280" s="22" t="s">
        <v>1587</v>
      </c>
      <c r="B1280" s="22" t="s">
        <v>313</v>
      </c>
      <c r="C1280" s="31" t="n">
        <v>46304</v>
      </c>
      <c r="D1280" s="22" t="s">
        <v>297</v>
      </c>
      <c r="E1280" s="22" t="s">
        <v>298</v>
      </c>
      <c r="F1280" s="29" t="str">
        <f aca="false">IF(COUNTIF(Referral_Data!$C$5:$C$1000,B1280)&gt;0,"Referred",IF(COUNTIF(Referral_Data!$B$5:$B$1000,B1280)&gt;0,"Referrer","Organic"))</f>
        <v>Organic</v>
      </c>
      <c r="G1280" s="29" t="n">
        <f aca="false">IF(COUNTIFS($B$5:B1280,B1280,$C$5:C1280,C1280)=1,1,0)</f>
        <v>1</v>
      </c>
      <c r="H1280" s="29" t="n">
        <f aca="false">IF(AND(G1280=1,COUNTIFS($B$5:$B$1635,B1280,$C$5:$C$1635,"&lt;"&amp;C1280)&gt;0),1,0)</f>
        <v>1</v>
      </c>
      <c r="I1280" s="29" t="n">
        <f aca="false">IF(AND(D1280="Feature Use",COUNTIFS($B$5:B1280,B1280,$D$5:D1280,"Feature Use",$E$5:E1280,E1280)=1),1,0)</f>
        <v>0</v>
      </c>
      <c r="J1280" s="29" t="n">
        <f aca="false">IF(AND(D1280="Feature Use",COUNTIFS($B$5:B1280,B1280,$D$5:D1280,"Feature Use",$E$5:E1280,E1280)=2),1,0)</f>
        <v>0</v>
      </c>
      <c r="K1280" s="29" t="n">
        <f aca="false">IF(COUNTIF($B$5:B1280,B1280)=1,1,0)</f>
        <v>0</v>
      </c>
      <c r="L1280" s="29" t="n">
        <f aca="false">IF(AND(C1280&gt;=Settings!$B$5-Settings!$B$8+1,C1280&lt;=Settings!$B$5,COUNTIFS($B$5:B1280,B1280,$C$5:C1280,"&gt;="&amp;(Settings!$B$5-Settings!$B$8+1),$C$5:C1280,"&lt;="&amp;Settings!$B$5)=1),1,0)</f>
        <v>1</v>
      </c>
      <c r="M1280" s="29" t="n">
        <f aca="false">IF(AND(C1280&gt;=Settings!$B$5-Settings!$B$9+1,C1280&lt;=Settings!$B$5,COUNTIFS($B$5:B1280,B1280,$C$5:C1280,"&gt;="&amp;(Settings!$B$5-Settings!$B$9+1),$C$5:C1280,"&lt;="&amp;Settings!$B$5)=1),1,0)</f>
        <v>0</v>
      </c>
      <c r="N1280" s="29" t="n">
        <f aca="false">IF(AND(D1280="Feature Use",COUNTIFS($B$5:B1280,B1280,$D$5:D1280,"Feature Use")=1),1,0)</f>
        <v>0</v>
      </c>
    </row>
    <row r="1281" customFormat="false" ht="15" hidden="false" customHeight="false" outlineLevel="0" collapsed="false">
      <c r="A1281" s="22" t="s">
        <v>1588</v>
      </c>
      <c r="B1281" s="22" t="s">
        <v>313</v>
      </c>
      <c r="C1281" s="31" t="n">
        <v>46304</v>
      </c>
      <c r="D1281" s="22" t="s">
        <v>300</v>
      </c>
      <c r="E1281" s="22" t="s">
        <v>305</v>
      </c>
      <c r="F1281" s="29" t="str">
        <f aca="false">IF(COUNTIF(Referral_Data!$C$5:$C$1000,B1281)&gt;0,"Referred",IF(COUNTIF(Referral_Data!$B$5:$B$1000,B1281)&gt;0,"Referrer","Organic"))</f>
        <v>Organic</v>
      </c>
      <c r="G1281" s="29" t="n">
        <f aca="false">IF(COUNTIFS($B$5:B1281,B1281,$C$5:C1281,C1281)=1,1,0)</f>
        <v>0</v>
      </c>
      <c r="H1281" s="29" t="n">
        <f aca="false">IF(AND(G1281=1,COUNTIFS($B$5:$B$1635,B1281,$C$5:$C$1635,"&lt;"&amp;C1281)&gt;0),1,0)</f>
        <v>0</v>
      </c>
      <c r="I1281" s="29" t="n">
        <f aca="false">IF(AND(D1281="Feature Use",COUNTIFS($B$5:B1281,B1281,$D$5:D1281,"Feature Use",$E$5:E1281,E1281)=1),1,0)</f>
        <v>0</v>
      </c>
      <c r="J1281" s="29" t="n">
        <f aca="false">IF(AND(D1281="Feature Use",COUNTIFS($B$5:B1281,B1281,$D$5:D1281,"Feature Use",$E$5:E1281,E1281)=2),1,0)</f>
        <v>0</v>
      </c>
      <c r="K1281" s="29" t="n">
        <f aca="false">IF(COUNTIF($B$5:B1281,B1281)=1,1,0)</f>
        <v>0</v>
      </c>
      <c r="L1281" s="29" t="n">
        <f aca="false">IF(AND(C1281&gt;=Settings!$B$5-Settings!$B$8+1,C1281&lt;=Settings!$B$5,COUNTIFS($B$5:B1281,B1281,$C$5:C1281,"&gt;="&amp;(Settings!$B$5-Settings!$B$8+1),$C$5:C1281,"&lt;="&amp;Settings!$B$5)=1),1,0)</f>
        <v>0</v>
      </c>
      <c r="M1281" s="29" t="n">
        <f aca="false">IF(AND(C1281&gt;=Settings!$B$5-Settings!$B$9+1,C1281&lt;=Settings!$B$5,COUNTIFS($B$5:B1281,B1281,$C$5:C1281,"&gt;="&amp;(Settings!$B$5-Settings!$B$9+1),$C$5:C1281,"&lt;="&amp;Settings!$B$5)=1),1,0)</f>
        <v>0</v>
      </c>
      <c r="N1281" s="29" t="n">
        <f aca="false">IF(AND(D1281="Feature Use",COUNTIFS($B$5:B1281,B1281,$D$5:D1281,"Feature Use")=1),1,0)</f>
        <v>0</v>
      </c>
    </row>
    <row r="1282" customFormat="false" ht="15" hidden="false" customHeight="false" outlineLevel="0" collapsed="false">
      <c r="A1282" s="22" t="s">
        <v>1589</v>
      </c>
      <c r="B1282" s="22" t="s">
        <v>313</v>
      </c>
      <c r="C1282" s="31" t="n">
        <v>46304</v>
      </c>
      <c r="D1282" s="22" t="s">
        <v>300</v>
      </c>
      <c r="E1282" s="22" t="s">
        <v>319</v>
      </c>
      <c r="F1282" s="29" t="str">
        <f aca="false">IF(COUNTIF(Referral_Data!$C$5:$C$1000,B1282)&gt;0,"Referred",IF(COUNTIF(Referral_Data!$B$5:$B$1000,B1282)&gt;0,"Referrer","Organic"))</f>
        <v>Organic</v>
      </c>
      <c r="G1282" s="29" t="n">
        <f aca="false">IF(COUNTIFS($B$5:B1282,B1282,$C$5:C1282,C1282)=1,1,0)</f>
        <v>0</v>
      </c>
      <c r="H1282" s="29" t="n">
        <f aca="false">IF(AND(G1282=1,COUNTIFS($B$5:$B$1635,B1282,$C$5:$C$1635,"&lt;"&amp;C1282)&gt;0),1,0)</f>
        <v>0</v>
      </c>
      <c r="I1282" s="29" t="n">
        <f aca="false">IF(AND(D1282="Feature Use",COUNTIFS($B$5:B1282,B1282,$D$5:D1282,"Feature Use",$E$5:E1282,E1282)=1),1,0)</f>
        <v>0</v>
      </c>
      <c r="J1282" s="29" t="n">
        <f aca="false">IF(AND(D1282="Feature Use",COUNTIFS($B$5:B1282,B1282,$D$5:D1282,"Feature Use",$E$5:E1282,E1282)=2),1,0)</f>
        <v>0</v>
      </c>
      <c r="K1282" s="29" t="n">
        <f aca="false">IF(COUNTIF($B$5:B1282,B1282)=1,1,0)</f>
        <v>0</v>
      </c>
      <c r="L1282" s="29" t="n">
        <f aca="false">IF(AND(C1282&gt;=Settings!$B$5-Settings!$B$8+1,C1282&lt;=Settings!$B$5,COUNTIFS($B$5:B1282,B1282,$C$5:C1282,"&gt;="&amp;(Settings!$B$5-Settings!$B$8+1),$C$5:C1282,"&lt;="&amp;Settings!$B$5)=1),1,0)</f>
        <v>0</v>
      </c>
      <c r="M1282" s="29" t="n">
        <f aca="false">IF(AND(C1282&gt;=Settings!$B$5-Settings!$B$9+1,C1282&lt;=Settings!$B$5,COUNTIFS($B$5:B1282,B1282,$C$5:C1282,"&gt;="&amp;(Settings!$B$5-Settings!$B$9+1),$C$5:C1282,"&lt;="&amp;Settings!$B$5)=1),1,0)</f>
        <v>0</v>
      </c>
      <c r="N1282" s="29" t="n">
        <f aca="false">IF(AND(D1282="Feature Use",COUNTIFS($B$5:B1282,B1282,$D$5:D1282,"Feature Use")=1),1,0)</f>
        <v>0</v>
      </c>
    </row>
    <row r="1283" customFormat="false" ht="15" hidden="false" customHeight="false" outlineLevel="0" collapsed="false">
      <c r="A1283" s="22" t="s">
        <v>1590</v>
      </c>
      <c r="B1283" s="22" t="s">
        <v>313</v>
      </c>
      <c r="C1283" s="31" t="n">
        <v>46304</v>
      </c>
      <c r="D1283" s="22" t="s">
        <v>308</v>
      </c>
      <c r="E1283" s="22" t="s">
        <v>305</v>
      </c>
      <c r="F1283" s="29" t="str">
        <f aca="false">IF(COUNTIF(Referral_Data!$C$5:$C$1000,B1283)&gt;0,"Referred",IF(COUNTIF(Referral_Data!$B$5:$B$1000,B1283)&gt;0,"Referrer","Organic"))</f>
        <v>Organic</v>
      </c>
      <c r="G1283" s="29" t="n">
        <f aca="false">IF(COUNTIFS($B$5:B1283,B1283,$C$5:C1283,C1283)=1,1,0)</f>
        <v>0</v>
      </c>
      <c r="H1283" s="29" t="n">
        <f aca="false">IF(AND(G1283=1,COUNTIFS($B$5:$B$1635,B1283,$C$5:$C$1635,"&lt;"&amp;C1283)&gt;0),1,0)</f>
        <v>0</v>
      </c>
      <c r="I1283" s="29" t="n">
        <f aca="false">IF(AND(D1283="Feature Use",COUNTIFS($B$5:B1283,B1283,$D$5:D1283,"Feature Use",$E$5:E1283,E1283)=1),1,0)</f>
        <v>0</v>
      </c>
      <c r="J1283" s="29" t="n">
        <f aca="false">IF(AND(D1283="Feature Use",COUNTIFS($B$5:B1283,B1283,$D$5:D1283,"Feature Use",$E$5:E1283,E1283)=2),1,0)</f>
        <v>0</v>
      </c>
      <c r="K1283" s="29" t="n">
        <f aca="false">IF(COUNTIF($B$5:B1283,B1283)=1,1,0)</f>
        <v>0</v>
      </c>
      <c r="L1283" s="29" t="n">
        <f aca="false">IF(AND(C1283&gt;=Settings!$B$5-Settings!$B$8+1,C1283&lt;=Settings!$B$5,COUNTIFS($B$5:B1283,B1283,$C$5:C1283,"&gt;="&amp;(Settings!$B$5-Settings!$B$8+1),$C$5:C1283,"&lt;="&amp;Settings!$B$5)=1),1,0)</f>
        <v>0</v>
      </c>
      <c r="M1283" s="29" t="n">
        <f aca="false">IF(AND(C1283&gt;=Settings!$B$5-Settings!$B$9+1,C1283&lt;=Settings!$B$5,COUNTIFS($B$5:B1283,B1283,$C$5:C1283,"&gt;="&amp;(Settings!$B$5-Settings!$B$9+1),$C$5:C1283,"&lt;="&amp;Settings!$B$5)=1),1,0)</f>
        <v>0</v>
      </c>
      <c r="N1283" s="29" t="n">
        <f aca="false">IF(AND(D1283="Feature Use",COUNTIFS($B$5:B1283,B1283,$D$5:D1283,"Feature Use")=1),1,0)</f>
        <v>0</v>
      </c>
    </row>
    <row r="1284" customFormat="false" ht="15" hidden="false" customHeight="false" outlineLevel="0" collapsed="false">
      <c r="A1284" s="22" t="s">
        <v>1591</v>
      </c>
      <c r="B1284" s="22" t="s">
        <v>168</v>
      </c>
      <c r="C1284" s="31" t="n">
        <v>46304</v>
      </c>
      <c r="D1284" s="22" t="s">
        <v>297</v>
      </c>
      <c r="E1284" s="22" t="s">
        <v>298</v>
      </c>
      <c r="F1284" s="29" t="str">
        <f aca="false">IF(COUNTIF(Referral_Data!$C$5:$C$1000,B1284)&gt;0,"Referred",IF(COUNTIF(Referral_Data!$B$5:$B$1000,B1284)&gt;0,"Referrer","Organic"))</f>
        <v>Referred</v>
      </c>
      <c r="G1284" s="29" t="n">
        <f aca="false">IF(COUNTIFS($B$5:B1284,B1284,$C$5:C1284,C1284)=1,1,0)</f>
        <v>1</v>
      </c>
      <c r="H1284" s="29" t="n">
        <f aca="false">IF(AND(G1284=1,COUNTIFS($B$5:$B$1635,B1284,$C$5:$C$1635,"&lt;"&amp;C1284)&gt;0),1,0)</f>
        <v>1</v>
      </c>
      <c r="I1284" s="29" t="n">
        <f aca="false">IF(AND(D1284="Feature Use",COUNTIFS($B$5:B1284,B1284,$D$5:D1284,"Feature Use",$E$5:E1284,E1284)=1),1,0)</f>
        <v>0</v>
      </c>
      <c r="J1284" s="29" t="n">
        <f aca="false">IF(AND(D1284="Feature Use",COUNTIFS($B$5:B1284,B1284,$D$5:D1284,"Feature Use",$E$5:E1284,E1284)=2),1,0)</f>
        <v>0</v>
      </c>
      <c r="K1284" s="29" t="n">
        <f aca="false">IF(COUNTIF($B$5:B1284,B1284)=1,1,0)</f>
        <v>0</v>
      </c>
      <c r="L1284" s="29" t="n">
        <f aca="false">IF(AND(C1284&gt;=Settings!$B$5-Settings!$B$8+1,C1284&lt;=Settings!$B$5,COUNTIFS($B$5:B1284,B1284,$C$5:C1284,"&gt;="&amp;(Settings!$B$5-Settings!$B$8+1),$C$5:C1284,"&lt;="&amp;Settings!$B$5)=1),1,0)</f>
        <v>1</v>
      </c>
      <c r="M1284" s="29" t="n">
        <f aca="false">IF(AND(C1284&gt;=Settings!$B$5-Settings!$B$9+1,C1284&lt;=Settings!$B$5,COUNTIFS($B$5:B1284,B1284,$C$5:C1284,"&gt;="&amp;(Settings!$B$5-Settings!$B$9+1),$C$5:C1284,"&lt;="&amp;Settings!$B$5)=1),1,0)</f>
        <v>0</v>
      </c>
      <c r="N1284" s="29" t="n">
        <f aca="false">IF(AND(D1284="Feature Use",COUNTIFS($B$5:B1284,B1284,$D$5:D1284,"Feature Use")=1),1,0)</f>
        <v>0</v>
      </c>
    </row>
    <row r="1285" customFormat="false" ht="15" hidden="false" customHeight="false" outlineLevel="0" collapsed="false">
      <c r="A1285" s="22" t="s">
        <v>1592</v>
      </c>
      <c r="B1285" s="22" t="s">
        <v>168</v>
      </c>
      <c r="C1285" s="31" t="n">
        <v>46304</v>
      </c>
      <c r="D1285" s="22" t="s">
        <v>300</v>
      </c>
      <c r="E1285" s="22" t="s">
        <v>305</v>
      </c>
      <c r="F1285" s="29" t="str">
        <f aca="false">IF(COUNTIF(Referral_Data!$C$5:$C$1000,B1285)&gt;0,"Referred",IF(COUNTIF(Referral_Data!$B$5:$B$1000,B1285)&gt;0,"Referrer","Organic"))</f>
        <v>Referred</v>
      </c>
      <c r="G1285" s="29" t="n">
        <f aca="false">IF(COUNTIFS($B$5:B1285,B1285,$C$5:C1285,C1285)=1,1,0)</f>
        <v>0</v>
      </c>
      <c r="H1285" s="29" t="n">
        <f aca="false">IF(AND(G1285=1,COUNTIFS($B$5:$B$1635,B1285,$C$5:$C$1635,"&lt;"&amp;C1285)&gt;0),1,0)</f>
        <v>0</v>
      </c>
      <c r="I1285" s="29" t="n">
        <f aca="false">IF(AND(D1285="Feature Use",COUNTIFS($B$5:B1285,B1285,$D$5:D1285,"Feature Use",$E$5:E1285,E1285)=1),1,0)</f>
        <v>0</v>
      </c>
      <c r="J1285" s="29" t="n">
        <f aca="false">IF(AND(D1285="Feature Use",COUNTIFS($B$5:B1285,B1285,$D$5:D1285,"Feature Use",$E$5:E1285,E1285)=2),1,0)</f>
        <v>0</v>
      </c>
      <c r="K1285" s="29" t="n">
        <f aca="false">IF(COUNTIF($B$5:B1285,B1285)=1,1,0)</f>
        <v>0</v>
      </c>
      <c r="L1285" s="29" t="n">
        <f aca="false">IF(AND(C1285&gt;=Settings!$B$5-Settings!$B$8+1,C1285&lt;=Settings!$B$5,COUNTIFS($B$5:B1285,B1285,$C$5:C1285,"&gt;="&amp;(Settings!$B$5-Settings!$B$8+1),$C$5:C1285,"&lt;="&amp;Settings!$B$5)=1),1,0)</f>
        <v>0</v>
      </c>
      <c r="M1285" s="29" t="n">
        <f aca="false">IF(AND(C1285&gt;=Settings!$B$5-Settings!$B$9+1,C1285&lt;=Settings!$B$5,COUNTIFS($B$5:B1285,B1285,$C$5:C1285,"&gt;="&amp;(Settings!$B$5-Settings!$B$9+1),$C$5:C1285,"&lt;="&amp;Settings!$B$5)=1),1,0)</f>
        <v>0</v>
      </c>
      <c r="N1285" s="29" t="n">
        <f aca="false">IF(AND(D1285="Feature Use",COUNTIFS($B$5:B1285,B1285,$D$5:D1285,"Feature Use")=1),1,0)</f>
        <v>0</v>
      </c>
    </row>
    <row r="1286" customFormat="false" ht="15" hidden="false" customHeight="false" outlineLevel="0" collapsed="false">
      <c r="A1286" s="22" t="s">
        <v>1593</v>
      </c>
      <c r="B1286" s="22" t="s">
        <v>168</v>
      </c>
      <c r="C1286" s="31" t="n">
        <v>46304</v>
      </c>
      <c r="D1286" s="22" t="s">
        <v>300</v>
      </c>
      <c r="E1286" s="22" t="s">
        <v>319</v>
      </c>
      <c r="F1286" s="29" t="str">
        <f aca="false">IF(COUNTIF(Referral_Data!$C$5:$C$1000,B1286)&gt;0,"Referred",IF(COUNTIF(Referral_Data!$B$5:$B$1000,B1286)&gt;0,"Referrer","Organic"))</f>
        <v>Referred</v>
      </c>
      <c r="G1286" s="29" t="n">
        <f aca="false">IF(COUNTIFS($B$5:B1286,B1286,$C$5:C1286,C1286)=1,1,0)</f>
        <v>0</v>
      </c>
      <c r="H1286" s="29" t="n">
        <f aca="false">IF(AND(G1286=1,COUNTIFS($B$5:$B$1635,B1286,$C$5:$C$1635,"&lt;"&amp;C1286)&gt;0),1,0)</f>
        <v>0</v>
      </c>
      <c r="I1286" s="29" t="n">
        <f aca="false">IF(AND(D1286="Feature Use",COUNTIFS($B$5:B1286,B1286,$D$5:D1286,"Feature Use",$E$5:E1286,E1286)=1),1,0)</f>
        <v>0</v>
      </c>
      <c r="J1286" s="29" t="n">
        <f aca="false">IF(AND(D1286="Feature Use",COUNTIFS($B$5:B1286,B1286,$D$5:D1286,"Feature Use",$E$5:E1286,E1286)=2),1,0)</f>
        <v>0</v>
      </c>
      <c r="K1286" s="29" t="n">
        <f aca="false">IF(COUNTIF($B$5:B1286,B1286)=1,1,0)</f>
        <v>0</v>
      </c>
      <c r="L1286" s="29" t="n">
        <f aca="false">IF(AND(C1286&gt;=Settings!$B$5-Settings!$B$8+1,C1286&lt;=Settings!$B$5,COUNTIFS($B$5:B1286,B1286,$C$5:C1286,"&gt;="&amp;(Settings!$B$5-Settings!$B$8+1),$C$5:C1286,"&lt;="&amp;Settings!$B$5)=1),1,0)</f>
        <v>0</v>
      </c>
      <c r="M1286" s="29" t="n">
        <f aca="false">IF(AND(C1286&gt;=Settings!$B$5-Settings!$B$9+1,C1286&lt;=Settings!$B$5,COUNTIFS($B$5:B1286,B1286,$C$5:C1286,"&gt;="&amp;(Settings!$B$5-Settings!$B$9+1),$C$5:C1286,"&lt;="&amp;Settings!$B$5)=1),1,0)</f>
        <v>0</v>
      </c>
      <c r="N1286" s="29" t="n">
        <f aca="false">IF(AND(D1286="Feature Use",COUNTIFS($B$5:B1286,B1286,$D$5:D1286,"Feature Use")=1),1,0)</f>
        <v>0</v>
      </c>
    </row>
    <row r="1287" customFormat="false" ht="15" hidden="false" customHeight="false" outlineLevel="0" collapsed="false">
      <c r="A1287" s="22" t="s">
        <v>1594</v>
      </c>
      <c r="B1287" s="22" t="s">
        <v>168</v>
      </c>
      <c r="C1287" s="31" t="n">
        <v>46304</v>
      </c>
      <c r="D1287" s="22" t="s">
        <v>308</v>
      </c>
      <c r="E1287" s="22" t="s">
        <v>301</v>
      </c>
      <c r="F1287" s="29" t="str">
        <f aca="false">IF(COUNTIF(Referral_Data!$C$5:$C$1000,B1287)&gt;0,"Referred",IF(COUNTIF(Referral_Data!$B$5:$B$1000,B1287)&gt;0,"Referrer","Organic"))</f>
        <v>Referred</v>
      </c>
      <c r="G1287" s="29" t="n">
        <f aca="false">IF(COUNTIFS($B$5:B1287,B1287,$C$5:C1287,C1287)=1,1,0)</f>
        <v>0</v>
      </c>
      <c r="H1287" s="29" t="n">
        <f aca="false">IF(AND(G1287=1,COUNTIFS($B$5:$B$1635,B1287,$C$5:$C$1635,"&lt;"&amp;C1287)&gt;0),1,0)</f>
        <v>0</v>
      </c>
      <c r="I1287" s="29" t="n">
        <f aca="false">IF(AND(D1287="Feature Use",COUNTIFS($B$5:B1287,B1287,$D$5:D1287,"Feature Use",$E$5:E1287,E1287)=1),1,0)</f>
        <v>0</v>
      </c>
      <c r="J1287" s="29" t="n">
        <f aca="false">IF(AND(D1287="Feature Use",COUNTIFS($B$5:B1287,B1287,$D$5:D1287,"Feature Use",$E$5:E1287,E1287)=2),1,0)</f>
        <v>0</v>
      </c>
      <c r="K1287" s="29" t="n">
        <f aca="false">IF(COUNTIF($B$5:B1287,B1287)=1,1,0)</f>
        <v>0</v>
      </c>
      <c r="L1287" s="29" t="n">
        <f aca="false">IF(AND(C1287&gt;=Settings!$B$5-Settings!$B$8+1,C1287&lt;=Settings!$B$5,COUNTIFS($B$5:B1287,B1287,$C$5:C1287,"&gt;="&amp;(Settings!$B$5-Settings!$B$8+1),$C$5:C1287,"&lt;="&amp;Settings!$B$5)=1),1,0)</f>
        <v>0</v>
      </c>
      <c r="M1287" s="29" t="n">
        <f aca="false">IF(AND(C1287&gt;=Settings!$B$5-Settings!$B$9+1,C1287&lt;=Settings!$B$5,COUNTIFS($B$5:B1287,B1287,$C$5:C1287,"&gt;="&amp;(Settings!$B$5-Settings!$B$9+1),$C$5:C1287,"&lt;="&amp;Settings!$B$5)=1),1,0)</f>
        <v>0</v>
      </c>
      <c r="N1287" s="29" t="n">
        <f aca="false">IF(AND(D1287="Feature Use",COUNTIFS($B$5:B1287,B1287,$D$5:D1287,"Feature Use")=1),1,0)</f>
        <v>0</v>
      </c>
    </row>
    <row r="1288" customFormat="false" ht="15" hidden="false" customHeight="false" outlineLevel="0" collapsed="false">
      <c r="A1288" s="22" t="s">
        <v>1595</v>
      </c>
      <c r="B1288" s="22" t="s">
        <v>168</v>
      </c>
      <c r="C1288" s="31" t="n">
        <v>46304</v>
      </c>
      <c r="D1288" s="22" t="s">
        <v>308</v>
      </c>
      <c r="E1288" s="22" t="s">
        <v>305</v>
      </c>
      <c r="F1288" s="29" t="str">
        <f aca="false">IF(COUNTIF(Referral_Data!$C$5:$C$1000,B1288)&gt;0,"Referred",IF(COUNTIF(Referral_Data!$B$5:$B$1000,B1288)&gt;0,"Referrer","Organic"))</f>
        <v>Referred</v>
      </c>
      <c r="G1288" s="29" t="n">
        <f aca="false">IF(COUNTIFS($B$5:B1288,B1288,$C$5:C1288,C1288)=1,1,0)</f>
        <v>0</v>
      </c>
      <c r="H1288" s="29" t="n">
        <f aca="false">IF(AND(G1288=1,COUNTIFS($B$5:$B$1635,B1288,$C$5:$C$1635,"&lt;"&amp;C1288)&gt;0),1,0)</f>
        <v>0</v>
      </c>
      <c r="I1288" s="29" t="n">
        <f aca="false">IF(AND(D1288="Feature Use",COUNTIFS($B$5:B1288,B1288,$D$5:D1288,"Feature Use",$E$5:E1288,E1288)=1),1,0)</f>
        <v>0</v>
      </c>
      <c r="J1288" s="29" t="n">
        <f aca="false">IF(AND(D1288="Feature Use",COUNTIFS($B$5:B1288,B1288,$D$5:D1288,"Feature Use",$E$5:E1288,E1288)=2),1,0)</f>
        <v>0</v>
      </c>
      <c r="K1288" s="29" t="n">
        <f aca="false">IF(COUNTIF($B$5:B1288,B1288)=1,1,0)</f>
        <v>0</v>
      </c>
      <c r="L1288" s="29" t="n">
        <f aca="false">IF(AND(C1288&gt;=Settings!$B$5-Settings!$B$8+1,C1288&lt;=Settings!$B$5,COUNTIFS($B$5:B1288,B1288,$C$5:C1288,"&gt;="&amp;(Settings!$B$5-Settings!$B$8+1),$C$5:C1288,"&lt;="&amp;Settings!$B$5)=1),1,0)</f>
        <v>0</v>
      </c>
      <c r="M1288" s="29" t="n">
        <f aca="false">IF(AND(C1288&gt;=Settings!$B$5-Settings!$B$9+1,C1288&lt;=Settings!$B$5,COUNTIFS($B$5:B1288,B1288,$C$5:C1288,"&gt;="&amp;(Settings!$B$5-Settings!$B$9+1),$C$5:C1288,"&lt;="&amp;Settings!$B$5)=1),1,0)</f>
        <v>0</v>
      </c>
      <c r="N1288" s="29" t="n">
        <f aca="false">IF(AND(D1288="Feature Use",COUNTIFS($B$5:B1288,B1288,$D$5:D1288,"Feature Use")=1),1,0)</f>
        <v>0</v>
      </c>
    </row>
    <row r="1289" customFormat="false" ht="15" hidden="false" customHeight="false" outlineLevel="0" collapsed="false">
      <c r="A1289" s="22" t="s">
        <v>1596</v>
      </c>
      <c r="B1289" s="22" t="s">
        <v>176</v>
      </c>
      <c r="C1289" s="31" t="n">
        <v>46304</v>
      </c>
      <c r="D1289" s="22" t="s">
        <v>297</v>
      </c>
      <c r="E1289" s="22" t="s">
        <v>298</v>
      </c>
      <c r="F1289" s="29" t="str">
        <f aca="false">IF(COUNTIF(Referral_Data!$C$5:$C$1000,B1289)&gt;0,"Referred",IF(COUNTIF(Referral_Data!$B$5:$B$1000,B1289)&gt;0,"Referrer","Organic"))</f>
        <v>Referred</v>
      </c>
      <c r="G1289" s="29" t="n">
        <f aca="false">IF(COUNTIFS($B$5:B1289,B1289,$C$5:C1289,C1289)=1,1,0)</f>
        <v>1</v>
      </c>
      <c r="H1289" s="29" t="n">
        <f aca="false">IF(AND(G1289=1,COUNTIFS($B$5:$B$1635,B1289,$C$5:$C$1635,"&lt;"&amp;C1289)&gt;0),1,0)</f>
        <v>1</v>
      </c>
      <c r="I1289" s="29" t="n">
        <f aca="false">IF(AND(D1289="Feature Use",COUNTIFS($B$5:B1289,B1289,$D$5:D1289,"Feature Use",$E$5:E1289,E1289)=1),1,0)</f>
        <v>0</v>
      </c>
      <c r="J1289" s="29" t="n">
        <f aca="false">IF(AND(D1289="Feature Use",COUNTIFS($B$5:B1289,B1289,$D$5:D1289,"Feature Use",$E$5:E1289,E1289)=2),1,0)</f>
        <v>0</v>
      </c>
      <c r="K1289" s="29" t="n">
        <f aca="false">IF(COUNTIF($B$5:B1289,B1289)=1,1,0)</f>
        <v>0</v>
      </c>
      <c r="L1289" s="29" t="n">
        <f aca="false">IF(AND(C1289&gt;=Settings!$B$5-Settings!$B$8+1,C1289&lt;=Settings!$B$5,COUNTIFS($B$5:B1289,B1289,$C$5:C1289,"&gt;="&amp;(Settings!$B$5-Settings!$B$8+1),$C$5:C1289,"&lt;="&amp;Settings!$B$5)=1),1,0)</f>
        <v>1</v>
      </c>
      <c r="M1289" s="29" t="n">
        <f aca="false">IF(AND(C1289&gt;=Settings!$B$5-Settings!$B$9+1,C1289&lt;=Settings!$B$5,COUNTIFS($B$5:B1289,B1289,$C$5:C1289,"&gt;="&amp;(Settings!$B$5-Settings!$B$9+1),$C$5:C1289,"&lt;="&amp;Settings!$B$5)=1),1,0)</f>
        <v>0</v>
      </c>
      <c r="N1289" s="29" t="n">
        <f aca="false">IF(AND(D1289="Feature Use",COUNTIFS($B$5:B1289,B1289,$D$5:D1289,"Feature Use")=1),1,0)</f>
        <v>0</v>
      </c>
    </row>
    <row r="1290" customFormat="false" ht="15" hidden="false" customHeight="false" outlineLevel="0" collapsed="false">
      <c r="A1290" s="22" t="s">
        <v>1597</v>
      </c>
      <c r="B1290" s="22" t="s">
        <v>176</v>
      </c>
      <c r="C1290" s="31" t="n">
        <v>46304</v>
      </c>
      <c r="D1290" s="22" t="s">
        <v>300</v>
      </c>
      <c r="E1290" s="22" t="s">
        <v>311</v>
      </c>
      <c r="F1290" s="29" t="str">
        <f aca="false">IF(COUNTIF(Referral_Data!$C$5:$C$1000,B1290)&gt;0,"Referred",IF(COUNTIF(Referral_Data!$B$5:$B$1000,B1290)&gt;0,"Referrer","Organic"))</f>
        <v>Referred</v>
      </c>
      <c r="G1290" s="29" t="n">
        <f aca="false">IF(COUNTIFS($B$5:B1290,B1290,$C$5:C1290,C1290)=1,1,0)</f>
        <v>0</v>
      </c>
      <c r="H1290" s="29" t="n">
        <f aca="false">IF(AND(G1290=1,COUNTIFS($B$5:$B$1635,B1290,$C$5:$C$1635,"&lt;"&amp;C1290)&gt;0),1,0)</f>
        <v>0</v>
      </c>
      <c r="I1290" s="29" t="n">
        <f aca="false">IF(AND(D1290="Feature Use",COUNTIFS($B$5:B1290,B1290,$D$5:D1290,"Feature Use",$E$5:E1290,E1290)=1),1,0)</f>
        <v>1</v>
      </c>
      <c r="J1290" s="29" t="n">
        <f aca="false">IF(AND(D1290="Feature Use",COUNTIFS($B$5:B1290,B1290,$D$5:D1290,"Feature Use",$E$5:E1290,E1290)=2),1,0)</f>
        <v>0</v>
      </c>
      <c r="K1290" s="29" t="n">
        <f aca="false">IF(COUNTIF($B$5:B1290,B1290)=1,1,0)</f>
        <v>0</v>
      </c>
      <c r="L1290" s="29" t="n">
        <f aca="false">IF(AND(C1290&gt;=Settings!$B$5-Settings!$B$8+1,C1290&lt;=Settings!$B$5,COUNTIFS($B$5:B1290,B1290,$C$5:C1290,"&gt;="&amp;(Settings!$B$5-Settings!$B$8+1),$C$5:C1290,"&lt;="&amp;Settings!$B$5)=1),1,0)</f>
        <v>0</v>
      </c>
      <c r="M1290" s="29" t="n">
        <f aca="false">IF(AND(C1290&gt;=Settings!$B$5-Settings!$B$9+1,C1290&lt;=Settings!$B$5,COUNTIFS($B$5:B1290,B1290,$C$5:C1290,"&gt;="&amp;(Settings!$B$5-Settings!$B$9+1),$C$5:C1290,"&lt;="&amp;Settings!$B$5)=1),1,0)</f>
        <v>0</v>
      </c>
      <c r="N1290" s="29" t="n">
        <f aca="false">IF(AND(D1290="Feature Use",COUNTIFS($B$5:B1290,B1290,$D$5:D1290,"Feature Use")=1),1,0)</f>
        <v>0</v>
      </c>
    </row>
    <row r="1291" customFormat="false" ht="15" hidden="false" customHeight="false" outlineLevel="0" collapsed="false">
      <c r="A1291" s="22" t="s">
        <v>1598</v>
      </c>
      <c r="B1291" s="22" t="s">
        <v>176</v>
      </c>
      <c r="C1291" s="31" t="n">
        <v>46304</v>
      </c>
      <c r="D1291" s="22" t="s">
        <v>300</v>
      </c>
      <c r="E1291" s="22" t="s">
        <v>311</v>
      </c>
      <c r="F1291" s="29" t="str">
        <f aca="false">IF(COUNTIF(Referral_Data!$C$5:$C$1000,B1291)&gt;0,"Referred",IF(COUNTIF(Referral_Data!$B$5:$B$1000,B1291)&gt;0,"Referrer","Organic"))</f>
        <v>Referred</v>
      </c>
      <c r="G1291" s="29" t="n">
        <f aca="false">IF(COUNTIFS($B$5:B1291,B1291,$C$5:C1291,C1291)=1,1,0)</f>
        <v>0</v>
      </c>
      <c r="H1291" s="29" t="n">
        <f aca="false">IF(AND(G1291=1,COUNTIFS($B$5:$B$1635,B1291,$C$5:$C$1635,"&lt;"&amp;C1291)&gt;0),1,0)</f>
        <v>0</v>
      </c>
      <c r="I1291" s="29" t="n">
        <f aca="false">IF(AND(D1291="Feature Use",COUNTIFS($B$5:B1291,B1291,$D$5:D1291,"Feature Use",$E$5:E1291,E1291)=1),1,0)</f>
        <v>0</v>
      </c>
      <c r="J1291" s="29" t="n">
        <f aca="false">IF(AND(D1291="Feature Use",COUNTIFS($B$5:B1291,B1291,$D$5:D1291,"Feature Use",$E$5:E1291,E1291)=2),1,0)</f>
        <v>1</v>
      </c>
      <c r="K1291" s="29" t="n">
        <f aca="false">IF(COUNTIF($B$5:B1291,B1291)=1,1,0)</f>
        <v>0</v>
      </c>
      <c r="L1291" s="29" t="n">
        <f aca="false">IF(AND(C1291&gt;=Settings!$B$5-Settings!$B$8+1,C1291&lt;=Settings!$B$5,COUNTIFS($B$5:B1291,B1291,$C$5:C1291,"&gt;="&amp;(Settings!$B$5-Settings!$B$8+1),$C$5:C1291,"&lt;="&amp;Settings!$B$5)=1),1,0)</f>
        <v>0</v>
      </c>
      <c r="M1291" s="29" t="n">
        <f aca="false">IF(AND(C1291&gt;=Settings!$B$5-Settings!$B$9+1,C1291&lt;=Settings!$B$5,COUNTIFS($B$5:B1291,B1291,$C$5:C1291,"&gt;="&amp;(Settings!$B$5-Settings!$B$9+1),$C$5:C1291,"&lt;="&amp;Settings!$B$5)=1),1,0)</f>
        <v>0</v>
      </c>
      <c r="N1291" s="29" t="n">
        <f aca="false">IF(AND(D1291="Feature Use",COUNTIFS($B$5:B1291,B1291,$D$5:D1291,"Feature Use")=1),1,0)</f>
        <v>0</v>
      </c>
    </row>
    <row r="1292" customFormat="false" ht="15" hidden="false" customHeight="false" outlineLevel="0" collapsed="false">
      <c r="A1292" s="22" t="s">
        <v>1599</v>
      </c>
      <c r="B1292" s="22" t="s">
        <v>179</v>
      </c>
      <c r="C1292" s="31" t="n">
        <v>46304</v>
      </c>
      <c r="D1292" s="22" t="s">
        <v>297</v>
      </c>
      <c r="E1292" s="22" t="s">
        <v>298</v>
      </c>
      <c r="F1292" s="29" t="str">
        <f aca="false">IF(COUNTIF(Referral_Data!$C$5:$C$1000,B1292)&gt;0,"Referred",IF(COUNTIF(Referral_Data!$B$5:$B$1000,B1292)&gt;0,"Referrer","Organic"))</f>
        <v>Referred</v>
      </c>
      <c r="G1292" s="29" t="n">
        <f aca="false">IF(COUNTIFS($B$5:B1292,B1292,$C$5:C1292,C1292)=1,1,0)</f>
        <v>1</v>
      </c>
      <c r="H1292" s="29" t="n">
        <f aca="false">IF(AND(G1292=1,COUNTIFS($B$5:$B$1635,B1292,$C$5:$C$1635,"&lt;"&amp;C1292)&gt;0),1,0)</f>
        <v>1</v>
      </c>
      <c r="I1292" s="29" t="n">
        <f aca="false">IF(AND(D1292="Feature Use",COUNTIFS($B$5:B1292,B1292,$D$5:D1292,"Feature Use",$E$5:E1292,E1292)=1),1,0)</f>
        <v>0</v>
      </c>
      <c r="J1292" s="29" t="n">
        <f aca="false">IF(AND(D1292="Feature Use",COUNTIFS($B$5:B1292,B1292,$D$5:D1292,"Feature Use",$E$5:E1292,E1292)=2),1,0)</f>
        <v>0</v>
      </c>
      <c r="K1292" s="29" t="n">
        <f aca="false">IF(COUNTIF($B$5:B1292,B1292)=1,1,0)</f>
        <v>0</v>
      </c>
      <c r="L1292" s="29" t="n">
        <f aca="false">IF(AND(C1292&gt;=Settings!$B$5-Settings!$B$8+1,C1292&lt;=Settings!$B$5,COUNTIFS($B$5:B1292,B1292,$C$5:C1292,"&gt;="&amp;(Settings!$B$5-Settings!$B$8+1),$C$5:C1292,"&lt;="&amp;Settings!$B$5)=1),1,0)</f>
        <v>1</v>
      </c>
      <c r="M1292" s="29" t="n">
        <f aca="false">IF(AND(C1292&gt;=Settings!$B$5-Settings!$B$9+1,C1292&lt;=Settings!$B$5,COUNTIFS($B$5:B1292,B1292,$C$5:C1292,"&gt;="&amp;(Settings!$B$5-Settings!$B$9+1),$C$5:C1292,"&lt;="&amp;Settings!$B$5)=1),1,0)</f>
        <v>0</v>
      </c>
      <c r="N1292" s="29" t="n">
        <f aca="false">IF(AND(D1292="Feature Use",COUNTIFS($B$5:B1292,B1292,$D$5:D1292,"Feature Use")=1),1,0)</f>
        <v>0</v>
      </c>
    </row>
    <row r="1293" customFormat="false" ht="15" hidden="false" customHeight="false" outlineLevel="0" collapsed="false">
      <c r="A1293" s="22" t="s">
        <v>1600</v>
      </c>
      <c r="B1293" s="22" t="s">
        <v>179</v>
      </c>
      <c r="C1293" s="31" t="n">
        <v>46304</v>
      </c>
      <c r="D1293" s="22" t="s">
        <v>300</v>
      </c>
      <c r="E1293" s="22" t="s">
        <v>309</v>
      </c>
      <c r="F1293" s="29" t="str">
        <f aca="false">IF(COUNTIF(Referral_Data!$C$5:$C$1000,B1293)&gt;0,"Referred",IF(COUNTIF(Referral_Data!$B$5:$B$1000,B1293)&gt;0,"Referrer","Organic"))</f>
        <v>Referred</v>
      </c>
      <c r="G1293" s="29" t="n">
        <f aca="false">IF(COUNTIFS($B$5:B1293,B1293,$C$5:C1293,C1293)=1,1,0)</f>
        <v>0</v>
      </c>
      <c r="H1293" s="29" t="n">
        <f aca="false">IF(AND(G1293=1,COUNTIFS($B$5:$B$1635,B1293,$C$5:$C$1635,"&lt;"&amp;C1293)&gt;0),1,0)</f>
        <v>0</v>
      </c>
      <c r="I1293" s="29" t="n">
        <f aca="false">IF(AND(D1293="Feature Use",COUNTIFS($B$5:B1293,B1293,$D$5:D1293,"Feature Use",$E$5:E1293,E1293)=1),1,0)</f>
        <v>1</v>
      </c>
      <c r="J1293" s="29" t="n">
        <f aca="false">IF(AND(D1293="Feature Use",COUNTIFS($B$5:B1293,B1293,$D$5:D1293,"Feature Use",$E$5:E1293,E1293)=2),1,0)</f>
        <v>0</v>
      </c>
      <c r="K1293" s="29" t="n">
        <f aca="false">IF(COUNTIF($B$5:B1293,B1293)=1,1,0)</f>
        <v>0</v>
      </c>
      <c r="L1293" s="29" t="n">
        <f aca="false">IF(AND(C1293&gt;=Settings!$B$5-Settings!$B$8+1,C1293&lt;=Settings!$B$5,COUNTIFS($B$5:B1293,B1293,$C$5:C1293,"&gt;="&amp;(Settings!$B$5-Settings!$B$8+1),$C$5:C1293,"&lt;="&amp;Settings!$B$5)=1),1,0)</f>
        <v>0</v>
      </c>
      <c r="M1293" s="29" t="n">
        <f aca="false">IF(AND(C1293&gt;=Settings!$B$5-Settings!$B$9+1,C1293&lt;=Settings!$B$5,COUNTIFS($B$5:B1293,B1293,$C$5:C1293,"&gt;="&amp;(Settings!$B$5-Settings!$B$9+1),$C$5:C1293,"&lt;="&amp;Settings!$B$5)=1),1,0)</f>
        <v>0</v>
      </c>
      <c r="N1293" s="29" t="n">
        <f aca="false">IF(AND(D1293="Feature Use",COUNTIFS($B$5:B1293,B1293,$D$5:D1293,"Feature Use")=1),1,0)</f>
        <v>0</v>
      </c>
    </row>
    <row r="1294" customFormat="false" ht="15" hidden="false" customHeight="false" outlineLevel="0" collapsed="false">
      <c r="A1294" s="22" t="s">
        <v>1601</v>
      </c>
      <c r="B1294" s="22" t="s">
        <v>181</v>
      </c>
      <c r="C1294" s="31" t="n">
        <v>46304</v>
      </c>
      <c r="D1294" s="22" t="s">
        <v>297</v>
      </c>
      <c r="E1294" s="22" t="s">
        <v>298</v>
      </c>
      <c r="F1294" s="29" t="str">
        <f aca="false">IF(COUNTIF(Referral_Data!$C$5:$C$1000,B1294)&gt;0,"Referred",IF(COUNTIF(Referral_Data!$B$5:$B$1000,B1294)&gt;0,"Referrer","Organic"))</f>
        <v>Referred</v>
      </c>
      <c r="G1294" s="29" t="n">
        <f aca="false">IF(COUNTIFS($B$5:B1294,B1294,$C$5:C1294,C1294)=1,1,0)</f>
        <v>1</v>
      </c>
      <c r="H1294" s="29" t="n">
        <f aca="false">IF(AND(G1294=1,COUNTIFS($B$5:$B$1635,B1294,$C$5:$C$1635,"&lt;"&amp;C1294)&gt;0),1,0)</f>
        <v>1</v>
      </c>
      <c r="I1294" s="29" t="n">
        <f aca="false">IF(AND(D1294="Feature Use",COUNTIFS($B$5:B1294,B1294,$D$5:D1294,"Feature Use",$E$5:E1294,E1294)=1),1,0)</f>
        <v>0</v>
      </c>
      <c r="J1294" s="29" t="n">
        <f aca="false">IF(AND(D1294="Feature Use",COUNTIFS($B$5:B1294,B1294,$D$5:D1294,"Feature Use",$E$5:E1294,E1294)=2),1,0)</f>
        <v>0</v>
      </c>
      <c r="K1294" s="29" t="n">
        <f aca="false">IF(COUNTIF($B$5:B1294,B1294)=1,1,0)</f>
        <v>0</v>
      </c>
      <c r="L1294" s="29" t="n">
        <f aca="false">IF(AND(C1294&gt;=Settings!$B$5-Settings!$B$8+1,C1294&lt;=Settings!$B$5,COUNTIFS($B$5:B1294,B1294,$C$5:C1294,"&gt;="&amp;(Settings!$B$5-Settings!$B$8+1),$C$5:C1294,"&lt;="&amp;Settings!$B$5)=1),1,0)</f>
        <v>1</v>
      </c>
      <c r="M1294" s="29" t="n">
        <f aca="false">IF(AND(C1294&gt;=Settings!$B$5-Settings!$B$9+1,C1294&lt;=Settings!$B$5,COUNTIFS($B$5:B1294,B1294,$C$5:C1294,"&gt;="&amp;(Settings!$B$5-Settings!$B$9+1),$C$5:C1294,"&lt;="&amp;Settings!$B$5)=1),1,0)</f>
        <v>0</v>
      </c>
      <c r="N1294" s="29" t="n">
        <f aca="false">IF(AND(D1294="Feature Use",COUNTIFS($B$5:B1294,B1294,$D$5:D1294,"Feature Use")=1),1,0)</f>
        <v>0</v>
      </c>
    </row>
    <row r="1295" customFormat="false" ht="15" hidden="false" customHeight="false" outlineLevel="0" collapsed="false">
      <c r="A1295" s="22" t="s">
        <v>1602</v>
      </c>
      <c r="B1295" s="22" t="s">
        <v>181</v>
      </c>
      <c r="C1295" s="31" t="n">
        <v>46304</v>
      </c>
      <c r="D1295" s="22" t="s">
        <v>300</v>
      </c>
      <c r="E1295" s="22" t="s">
        <v>319</v>
      </c>
      <c r="F1295" s="29" t="str">
        <f aca="false">IF(COUNTIF(Referral_Data!$C$5:$C$1000,B1295)&gt;0,"Referred",IF(COUNTIF(Referral_Data!$B$5:$B$1000,B1295)&gt;0,"Referrer","Organic"))</f>
        <v>Referred</v>
      </c>
      <c r="G1295" s="29" t="n">
        <f aca="false">IF(COUNTIFS($B$5:B1295,B1295,$C$5:C1295,C1295)=1,1,0)</f>
        <v>0</v>
      </c>
      <c r="H1295" s="29" t="n">
        <f aca="false">IF(AND(G1295=1,COUNTIFS($B$5:$B$1635,B1295,$C$5:$C$1635,"&lt;"&amp;C1295)&gt;0),1,0)</f>
        <v>0</v>
      </c>
      <c r="I1295" s="29" t="n">
        <f aca="false">IF(AND(D1295="Feature Use",COUNTIFS($B$5:B1295,B1295,$D$5:D1295,"Feature Use",$E$5:E1295,E1295)=1),1,0)</f>
        <v>0</v>
      </c>
      <c r="J1295" s="29" t="n">
        <f aca="false">IF(AND(D1295="Feature Use",COUNTIFS($B$5:B1295,B1295,$D$5:D1295,"Feature Use",$E$5:E1295,E1295)=2),1,0)</f>
        <v>0</v>
      </c>
      <c r="K1295" s="29" t="n">
        <f aca="false">IF(COUNTIF($B$5:B1295,B1295)=1,1,0)</f>
        <v>0</v>
      </c>
      <c r="L1295" s="29" t="n">
        <f aca="false">IF(AND(C1295&gt;=Settings!$B$5-Settings!$B$8+1,C1295&lt;=Settings!$B$5,COUNTIFS($B$5:B1295,B1295,$C$5:C1295,"&gt;="&amp;(Settings!$B$5-Settings!$B$8+1),$C$5:C1295,"&lt;="&amp;Settings!$B$5)=1),1,0)</f>
        <v>0</v>
      </c>
      <c r="M1295" s="29" t="n">
        <f aca="false">IF(AND(C1295&gt;=Settings!$B$5-Settings!$B$9+1,C1295&lt;=Settings!$B$5,COUNTIFS($B$5:B1295,B1295,$C$5:C1295,"&gt;="&amp;(Settings!$B$5-Settings!$B$9+1),$C$5:C1295,"&lt;="&amp;Settings!$B$5)=1),1,0)</f>
        <v>0</v>
      </c>
      <c r="N1295" s="29" t="n">
        <f aca="false">IF(AND(D1295="Feature Use",COUNTIFS($B$5:B1295,B1295,$D$5:D1295,"Feature Use")=1),1,0)</f>
        <v>0</v>
      </c>
    </row>
    <row r="1296" customFormat="false" ht="15" hidden="false" customHeight="false" outlineLevel="0" collapsed="false">
      <c r="A1296" s="22" t="s">
        <v>1603</v>
      </c>
      <c r="B1296" s="22" t="s">
        <v>181</v>
      </c>
      <c r="C1296" s="31" t="n">
        <v>46304</v>
      </c>
      <c r="D1296" s="22" t="s">
        <v>300</v>
      </c>
      <c r="E1296" s="22" t="s">
        <v>301</v>
      </c>
      <c r="F1296" s="29" t="str">
        <f aca="false">IF(COUNTIF(Referral_Data!$C$5:$C$1000,B1296)&gt;0,"Referred",IF(COUNTIF(Referral_Data!$B$5:$B$1000,B1296)&gt;0,"Referrer","Organic"))</f>
        <v>Referred</v>
      </c>
      <c r="G1296" s="29" t="n">
        <f aca="false">IF(COUNTIFS($B$5:B1296,B1296,$C$5:C1296,C1296)=1,1,0)</f>
        <v>0</v>
      </c>
      <c r="H1296" s="29" t="n">
        <f aca="false">IF(AND(G1296=1,COUNTIFS($B$5:$B$1635,B1296,$C$5:$C$1635,"&lt;"&amp;C1296)&gt;0),1,0)</f>
        <v>0</v>
      </c>
      <c r="I1296" s="29" t="n">
        <f aca="false">IF(AND(D1296="Feature Use",COUNTIFS($B$5:B1296,B1296,$D$5:D1296,"Feature Use",$E$5:E1296,E1296)=1),1,0)</f>
        <v>0</v>
      </c>
      <c r="J1296" s="29" t="n">
        <f aca="false">IF(AND(D1296="Feature Use",COUNTIFS($B$5:B1296,B1296,$D$5:D1296,"Feature Use",$E$5:E1296,E1296)=2),1,0)</f>
        <v>0</v>
      </c>
      <c r="K1296" s="29" t="n">
        <f aca="false">IF(COUNTIF($B$5:B1296,B1296)=1,1,0)</f>
        <v>0</v>
      </c>
      <c r="L1296" s="29" t="n">
        <f aca="false">IF(AND(C1296&gt;=Settings!$B$5-Settings!$B$8+1,C1296&lt;=Settings!$B$5,COUNTIFS($B$5:B1296,B1296,$C$5:C1296,"&gt;="&amp;(Settings!$B$5-Settings!$B$8+1),$C$5:C1296,"&lt;="&amp;Settings!$B$5)=1),1,0)</f>
        <v>0</v>
      </c>
      <c r="M1296" s="29" t="n">
        <f aca="false">IF(AND(C1296&gt;=Settings!$B$5-Settings!$B$9+1,C1296&lt;=Settings!$B$5,COUNTIFS($B$5:B1296,B1296,$C$5:C1296,"&gt;="&amp;(Settings!$B$5-Settings!$B$9+1),$C$5:C1296,"&lt;="&amp;Settings!$B$5)=1),1,0)</f>
        <v>0</v>
      </c>
      <c r="N1296" s="29" t="n">
        <f aca="false">IF(AND(D1296="Feature Use",COUNTIFS($B$5:B1296,B1296,$D$5:D1296,"Feature Use")=1),1,0)</f>
        <v>0</v>
      </c>
    </row>
    <row r="1297" customFormat="false" ht="15" hidden="false" customHeight="false" outlineLevel="0" collapsed="false">
      <c r="A1297" s="22" t="s">
        <v>1604</v>
      </c>
      <c r="B1297" s="22" t="s">
        <v>181</v>
      </c>
      <c r="C1297" s="31" t="n">
        <v>46304</v>
      </c>
      <c r="D1297" s="22" t="s">
        <v>308</v>
      </c>
      <c r="E1297" s="22" t="s">
        <v>319</v>
      </c>
      <c r="F1297" s="29" t="str">
        <f aca="false">IF(COUNTIF(Referral_Data!$C$5:$C$1000,B1297)&gt;0,"Referred",IF(COUNTIF(Referral_Data!$B$5:$B$1000,B1297)&gt;0,"Referrer","Organic"))</f>
        <v>Referred</v>
      </c>
      <c r="G1297" s="29" t="n">
        <f aca="false">IF(COUNTIFS($B$5:B1297,B1297,$C$5:C1297,C1297)=1,1,0)</f>
        <v>0</v>
      </c>
      <c r="H1297" s="29" t="n">
        <f aca="false">IF(AND(G1297=1,COUNTIFS($B$5:$B$1635,B1297,$C$5:$C$1635,"&lt;"&amp;C1297)&gt;0),1,0)</f>
        <v>0</v>
      </c>
      <c r="I1297" s="29" t="n">
        <f aca="false">IF(AND(D1297="Feature Use",COUNTIFS($B$5:B1297,B1297,$D$5:D1297,"Feature Use",$E$5:E1297,E1297)=1),1,0)</f>
        <v>0</v>
      </c>
      <c r="J1297" s="29" t="n">
        <f aca="false">IF(AND(D1297="Feature Use",COUNTIFS($B$5:B1297,B1297,$D$5:D1297,"Feature Use",$E$5:E1297,E1297)=2),1,0)</f>
        <v>0</v>
      </c>
      <c r="K1297" s="29" t="n">
        <f aca="false">IF(COUNTIF($B$5:B1297,B1297)=1,1,0)</f>
        <v>0</v>
      </c>
      <c r="L1297" s="29" t="n">
        <f aca="false">IF(AND(C1297&gt;=Settings!$B$5-Settings!$B$8+1,C1297&lt;=Settings!$B$5,COUNTIFS($B$5:B1297,B1297,$C$5:C1297,"&gt;="&amp;(Settings!$B$5-Settings!$B$8+1),$C$5:C1297,"&lt;="&amp;Settings!$B$5)=1),1,0)</f>
        <v>0</v>
      </c>
      <c r="M1297" s="29" t="n">
        <f aca="false">IF(AND(C1297&gt;=Settings!$B$5-Settings!$B$9+1,C1297&lt;=Settings!$B$5,COUNTIFS($B$5:B1297,B1297,$C$5:C1297,"&gt;="&amp;(Settings!$B$5-Settings!$B$9+1),$C$5:C1297,"&lt;="&amp;Settings!$B$5)=1),1,0)</f>
        <v>0</v>
      </c>
      <c r="N1297" s="29" t="n">
        <f aca="false">IF(AND(D1297="Feature Use",COUNTIFS($B$5:B1297,B1297,$D$5:D1297,"Feature Use")=1),1,0)</f>
        <v>0</v>
      </c>
    </row>
    <row r="1298" customFormat="false" ht="15" hidden="false" customHeight="false" outlineLevel="0" collapsed="false">
      <c r="A1298" s="22" t="s">
        <v>1605</v>
      </c>
      <c r="B1298" s="22" t="s">
        <v>197</v>
      </c>
      <c r="C1298" s="31" t="n">
        <v>46304</v>
      </c>
      <c r="D1298" s="22" t="s">
        <v>297</v>
      </c>
      <c r="E1298" s="22" t="s">
        <v>298</v>
      </c>
      <c r="F1298" s="29" t="str">
        <f aca="false">IF(COUNTIF(Referral_Data!$C$5:$C$1000,B1298)&gt;0,"Referred",IF(COUNTIF(Referral_Data!$B$5:$B$1000,B1298)&gt;0,"Referrer","Organic"))</f>
        <v>Referred</v>
      </c>
      <c r="G1298" s="29" t="n">
        <f aca="false">IF(COUNTIFS($B$5:B1298,B1298,$C$5:C1298,C1298)=1,1,0)</f>
        <v>1</v>
      </c>
      <c r="H1298" s="29" t="n">
        <f aca="false">IF(AND(G1298=1,COUNTIFS($B$5:$B$1635,B1298,$C$5:$C$1635,"&lt;"&amp;C1298)&gt;0),1,0)</f>
        <v>0</v>
      </c>
      <c r="I1298" s="29" t="n">
        <f aca="false">IF(AND(D1298="Feature Use",COUNTIFS($B$5:B1298,B1298,$D$5:D1298,"Feature Use",$E$5:E1298,E1298)=1),1,0)</f>
        <v>0</v>
      </c>
      <c r="J1298" s="29" t="n">
        <f aca="false">IF(AND(D1298="Feature Use",COUNTIFS($B$5:B1298,B1298,$D$5:D1298,"Feature Use",$E$5:E1298,E1298)=2),1,0)</f>
        <v>0</v>
      </c>
      <c r="K1298" s="29" t="n">
        <f aca="false">IF(COUNTIF($B$5:B1298,B1298)=1,1,0)</f>
        <v>1</v>
      </c>
      <c r="L1298" s="29" t="n">
        <f aca="false">IF(AND(C1298&gt;=Settings!$B$5-Settings!$B$8+1,C1298&lt;=Settings!$B$5,COUNTIFS($B$5:B1298,B1298,$C$5:C1298,"&gt;="&amp;(Settings!$B$5-Settings!$B$8+1),$C$5:C1298,"&lt;="&amp;Settings!$B$5)=1),1,0)</f>
        <v>1</v>
      </c>
      <c r="M1298" s="29" t="n">
        <f aca="false">IF(AND(C1298&gt;=Settings!$B$5-Settings!$B$9+1,C1298&lt;=Settings!$B$5,COUNTIFS($B$5:B1298,B1298,$C$5:C1298,"&gt;="&amp;(Settings!$B$5-Settings!$B$9+1),$C$5:C1298,"&lt;="&amp;Settings!$B$5)=1),1,0)</f>
        <v>1</v>
      </c>
      <c r="N1298" s="29" t="n">
        <f aca="false">IF(AND(D1298="Feature Use",COUNTIFS($B$5:B1298,B1298,$D$5:D1298,"Feature Use")=1),1,0)</f>
        <v>0</v>
      </c>
    </row>
    <row r="1299" customFormat="false" ht="15" hidden="false" customHeight="false" outlineLevel="0" collapsed="false">
      <c r="A1299" s="22" t="s">
        <v>1606</v>
      </c>
      <c r="B1299" s="22" t="s">
        <v>197</v>
      </c>
      <c r="C1299" s="31" t="n">
        <v>46304</v>
      </c>
      <c r="D1299" s="22" t="s">
        <v>300</v>
      </c>
      <c r="E1299" s="22" t="s">
        <v>309</v>
      </c>
      <c r="F1299" s="29" t="str">
        <f aca="false">IF(COUNTIF(Referral_Data!$C$5:$C$1000,B1299)&gt;0,"Referred",IF(COUNTIF(Referral_Data!$B$5:$B$1000,B1299)&gt;0,"Referrer","Organic"))</f>
        <v>Referred</v>
      </c>
      <c r="G1299" s="29" t="n">
        <f aca="false">IF(COUNTIFS($B$5:B1299,B1299,$C$5:C1299,C1299)=1,1,0)</f>
        <v>0</v>
      </c>
      <c r="H1299" s="29" t="n">
        <f aca="false">IF(AND(G1299=1,COUNTIFS($B$5:$B$1635,B1299,$C$5:$C$1635,"&lt;"&amp;C1299)&gt;0),1,0)</f>
        <v>0</v>
      </c>
      <c r="I1299" s="29" t="n">
        <f aca="false">IF(AND(D1299="Feature Use",COUNTIFS($B$5:B1299,B1299,$D$5:D1299,"Feature Use",$E$5:E1299,E1299)=1),1,0)</f>
        <v>1</v>
      </c>
      <c r="J1299" s="29" t="n">
        <f aca="false">IF(AND(D1299="Feature Use",COUNTIFS($B$5:B1299,B1299,$D$5:D1299,"Feature Use",$E$5:E1299,E1299)=2),1,0)</f>
        <v>0</v>
      </c>
      <c r="K1299" s="29" t="n">
        <f aca="false">IF(COUNTIF($B$5:B1299,B1299)=1,1,0)</f>
        <v>0</v>
      </c>
      <c r="L1299" s="29" t="n">
        <f aca="false">IF(AND(C1299&gt;=Settings!$B$5-Settings!$B$8+1,C1299&lt;=Settings!$B$5,COUNTIFS($B$5:B1299,B1299,$C$5:C1299,"&gt;="&amp;(Settings!$B$5-Settings!$B$8+1),$C$5:C1299,"&lt;="&amp;Settings!$B$5)=1),1,0)</f>
        <v>0</v>
      </c>
      <c r="M1299" s="29" t="n">
        <f aca="false">IF(AND(C1299&gt;=Settings!$B$5-Settings!$B$9+1,C1299&lt;=Settings!$B$5,COUNTIFS($B$5:B1299,B1299,$C$5:C1299,"&gt;="&amp;(Settings!$B$5-Settings!$B$9+1),$C$5:C1299,"&lt;="&amp;Settings!$B$5)=1),1,0)</f>
        <v>0</v>
      </c>
      <c r="N1299" s="29" t="n">
        <f aca="false">IF(AND(D1299="Feature Use",COUNTIFS($B$5:B1299,B1299,$D$5:D1299,"Feature Use")=1),1,0)</f>
        <v>1</v>
      </c>
    </row>
    <row r="1300" customFormat="false" ht="15" hidden="false" customHeight="false" outlineLevel="0" collapsed="false">
      <c r="A1300" s="22" t="s">
        <v>1607</v>
      </c>
      <c r="B1300" s="22" t="s">
        <v>197</v>
      </c>
      <c r="C1300" s="31" t="n">
        <v>46304</v>
      </c>
      <c r="D1300" s="22" t="s">
        <v>300</v>
      </c>
      <c r="E1300" s="22" t="s">
        <v>319</v>
      </c>
      <c r="F1300" s="29" t="str">
        <f aca="false">IF(COUNTIF(Referral_Data!$C$5:$C$1000,B1300)&gt;0,"Referred",IF(COUNTIF(Referral_Data!$B$5:$B$1000,B1300)&gt;0,"Referrer","Organic"))</f>
        <v>Referred</v>
      </c>
      <c r="G1300" s="29" t="n">
        <f aca="false">IF(COUNTIFS($B$5:B1300,B1300,$C$5:C1300,C1300)=1,1,0)</f>
        <v>0</v>
      </c>
      <c r="H1300" s="29" t="n">
        <f aca="false">IF(AND(G1300=1,COUNTIFS($B$5:$B$1635,B1300,$C$5:$C$1635,"&lt;"&amp;C1300)&gt;0),1,0)</f>
        <v>0</v>
      </c>
      <c r="I1300" s="29" t="n">
        <f aca="false">IF(AND(D1300="Feature Use",COUNTIFS($B$5:B1300,B1300,$D$5:D1300,"Feature Use",$E$5:E1300,E1300)=1),1,0)</f>
        <v>1</v>
      </c>
      <c r="J1300" s="29" t="n">
        <f aca="false">IF(AND(D1300="Feature Use",COUNTIFS($B$5:B1300,B1300,$D$5:D1300,"Feature Use",$E$5:E1300,E1300)=2),1,0)</f>
        <v>0</v>
      </c>
      <c r="K1300" s="29" t="n">
        <f aca="false">IF(COUNTIF($B$5:B1300,B1300)=1,1,0)</f>
        <v>0</v>
      </c>
      <c r="L1300" s="29" t="n">
        <f aca="false">IF(AND(C1300&gt;=Settings!$B$5-Settings!$B$8+1,C1300&lt;=Settings!$B$5,COUNTIFS($B$5:B1300,B1300,$C$5:C1300,"&gt;="&amp;(Settings!$B$5-Settings!$B$8+1),$C$5:C1300,"&lt;="&amp;Settings!$B$5)=1),1,0)</f>
        <v>0</v>
      </c>
      <c r="M1300" s="29" t="n">
        <f aca="false">IF(AND(C1300&gt;=Settings!$B$5-Settings!$B$9+1,C1300&lt;=Settings!$B$5,COUNTIFS($B$5:B1300,B1300,$C$5:C1300,"&gt;="&amp;(Settings!$B$5-Settings!$B$9+1),$C$5:C1300,"&lt;="&amp;Settings!$B$5)=1),1,0)</f>
        <v>0</v>
      </c>
      <c r="N1300" s="29" t="n">
        <f aca="false">IF(AND(D1300="Feature Use",COUNTIFS($B$5:B1300,B1300,$D$5:D1300,"Feature Use")=1),1,0)</f>
        <v>0</v>
      </c>
    </row>
    <row r="1301" customFormat="false" ht="15" hidden="false" customHeight="false" outlineLevel="0" collapsed="false">
      <c r="A1301" s="22" t="s">
        <v>1608</v>
      </c>
      <c r="B1301" s="22" t="s">
        <v>197</v>
      </c>
      <c r="C1301" s="31" t="n">
        <v>46304</v>
      </c>
      <c r="D1301" s="22" t="s">
        <v>308</v>
      </c>
      <c r="E1301" s="22" t="s">
        <v>305</v>
      </c>
      <c r="F1301" s="29" t="str">
        <f aca="false">IF(COUNTIF(Referral_Data!$C$5:$C$1000,B1301)&gt;0,"Referred",IF(COUNTIF(Referral_Data!$B$5:$B$1000,B1301)&gt;0,"Referrer","Organic"))</f>
        <v>Referred</v>
      </c>
      <c r="G1301" s="29" t="n">
        <f aca="false">IF(COUNTIFS($B$5:B1301,B1301,$C$5:C1301,C1301)=1,1,0)</f>
        <v>0</v>
      </c>
      <c r="H1301" s="29" t="n">
        <f aca="false">IF(AND(G1301=1,COUNTIFS($B$5:$B$1635,B1301,$C$5:$C$1635,"&lt;"&amp;C1301)&gt;0),1,0)</f>
        <v>0</v>
      </c>
      <c r="I1301" s="29" t="n">
        <f aca="false">IF(AND(D1301="Feature Use",COUNTIFS($B$5:B1301,B1301,$D$5:D1301,"Feature Use",$E$5:E1301,E1301)=1),1,0)</f>
        <v>0</v>
      </c>
      <c r="J1301" s="29" t="n">
        <f aca="false">IF(AND(D1301="Feature Use",COUNTIFS($B$5:B1301,B1301,$D$5:D1301,"Feature Use",$E$5:E1301,E1301)=2),1,0)</f>
        <v>0</v>
      </c>
      <c r="K1301" s="29" t="n">
        <f aca="false">IF(COUNTIF($B$5:B1301,B1301)=1,1,0)</f>
        <v>0</v>
      </c>
      <c r="L1301" s="29" t="n">
        <f aca="false">IF(AND(C1301&gt;=Settings!$B$5-Settings!$B$8+1,C1301&lt;=Settings!$B$5,COUNTIFS($B$5:B1301,B1301,$C$5:C1301,"&gt;="&amp;(Settings!$B$5-Settings!$B$8+1),$C$5:C1301,"&lt;="&amp;Settings!$B$5)=1),1,0)</f>
        <v>0</v>
      </c>
      <c r="M1301" s="29" t="n">
        <f aca="false">IF(AND(C1301&gt;=Settings!$B$5-Settings!$B$9+1,C1301&lt;=Settings!$B$5,COUNTIFS($B$5:B1301,B1301,$C$5:C1301,"&gt;="&amp;(Settings!$B$5-Settings!$B$9+1),$C$5:C1301,"&lt;="&amp;Settings!$B$5)=1),1,0)</f>
        <v>0</v>
      </c>
      <c r="N1301" s="29" t="n">
        <f aca="false">IF(AND(D1301="Feature Use",COUNTIFS($B$5:B1301,B1301,$D$5:D1301,"Feature Use")=1),1,0)</f>
        <v>0</v>
      </c>
    </row>
    <row r="1302" customFormat="false" ht="15" hidden="false" customHeight="false" outlineLevel="0" collapsed="false">
      <c r="A1302" s="22" t="s">
        <v>1609</v>
      </c>
      <c r="B1302" s="22" t="s">
        <v>204</v>
      </c>
      <c r="C1302" s="31" t="n">
        <v>46304</v>
      </c>
      <c r="D1302" s="22" t="s">
        <v>297</v>
      </c>
      <c r="E1302" s="22" t="s">
        <v>298</v>
      </c>
      <c r="F1302" s="29" t="str">
        <f aca="false">IF(COUNTIF(Referral_Data!$C$5:$C$1000,B1302)&gt;0,"Referred",IF(COUNTIF(Referral_Data!$B$5:$B$1000,B1302)&gt;0,"Referrer","Organic"))</f>
        <v>Referred</v>
      </c>
      <c r="G1302" s="29" t="n">
        <f aca="false">IF(COUNTIFS($B$5:B1302,B1302,$C$5:C1302,C1302)=1,1,0)</f>
        <v>1</v>
      </c>
      <c r="H1302" s="29" t="n">
        <f aca="false">IF(AND(G1302=1,COUNTIFS($B$5:$B$1635,B1302,$C$5:$C$1635,"&lt;"&amp;C1302)&gt;0),1,0)</f>
        <v>1</v>
      </c>
      <c r="I1302" s="29" t="n">
        <f aca="false">IF(AND(D1302="Feature Use",COUNTIFS($B$5:B1302,B1302,$D$5:D1302,"Feature Use",$E$5:E1302,E1302)=1),1,0)</f>
        <v>0</v>
      </c>
      <c r="J1302" s="29" t="n">
        <f aca="false">IF(AND(D1302="Feature Use",COUNTIFS($B$5:B1302,B1302,$D$5:D1302,"Feature Use",$E$5:E1302,E1302)=2),1,0)</f>
        <v>0</v>
      </c>
      <c r="K1302" s="29" t="n">
        <f aca="false">IF(COUNTIF($B$5:B1302,B1302)=1,1,0)</f>
        <v>0</v>
      </c>
      <c r="L1302" s="29" t="n">
        <f aca="false">IF(AND(C1302&gt;=Settings!$B$5-Settings!$B$8+1,C1302&lt;=Settings!$B$5,COUNTIFS($B$5:B1302,B1302,$C$5:C1302,"&gt;="&amp;(Settings!$B$5-Settings!$B$8+1),$C$5:C1302,"&lt;="&amp;Settings!$B$5)=1),1,0)</f>
        <v>1</v>
      </c>
      <c r="M1302" s="29" t="n">
        <f aca="false">IF(AND(C1302&gt;=Settings!$B$5-Settings!$B$9+1,C1302&lt;=Settings!$B$5,COUNTIFS($B$5:B1302,B1302,$C$5:C1302,"&gt;="&amp;(Settings!$B$5-Settings!$B$9+1),$C$5:C1302,"&lt;="&amp;Settings!$B$5)=1),1,0)</f>
        <v>0</v>
      </c>
      <c r="N1302" s="29" t="n">
        <f aca="false">IF(AND(D1302="Feature Use",COUNTIFS($B$5:B1302,B1302,$D$5:D1302,"Feature Use")=1),1,0)</f>
        <v>0</v>
      </c>
    </row>
    <row r="1303" customFormat="false" ht="15" hidden="false" customHeight="false" outlineLevel="0" collapsed="false">
      <c r="A1303" s="22" t="s">
        <v>1610</v>
      </c>
      <c r="B1303" s="22" t="s">
        <v>204</v>
      </c>
      <c r="C1303" s="31" t="n">
        <v>46304</v>
      </c>
      <c r="D1303" s="22" t="s">
        <v>300</v>
      </c>
      <c r="E1303" s="22" t="s">
        <v>305</v>
      </c>
      <c r="F1303" s="29" t="str">
        <f aca="false">IF(COUNTIF(Referral_Data!$C$5:$C$1000,B1303)&gt;0,"Referred",IF(COUNTIF(Referral_Data!$B$5:$B$1000,B1303)&gt;0,"Referrer","Organic"))</f>
        <v>Referred</v>
      </c>
      <c r="G1303" s="29" t="n">
        <f aca="false">IF(COUNTIFS($B$5:B1303,B1303,$C$5:C1303,C1303)=1,1,0)</f>
        <v>0</v>
      </c>
      <c r="H1303" s="29" t="n">
        <f aca="false">IF(AND(G1303=1,COUNTIFS($B$5:$B$1635,B1303,$C$5:$C$1635,"&lt;"&amp;C1303)&gt;0),1,0)</f>
        <v>0</v>
      </c>
      <c r="I1303" s="29" t="n">
        <f aca="false">IF(AND(D1303="Feature Use",COUNTIFS($B$5:B1303,B1303,$D$5:D1303,"Feature Use",$E$5:E1303,E1303)=1),1,0)</f>
        <v>0</v>
      </c>
      <c r="J1303" s="29" t="n">
        <f aca="false">IF(AND(D1303="Feature Use",COUNTIFS($B$5:B1303,B1303,$D$5:D1303,"Feature Use",$E$5:E1303,E1303)=2),1,0)</f>
        <v>0</v>
      </c>
      <c r="K1303" s="29" t="n">
        <f aca="false">IF(COUNTIF($B$5:B1303,B1303)=1,1,0)</f>
        <v>0</v>
      </c>
      <c r="L1303" s="29" t="n">
        <f aca="false">IF(AND(C1303&gt;=Settings!$B$5-Settings!$B$8+1,C1303&lt;=Settings!$B$5,COUNTIFS($B$5:B1303,B1303,$C$5:C1303,"&gt;="&amp;(Settings!$B$5-Settings!$B$8+1),$C$5:C1303,"&lt;="&amp;Settings!$B$5)=1),1,0)</f>
        <v>0</v>
      </c>
      <c r="M1303" s="29" t="n">
        <f aca="false">IF(AND(C1303&gt;=Settings!$B$5-Settings!$B$9+1,C1303&lt;=Settings!$B$5,COUNTIFS($B$5:B1303,B1303,$C$5:C1303,"&gt;="&amp;(Settings!$B$5-Settings!$B$9+1),$C$5:C1303,"&lt;="&amp;Settings!$B$5)=1),1,0)</f>
        <v>0</v>
      </c>
      <c r="N1303" s="29" t="n">
        <f aca="false">IF(AND(D1303="Feature Use",COUNTIFS($B$5:B1303,B1303,$D$5:D1303,"Feature Use")=1),1,0)</f>
        <v>0</v>
      </c>
    </row>
    <row r="1304" customFormat="false" ht="15" hidden="false" customHeight="false" outlineLevel="0" collapsed="false">
      <c r="A1304" s="22" t="s">
        <v>1611</v>
      </c>
      <c r="B1304" s="22" t="s">
        <v>204</v>
      </c>
      <c r="C1304" s="31" t="n">
        <v>46304</v>
      </c>
      <c r="D1304" s="22" t="s">
        <v>300</v>
      </c>
      <c r="E1304" s="22" t="s">
        <v>311</v>
      </c>
      <c r="F1304" s="29" t="str">
        <f aca="false">IF(COUNTIF(Referral_Data!$C$5:$C$1000,B1304)&gt;0,"Referred",IF(COUNTIF(Referral_Data!$B$5:$B$1000,B1304)&gt;0,"Referrer","Organic"))</f>
        <v>Referred</v>
      </c>
      <c r="G1304" s="29" t="n">
        <f aca="false">IF(COUNTIFS($B$5:B1304,B1304,$C$5:C1304,C1304)=1,1,0)</f>
        <v>0</v>
      </c>
      <c r="H1304" s="29" t="n">
        <f aca="false">IF(AND(G1304=1,COUNTIFS($B$5:$B$1635,B1304,$C$5:$C$1635,"&lt;"&amp;C1304)&gt;0),1,0)</f>
        <v>0</v>
      </c>
      <c r="I1304" s="29" t="n">
        <f aca="false">IF(AND(D1304="Feature Use",COUNTIFS($B$5:B1304,B1304,$D$5:D1304,"Feature Use",$E$5:E1304,E1304)=1),1,0)</f>
        <v>0</v>
      </c>
      <c r="J1304" s="29" t="n">
        <f aca="false">IF(AND(D1304="Feature Use",COUNTIFS($B$5:B1304,B1304,$D$5:D1304,"Feature Use",$E$5:E1304,E1304)=2),1,0)</f>
        <v>0</v>
      </c>
      <c r="K1304" s="29" t="n">
        <f aca="false">IF(COUNTIF($B$5:B1304,B1304)=1,1,0)</f>
        <v>0</v>
      </c>
      <c r="L1304" s="29" t="n">
        <f aca="false">IF(AND(C1304&gt;=Settings!$B$5-Settings!$B$8+1,C1304&lt;=Settings!$B$5,COUNTIFS($B$5:B1304,B1304,$C$5:C1304,"&gt;="&amp;(Settings!$B$5-Settings!$B$8+1),$C$5:C1304,"&lt;="&amp;Settings!$B$5)=1),1,0)</f>
        <v>0</v>
      </c>
      <c r="M1304" s="29" t="n">
        <f aca="false">IF(AND(C1304&gt;=Settings!$B$5-Settings!$B$9+1,C1304&lt;=Settings!$B$5,COUNTIFS($B$5:B1304,B1304,$C$5:C1304,"&gt;="&amp;(Settings!$B$5-Settings!$B$9+1),$C$5:C1304,"&lt;="&amp;Settings!$B$5)=1),1,0)</f>
        <v>0</v>
      </c>
      <c r="N1304" s="29" t="n">
        <f aca="false">IF(AND(D1304="Feature Use",COUNTIFS($B$5:B1304,B1304,$D$5:D1304,"Feature Use")=1),1,0)</f>
        <v>0</v>
      </c>
    </row>
    <row r="1305" customFormat="false" ht="15" hidden="false" customHeight="false" outlineLevel="0" collapsed="false">
      <c r="A1305" s="22" t="s">
        <v>1612</v>
      </c>
      <c r="B1305" s="22" t="s">
        <v>220</v>
      </c>
      <c r="C1305" s="31" t="n">
        <v>46304</v>
      </c>
      <c r="D1305" s="22" t="s">
        <v>297</v>
      </c>
      <c r="E1305" s="22" t="s">
        <v>298</v>
      </c>
      <c r="F1305" s="29" t="str">
        <f aca="false">IF(COUNTIF(Referral_Data!$C$5:$C$1000,B1305)&gt;0,"Referred",IF(COUNTIF(Referral_Data!$B$5:$B$1000,B1305)&gt;0,"Referrer","Organic"))</f>
        <v>Referred</v>
      </c>
      <c r="G1305" s="29" t="n">
        <f aca="false">IF(COUNTIFS($B$5:B1305,B1305,$C$5:C1305,C1305)=1,1,0)</f>
        <v>1</v>
      </c>
      <c r="H1305" s="29" t="n">
        <f aca="false">IF(AND(G1305=1,COUNTIFS($B$5:$B$1635,B1305,$C$5:$C$1635,"&lt;"&amp;C1305)&gt;0),1,0)</f>
        <v>1</v>
      </c>
      <c r="I1305" s="29" t="n">
        <f aca="false">IF(AND(D1305="Feature Use",COUNTIFS($B$5:B1305,B1305,$D$5:D1305,"Feature Use",$E$5:E1305,E1305)=1),1,0)</f>
        <v>0</v>
      </c>
      <c r="J1305" s="29" t="n">
        <f aca="false">IF(AND(D1305="Feature Use",COUNTIFS($B$5:B1305,B1305,$D$5:D1305,"Feature Use",$E$5:E1305,E1305)=2),1,0)</f>
        <v>0</v>
      </c>
      <c r="K1305" s="29" t="n">
        <f aca="false">IF(COUNTIF($B$5:B1305,B1305)=1,1,0)</f>
        <v>0</v>
      </c>
      <c r="L1305" s="29" t="n">
        <f aca="false">IF(AND(C1305&gt;=Settings!$B$5-Settings!$B$8+1,C1305&lt;=Settings!$B$5,COUNTIFS($B$5:B1305,B1305,$C$5:C1305,"&gt;="&amp;(Settings!$B$5-Settings!$B$8+1),$C$5:C1305,"&lt;="&amp;Settings!$B$5)=1),1,0)</f>
        <v>1</v>
      </c>
      <c r="M1305" s="29" t="n">
        <f aca="false">IF(AND(C1305&gt;=Settings!$B$5-Settings!$B$9+1,C1305&lt;=Settings!$B$5,COUNTIFS($B$5:B1305,B1305,$C$5:C1305,"&gt;="&amp;(Settings!$B$5-Settings!$B$9+1),$C$5:C1305,"&lt;="&amp;Settings!$B$5)=1),1,0)</f>
        <v>0</v>
      </c>
      <c r="N1305" s="29" t="n">
        <f aca="false">IF(AND(D1305="Feature Use",COUNTIFS($B$5:B1305,B1305,$D$5:D1305,"Feature Use")=1),1,0)</f>
        <v>0</v>
      </c>
    </row>
    <row r="1306" customFormat="false" ht="15" hidden="false" customHeight="false" outlineLevel="0" collapsed="false">
      <c r="A1306" s="22" t="s">
        <v>1613</v>
      </c>
      <c r="B1306" s="22" t="s">
        <v>220</v>
      </c>
      <c r="C1306" s="31" t="n">
        <v>46304</v>
      </c>
      <c r="D1306" s="22" t="s">
        <v>300</v>
      </c>
      <c r="E1306" s="22" t="s">
        <v>301</v>
      </c>
      <c r="F1306" s="29" t="str">
        <f aca="false">IF(COUNTIF(Referral_Data!$C$5:$C$1000,B1306)&gt;0,"Referred",IF(COUNTIF(Referral_Data!$B$5:$B$1000,B1306)&gt;0,"Referrer","Organic"))</f>
        <v>Referred</v>
      </c>
      <c r="G1306" s="29" t="n">
        <f aca="false">IF(COUNTIFS($B$5:B1306,B1306,$C$5:C1306,C1306)=1,1,0)</f>
        <v>0</v>
      </c>
      <c r="H1306" s="29" t="n">
        <f aca="false">IF(AND(G1306=1,COUNTIFS($B$5:$B$1635,B1306,$C$5:$C$1635,"&lt;"&amp;C1306)&gt;0),1,0)</f>
        <v>0</v>
      </c>
      <c r="I1306" s="29" t="n">
        <f aca="false">IF(AND(D1306="Feature Use",COUNTIFS($B$5:B1306,B1306,$D$5:D1306,"Feature Use",$E$5:E1306,E1306)=1),1,0)</f>
        <v>0</v>
      </c>
      <c r="J1306" s="29" t="n">
        <f aca="false">IF(AND(D1306="Feature Use",COUNTIFS($B$5:B1306,B1306,$D$5:D1306,"Feature Use",$E$5:E1306,E1306)=2),1,0)</f>
        <v>0</v>
      </c>
      <c r="K1306" s="29" t="n">
        <f aca="false">IF(COUNTIF($B$5:B1306,B1306)=1,1,0)</f>
        <v>0</v>
      </c>
      <c r="L1306" s="29" t="n">
        <f aca="false">IF(AND(C1306&gt;=Settings!$B$5-Settings!$B$8+1,C1306&lt;=Settings!$B$5,COUNTIFS($B$5:B1306,B1306,$C$5:C1306,"&gt;="&amp;(Settings!$B$5-Settings!$B$8+1),$C$5:C1306,"&lt;="&amp;Settings!$B$5)=1),1,0)</f>
        <v>0</v>
      </c>
      <c r="M1306" s="29" t="n">
        <f aca="false">IF(AND(C1306&gt;=Settings!$B$5-Settings!$B$9+1,C1306&lt;=Settings!$B$5,COUNTIFS($B$5:B1306,B1306,$C$5:C1306,"&gt;="&amp;(Settings!$B$5-Settings!$B$9+1),$C$5:C1306,"&lt;="&amp;Settings!$B$5)=1),1,0)</f>
        <v>0</v>
      </c>
      <c r="N1306" s="29" t="n">
        <f aca="false">IF(AND(D1306="Feature Use",COUNTIFS($B$5:B1306,B1306,$D$5:D1306,"Feature Use")=1),1,0)</f>
        <v>0</v>
      </c>
    </row>
    <row r="1307" customFormat="false" ht="15" hidden="false" customHeight="false" outlineLevel="0" collapsed="false">
      <c r="A1307" s="22" t="s">
        <v>1614</v>
      </c>
      <c r="B1307" s="22" t="s">
        <v>220</v>
      </c>
      <c r="C1307" s="31" t="n">
        <v>46304</v>
      </c>
      <c r="D1307" s="22" t="s">
        <v>300</v>
      </c>
      <c r="E1307" s="22" t="s">
        <v>305</v>
      </c>
      <c r="F1307" s="29" t="str">
        <f aca="false">IF(COUNTIF(Referral_Data!$C$5:$C$1000,B1307)&gt;0,"Referred",IF(COUNTIF(Referral_Data!$B$5:$B$1000,B1307)&gt;0,"Referrer","Organic"))</f>
        <v>Referred</v>
      </c>
      <c r="G1307" s="29" t="n">
        <f aca="false">IF(COUNTIFS($B$5:B1307,B1307,$C$5:C1307,C1307)=1,1,0)</f>
        <v>0</v>
      </c>
      <c r="H1307" s="29" t="n">
        <f aca="false">IF(AND(G1307=1,COUNTIFS($B$5:$B$1635,B1307,$C$5:$C$1635,"&lt;"&amp;C1307)&gt;0),1,0)</f>
        <v>0</v>
      </c>
      <c r="I1307" s="29" t="n">
        <f aca="false">IF(AND(D1307="Feature Use",COUNTIFS($B$5:B1307,B1307,$D$5:D1307,"Feature Use",$E$5:E1307,E1307)=1),1,0)</f>
        <v>0</v>
      </c>
      <c r="J1307" s="29" t="n">
        <f aca="false">IF(AND(D1307="Feature Use",COUNTIFS($B$5:B1307,B1307,$D$5:D1307,"Feature Use",$E$5:E1307,E1307)=2),1,0)</f>
        <v>0</v>
      </c>
      <c r="K1307" s="29" t="n">
        <f aca="false">IF(COUNTIF($B$5:B1307,B1307)=1,1,0)</f>
        <v>0</v>
      </c>
      <c r="L1307" s="29" t="n">
        <f aca="false">IF(AND(C1307&gt;=Settings!$B$5-Settings!$B$8+1,C1307&lt;=Settings!$B$5,COUNTIFS($B$5:B1307,B1307,$C$5:C1307,"&gt;="&amp;(Settings!$B$5-Settings!$B$8+1),$C$5:C1307,"&lt;="&amp;Settings!$B$5)=1),1,0)</f>
        <v>0</v>
      </c>
      <c r="M1307" s="29" t="n">
        <f aca="false">IF(AND(C1307&gt;=Settings!$B$5-Settings!$B$9+1,C1307&lt;=Settings!$B$5,COUNTIFS($B$5:B1307,B1307,$C$5:C1307,"&gt;="&amp;(Settings!$B$5-Settings!$B$9+1),$C$5:C1307,"&lt;="&amp;Settings!$B$5)=1),1,0)</f>
        <v>0</v>
      </c>
      <c r="N1307" s="29" t="n">
        <f aca="false">IF(AND(D1307="Feature Use",COUNTIFS($B$5:B1307,B1307,$D$5:D1307,"Feature Use")=1),1,0)</f>
        <v>0</v>
      </c>
    </row>
    <row r="1308" customFormat="false" ht="15" hidden="false" customHeight="false" outlineLevel="0" collapsed="false">
      <c r="A1308" s="22" t="s">
        <v>1615</v>
      </c>
      <c r="B1308" s="22" t="s">
        <v>230</v>
      </c>
      <c r="C1308" s="31" t="n">
        <v>46304</v>
      </c>
      <c r="D1308" s="22" t="s">
        <v>297</v>
      </c>
      <c r="E1308" s="22" t="s">
        <v>298</v>
      </c>
      <c r="F1308" s="29" t="str">
        <f aca="false">IF(COUNTIF(Referral_Data!$C$5:$C$1000,B1308)&gt;0,"Referred",IF(COUNTIF(Referral_Data!$B$5:$B$1000,B1308)&gt;0,"Referrer","Organic"))</f>
        <v>Referred</v>
      </c>
      <c r="G1308" s="29" t="n">
        <f aca="false">IF(COUNTIFS($B$5:B1308,B1308,$C$5:C1308,C1308)=1,1,0)</f>
        <v>1</v>
      </c>
      <c r="H1308" s="29" t="n">
        <f aca="false">IF(AND(G1308=1,COUNTIFS($B$5:$B$1635,B1308,$C$5:$C$1635,"&lt;"&amp;C1308)&gt;0),1,0)</f>
        <v>1</v>
      </c>
      <c r="I1308" s="29" t="n">
        <f aca="false">IF(AND(D1308="Feature Use",COUNTIFS($B$5:B1308,B1308,$D$5:D1308,"Feature Use",$E$5:E1308,E1308)=1),1,0)</f>
        <v>0</v>
      </c>
      <c r="J1308" s="29" t="n">
        <f aca="false">IF(AND(D1308="Feature Use",COUNTIFS($B$5:B1308,B1308,$D$5:D1308,"Feature Use",$E$5:E1308,E1308)=2),1,0)</f>
        <v>0</v>
      </c>
      <c r="K1308" s="29" t="n">
        <f aca="false">IF(COUNTIF($B$5:B1308,B1308)=1,1,0)</f>
        <v>0</v>
      </c>
      <c r="L1308" s="29" t="n">
        <f aca="false">IF(AND(C1308&gt;=Settings!$B$5-Settings!$B$8+1,C1308&lt;=Settings!$B$5,COUNTIFS($B$5:B1308,B1308,$C$5:C1308,"&gt;="&amp;(Settings!$B$5-Settings!$B$8+1),$C$5:C1308,"&lt;="&amp;Settings!$B$5)=1),1,0)</f>
        <v>1</v>
      </c>
      <c r="M1308" s="29" t="n">
        <f aca="false">IF(AND(C1308&gt;=Settings!$B$5-Settings!$B$9+1,C1308&lt;=Settings!$B$5,COUNTIFS($B$5:B1308,B1308,$C$5:C1308,"&gt;="&amp;(Settings!$B$5-Settings!$B$9+1),$C$5:C1308,"&lt;="&amp;Settings!$B$5)=1),1,0)</f>
        <v>0</v>
      </c>
      <c r="N1308" s="29" t="n">
        <f aca="false">IF(AND(D1308="Feature Use",COUNTIFS($B$5:B1308,B1308,$D$5:D1308,"Feature Use")=1),1,0)</f>
        <v>0</v>
      </c>
    </row>
    <row r="1309" customFormat="false" ht="15" hidden="false" customHeight="false" outlineLevel="0" collapsed="false">
      <c r="A1309" s="22" t="s">
        <v>1616</v>
      </c>
      <c r="B1309" s="22" t="s">
        <v>230</v>
      </c>
      <c r="C1309" s="31" t="n">
        <v>46304</v>
      </c>
      <c r="D1309" s="22" t="s">
        <v>300</v>
      </c>
      <c r="E1309" s="22" t="s">
        <v>305</v>
      </c>
      <c r="F1309" s="29" t="str">
        <f aca="false">IF(COUNTIF(Referral_Data!$C$5:$C$1000,B1309)&gt;0,"Referred",IF(COUNTIF(Referral_Data!$B$5:$B$1000,B1309)&gt;0,"Referrer","Organic"))</f>
        <v>Referred</v>
      </c>
      <c r="G1309" s="29" t="n">
        <f aca="false">IF(COUNTIFS($B$5:B1309,B1309,$C$5:C1309,C1309)=1,1,0)</f>
        <v>0</v>
      </c>
      <c r="H1309" s="29" t="n">
        <f aca="false">IF(AND(G1309=1,COUNTIFS($B$5:$B$1635,B1309,$C$5:$C$1635,"&lt;"&amp;C1309)&gt;0),1,0)</f>
        <v>0</v>
      </c>
      <c r="I1309" s="29" t="n">
        <f aca="false">IF(AND(D1309="Feature Use",COUNTIFS($B$5:B1309,B1309,$D$5:D1309,"Feature Use",$E$5:E1309,E1309)=1),1,0)</f>
        <v>0</v>
      </c>
      <c r="J1309" s="29" t="n">
        <f aca="false">IF(AND(D1309="Feature Use",COUNTIFS($B$5:B1309,B1309,$D$5:D1309,"Feature Use",$E$5:E1309,E1309)=2),1,0)</f>
        <v>0</v>
      </c>
      <c r="K1309" s="29" t="n">
        <f aca="false">IF(COUNTIF($B$5:B1309,B1309)=1,1,0)</f>
        <v>0</v>
      </c>
      <c r="L1309" s="29" t="n">
        <f aca="false">IF(AND(C1309&gt;=Settings!$B$5-Settings!$B$8+1,C1309&lt;=Settings!$B$5,COUNTIFS($B$5:B1309,B1309,$C$5:C1309,"&gt;="&amp;(Settings!$B$5-Settings!$B$8+1),$C$5:C1309,"&lt;="&amp;Settings!$B$5)=1),1,0)</f>
        <v>0</v>
      </c>
      <c r="M1309" s="29" t="n">
        <f aca="false">IF(AND(C1309&gt;=Settings!$B$5-Settings!$B$9+1,C1309&lt;=Settings!$B$5,COUNTIFS($B$5:B1309,B1309,$C$5:C1309,"&gt;="&amp;(Settings!$B$5-Settings!$B$9+1),$C$5:C1309,"&lt;="&amp;Settings!$B$5)=1),1,0)</f>
        <v>0</v>
      </c>
      <c r="N1309" s="29" t="n">
        <f aca="false">IF(AND(D1309="Feature Use",COUNTIFS($B$5:B1309,B1309,$D$5:D1309,"Feature Use")=1),1,0)</f>
        <v>0</v>
      </c>
    </row>
    <row r="1310" customFormat="false" ht="15" hidden="false" customHeight="false" outlineLevel="0" collapsed="false">
      <c r="A1310" s="22" t="s">
        <v>1617</v>
      </c>
      <c r="B1310" s="22" t="s">
        <v>234</v>
      </c>
      <c r="C1310" s="31" t="n">
        <v>46304</v>
      </c>
      <c r="D1310" s="22" t="s">
        <v>297</v>
      </c>
      <c r="E1310" s="22" t="s">
        <v>298</v>
      </c>
      <c r="F1310" s="29" t="str">
        <f aca="false">IF(COUNTIF(Referral_Data!$C$5:$C$1000,B1310)&gt;0,"Referred",IF(COUNTIF(Referral_Data!$B$5:$B$1000,B1310)&gt;0,"Referrer","Organic"))</f>
        <v>Referred</v>
      </c>
      <c r="G1310" s="29" t="n">
        <f aca="false">IF(COUNTIFS($B$5:B1310,B1310,$C$5:C1310,C1310)=1,1,0)</f>
        <v>1</v>
      </c>
      <c r="H1310" s="29" t="n">
        <f aca="false">IF(AND(G1310=1,COUNTIFS($B$5:$B$1635,B1310,$C$5:$C$1635,"&lt;"&amp;C1310)&gt;0),1,0)</f>
        <v>1</v>
      </c>
      <c r="I1310" s="29" t="n">
        <f aca="false">IF(AND(D1310="Feature Use",COUNTIFS($B$5:B1310,B1310,$D$5:D1310,"Feature Use",$E$5:E1310,E1310)=1),1,0)</f>
        <v>0</v>
      </c>
      <c r="J1310" s="29" t="n">
        <f aca="false">IF(AND(D1310="Feature Use",COUNTIFS($B$5:B1310,B1310,$D$5:D1310,"Feature Use",$E$5:E1310,E1310)=2),1,0)</f>
        <v>0</v>
      </c>
      <c r="K1310" s="29" t="n">
        <f aca="false">IF(COUNTIF($B$5:B1310,B1310)=1,1,0)</f>
        <v>0</v>
      </c>
      <c r="L1310" s="29" t="n">
        <f aca="false">IF(AND(C1310&gt;=Settings!$B$5-Settings!$B$8+1,C1310&lt;=Settings!$B$5,COUNTIFS($B$5:B1310,B1310,$C$5:C1310,"&gt;="&amp;(Settings!$B$5-Settings!$B$8+1),$C$5:C1310,"&lt;="&amp;Settings!$B$5)=1),1,0)</f>
        <v>1</v>
      </c>
      <c r="M1310" s="29" t="n">
        <f aca="false">IF(AND(C1310&gt;=Settings!$B$5-Settings!$B$9+1,C1310&lt;=Settings!$B$5,COUNTIFS($B$5:B1310,B1310,$C$5:C1310,"&gt;="&amp;(Settings!$B$5-Settings!$B$9+1),$C$5:C1310,"&lt;="&amp;Settings!$B$5)=1),1,0)</f>
        <v>0</v>
      </c>
      <c r="N1310" s="29" t="n">
        <f aca="false">IF(AND(D1310="Feature Use",COUNTIFS($B$5:B1310,B1310,$D$5:D1310,"Feature Use")=1),1,0)</f>
        <v>0</v>
      </c>
    </row>
    <row r="1311" customFormat="false" ht="15" hidden="false" customHeight="false" outlineLevel="0" collapsed="false">
      <c r="A1311" s="22" t="s">
        <v>1618</v>
      </c>
      <c r="B1311" s="22" t="s">
        <v>234</v>
      </c>
      <c r="C1311" s="31" t="n">
        <v>46304</v>
      </c>
      <c r="D1311" s="22" t="s">
        <v>300</v>
      </c>
      <c r="E1311" s="22" t="s">
        <v>301</v>
      </c>
      <c r="F1311" s="29" t="str">
        <f aca="false">IF(COUNTIF(Referral_Data!$C$5:$C$1000,B1311)&gt;0,"Referred",IF(COUNTIF(Referral_Data!$B$5:$B$1000,B1311)&gt;0,"Referrer","Organic"))</f>
        <v>Referred</v>
      </c>
      <c r="G1311" s="29" t="n">
        <f aca="false">IF(COUNTIFS($B$5:B1311,B1311,$C$5:C1311,C1311)=1,1,0)</f>
        <v>0</v>
      </c>
      <c r="H1311" s="29" t="n">
        <f aca="false">IF(AND(G1311=1,COUNTIFS($B$5:$B$1635,B1311,$C$5:$C$1635,"&lt;"&amp;C1311)&gt;0),1,0)</f>
        <v>0</v>
      </c>
      <c r="I1311" s="29" t="n">
        <f aca="false">IF(AND(D1311="Feature Use",COUNTIFS($B$5:B1311,B1311,$D$5:D1311,"Feature Use",$E$5:E1311,E1311)=1),1,0)</f>
        <v>0</v>
      </c>
      <c r="J1311" s="29" t="n">
        <f aca="false">IF(AND(D1311="Feature Use",COUNTIFS($B$5:B1311,B1311,$D$5:D1311,"Feature Use",$E$5:E1311,E1311)=2),1,0)</f>
        <v>0</v>
      </c>
      <c r="K1311" s="29" t="n">
        <f aca="false">IF(COUNTIF($B$5:B1311,B1311)=1,1,0)</f>
        <v>0</v>
      </c>
      <c r="L1311" s="29" t="n">
        <f aca="false">IF(AND(C1311&gt;=Settings!$B$5-Settings!$B$8+1,C1311&lt;=Settings!$B$5,COUNTIFS($B$5:B1311,B1311,$C$5:C1311,"&gt;="&amp;(Settings!$B$5-Settings!$B$8+1),$C$5:C1311,"&lt;="&amp;Settings!$B$5)=1),1,0)</f>
        <v>0</v>
      </c>
      <c r="M1311" s="29" t="n">
        <f aca="false">IF(AND(C1311&gt;=Settings!$B$5-Settings!$B$9+1,C1311&lt;=Settings!$B$5,COUNTIFS($B$5:B1311,B1311,$C$5:C1311,"&gt;="&amp;(Settings!$B$5-Settings!$B$9+1),$C$5:C1311,"&lt;="&amp;Settings!$B$5)=1),1,0)</f>
        <v>0</v>
      </c>
      <c r="N1311" s="29" t="n">
        <f aca="false">IF(AND(D1311="Feature Use",COUNTIFS($B$5:B1311,B1311,$D$5:D1311,"Feature Use")=1),1,0)</f>
        <v>0</v>
      </c>
    </row>
    <row r="1312" customFormat="false" ht="15" hidden="false" customHeight="false" outlineLevel="0" collapsed="false">
      <c r="A1312" s="22" t="s">
        <v>1619</v>
      </c>
      <c r="B1312" s="22" t="s">
        <v>234</v>
      </c>
      <c r="C1312" s="31" t="n">
        <v>46304</v>
      </c>
      <c r="D1312" s="22" t="s">
        <v>308</v>
      </c>
      <c r="E1312" s="22" t="s">
        <v>319</v>
      </c>
      <c r="F1312" s="29" t="str">
        <f aca="false">IF(COUNTIF(Referral_Data!$C$5:$C$1000,B1312)&gt;0,"Referred",IF(COUNTIF(Referral_Data!$B$5:$B$1000,B1312)&gt;0,"Referrer","Organic"))</f>
        <v>Referred</v>
      </c>
      <c r="G1312" s="29" t="n">
        <f aca="false">IF(COUNTIFS($B$5:B1312,B1312,$C$5:C1312,C1312)=1,1,0)</f>
        <v>0</v>
      </c>
      <c r="H1312" s="29" t="n">
        <f aca="false">IF(AND(G1312=1,COUNTIFS($B$5:$B$1635,B1312,$C$5:$C$1635,"&lt;"&amp;C1312)&gt;0),1,0)</f>
        <v>0</v>
      </c>
      <c r="I1312" s="29" t="n">
        <f aca="false">IF(AND(D1312="Feature Use",COUNTIFS($B$5:B1312,B1312,$D$5:D1312,"Feature Use",$E$5:E1312,E1312)=1),1,0)</f>
        <v>0</v>
      </c>
      <c r="J1312" s="29" t="n">
        <f aca="false">IF(AND(D1312="Feature Use",COUNTIFS($B$5:B1312,B1312,$D$5:D1312,"Feature Use",$E$5:E1312,E1312)=2),1,0)</f>
        <v>0</v>
      </c>
      <c r="K1312" s="29" t="n">
        <f aca="false">IF(COUNTIF($B$5:B1312,B1312)=1,1,0)</f>
        <v>0</v>
      </c>
      <c r="L1312" s="29" t="n">
        <f aca="false">IF(AND(C1312&gt;=Settings!$B$5-Settings!$B$8+1,C1312&lt;=Settings!$B$5,COUNTIFS($B$5:B1312,B1312,$C$5:C1312,"&gt;="&amp;(Settings!$B$5-Settings!$B$8+1),$C$5:C1312,"&lt;="&amp;Settings!$B$5)=1),1,0)</f>
        <v>0</v>
      </c>
      <c r="M1312" s="29" t="n">
        <f aca="false">IF(AND(C1312&gt;=Settings!$B$5-Settings!$B$9+1,C1312&lt;=Settings!$B$5,COUNTIFS($B$5:B1312,B1312,$C$5:C1312,"&gt;="&amp;(Settings!$B$5-Settings!$B$9+1),$C$5:C1312,"&lt;="&amp;Settings!$B$5)=1),1,0)</f>
        <v>0</v>
      </c>
      <c r="N1312" s="29" t="n">
        <f aca="false">IF(AND(D1312="Feature Use",COUNTIFS($B$5:B1312,B1312,$D$5:D1312,"Feature Use")=1),1,0)</f>
        <v>0</v>
      </c>
    </row>
    <row r="1313" customFormat="false" ht="15" hidden="false" customHeight="false" outlineLevel="0" collapsed="false">
      <c r="A1313" s="22" t="s">
        <v>1620</v>
      </c>
      <c r="B1313" s="22" t="s">
        <v>234</v>
      </c>
      <c r="C1313" s="31" t="n">
        <v>46304</v>
      </c>
      <c r="D1313" s="22" t="s">
        <v>308</v>
      </c>
      <c r="E1313" s="22" t="s">
        <v>309</v>
      </c>
      <c r="F1313" s="29" t="str">
        <f aca="false">IF(COUNTIF(Referral_Data!$C$5:$C$1000,B1313)&gt;0,"Referred",IF(COUNTIF(Referral_Data!$B$5:$B$1000,B1313)&gt;0,"Referrer","Organic"))</f>
        <v>Referred</v>
      </c>
      <c r="G1313" s="29" t="n">
        <f aca="false">IF(COUNTIFS($B$5:B1313,B1313,$C$5:C1313,C1313)=1,1,0)</f>
        <v>0</v>
      </c>
      <c r="H1313" s="29" t="n">
        <f aca="false">IF(AND(G1313=1,COUNTIFS($B$5:$B$1635,B1313,$C$5:$C$1635,"&lt;"&amp;C1313)&gt;0),1,0)</f>
        <v>0</v>
      </c>
      <c r="I1313" s="29" t="n">
        <f aca="false">IF(AND(D1313="Feature Use",COUNTIFS($B$5:B1313,B1313,$D$5:D1313,"Feature Use",$E$5:E1313,E1313)=1),1,0)</f>
        <v>0</v>
      </c>
      <c r="J1313" s="29" t="n">
        <f aca="false">IF(AND(D1313="Feature Use",COUNTIFS($B$5:B1313,B1313,$D$5:D1313,"Feature Use",$E$5:E1313,E1313)=2),1,0)</f>
        <v>0</v>
      </c>
      <c r="K1313" s="29" t="n">
        <f aca="false">IF(COUNTIF($B$5:B1313,B1313)=1,1,0)</f>
        <v>0</v>
      </c>
      <c r="L1313" s="29" t="n">
        <f aca="false">IF(AND(C1313&gt;=Settings!$B$5-Settings!$B$8+1,C1313&lt;=Settings!$B$5,COUNTIFS($B$5:B1313,B1313,$C$5:C1313,"&gt;="&amp;(Settings!$B$5-Settings!$B$8+1),$C$5:C1313,"&lt;="&amp;Settings!$B$5)=1),1,0)</f>
        <v>0</v>
      </c>
      <c r="M1313" s="29" t="n">
        <f aca="false">IF(AND(C1313&gt;=Settings!$B$5-Settings!$B$9+1,C1313&lt;=Settings!$B$5,COUNTIFS($B$5:B1313,B1313,$C$5:C1313,"&gt;="&amp;(Settings!$B$5-Settings!$B$9+1),$C$5:C1313,"&lt;="&amp;Settings!$B$5)=1),1,0)</f>
        <v>0</v>
      </c>
      <c r="N1313" s="29" t="n">
        <f aca="false">IF(AND(D1313="Feature Use",COUNTIFS($B$5:B1313,B1313,$D$5:D1313,"Feature Use")=1),1,0)</f>
        <v>0</v>
      </c>
    </row>
    <row r="1314" customFormat="false" ht="15" hidden="false" customHeight="false" outlineLevel="0" collapsed="false">
      <c r="A1314" s="22" t="s">
        <v>1621</v>
      </c>
      <c r="B1314" s="22" t="s">
        <v>237</v>
      </c>
      <c r="C1314" s="31" t="n">
        <v>46304</v>
      </c>
      <c r="D1314" s="22" t="s">
        <v>297</v>
      </c>
      <c r="E1314" s="22" t="s">
        <v>298</v>
      </c>
      <c r="F1314" s="29" t="str">
        <f aca="false">IF(COUNTIF(Referral_Data!$C$5:$C$1000,B1314)&gt;0,"Referred",IF(COUNTIF(Referral_Data!$B$5:$B$1000,B1314)&gt;0,"Referrer","Organic"))</f>
        <v>Referred</v>
      </c>
      <c r="G1314" s="29" t="n">
        <f aca="false">IF(COUNTIFS($B$5:B1314,B1314,$C$5:C1314,C1314)=1,1,0)</f>
        <v>1</v>
      </c>
      <c r="H1314" s="29" t="n">
        <f aca="false">IF(AND(G1314=1,COUNTIFS($B$5:$B$1635,B1314,$C$5:$C$1635,"&lt;"&amp;C1314)&gt;0),1,0)</f>
        <v>1</v>
      </c>
      <c r="I1314" s="29" t="n">
        <f aca="false">IF(AND(D1314="Feature Use",COUNTIFS($B$5:B1314,B1314,$D$5:D1314,"Feature Use",$E$5:E1314,E1314)=1),1,0)</f>
        <v>0</v>
      </c>
      <c r="J1314" s="29" t="n">
        <f aca="false">IF(AND(D1314="Feature Use",COUNTIFS($B$5:B1314,B1314,$D$5:D1314,"Feature Use",$E$5:E1314,E1314)=2),1,0)</f>
        <v>0</v>
      </c>
      <c r="K1314" s="29" t="n">
        <f aca="false">IF(COUNTIF($B$5:B1314,B1314)=1,1,0)</f>
        <v>0</v>
      </c>
      <c r="L1314" s="29" t="n">
        <f aca="false">IF(AND(C1314&gt;=Settings!$B$5-Settings!$B$8+1,C1314&lt;=Settings!$B$5,COUNTIFS($B$5:B1314,B1314,$C$5:C1314,"&gt;="&amp;(Settings!$B$5-Settings!$B$8+1),$C$5:C1314,"&lt;="&amp;Settings!$B$5)=1),1,0)</f>
        <v>1</v>
      </c>
      <c r="M1314" s="29" t="n">
        <f aca="false">IF(AND(C1314&gt;=Settings!$B$5-Settings!$B$9+1,C1314&lt;=Settings!$B$5,COUNTIFS($B$5:B1314,B1314,$C$5:C1314,"&gt;="&amp;(Settings!$B$5-Settings!$B$9+1),$C$5:C1314,"&lt;="&amp;Settings!$B$5)=1),1,0)</f>
        <v>0</v>
      </c>
      <c r="N1314" s="29" t="n">
        <f aca="false">IF(AND(D1314="Feature Use",COUNTIFS($B$5:B1314,B1314,$D$5:D1314,"Feature Use")=1),1,0)</f>
        <v>0</v>
      </c>
    </row>
    <row r="1315" customFormat="false" ht="15" hidden="false" customHeight="false" outlineLevel="0" collapsed="false">
      <c r="A1315" s="22" t="s">
        <v>1622</v>
      </c>
      <c r="B1315" s="22" t="s">
        <v>237</v>
      </c>
      <c r="C1315" s="31" t="n">
        <v>46304</v>
      </c>
      <c r="D1315" s="22" t="s">
        <v>300</v>
      </c>
      <c r="E1315" s="22" t="s">
        <v>309</v>
      </c>
      <c r="F1315" s="29" t="str">
        <f aca="false">IF(COUNTIF(Referral_Data!$C$5:$C$1000,B1315)&gt;0,"Referred",IF(COUNTIF(Referral_Data!$B$5:$B$1000,B1315)&gt;0,"Referrer","Organic"))</f>
        <v>Referred</v>
      </c>
      <c r="G1315" s="29" t="n">
        <f aca="false">IF(COUNTIFS($B$5:B1315,B1315,$C$5:C1315,C1315)=1,1,0)</f>
        <v>0</v>
      </c>
      <c r="H1315" s="29" t="n">
        <f aca="false">IF(AND(G1315=1,COUNTIFS($B$5:$B$1635,B1315,$C$5:$C$1635,"&lt;"&amp;C1315)&gt;0),1,0)</f>
        <v>0</v>
      </c>
      <c r="I1315" s="29" t="n">
        <f aca="false">IF(AND(D1315="Feature Use",COUNTIFS($B$5:B1315,B1315,$D$5:D1315,"Feature Use",$E$5:E1315,E1315)=1),1,0)</f>
        <v>0</v>
      </c>
      <c r="J1315" s="29" t="n">
        <f aca="false">IF(AND(D1315="Feature Use",COUNTIFS($B$5:B1315,B1315,$D$5:D1315,"Feature Use",$E$5:E1315,E1315)=2),1,0)</f>
        <v>1</v>
      </c>
      <c r="K1315" s="29" t="n">
        <f aca="false">IF(COUNTIF($B$5:B1315,B1315)=1,1,0)</f>
        <v>0</v>
      </c>
      <c r="L1315" s="29" t="n">
        <f aca="false">IF(AND(C1315&gt;=Settings!$B$5-Settings!$B$8+1,C1315&lt;=Settings!$B$5,COUNTIFS($B$5:B1315,B1315,$C$5:C1315,"&gt;="&amp;(Settings!$B$5-Settings!$B$8+1),$C$5:C1315,"&lt;="&amp;Settings!$B$5)=1),1,0)</f>
        <v>0</v>
      </c>
      <c r="M1315" s="29" t="n">
        <f aca="false">IF(AND(C1315&gt;=Settings!$B$5-Settings!$B$9+1,C1315&lt;=Settings!$B$5,COUNTIFS($B$5:B1315,B1315,$C$5:C1315,"&gt;="&amp;(Settings!$B$5-Settings!$B$9+1),$C$5:C1315,"&lt;="&amp;Settings!$B$5)=1),1,0)</f>
        <v>0</v>
      </c>
      <c r="N1315" s="29" t="n">
        <f aca="false">IF(AND(D1315="Feature Use",COUNTIFS($B$5:B1315,B1315,$D$5:D1315,"Feature Use")=1),1,0)</f>
        <v>0</v>
      </c>
    </row>
    <row r="1316" customFormat="false" ht="15" hidden="false" customHeight="false" outlineLevel="0" collapsed="false">
      <c r="A1316" s="22" t="s">
        <v>1623</v>
      </c>
      <c r="B1316" s="22" t="s">
        <v>237</v>
      </c>
      <c r="C1316" s="31" t="n">
        <v>46304</v>
      </c>
      <c r="D1316" s="22" t="s">
        <v>300</v>
      </c>
      <c r="E1316" s="22" t="s">
        <v>305</v>
      </c>
      <c r="F1316" s="29" t="str">
        <f aca="false">IF(COUNTIF(Referral_Data!$C$5:$C$1000,B1316)&gt;0,"Referred",IF(COUNTIF(Referral_Data!$B$5:$B$1000,B1316)&gt;0,"Referrer","Organic"))</f>
        <v>Referred</v>
      </c>
      <c r="G1316" s="29" t="n">
        <f aca="false">IF(COUNTIFS($B$5:B1316,B1316,$C$5:C1316,C1316)=1,1,0)</f>
        <v>0</v>
      </c>
      <c r="H1316" s="29" t="n">
        <f aca="false">IF(AND(G1316=1,COUNTIFS($B$5:$B$1635,B1316,$C$5:$C$1635,"&lt;"&amp;C1316)&gt;0),1,0)</f>
        <v>0</v>
      </c>
      <c r="I1316" s="29" t="n">
        <f aca="false">IF(AND(D1316="Feature Use",COUNTIFS($B$5:B1316,B1316,$D$5:D1316,"Feature Use",$E$5:E1316,E1316)=1),1,0)</f>
        <v>0</v>
      </c>
      <c r="J1316" s="29" t="n">
        <f aca="false">IF(AND(D1316="Feature Use",COUNTIFS($B$5:B1316,B1316,$D$5:D1316,"Feature Use",$E$5:E1316,E1316)=2),1,0)</f>
        <v>0</v>
      </c>
      <c r="K1316" s="29" t="n">
        <f aca="false">IF(COUNTIF($B$5:B1316,B1316)=1,1,0)</f>
        <v>0</v>
      </c>
      <c r="L1316" s="29" t="n">
        <f aca="false">IF(AND(C1316&gt;=Settings!$B$5-Settings!$B$8+1,C1316&lt;=Settings!$B$5,COUNTIFS($B$5:B1316,B1316,$C$5:C1316,"&gt;="&amp;(Settings!$B$5-Settings!$B$8+1),$C$5:C1316,"&lt;="&amp;Settings!$B$5)=1),1,0)</f>
        <v>0</v>
      </c>
      <c r="M1316" s="29" t="n">
        <f aca="false">IF(AND(C1316&gt;=Settings!$B$5-Settings!$B$9+1,C1316&lt;=Settings!$B$5,COUNTIFS($B$5:B1316,B1316,$C$5:C1316,"&gt;="&amp;(Settings!$B$5-Settings!$B$9+1),$C$5:C1316,"&lt;="&amp;Settings!$B$5)=1),1,0)</f>
        <v>0</v>
      </c>
      <c r="N1316" s="29" t="n">
        <f aca="false">IF(AND(D1316="Feature Use",COUNTIFS($B$5:B1316,B1316,$D$5:D1316,"Feature Use")=1),1,0)</f>
        <v>0</v>
      </c>
    </row>
    <row r="1317" customFormat="false" ht="15" hidden="false" customHeight="false" outlineLevel="0" collapsed="false">
      <c r="A1317" s="22" t="s">
        <v>1624</v>
      </c>
      <c r="B1317" s="22" t="s">
        <v>239</v>
      </c>
      <c r="C1317" s="31" t="n">
        <v>46304</v>
      </c>
      <c r="D1317" s="22" t="s">
        <v>297</v>
      </c>
      <c r="E1317" s="22" t="s">
        <v>298</v>
      </c>
      <c r="F1317" s="29" t="str">
        <f aca="false">IF(COUNTIF(Referral_Data!$C$5:$C$1000,B1317)&gt;0,"Referred",IF(COUNTIF(Referral_Data!$B$5:$B$1000,B1317)&gt;0,"Referrer","Organic"))</f>
        <v>Referred</v>
      </c>
      <c r="G1317" s="29" t="n">
        <f aca="false">IF(COUNTIFS($B$5:B1317,B1317,$C$5:C1317,C1317)=1,1,0)</f>
        <v>1</v>
      </c>
      <c r="H1317" s="29" t="n">
        <f aca="false">IF(AND(G1317=1,COUNTIFS($B$5:$B$1635,B1317,$C$5:$C$1635,"&lt;"&amp;C1317)&gt;0),1,0)</f>
        <v>1</v>
      </c>
      <c r="I1317" s="29" t="n">
        <f aca="false">IF(AND(D1317="Feature Use",COUNTIFS($B$5:B1317,B1317,$D$5:D1317,"Feature Use",$E$5:E1317,E1317)=1),1,0)</f>
        <v>0</v>
      </c>
      <c r="J1317" s="29" t="n">
        <f aca="false">IF(AND(D1317="Feature Use",COUNTIFS($B$5:B1317,B1317,$D$5:D1317,"Feature Use",$E$5:E1317,E1317)=2),1,0)</f>
        <v>0</v>
      </c>
      <c r="K1317" s="29" t="n">
        <f aca="false">IF(COUNTIF($B$5:B1317,B1317)=1,1,0)</f>
        <v>0</v>
      </c>
      <c r="L1317" s="29" t="n">
        <f aca="false">IF(AND(C1317&gt;=Settings!$B$5-Settings!$B$8+1,C1317&lt;=Settings!$B$5,COUNTIFS($B$5:B1317,B1317,$C$5:C1317,"&gt;="&amp;(Settings!$B$5-Settings!$B$8+1),$C$5:C1317,"&lt;="&amp;Settings!$B$5)=1),1,0)</f>
        <v>1</v>
      </c>
      <c r="M1317" s="29" t="n">
        <f aca="false">IF(AND(C1317&gt;=Settings!$B$5-Settings!$B$9+1,C1317&lt;=Settings!$B$5,COUNTIFS($B$5:B1317,B1317,$C$5:C1317,"&gt;="&amp;(Settings!$B$5-Settings!$B$9+1),$C$5:C1317,"&lt;="&amp;Settings!$B$5)=1),1,0)</f>
        <v>0</v>
      </c>
      <c r="N1317" s="29" t="n">
        <f aca="false">IF(AND(D1317="Feature Use",COUNTIFS($B$5:B1317,B1317,$D$5:D1317,"Feature Use")=1),1,0)</f>
        <v>0</v>
      </c>
    </row>
    <row r="1318" customFormat="false" ht="15" hidden="false" customHeight="false" outlineLevel="0" collapsed="false">
      <c r="A1318" s="22" t="s">
        <v>1625</v>
      </c>
      <c r="B1318" s="22" t="s">
        <v>239</v>
      </c>
      <c r="C1318" s="31" t="n">
        <v>46304</v>
      </c>
      <c r="D1318" s="22" t="s">
        <v>300</v>
      </c>
      <c r="E1318" s="22" t="s">
        <v>311</v>
      </c>
      <c r="F1318" s="29" t="str">
        <f aca="false">IF(COUNTIF(Referral_Data!$C$5:$C$1000,B1318)&gt;0,"Referred",IF(COUNTIF(Referral_Data!$B$5:$B$1000,B1318)&gt;0,"Referrer","Organic"))</f>
        <v>Referred</v>
      </c>
      <c r="G1318" s="29" t="n">
        <f aca="false">IF(COUNTIFS($B$5:B1318,B1318,$C$5:C1318,C1318)=1,1,0)</f>
        <v>0</v>
      </c>
      <c r="H1318" s="29" t="n">
        <f aca="false">IF(AND(G1318=1,COUNTIFS($B$5:$B$1635,B1318,$C$5:$C$1635,"&lt;"&amp;C1318)&gt;0),1,0)</f>
        <v>0</v>
      </c>
      <c r="I1318" s="29" t="n">
        <f aca="false">IF(AND(D1318="Feature Use",COUNTIFS($B$5:B1318,B1318,$D$5:D1318,"Feature Use",$E$5:E1318,E1318)=1),1,0)</f>
        <v>1</v>
      </c>
      <c r="J1318" s="29" t="n">
        <f aca="false">IF(AND(D1318="Feature Use",COUNTIFS($B$5:B1318,B1318,$D$5:D1318,"Feature Use",$E$5:E1318,E1318)=2),1,0)</f>
        <v>0</v>
      </c>
      <c r="K1318" s="29" t="n">
        <f aca="false">IF(COUNTIF($B$5:B1318,B1318)=1,1,0)</f>
        <v>0</v>
      </c>
      <c r="L1318" s="29" t="n">
        <f aca="false">IF(AND(C1318&gt;=Settings!$B$5-Settings!$B$8+1,C1318&lt;=Settings!$B$5,COUNTIFS($B$5:B1318,B1318,$C$5:C1318,"&gt;="&amp;(Settings!$B$5-Settings!$B$8+1),$C$5:C1318,"&lt;="&amp;Settings!$B$5)=1),1,0)</f>
        <v>0</v>
      </c>
      <c r="M1318" s="29" t="n">
        <f aca="false">IF(AND(C1318&gt;=Settings!$B$5-Settings!$B$9+1,C1318&lt;=Settings!$B$5,COUNTIFS($B$5:B1318,B1318,$C$5:C1318,"&gt;="&amp;(Settings!$B$5-Settings!$B$9+1),$C$5:C1318,"&lt;="&amp;Settings!$B$5)=1),1,0)</f>
        <v>0</v>
      </c>
      <c r="N1318" s="29" t="n">
        <f aca="false">IF(AND(D1318="Feature Use",COUNTIFS($B$5:B1318,B1318,$D$5:D1318,"Feature Use")=1),1,0)</f>
        <v>0</v>
      </c>
    </row>
    <row r="1319" customFormat="false" ht="15" hidden="false" customHeight="false" outlineLevel="0" collapsed="false">
      <c r="A1319" s="22" t="s">
        <v>1626</v>
      </c>
      <c r="B1319" s="22" t="s">
        <v>241</v>
      </c>
      <c r="C1319" s="31" t="n">
        <v>46304</v>
      </c>
      <c r="D1319" s="22" t="s">
        <v>297</v>
      </c>
      <c r="E1319" s="22" t="s">
        <v>298</v>
      </c>
      <c r="F1319" s="29" t="str">
        <f aca="false">IF(COUNTIF(Referral_Data!$C$5:$C$1000,B1319)&gt;0,"Referred",IF(COUNTIF(Referral_Data!$B$5:$B$1000,B1319)&gt;0,"Referrer","Organic"))</f>
        <v>Referred</v>
      </c>
      <c r="G1319" s="29" t="n">
        <f aca="false">IF(COUNTIFS($B$5:B1319,B1319,$C$5:C1319,C1319)=1,1,0)</f>
        <v>1</v>
      </c>
      <c r="H1319" s="29" t="n">
        <f aca="false">IF(AND(G1319=1,COUNTIFS($B$5:$B$1635,B1319,$C$5:$C$1635,"&lt;"&amp;C1319)&gt;0),1,0)</f>
        <v>1</v>
      </c>
      <c r="I1319" s="29" t="n">
        <f aca="false">IF(AND(D1319="Feature Use",COUNTIFS($B$5:B1319,B1319,$D$5:D1319,"Feature Use",$E$5:E1319,E1319)=1),1,0)</f>
        <v>0</v>
      </c>
      <c r="J1319" s="29" t="n">
        <f aca="false">IF(AND(D1319="Feature Use",COUNTIFS($B$5:B1319,B1319,$D$5:D1319,"Feature Use",$E$5:E1319,E1319)=2),1,0)</f>
        <v>0</v>
      </c>
      <c r="K1319" s="29" t="n">
        <f aca="false">IF(COUNTIF($B$5:B1319,B1319)=1,1,0)</f>
        <v>0</v>
      </c>
      <c r="L1319" s="29" t="n">
        <f aca="false">IF(AND(C1319&gt;=Settings!$B$5-Settings!$B$8+1,C1319&lt;=Settings!$B$5,COUNTIFS($B$5:B1319,B1319,$C$5:C1319,"&gt;="&amp;(Settings!$B$5-Settings!$B$8+1),$C$5:C1319,"&lt;="&amp;Settings!$B$5)=1),1,0)</f>
        <v>1</v>
      </c>
      <c r="M1319" s="29" t="n">
        <f aca="false">IF(AND(C1319&gt;=Settings!$B$5-Settings!$B$9+1,C1319&lt;=Settings!$B$5,COUNTIFS($B$5:B1319,B1319,$C$5:C1319,"&gt;="&amp;(Settings!$B$5-Settings!$B$9+1),$C$5:C1319,"&lt;="&amp;Settings!$B$5)=1),1,0)</f>
        <v>0</v>
      </c>
      <c r="N1319" s="29" t="n">
        <f aca="false">IF(AND(D1319="Feature Use",COUNTIFS($B$5:B1319,B1319,$D$5:D1319,"Feature Use")=1),1,0)</f>
        <v>0</v>
      </c>
    </row>
    <row r="1320" customFormat="false" ht="15" hidden="false" customHeight="false" outlineLevel="0" collapsed="false">
      <c r="A1320" s="22" t="s">
        <v>1627</v>
      </c>
      <c r="B1320" s="22" t="s">
        <v>241</v>
      </c>
      <c r="C1320" s="31" t="n">
        <v>46304</v>
      </c>
      <c r="D1320" s="22" t="s">
        <v>300</v>
      </c>
      <c r="E1320" s="22" t="s">
        <v>305</v>
      </c>
      <c r="F1320" s="29" t="str">
        <f aca="false">IF(COUNTIF(Referral_Data!$C$5:$C$1000,B1320)&gt;0,"Referred",IF(COUNTIF(Referral_Data!$B$5:$B$1000,B1320)&gt;0,"Referrer","Organic"))</f>
        <v>Referred</v>
      </c>
      <c r="G1320" s="29" t="n">
        <f aca="false">IF(COUNTIFS($B$5:B1320,B1320,$C$5:C1320,C1320)=1,1,0)</f>
        <v>0</v>
      </c>
      <c r="H1320" s="29" t="n">
        <f aca="false">IF(AND(G1320=1,COUNTIFS($B$5:$B$1635,B1320,$C$5:$C$1635,"&lt;"&amp;C1320)&gt;0),1,0)</f>
        <v>0</v>
      </c>
      <c r="I1320" s="29" t="n">
        <f aca="false">IF(AND(D1320="Feature Use",COUNTIFS($B$5:B1320,B1320,$D$5:D1320,"Feature Use",$E$5:E1320,E1320)=1),1,0)</f>
        <v>0</v>
      </c>
      <c r="J1320" s="29" t="n">
        <f aca="false">IF(AND(D1320="Feature Use",COUNTIFS($B$5:B1320,B1320,$D$5:D1320,"Feature Use",$E$5:E1320,E1320)=2),1,0)</f>
        <v>0</v>
      </c>
      <c r="K1320" s="29" t="n">
        <f aca="false">IF(COUNTIF($B$5:B1320,B1320)=1,1,0)</f>
        <v>0</v>
      </c>
      <c r="L1320" s="29" t="n">
        <f aca="false">IF(AND(C1320&gt;=Settings!$B$5-Settings!$B$8+1,C1320&lt;=Settings!$B$5,COUNTIFS($B$5:B1320,B1320,$C$5:C1320,"&gt;="&amp;(Settings!$B$5-Settings!$B$8+1),$C$5:C1320,"&lt;="&amp;Settings!$B$5)=1),1,0)</f>
        <v>0</v>
      </c>
      <c r="M1320" s="29" t="n">
        <f aca="false">IF(AND(C1320&gt;=Settings!$B$5-Settings!$B$9+1,C1320&lt;=Settings!$B$5,COUNTIFS($B$5:B1320,B1320,$C$5:C1320,"&gt;="&amp;(Settings!$B$5-Settings!$B$9+1),$C$5:C1320,"&lt;="&amp;Settings!$B$5)=1),1,0)</f>
        <v>0</v>
      </c>
      <c r="N1320" s="29" t="n">
        <f aca="false">IF(AND(D1320="Feature Use",COUNTIFS($B$5:B1320,B1320,$D$5:D1320,"Feature Use")=1),1,0)</f>
        <v>0</v>
      </c>
    </row>
    <row r="1321" customFormat="false" ht="15" hidden="false" customHeight="false" outlineLevel="0" collapsed="false">
      <c r="A1321" s="22" t="s">
        <v>1628</v>
      </c>
      <c r="B1321" s="22" t="s">
        <v>256</v>
      </c>
      <c r="C1321" s="31" t="n">
        <v>46304</v>
      </c>
      <c r="D1321" s="22" t="s">
        <v>297</v>
      </c>
      <c r="E1321" s="22" t="s">
        <v>298</v>
      </c>
      <c r="F1321" s="29" t="str">
        <f aca="false">IF(COUNTIF(Referral_Data!$C$5:$C$1000,B1321)&gt;0,"Referred",IF(COUNTIF(Referral_Data!$B$5:$B$1000,B1321)&gt;0,"Referrer","Organic"))</f>
        <v>Referred</v>
      </c>
      <c r="G1321" s="29" t="n">
        <f aca="false">IF(COUNTIFS($B$5:B1321,B1321,$C$5:C1321,C1321)=1,1,0)</f>
        <v>1</v>
      </c>
      <c r="H1321" s="29" t="n">
        <f aca="false">IF(AND(G1321=1,COUNTIFS($B$5:$B$1635,B1321,$C$5:$C$1635,"&lt;"&amp;C1321)&gt;0),1,0)</f>
        <v>0</v>
      </c>
      <c r="I1321" s="29" t="n">
        <f aca="false">IF(AND(D1321="Feature Use",COUNTIFS($B$5:B1321,B1321,$D$5:D1321,"Feature Use",$E$5:E1321,E1321)=1),1,0)</f>
        <v>0</v>
      </c>
      <c r="J1321" s="29" t="n">
        <f aca="false">IF(AND(D1321="Feature Use",COUNTIFS($B$5:B1321,B1321,$D$5:D1321,"Feature Use",$E$5:E1321,E1321)=2),1,0)</f>
        <v>0</v>
      </c>
      <c r="K1321" s="29" t="n">
        <f aca="false">IF(COUNTIF($B$5:B1321,B1321)=1,1,0)</f>
        <v>1</v>
      </c>
      <c r="L1321" s="29" t="n">
        <f aca="false">IF(AND(C1321&gt;=Settings!$B$5-Settings!$B$8+1,C1321&lt;=Settings!$B$5,COUNTIFS($B$5:B1321,B1321,$C$5:C1321,"&gt;="&amp;(Settings!$B$5-Settings!$B$8+1),$C$5:C1321,"&lt;="&amp;Settings!$B$5)=1),1,0)</f>
        <v>1</v>
      </c>
      <c r="M1321" s="29" t="n">
        <f aca="false">IF(AND(C1321&gt;=Settings!$B$5-Settings!$B$9+1,C1321&lt;=Settings!$B$5,COUNTIFS($B$5:B1321,B1321,$C$5:C1321,"&gt;="&amp;(Settings!$B$5-Settings!$B$9+1),$C$5:C1321,"&lt;="&amp;Settings!$B$5)=1),1,0)</f>
        <v>1</v>
      </c>
      <c r="N1321" s="29" t="n">
        <f aca="false">IF(AND(D1321="Feature Use",COUNTIFS($B$5:B1321,B1321,$D$5:D1321,"Feature Use")=1),1,0)</f>
        <v>0</v>
      </c>
    </row>
    <row r="1322" customFormat="false" ht="15" hidden="false" customHeight="false" outlineLevel="0" collapsed="false">
      <c r="A1322" s="22" t="s">
        <v>1629</v>
      </c>
      <c r="B1322" s="22" t="s">
        <v>256</v>
      </c>
      <c r="C1322" s="31" t="n">
        <v>46304</v>
      </c>
      <c r="D1322" s="22" t="s">
        <v>300</v>
      </c>
      <c r="E1322" s="22" t="s">
        <v>305</v>
      </c>
      <c r="F1322" s="29" t="str">
        <f aca="false">IF(COUNTIF(Referral_Data!$C$5:$C$1000,B1322)&gt;0,"Referred",IF(COUNTIF(Referral_Data!$B$5:$B$1000,B1322)&gt;0,"Referrer","Organic"))</f>
        <v>Referred</v>
      </c>
      <c r="G1322" s="29" t="n">
        <f aca="false">IF(COUNTIFS($B$5:B1322,B1322,$C$5:C1322,C1322)=1,1,0)</f>
        <v>0</v>
      </c>
      <c r="H1322" s="29" t="n">
        <f aca="false">IF(AND(G1322=1,COUNTIFS($B$5:$B$1635,B1322,$C$5:$C$1635,"&lt;"&amp;C1322)&gt;0),1,0)</f>
        <v>0</v>
      </c>
      <c r="I1322" s="29" t="n">
        <f aca="false">IF(AND(D1322="Feature Use",COUNTIFS($B$5:B1322,B1322,$D$5:D1322,"Feature Use",$E$5:E1322,E1322)=1),1,0)</f>
        <v>1</v>
      </c>
      <c r="J1322" s="29" t="n">
        <f aca="false">IF(AND(D1322="Feature Use",COUNTIFS($B$5:B1322,B1322,$D$5:D1322,"Feature Use",$E$5:E1322,E1322)=2),1,0)</f>
        <v>0</v>
      </c>
      <c r="K1322" s="29" t="n">
        <f aca="false">IF(COUNTIF($B$5:B1322,B1322)=1,1,0)</f>
        <v>0</v>
      </c>
      <c r="L1322" s="29" t="n">
        <f aca="false">IF(AND(C1322&gt;=Settings!$B$5-Settings!$B$8+1,C1322&lt;=Settings!$B$5,COUNTIFS($B$5:B1322,B1322,$C$5:C1322,"&gt;="&amp;(Settings!$B$5-Settings!$B$8+1),$C$5:C1322,"&lt;="&amp;Settings!$B$5)=1),1,0)</f>
        <v>0</v>
      </c>
      <c r="M1322" s="29" t="n">
        <f aca="false">IF(AND(C1322&gt;=Settings!$B$5-Settings!$B$9+1,C1322&lt;=Settings!$B$5,COUNTIFS($B$5:B1322,B1322,$C$5:C1322,"&gt;="&amp;(Settings!$B$5-Settings!$B$9+1),$C$5:C1322,"&lt;="&amp;Settings!$B$5)=1),1,0)</f>
        <v>0</v>
      </c>
      <c r="N1322" s="29" t="n">
        <f aca="false">IF(AND(D1322="Feature Use",COUNTIFS($B$5:B1322,B1322,$D$5:D1322,"Feature Use")=1),1,0)</f>
        <v>1</v>
      </c>
    </row>
    <row r="1323" customFormat="false" ht="15" hidden="false" customHeight="false" outlineLevel="0" collapsed="false">
      <c r="A1323" s="22" t="s">
        <v>1630</v>
      </c>
      <c r="B1323" s="22" t="s">
        <v>256</v>
      </c>
      <c r="C1323" s="31" t="n">
        <v>46304</v>
      </c>
      <c r="D1323" s="22" t="s">
        <v>300</v>
      </c>
      <c r="E1323" s="22" t="s">
        <v>301</v>
      </c>
      <c r="F1323" s="29" t="str">
        <f aca="false">IF(COUNTIF(Referral_Data!$C$5:$C$1000,B1323)&gt;0,"Referred",IF(COUNTIF(Referral_Data!$B$5:$B$1000,B1323)&gt;0,"Referrer","Organic"))</f>
        <v>Referred</v>
      </c>
      <c r="G1323" s="29" t="n">
        <f aca="false">IF(COUNTIFS($B$5:B1323,B1323,$C$5:C1323,C1323)=1,1,0)</f>
        <v>0</v>
      </c>
      <c r="H1323" s="29" t="n">
        <f aca="false">IF(AND(G1323=1,COUNTIFS($B$5:$B$1635,B1323,$C$5:$C$1635,"&lt;"&amp;C1323)&gt;0),1,0)</f>
        <v>0</v>
      </c>
      <c r="I1323" s="29" t="n">
        <f aca="false">IF(AND(D1323="Feature Use",COUNTIFS($B$5:B1323,B1323,$D$5:D1323,"Feature Use",$E$5:E1323,E1323)=1),1,0)</f>
        <v>1</v>
      </c>
      <c r="J1323" s="29" t="n">
        <f aca="false">IF(AND(D1323="Feature Use",COUNTIFS($B$5:B1323,B1323,$D$5:D1323,"Feature Use",$E$5:E1323,E1323)=2),1,0)</f>
        <v>0</v>
      </c>
      <c r="K1323" s="29" t="n">
        <f aca="false">IF(COUNTIF($B$5:B1323,B1323)=1,1,0)</f>
        <v>0</v>
      </c>
      <c r="L1323" s="29" t="n">
        <f aca="false">IF(AND(C1323&gt;=Settings!$B$5-Settings!$B$8+1,C1323&lt;=Settings!$B$5,COUNTIFS($B$5:B1323,B1323,$C$5:C1323,"&gt;="&amp;(Settings!$B$5-Settings!$B$8+1),$C$5:C1323,"&lt;="&amp;Settings!$B$5)=1),1,0)</f>
        <v>0</v>
      </c>
      <c r="M1323" s="29" t="n">
        <f aca="false">IF(AND(C1323&gt;=Settings!$B$5-Settings!$B$9+1,C1323&lt;=Settings!$B$5,COUNTIFS($B$5:B1323,B1323,$C$5:C1323,"&gt;="&amp;(Settings!$B$5-Settings!$B$9+1),$C$5:C1323,"&lt;="&amp;Settings!$B$5)=1),1,0)</f>
        <v>0</v>
      </c>
      <c r="N1323" s="29" t="n">
        <f aca="false">IF(AND(D1323="Feature Use",COUNTIFS($B$5:B1323,B1323,$D$5:D1323,"Feature Use")=1),1,0)</f>
        <v>0</v>
      </c>
    </row>
    <row r="1324" customFormat="false" ht="15" hidden="false" customHeight="false" outlineLevel="0" collapsed="false">
      <c r="A1324" s="22" t="s">
        <v>1631</v>
      </c>
      <c r="B1324" s="22" t="s">
        <v>265</v>
      </c>
      <c r="C1324" s="31" t="n">
        <v>46304</v>
      </c>
      <c r="D1324" s="22" t="s">
        <v>297</v>
      </c>
      <c r="E1324" s="22" t="s">
        <v>298</v>
      </c>
      <c r="F1324" s="29" t="str">
        <f aca="false">IF(COUNTIF(Referral_Data!$C$5:$C$1000,B1324)&gt;0,"Referred",IF(COUNTIF(Referral_Data!$B$5:$B$1000,B1324)&gt;0,"Referrer","Organic"))</f>
        <v>Referred</v>
      </c>
      <c r="G1324" s="29" t="n">
        <f aca="false">IF(COUNTIFS($B$5:B1324,B1324,$C$5:C1324,C1324)=1,1,0)</f>
        <v>1</v>
      </c>
      <c r="H1324" s="29" t="n">
        <f aca="false">IF(AND(G1324=1,COUNTIFS($B$5:$B$1635,B1324,$C$5:$C$1635,"&lt;"&amp;C1324)&gt;0),1,0)</f>
        <v>1</v>
      </c>
      <c r="I1324" s="29" t="n">
        <f aca="false">IF(AND(D1324="Feature Use",COUNTIFS($B$5:B1324,B1324,$D$5:D1324,"Feature Use",$E$5:E1324,E1324)=1),1,0)</f>
        <v>0</v>
      </c>
      <c r="J1324" s="29" t="n">
        <f aca="false">IF(AND(D1324="Feature Use",COUNTIFS($B$5:B1324,B1324,$D$5:D1324,"Feature Use",$E$5:E1324,E1324)=2),1,0)</f>
        <v>0</v>
      </c>
      <c r="K1324" s="29" t="n">
        <f aca="false">IF(COUNTIF($B$5:B1324,B1324)=1,1,0)</f>
        <v>0</v>
      </c>
      <c r="L1324" s="29" t="n">
        <f aca="false">IF(AND(C1324&gt;=Settings!$B$5-Settings!$B$8+1,C1324&lt;=Settings!$B$5,COUNTIFS($B$5:B1324,B1324,$C$5:C1324,"&gt;="&amp;(Settings!$B$5-Settings!$B$8+1),$C$5:C1324,"&lt;="&amp;Settings!$B$5)=1),1,0)</f>
        <v>1</v>
      </c>
      <c r="M1324" s="29" t="n">
        <f aca="false">IF(AND(C1324&gt;=Settings!$B$5-Settings!$B$9+1,C1324&lt;=Settings!$B$5,COUNTIFS($B$5:B1324,B1324,$C$5:C1324,"&gt;="&amp;(Settings!$B$5-Settings!$B$9+1),$C$5:C1324,"&lt;="&amp;Settings!$B$5)=1),1,0)</f>
        <v>0</v>
      </c>
      <c r="N1324" s="29" t="n">
        <f aca="false">IF(AND(D1324="Feature Use",COUNTIFS($B$5:B1324,B1324,$D$5:D1324,"Feature Use")=1),1,0)</f>
        <v>0</v>
      </c>
    </row>
    <row r="1325" customFormat="false" ht="15" hidden="false" customHeight="false" outlineLevel="0" collapsed="false">
      <c r="A1325" s="22" t="s">
        <v>1632</v>
      </c>
      <c r="B1325" s="22" t="s">
        <v>265</v>
      </c>
      <c r="C1325" s="31" t="n">
        <v>46304</v>
      </c>
      <c r="D1325" s="22" t="s">
        <v>300</v>
      </c>
      <c r="E1325" s="22" t="s">
        <v>309</v>
      </c>
      <c r="F1325" s="29" t="str">
        <f aca="false">IF(COUNTIF(Referral_Data!$C$5:$C$1000,B1325)&gt;0,"Referred",IF(COUNTIF(Referral_Data!$B$5:$B$1000,B1325)&gt;0,"Referrer","Organic"))</f>
        <v>Referred</v>
      </c>
      <c r="G1325" s="29" t="n">
        <f aca="false">IF(COUNTIFS($B$5:B1325,B1325,$C$5:C1325,C1325)=1,1,0)</f>
        <v>0</v>
      </c>
      <c r="H1325" s="29" t="n">
        <f aca="false">IF(AND(G1325=1,COUNTIFS($B$5:$B$1635,B1325,$C$5:$C$1635,"&lt;"&amp;C1325)&gt;0),1,0)</f>
        <v>0</v>
      </c>
      <c r="I1325" s="29" t="n">
        <f aca="false">IF(AND(D1325="Feature Use",COUNTIFS($B$5:B1325,B1325,$D$5:D1325,"Feature Use",$E$5:E1325,E1325)=1),1,0)</f>
        <v>1</v>
      </c>
      <c r="J1325" s="29" t="n">
        <f aca="false">IF(AND(D1325="Feature Use",COUNTIFS($B$5:B1325,B1325,$D$5:D1325,"Feature Use",$E$5:E1325,E1325)=2),1,0)</f>
        <v>0</v>
      </c>
      <c r="K1325" s="29" t="n">
        <f aca="false">IF(COUNTIF($B$5:B1325,B1325)=1,1,0)</f>
        <v>0</v>
      </c>
      <c r="L1325" s="29" t="n">
        <f aca="false">IF(AND(C1325&gt;=Settings!$B$5-Settings!$B$8+1,C1325&lt;=Settings!$B$5,COUNTIFS($B$5:B1325,B1325,$C$5:C1325,"&gt;="&amp;(Settings!$B$5-Settings!$B$8+1),$C$5:C1325,"&lt;="&amp;Settings!$B$5)=1),1,0)</f>
        <v>0</v>
      </c>
      <c r="M1325" s="29" t="n">
        <f aca="false">IF(AND(C1325&gt;=Settings!$B$5-Settings!$B$9+1,C1325&lt;=Settings!$B$5,COUNTIFS($B$5:B1325,B1325,$C$5:C1325,"&gt;="&amp;(Settings!$B$5-Settings!$B$9+1),$C$5:C1325,"&lt;="&amp;Settings!$B$5)=1),1,0)</f>
        <v>0</v>
      </c>
      <c r="N1325" s="29" t="n">
        <f aca="false">IF(AND(D1325="Feature Use",COUNTIFS($B$5:B1325,B1325,$D$5:D1325,"Feature Use")=1),1,0)</f>
        <v>0</v>
      </c>
    </row>
    <row r="1326" customFormat="false" ht="15" hidden="false" customHeight="false" outlineLevel="0" collapsed="false">
      <c r="A1326" s="22" t="s">
        <v>1633</v>
      </c>
      <c r="B1326" s="22" t="s">
        <v>265</v>
      </c>
      <c r="C1326" s="31" t="n">
        <v>46304</v>
      </c>
      <c r="D1326" s="22" t="s">
        <v>300</v>
      </c>
      <c r="E1326" s="22" t="s">
        <v>305</v>
      </c>
      <c r="F1326" s="29" t="str">
        <f aca="false">IF(COUNTIF(Referral_Data!$C$5:$C$1000,B1326)&gt;0,"Referred",IF(COUNTIF(Referral_Data!$B$5:$B$1000,B1326)&gt;0,"Referrer","Organic"))</f>
        <v>Referred</v>
      </c>
      <c r="G1326" s="29" t="n">
        <f aca="false">IF(COUNTIFS($B$5:B1326,B1326,$C$5:C1326,C1326)=1,1,0)</f>
        <v>0</v>
      </c>
      <c r="H1326" s="29" t="n">
        <f aca="false">IF(AND(G1326=1,COUNTIFS($B$5:$B$1635,B1326,$C$5:$C$1635,"&lt;"&amp;C1326)&gt;0),1,0)</f>
        <v>0</v>
      </c>
      <c r="I1326" s="29" t="n">
        <f aca="false">IF(AND(D1326="Feature Use",COUNTIFS($B$5:B1326,B1326,$D$5:D1326,"Feature Use",$E$5:E1326,E1326)=1),1,0)</f>
        <v>1</v>
      </c>
      <c r="J1326" s="29" t="n">
        <f aca="false">IF(AND(D1326="Feature Use",COUNTIFS($B$5:B1326,B1326,$D$5:D1326,"Feature Use",$E$5:E1326,E1326)=2),1,0)</f>
        <v>0</v>
      </c>
      <c r="K1326" s="29" t="n">
        <f aca="false">IF(COUNTIF($B$5:B1326,B1326)=1,1,0)</f>
        <v>0</v>
      </c>
      <c r="L1326" s="29" t="n">
        <f aca="false">IF(AND(C1326&gt;=Settings!$B$5-Settings!$B$8+1,C1326&lt;=Settings!$B$5,COUNTIFS($B$5:B1326,B1326,$C$5:C1326,"&gt;="&amp;(Settings!$B$5-Settings!$B$8+1),$C$5:C1326,"&lt;="&amp;Settings!$B$5)=1),1,0)</f>
        <v>0</v>
      </c>
      <c r="M1326" s="29" t="n">
        <f aca="false">IF(AND(C1326&gt;=Settings!$B$5-Settings!$B$9+1,C1326&lt;=Settings!$B$5,COUNTIFS($B$5:B1326,B1326,$C$5:C1326,"&gt;="&amp;(Settings!$B$5-Settings!$B$9+1),$C$5:C1326,"&lt;="&amp;Settings!$B$5)=1),1,0)</f>
        <v>0</v>
      </c>
      <c r="N1326" s="29" t="n">
        <f aca="false">IF(AND(D1326="Feature Use",COUNTIFS($B$5:B1326,B1326,$D$5:D1326,"Feature Use")=1),1,0)</f>
        <v>0</v>
      </c>
    </row>
    <row r="1327" customFormat="false" ht="15" hidden="false" customHeight="false" outlineLevel="0" collapsed="false">
      <c r="A1327" s="22" t="s">
        <v>1634</v>
      </c>
      <c r="B1327" s="22" t="s">
        <v>269</v>
      </c>
      <c r="C1327" s="31" t="n">
        <v>46304</v>
      </c>
      <c r="D1327" s="22" t="s">
        <v>297</v>
      </c>
      <c r="E1327" s="22" t="s">
        <v>298</v>
      </c>
      <c r="F1327" s="29" t="str">
        <f aca="false">IF(COUNTIF(Referral_Data!$C$5:$C$1000,B1327)&gt;0,"Referred",IF(COUNTIF(Referral_Data!$B$5:$B$1000,B1327)&gt;0,"Referrer","Organic"))</f>
        <v>Referred</v>
      </c>
      <c r="G1327" s="29" t="n">
        <f aca="false">IF(COUNTIFS($B$5:B1327,B1327,$C$5:C1327,C1327)=1,1,0)</f>
        <v>1</v>
      </c>
      <c r="H1327" s="29" t="n">
        <f aca="false">IF(AND(G1327=1,COUNTIFS($B$5:$B$1635,B1327,$C$5:$C$1635,"&lt;"&amp;C1327)&gt;0),1,0)</f>
        <v>1</v>
      </c>
      <c r="I1327" s="29" t="n">
        <f aca="false">IF(AND(D1327="Feature Use",COUNTIFS($B$5:B1327,B1327,$D$5:D1327,"Feature Use",$E$5:E1327,E1327)=1),1,0)</f>
        <v>0</v>
      </c>
      <c r="J1327" s="29" t="n">
        <f aca="false">IF(AND(D1327="Feature Use",COUNTIFS($B$5:B1327,B1327,$D$5:D1327,"Feature Use",$E$5:E1327,E1327)=2),1,0)</f>
        <v>0</v>
      </c>
      <c r="K1327" s="29" t="n">
        <f aca="false">IF(COUNTIF($B$5:B1327,B1327)=1,1,0)</f>
        <v>0</v>
      </c>
      <c r="L1327" s="29" t="n">
        <f aca="false">IF(AND(C1327&gt;=Settings!$B$5-Settings!$B$8+1,C1327&lt;=Settings!$B$5,COUNTIFS($B$5:B1327,B1327,$C$5:C1327,"&gt;="&amp;(Settings!$B$5-Settings!$B$8+1),$C$5:C1327,"&lt;="&amp;Settings!$B$5)=1),1,0)</f>
        <v>1</v>
      </c>
      <c r="M1327" s="29" t="n">
        <f aca="false">IF(AND(C1327&gt;=Settings!$B$5-Settings!$B$9+1,C1327&lt;=Settings!$B$5,COUNTIFS($B$5:B1327,B1327,$C$5:C1327,"&gt;="&amp;(Settings!$B$5-Settings!$B$9+1),$C$5:C1327,"&lt;="&amp;Settings!$B$5)=1),1,0)</f>
        <v>0</v>
      </c>
      <c r="N1327" s="29" t="n">
        <f aca="false">IF(AND(D1327="Feature Use",COUNTIFS($B$5:B1327,B1327,$D$5:D1327,"Feature Use")=1),1,0)</f>
        <v>0</v>
      </c>
    </row>
    <row r="1328" customFormat="false" ht="15" hidden="false" customHeight="false" outlineLevel="0" collapsed="false">
      <c r="A1328" s="22" t="s">
        <v>1635</v>
      </c>
      <c r="B1328" s="22" t="s">
        <v>269</v>
      </c>
      <c r="C1328" s="31" t="n">
        <v>46304</v>
      </c>
      <c r="D1328" s="22" t="s">
        <v>300</v>
      </c>
      <c r="E1328" s="22" t="s">
        <v>301</v>
      </c>
      <c r="F1328" s="29" t="str">
        <f aca="false">IF(COUNTIF(Referral_Data!$C$5:$C$1000,B1328)&gt;0,"Referred",IF(COUNTIF(Referral_Data!$B$5:$B$1000,B1328)&gt;0,"Referrer","Organic"))</f>
        <v>Referred</v>
      </c>
      <c r="G1328" s="29" t="n">
        <f aca="false">IF(COUNTIFS($B$5:B1328,B1328,$C$5:C1328,C1328)=1,1,0)</f>
        <v>0</v>
      </c>
      <c r="H1328" s="29" t="n">
        <f aca="false">IF(AND(G1328=1,COUNTIFS($B$5:$B$1635,B1328,$C$5:$C$1635,"&lt;"&amp;C1328)&gt;0),1,0)</f>
        <v>0</v>
      </c>
      <c r="I1328" s="29" t="n">
        <f aca="false">IF(AND(D1328="Feature Use",COUNTIFS($B$5:B1328,B1328,$D$5:D1328,"Feature Use",$E$5:E1328,E1328)=1),1,0)</f>
        <v>0</v>
      </c>
      <c r="J1328" s="29" t="n">
        <f aca="false">IF(AND(D1328="Feature Use",COUNTIFS($B$5:B1328,B1328,$D$5:D1328,"Feature Use",$E$5:E1328,E1328)=2),1,0)</f>
        <v>0</v>
      </c>
      <c r="K1328" s="29" t="n">
        <f aca="false">IF(COUNTIF($B$5:B1328,B1328)=1,1,0)</f>
        <v>0</v>
      </c>
      <c r="L1328" s="29" t="n">
        <f aca="false">IF(AND(C1328&gt;=Settings!$B$5-Settings!$B$8+1,C1328&lt;=Settings!$B$5,COUNTIFS($B$5:B1328,B1328,$C$5:C1328,"&gt;="&amp;(Settings!$B$5-Settings!$B$8+1),$C$5:C1328,"&lt;="&amp;Settings!$B$5)=1),1,0)</f>
        <v>0</v>
      </c>
      <c r="M1328" s="29" t="n">
        <f aca="false">IF(AND(C1328&gt;=Settings!$B$5-Settings!$B$9+1,C1328&lt;=Settings!$B$5,COUNTIFS($B$5:B1328,B1328,$C$5:C1328,"&gt;="&amp;(Settings!$B$5-Settings!$B$9+1),$C$5:C1328,"&lt;="&amp;Settings!$B$5)=1),1,0)</f>
        <v>0</v>
      </c>
      <c r="N1328" s="29" t="n">
        <f aca="false">IF(AND(D1328="Feature Use",COUNTIFS($B$5:B1328,B1328,$D$5:D1328,"Feature Use")=1),1,0)</f>
        <v>0</v>
      </c>
    </row>
    <row r="1329" customFormat="false" ht="15" hidden="false" customHeight="false" outlineLevel="0" collapsed="false">
      <c r="A1329" s="22" t="s">
        <v>1636</v>
      </c>
      <c r="B1329" s="22" t="s">
        <v>269</v>
      </c>
      <c r="C1329" s="31" t="n">
        <v>46304</v>
      </c>
      <c r="D1329" s="22" t="s">
        <v>300</v>
      </c>
      <c r="E1329" s="22" t="s">
        <v>319</v>
      </c>
      <c r="F1329" s="29" t="str">
        <f aca="false">IF(COUNTIF(Referral_Data!$C$5:$C$1000,B1329)&gt;0,"Referred",IF(COUNTIF(Referral_Data!$B$5:$B$1000,B1329)&gt;0,"Referrer","Organic"))</f>
        <v>Referred</v>
      </c>
      <c r="G1329" s="29" t="n">
        <f aca="false">IF(COUNTIFS($B$5:B1329,B1329,$C$5:C1329,C1329)=1,1,0)</f>
        <v>0</v>
      </c>
      <c r="H1329" s="29" t="n">
        <f aca="false">IF(AND(G1329=1,COUNTIFS($B$5:$B$1635,B1329,$C$5:$C$1635,"&lt;"&amp;C1329)&gt;0),1,0)</f>
        <v>0</v>
      </c>
      <c r="I1329" s="29" t="n">
        <f aca="false">IF(AND(D1329="Feature Use",COUNTIFS($B$5:B1329,B1329,$D$5:D1329,"Feature Use",$E$5:E1329,E1329)=1),1,0)</f>
        <v>0</v>
      </c>
      <c r="J1329" s="29" t="n">
        <f aca="false">IF(AND(D1329="Feature Use",COUNTIFS($B$5:B1329,B1329,$D$5:D1329,"Feature Use",$E$5:E1329,E1329)=2),1,0)</f>
        <v>0</v>
      </c>
      <c r="K1329" s="29" t="n">
        <f aca="false">IF(COUNTIF($B$5:B1329,B1329)=1,1,0)</f>
        <v>0</v>
      </c>
      <c r="L1329" s="29" t="n">
        <f aca="false">IF(AND(C1329&gt;=Settings!$B$5-Settings!$B$8+1,C1329&lt;=Settings!$B$5,COUNTIFS($B$5:B1329,B1329,$C$5:C1329,"&gt;="&amp;(Settings!$B$5-Settings!$B$8+1),$C$5:C1329,"&lt;="&amp;Settings!$B$5)=1),1,0)</f>
        <v>0</v>
      </c>
      <c r="M1329" s="29" t="n">
        <f aca="false">IF(AND(C1329&gt;=Settings!$B$5-Settings!$B$9+1,C1329&lt;=Settings!$B$5,COUNTIFS($B$5:B1329,B1329,$C$5:C1329,"&gt;="&amp;(Settings!$B$5-Settings!$B$9+1),$C$5:C1329,"&lt;="&amp;Settings!$B$5)=1),1,0)</f>
        <v>0</v>
      </c>
      <c r="N1329" s="29" t="n">
        <f aca="false">IF(AND(D1329="Feature Use",COUNTIFS($B$5:B1329,B1329,$D$5:D1329,"Feature Use")=1),1,0)</f>
        <v>0</v>
      </c>
    </row>
    <row r="1330" customFormat="false" ht="15" hidden="false" customHeight="false" outlineLevel="0" collapsed="false">
      <c r="A1330" s="22" t="s">
        <v>1637</v>
      </c>
      <c r="B1330" s="22" t="s">
        <v>167</v>
      </c>
      <c r="C1330" s="31" t="n">
        <v>46304</v>
      </c>
      <c r="D1330" s="22" t="s">
        <v>297</v>
      </c>
      <c r="E1330" s="22" t="s">
        <v>298</v>
      </c>
      <c r="F1330" s="29" t="str">
        <f aca="false">IF(COUNTIF(Referral_Data!$C$5:$C$1000,B1330)&gt;0,"Referred",IF(COUNTIF(Referral_Data!$B$5:$B$1000,B1330)&gt;0,"Referrer","Organic"))</f>
        <v>Referrer</v>
      </c>
      <c r="G1330" s="29" t="n">
        <f aca="false">IF(COUNTIFS($B$5:B1330,B1330,$C$5:C1330,C1330)=1,1,0)</f>
        <v>1</v>
      </c>
      <c r="H1330" s="29" t="n">
        <f aca="false">IF(AND(G1330=1,COUNTIFS($B$5:$B$1635,B1330,$C$5:$C$1635,"&lt;"&amp;C1330)&gt;0),1,0)</f>
        <v>1</v>
      </c>
      <c r="I1330" s="29" t="n">
        <f aca="false">IF(AND(D1330="Feature Use",COUNTIFS($B$5:B1330,B1330,$D$5:D1330,"Feature Use",$E$5:E1330,E1330)=1),1,0)</f>
        <v>0</v>
      </c>
      <c r="J1330" s="29" t="n">
        <f aca="false">IF(AND(D1330="Feature Use",COUNTIFS($B$5:B1330,B1330,$D$5:D1330,"Feature Use",$E$5:E1330,E1330)=2),1,0)</f>
        <v>0</v>
      </c>
      <c r="K1330" s="29" t="n">
        <f aca="false">IF(COUNTIF($B$5:B1330,B1330)=1,1,0)</f>
        <v>0</v>
      </c>
      <c r="L1330" s="29" t="n">
        <f aca="false">IF(AND(C1330&gt;=Settings!$B$5-Settings!$B$8+1,C1330&lt;=Settings!$B$5,COUNTIFS($B$5:B1330,B1330,$C$5:C1330,"&gt;="&amp;(Settings!$B$5-Settings!$B$8+1),$C$5:C1330,"&lt;="&amp;Settings!$B$5)=1),1,0)</f>
        <v>1</v>
      </c>
      <c r="M1330" s="29" t="n">
        <f aca="false">IF(AND(C1330&gt;=Settings!$B$5-Settings!$B$9+1,C1330&lt;=Settings!$B$5,COUNTIFS($B$5:B1330,B1330,$C$5:C1330,"&gt;="&amp;(Settings!$B$5-Settings!$B$9+1),$C$5:C1330,"&lt;="&amp;Settings!$B$5)=1),1,0)</f>
        <v>0</v>
      </c>
      <c r="N1330" s="29" t="n">
        <f aca="false">IF(AND(D1330="Feature Use",COUNTIFS($B$5:B1330,B1330,$D$5:D1330,"Feature Use")=1),1,0)</f>
        <v>0</v>
      </c>
    </row>
    <row r="1331" customFormat="false" ht="15" hidden="false" customHeight="false" outlineLevel="0" collapsed="false">
      <c r="A1331" s="22" t="s">
        <v>1638</v>
      </c>
      <c r="B1331" s="22" t="s">
        <v>167</v>
      </c>
      <c r="C1331" s="31" t="n">
        <v>46304</v>
      </c>
      <c r="D1331" s="22" t="s">
        <v>300</v>
      </c>
      <c r="E1331" s="22" t="s">
        <v>305</v>
      </c>
      <c r="F1331" s="29" t="str">
        <f aca="false">IF(COUNTIF(Referral_Data!$C$5:$C$1000,B1331)&gt;0,"Referred",IF(COUNTIF(Referral_Data!$B$5:$B$1000,B1331)&gt;0,"Referrer","Organic"))</f>
        <v>Referrer</v>
      </c>
      <c r="G1331" s="29" t="n">
        <f aca="false">IF(COUNTIFS($B$5:B1331,B1331,$C$5:C1331,C1331)=1,1,0)</f>
        <v>0</v>
      </c>
      <c r="H1331" s="29" t="n">
        <f aca="false">IF(AND(G1331=1,COUNTIFS($B$5:$B$1635,B1331,$C$5:$C$1635,"&lt;"&amp;C1331)&gt;0),1,0)</f>
        <v>0</v>
      </c>
      <c r="I1331" s="29" t="n">
        <f aca="false">IF(AND(D1331="Feature Use",COUNTIFS($B$5:B1331,B1331,$D$5:D1331,"Feature Use",$E$5:E1331,E1331)=1),1,0)</f>
        <v>0</v>
      </c>
      <c r="J1331" s="29" t="n">
        <f aca="false">IF(AND(D1331="Feature Use",COUNTIFS($B$5:B1331,B1331,$D$5:D1331,"Feature Use",$E$5:E1331,E1331)=2),1,0)</f>
        <v>0</v>
      </c>
      <c r="K1331" s="29" t="n">
        <f aca="false">IF(COUNTIF($B$5:B1331,B1331)=1,1,0)</f>
        <v>0</v>
      </c>
      <c r="L1331" s="29" t="n">
        <f aca="false">IF(AND(C1331&gt;=Settings!$B$5-Settings!$B$8+1,C1331&lt;=Settings!$B$5,COUNTIFS($B$5:B1331,B1331,$C$5:C1331,"&gt;="&amp;(Settings!$B$5-Settings!$B$8+1),$C$5:C1331,"&lt;="&amp;Settings!$B$5)=1),1,0)</f>
        <v>0</v>
      </c>
      <c r="M1331" s="29" t="n">
        <f aca="false">IF(AND(C1331&gt;=Settings!$B$5-Settings!$B$9+1,C1331&lt;=Settings!$B$5,COUNTIFS($B$5:B1331,B1331,$C$5:C1331,"&gt;="&amp;(Settings!$B$5-Settings!$B$9+1),$C$5:C1331,"&lt;="&amp;Settings!$B$5)=1),1,0)</f>
        <v>0</v>
      </c>
      <c r="N1331" s="29" t="n">
        <f aca="false">IF(AND(D1331="Feature Use",COUNTIFS($B$5:B1331,B1331,$D$5:D1331,"Feature Use")=1),1,0)</f>
        <v>0</v>
      </c>
    </row>
    <row r="1332" customFormat="false" ht="15" hidden="false" customHeight="false" outlineLevel="0" collapsed="false">
      <c r="A1332" s="22" t="s">
        <v>1639</v>
      </c>
      <c r="B1332" s="22" t="s">
        <v>167</v>
      </c>
      <c r="C1332" s="31" t="n">
        <v>46304</v>
      </c>
      <c r="D1332" s="22" t="s">
        <v>300</v>
      </c>
      <c r="E1332" s="22" t="s">
        <v>311</v>
      </c>
      <c r="F1332" s="29" t="str">
        <f aca="false">IF(COUNTIF(Referral_Data!$C$5:$C$1000,B1332)&gt;0,"Referred",IF(COUNTIF(Referral_Data!$B$5:$B$1000,B1332)&gt;0,"Referrer","Organic"))</f>
        <v>Referrer</v>
      </c>
      <c r="G1332" s="29" t="n">
        <f aca="false">IF(COUNTIFS($B$5:B1332,B1332,$C$5:C1332,C1332)=1,1,0)</f>
        <v>0</v>
      </c>
      <c r="H1332" s="29" t="n">
        <f aca="false">IF(AND(G1332=1,COUNTIFS($B$5:$B$1635,B1332,$C$5:$C$1635,"&lt;"&amp;C1332)&gt;0),1,0)</f>
        <v>0</v>
      </c>
      <c r="I1332" s="29" t="n">
        <f aca="false">IF(AND(D1332="Feature Use",COUNTIFS($B$5:B1332,B1332,$D$5:D1332,"Feature Use",$E$5:E1332,E1332)=1),1,0)</f>
        <v>0</v>
      </c>
      <c r="J1332" s="29" t="n">
        <f aca="false">IF(AND(D1332="Feature Use",COUNTIFS($B$5:B1332,B1332,$D$5:D1332,"Feature Use",$E$5:E1332,E1332)=2),1,0)</f>
        <v>0</v>
      </c>
      <c r="K1332" s="29" t="n">
        <f aca="false">IF(COUNTIF($B$5:B1332,B1332)=1,1,0)</f>
        <v>0</v>
      </c>
      <c r="L1332" s="29" t="n">
        <f aca="false">IF(AND(C1332&gt;=Settings!$B$5-Settings!$B$8+1,C1332&lt;=Settings!$B$5,COUNTIFS($B$5:B1332,B1332,$C$5:C1332,"&gt;="&amp;(Settings!$B$5-Settings!$B$8+1),$C$5:C1332,"&lt;="&amp;Settings!$B$5)=1),1,0)</f>
        <v>0</v>
      </c>
      <c r="M1332" s="29" t="n">
        <f aca="false">IF(AND(C1332&gt;=Settings!$B$5-Settings!$B$9+1,C1332&lt;=Settings!$B$5,COUNTIFS($B$5:B1332,B1332,$C$5:C1332,"&gt;="&amp;(Settings!$B$5-Settings!$B$9+1),$C$5:C1332,"&lt;="&amp;Settings!$B$5)=1),1,0)</f>
        <v>0</v>
      </c>
      <c r="N1332" s="29" t="n">
        <f aca="false">IF(AND(D1332="Feature Use",COUNTIFS($B$5:B1332,B1332,$D$5:D1332,"Feature Use")=1),1,0)</f>
        <v>0</v>
      </c>
    </row>
    <row r="1333" customFormat="false" ht="15" hidden="false" customHeight="false" outlineLevel="0" collapsed="false">
      <c r="A1333" s="22" t="s">
        <v>1640</v>
      </c>
      <c r="B1333" s="22" t="s">
        <v>173</v>
      </c>
      <c r="C1333" s="31" t="n">
        <v>46304</v>
      </c>
      <c r="D1333" s="22" t="s">
        <v>297</v>
      </c>
      <c r="E1333" s="22" t="s">
        <v>298</v>
      </c>
      <c r="F1333" s="29" t="str">
        <f aca="false">IF(COUNTIF(Referral_Data!$C$5:$C$1000,B1333)&gt;0,"Referred",IF(COUNTIF(Referral_Data!$B$5:$B$1000,B1333)&gt;0,"Referrer","Organic"))</f>
        <v>Referrer</v>
      </c>
      <c r="G1333" s="29" t="n">
        <f aca="false">IF(COUNTIFS($B$5:B1333,B1333,$C$5:C1333,C1333)=1,1,0)</f>
        <v>1</v>
      </c>
      <c r="H1333" s="29" t="n">
        <f aca="false">IF(AND(G1333=1,COUNTIFS($B$5:$B$1635,B1333,$C$5:$C$1635,"&lt;"&amp;C1333)&gt;0),1,0)</f>
        <v>1</v>
      </c>
      <c r="I1333" s="29" t="n">
        <f aca="false">IF(AND(D1333="Feature Use",COUNTIFS($B$5:B1333,B1333,$D$5:D1333,"Feature Use",$E$5:E1333,E1333)=1),1,0)</f>
        <v>0</v>
      </c>
      <c r="J1333" s="29" t="n">
        <f aca="false">IF(AND(D1333="Feature Use",COUNTIFS($B$5:B1333,B1333,$D$5:D1333,"Feature Use",$E$5:E1333,E1333)=2),1,0)</f>
        <v>0</v>
      </c>
      <c r="K1333" s="29" t="n">
        <f aca="false">IF(COUNTIF($B$5:B1333,B1333)=1,1,0)</f>
        <v>0</v>
      </c>
      <c r="L1333" s="29" t="n">
        <f aca="false">IF(AND(C1333&gt;=Settings!$B$5-Settings!$B$8+1,C1333&lt;=Settings!$B$5,COUNTIFS($B$5:B1333,B1333,$C$5:C1333,"&gt;="&amp;(Settings!$B$5-Settings!$B$8+1),$C$5:C1333,"&lt;="&amp;Settings!$B$5)=1),1,0)</f>
        <v>1</v>
      </c>
      <c r="M1333" s="29" t="n">
        <f aca="false">IF(AND(C1333&gt;=Settings!$B$5-Settings!$B$9+1,C1333&lt;=Settings!$B$5,COUNTIFS($B$5:B1333,B1333,$C$5:C1333,"&gt;="&amp;(Settings!$B$5-Settings!$B$9+1),$C$5:C1333,"&lt;="&amp;Settings!$B$5)=1),1,0)</f>
        <v>0</v>
      </c>
      <c r="N1333" s="29" t="n">
        <f aca="false">IF(AND(D1333="Feature Use",COUNTIFS($B$5:B1333,B1333,$D$5:D1333,"Feature Use")=1),1,0)</f>
        <v>0</v>
      </c>
    </row>
    <row r="1334" customFormat="false" ht="15" hidden="false" customHeight="false" outlineLevel="0" collapsed="false">
      <c r="A1334" s="22" t="s">
        <v>1641</v>
      </c>
      <c r="B1334" s="22" t="s">
        <v>173</v>
      </c>
      <c r="C1334" s="31" t="n">
        <v>46304</v>
      </c>
      <c r="D1334" s="22" t="s">
        <v>300</v>
      </c>
      <c r="E1334" s="22" t="s">
        <v>305</v>
      </c>
      <c r="F1334" s="29" t="str">
        <f aca="false">IF(COUNTIF(Referral_Data!$C$5:$C$1000,B1334)&gt;0,"Referred",IF(COUNTIF(Referral_Data!$B$5:$B$1000,B1334)&gt;0,"Referrer","Organic"))</f>
        <v>Referrer</v>
      </c>
      <c r="G1334" s="29" t="n">
        <f aca="false">IF(COUNTIFS($B$5:B1334,B1334,$C$5:C1334,C1334)=1,1,0)</f>
        <v>0</v>
      </c>
      <c r="H1334" s="29" t="n">
        <f aca="false">IF(AND(G1334=1,COUNTIFS($B$5:$B$1635,B1334,$C$5:$C$1635,"&lt;"&amp;C1334)&gt;0),1,0)</f>
        <v>0</v>
      </c>
      <c r="I1334" s="29" t="n">
        <f aca="false">IF(AND(D1334="Feature Use",COUNTIFS($B$5:B1334,B1334,$D$5:D1334,"Feature Use",$E$5:E1334,E1334)=1),1,0)</f>
        <v>0</v>
      </c>
      <c r="J1334" s="29" t="n">
        <f aca="false">IF(AND(D1334="Feature Use",COUNTIFS($B$5:B1334,B1334,$D$5:D1334,"Feature Use",$E$5:E1334,E1334)=2),1,0)</f>
        <v>0</v>
      </c>
      <c r="K1334" s="29" t="n">
        <f aca="false">IF(COUNTIF($B$5:B1334,B1334)=1,1,0)</f>
        <v>0</v>
      </c>
      <c r="L1334" s="29" t="n">
        <f aca="false">IF(AND(C1334&gt;=Settings!$B$5-Settings!$B$8+1,C1334&lt;=Settings!$B$5,COUNTIFS($B$5:B1334,B1334,$C$5:C1334,"&gt;="&amp;(Settings!$B$5-Settings!$B$8+1),$C$5:C1334,"&lt;="&amp;Settings!$B$5)=1),1,0)</f>
        <v>0</v>
      </c>
      <c r="M1334" s="29" t="n">
        <f aca="false">IF(AND(C1334&gt;=Settings!$B$5-Settings!$B$9+1,C1334&lt;=Settings!$B$5,COUNTIFS($B$5:B1334,B1334,$C$5:C1334,"&gt;="&amp;(Settings!$B$5-Settings!$B$9+1),$C$5:C1334,"&lt;="&amp;Settings!$B$5)=1),1,0)</f>
        <v>0</v>
      </c>
      <c r="N1334" s="29" t="n">
        <f aca="false">IF(AND(D1334="Feature Use",COUNTIFS($B$5:B1334,B1334,$D$5:D1334,"Feature Use")=1),1,0)</f>
        <v>0</v>
      </c>
    </row>
    <row r="1335" customFormat="false" ht="15" hidden="false" customHeight="false" outlineLevel="0" collapsed="false">
      <c r="A1335" s="22" t="s">
        <v>1642</v>
      </c>
      <c r="B1335" s="22" t="s">
        <v>173</v>
      </c>
      <c r="C1335" s="31" t="n">
        <v>46304</v>
      </c>
      <c r="D1335" s="22" t="s">
        <v>300</v>
      </c>
      <c r="E1335" s="22" t="s">
        <v>305</v>
      </c>
      <c r="F1335" s="29" t="str">
        <f aca="false">IF(COUNTIF(Referral_Data!$C$5:$C$1000,B1335)&gt;0,"Referred",IF(COUNTIF(Referral_Data!$B$5:$B$1000,B1335)&gt;0,"Referrer","Organic"))</f>
        <v>Referrer</v>
      </c>
      <c r="G1335" s="29" t="n">
        <f aca="false">IF(COUNTIFS($B$5:B1335,B1335,$C$5:C1335,C1335)=1,1,0)</f>
        <v>0</v>
      </c>
      <c r="H1335" s="29" t="n">
        <f aca="false">IF(AND(G1335=1,COUNTIFS($B$5:$B$1635,B1335,$C$5:$C$1635,"&lt;"&amp;C1335)&gt;0),1,0)</f>
        <v>0</v>
      </c>
      <c r="I1335" s="29" t="n">
        <f aca="false">IF(AND(D1335="Feature Use",COUNTIFS($B$5:B1335,B1335,$D$5:D1335,"Feature Use",$E$5:E1335,E1335)=1),1,0)</f>
        <v>0</v>
      </c>
      <c r="J1335" s="29" t="n">
        <f aca="false">IF(AND(D1335="Feature Use",COUNTIFS($B$5:B1335,B1335,$D$5:D1335,"Feature Use",$E$5:E1335,E1335)=2),1,0)</f>
        <v>0</v>
      </c>
      <c r="K1335" s="29" t="n">
        <f aca="false">IF(COUNTIF($B$5:B1335,B1335)=1,1,0)</f>
        <v>0</v>
      </c>
      <c r="L1335" s="29" t="n">
        <f aca="false">IF(AND(C1335&gt;=Settings!$B$5-Settings!$B$8+1,C1335&lt;=Settings!$B$5,COUNTIFS($B$5:B1335,B1335,$C$5:C1335,"&gt;="&amp;(Settings!$B$5-Settings!$B$8+1),$C$5:C1335,"&lt;="&amp;Settings!$B$5)=1),1,0)</f>
        <v>0</v>
      </c>
      <c r="M1335" s="29" t="n">
        <f aca="false">IF(AND(C1335&gt;=Settings!$B$5-Settings!$B$9+1,C1335&lt;=Settings!$B$5,COUNTIFS($B$5:B1335,B1335,$C$5:C1335,"&gt;="&amp;(Settings!$B$5-Settings!$B$9+1),$C$5:C1335,"&lt;="&amp;Settings!$B$5)=1),1,0)</f>
        <v>0</v>
      </c>
      <c r="N1335" s="29" t="n">
        <f aca="false">IF(AND(D1335="Feature Use",COUNTIFS($B$5:B1335,B1335,$D$5:D1335,"Feature Use")=1),1,0)</f>
        <v>0</v>
      </c>
    </row>
    <row r="1336" customFormat="false" ht="15" hidden="false" customHeight="false" outlineLevel="0" collapsed="false">
      <c r="A1336" s="22" t="s">
        <v>1643</v>
      </c>
      <c r="B1336" s="22" t="s">
        <v>178</v>
      </c>
      <c r="C1336" s="31" t="n">
        <v>46304</v>
      </c>
      <c r="D1336" s="22" t="s">
        <v>297</v>
      </c>
      <c r="E1336" s="22" t="s">
        <v>298</v>
      </c>
      <c r="F1336" s="29" t="str">
        <f aca="false">IF(COUNTIF(Referral_Data!$C$5:$C$1000,B1336)&gt;0,"Referred",IF(COUNTIF(Referral_Data!$B$5:$B$1000,B1336)&gt;0,"Referrer","Organic"))</f>
        <v>Referrer</v>
      </c>
      <c r="G1336" s="29" t="n">
        <f aca="false">IF(COUNTIFS($B$5:B1336,B1336,$C$5:C1336,C1336)=1,1,0)</f>
        <v>1</v>
      </c>
      <c r="H1336" s="29" t="n">
        <f aca="false">IF(AND(G1336=1,COUNTIFS($B$5:$B$1635,B1336,$C$5:$C$1635,"&lt;"&amp;C1336)&gt;0),1,0)</f>
        <v>1</v>
      </c>
      <c r="I1336" s="29" t="n">
        <f aca="false">IF(AND(D1336="Feature Use",COUNTIFS($B$5:B1336,B1336,$D$5:D1336,"Feature Use",$E$5:E1336,E1336)=1),1,0)</f>
        <v>0</v>
      </c>
      <c r="J1336" s="29" t="n">
        <f aca="false">IF(AND(D1336="Feature Use",COUNTIFS($B$5:B1336,B1336,$D$5:D1336,"Feature Use",$E$5:E1336,E1336)=2),1,0)</f>
        <v>0</v>
      </c>
      <c r="K1336" s="29" t="n">
        <f aca="false">IF(COUNTIF($B$5:B1336,B1336)=1,1,0)</f>
        <v>0</v>
      </c>
      <c r="L1336" s="29" t="n">
        <f aca="false">IF(AND(C1336&gt;=Settings!$B$5-Settings!$B$8+1,C1336&lt;=Settings!$B$5,COUNTIFS($B$5:B1336,B1336,$C$5:C1336,"&gt;="&amp;(Settings!$B$5-Settings!$B$8+1),$C$5:C1336,"&lt;="&amp;Settings!$B$5)=1),1,0)</f>
        <v>1</v>
      </c>
      <c r="M1336" s="29" t="n">
        <f aca="false">IF(AND(C1336&gt;=Settings!$B$5-Settings!$B$9+1,C1336&lt;=Settings!$B$5,COUNTIFS($B$5:B1336,B1336,$C$5:C1336,"&gt;="&amp;(Settings!$B$5-Settings!$B$9+1),$C$5:C1336,"&lt;="&amp;Settings!$B$5)=1),1,0)</f>
        <v>0</v>
      </c>
      <c r="N1336" s="29" t="n">
        <f aca="false">IF(AND(D1336="Feature Use",COUNTIFS($B$5:B1336,B1336,$D$5:D1336,"Feature Use")=1),1,0)</f>
        <v>0</v>
      </c>
    </row>
    <row r="1337" customFormat="false" ht="15" hidden="false" customHeight="false" outlineLevel="0" collapsed="false">
      <c r="A1337" s="22" t="s">
        <v>1644</v>
      </c>
      <c r="B1337" s="22" t="s">
        <v>178</v>
      </c>
      <c r="C1337" s="31" t="n">
        <v>46304</v>
      </c>
      <c r="D1337" s="22" t="s">
        <v>300</v>
      </c>
      <c r="E1337" s="22" t="s">
        <v>305</v>
      </c>
      <c r="F1337" s="29" t="str">
        <f aca="false">IF(COUNTIF(Referral_Data!$C$5:$C$1000,B1337)&gt;0,"Referred",IF(COUNTIF(Referral_Data!$B$5:$B$1000,B1337)&gt;0,"Referrer","Organic"))</f>
        <v>Referrer</v>
      </c>
      <c r="G1337" s="29" t="n">
        <f aca="false">IF(COUNTIFS($B$5:B1337,B1337,$C$5:C1337,C1337)=1,1,0)</f>
        <v>0</v>
      </c>
      <c r="H1337" s="29" t="n">
        <f aca="false">IF(AND(G1337=1,COUNTIFS($B$5:$B$1635,B1337,$C$5:$C$1635,"&lt;"&amp;C1337)&gt;0),1,0)</f>
        <v>0</v>
      </c>
      <c r="I1337" s="29" t="n">
        <f aca="false">IF(AND(D1337="Feature Use",COUNTIFS($B$5:B1337,B1337,$D$5:D1337,"Feature Use",$E$5:E1337,E1337)=1),1,0)</f>
        <v>0</v>
      </c>
      <c r="J1337" s="29" t="n">
        <f aca="false">IF(AND(D1337="Feature Use",COUNTIFS($B$5:B1337,B1337,$D$5:D1337,"Feature Use",$E$5:E1337,E1337)=2),1,0)</f>
        <v>0</v>
      </c>
      <c r="K1337" s="29" t="n">
        <f aca="false">IF(COUNTIF($B$5:B1337,B1337)=1,1,0)</f>
        <v>0</v>
      </c>
      <c r="L1337" s="29" t="n">
        <f aca="false">IF(AND(C1337&gt;=Settings!$B$5-Settings!$B$8+1,C1337&lt;=Settings!$B$5,COUNTIFS($B$5:B1337,B1337,$C$5:C1337,"&gt;="&amp;(Settings!$B$5-Settings!$B$8+1),$C$5:C1337,"&lt;="&amp;Settings!$B$5)=1),1,0)</f>
        <v>0</v>
      </c>
      <c r="M1337" s="29" t="n">
        <f aca="false">IF(AND(C1337&gt;=Settings!$B$5-Settings!$B$9+1,C1337&lt;=Settings!$B$5,COUNTIFS($B$5:B1337,B1337,$C$5:C1337,"&gt;="&amp;(Settings!$B$5-Settings!$B$9+1),$C$5:C1337,"&lt;="&amp;Settings!$B$5)=1),1,0)</f>
        <v>0</v>
      </c>
      <c r="N1337" s="29" t="n">
        <f aca="false">IF(AND(D1337="Feature Use",COUNTIFS($B$5:B1337,B1337,$D$5:D1337,"Feature Use")=1),1,0)</f>
        <v>0</v>
      </c>
    </row>
    <row r="1338" customFormat="false" ht="15" hidden="false" customHeight="false" outlineLevel="0" collapsed="false">
      <c r="A1338" s="22" t="s">
        <v>1645</v>
      </c>
      <c r="B1338" s="22" t="s">
        <v>178</v>
      </c>
      <c r="C1338" s="31" t="n">
        <v>46304</v>
      </c>
      <c r="D1338" s="22" t="s">
        <v>308</v>
      </c>
      <c r="E1338" s="22" t="s">
        <v>301</v>
      </c>
      <c r="F1338" s="29" t="str">
        <f aca="false">IF(COUNTIF(Referral_Data!$C$5:$C$1000,B1338)&gt;0,"Referred",IF(COUNTIF(Referral_Data!$B$5:$B$1000,B1338)&gt;0,"Referrer","Organic"))</f>
        <v>Referrer</v>
      </c>
      <c r="G1338" s="29" t="n">
        <f aca="false">IF(COUNTIFS($B$5:B1338,B1338,$C$5:C1338,C1338)=1,1,0)</f>
        <v>0</v>
      </c>
      <c r="H1338" s="29" t="n">
        <f aca="false">IF(AND(G1338=1,COUNTIFS($B$5:$B$1635,B1338,$C$5:$C$1635,"&lt;"&amp;C1338)&gt;0),1,0)</f>
        <v>0</v>
      </c>
      <c r="I1338" s="29" t="n">
        <f aca="false">IF(AND(D1338="Feature Use",COUNTIFS($B$5:B1338,B1338,$D$5:D1338,"Feature Use",$E$5:E1338,E1338)=1),1,0)</f>
        <v>0</v>
      </c>
      <c r="J1338" s="29" t="n">
        <f aca="false">IF(AND(D1338="Feature Use",COUNTIFS($B$5:B1338,B1338,$D$5:D1338,"Feature Use",$E$5:E1338,E1338)=2),1,0)</f>
        <v>0</v>
      </c>
      <c r="K1338" s="29" t="n">
        <f aca="false">IF(COUNTIF($B$5:B1338,B1338)=1,1,0)</f>
        <v>0</v>
      </c>
      <c r="L1338" s="29" t="n">
        <f aca="false">IF(AND(C1338&gt;=Settings!$B$5-Settings!$B$8+1,C1338&lt;=Settings!$B$5,COUNTIFS($B$5:B1338,B1338,$C$5:C1338,"&gt;="&amp;(Settings!$B$5-Settings!$B$8+1),$C$5:C1338,"&lt;="&amp;Settings!$B$5)=1),1,0)</f>
        <v>0</v>
      </c>
      <c r="M1338" s="29" t="n">
        <f aca="false">IF(AND(C1338&gt;=Settings!$B$5-Settings!$B$9+1,C1338&lt;=Settings!$B$5,COUNTIFS($B$5:B1338,B1338,$C$5:C1338,"&gt;="&amp;(Settings!$B$5-Settings!$B$9+1),$C$5:C1338,"&lt;="&amp;Settings!$B$5)=1),1,0)</f>
        <v>0</v>
      </c>
      <c r="N1338" s="29" t="n">
        <f aca="false">IF(AND(D1338="Feature Use",COUNTIFS($B$5:B1338,B1338,$D$5:D1338,"Feature Use")=1),1,0)</f>
        <v>0</v>
      </c>
    </row>
    <row r="1339" customFormat="false" ht="15" hidden="false" customHeight="false" outlineLevel="0" collapsed="false">
      <c r="A1339" s="22" t="s">
        <v>1646</v>
      </c>
      <c r="B1339" s="22" t="s">
        <v>329</v>
      </c>
      <c r="C1339" s="31" t="n">
        <v>46305</v>
      </c>
      <c r="D1339" s="22" t="s">
        <v>297</v>
      </c>
      <c r="E1339" s="22" t="s">
        <v>298</v>
      </c>
      <c r="F1339" s="29" t="str">
        <f aca="false">IF(COUNTIF(Referral_Data!$C$5:$C$1000,B1339)&gt;0,"Referred",IF(COUNTIF(Referral_Data!$B$5:$B$1000,B1339)&gt;0,"Referrer","Organic"))</f>
        <v>Organic</v>
      </c>
      <c r="G1339" s="29" t="n">
        <f aca="false">IF(COUNTIFS($B$5:B1339,B1339,$C$5:C1339,C1339)=1,1,0)</f>
        <v>1</v>
      </c>
      <c r="H1339" s="29" t="n">
        <f aca="false">IF(AND(G1339=1,COUNTIFS($B$5:$B$1635,B1339,$C$5:$C$1635,"&lt;"&amp;C1339)&gt;0),1,0)</f>
        <v>1</v>
      </c>
      <c r="I1339" s="29" t="n">
        <f aca="false">IF(AND(D1339="Feature Use",COUNTIFS($B$5:B1339,B1339,$D$5:D1339,"Feature Use",$E$5:E1339,E1339)=1),1,0)</f>
        <v>0</v>
      </c>
      <c r="J1339" s="29" t="n">
        <f aca="false">IF(AND(D1339="Feature Use",COUNTIFS($B$5:B1339,B1339,$D$5:D1339,"Feature Use",$E$5:E1339,E1339)=2),1,0)</f>
        <v>0</v>
      </c>
      <c r="K1339" s="29" t="n">
        <f aca="false">IF(COUNTIF($B$5:B1339,B1339)=1,1,0)</f>
        <v>0</v>
      </c>
      <c r="L1339" s="29" t="n">
        <f aca="false">IF(AND(C1339&gt;=Settings!$B$5-Settings!$B$8+1,C1339&lt;=Settings!$B$5,COUNTIFS($B$5:B1339,B1339,$C$5:C1339,"&gt;="&amp;(Settings!$B$5-Settings!$B$8+1),$C$5:C1339,"&lt;="&amp;Settings!$B$5)=1),1,0)</f>
        <v>1</v>
      </c>
      <c r="M1339" s="29" t="n">
        <f aca="false">IF(AND(C1339&gt;=Settings!$B$5-Settings!$B$9+1,C1339&lt;=Settings!$B$5,COUNTIFS($B$5:B1339,B1339,$C$5:C1339,"&gt;="&amp;(Settings!$B$5-Settings!$B$9+1),$C$5:C1339,"&lt;="&amp;Settings!$B$5)=1),1,0)</f>
        <v>0</v>
      </c>
      <c r="N1339" s="29" t="n">
        <f aca="false">IF(AND(D1339="Feature Use",COUNTIFS($B$5:B1339,B1339,$D$5:D1339,"Feature Use")=1),1,0)</f>
        <v>0</v>
      </c>
    </row>
    <row r="1340" customFormat="false" ht="15" hidden="false" customHeight="false" outlineLevel="0" collapsed="false">
      <c r="A1340" s="22" t="s">
        <v>1647</v>
      </c>
      <c r="B1340" s="22" t="s">
        <v>329</v>
      </c>
      <c r="C1340" s="31" t="n">
        <v>46305</v>
      </c>
      <c r="D1340" s="22" t="s">
        <v>300</v>
      </c>
      <c r="E1340" s="22" t="s">
        <v>311</v>
      </c>
      <c r="F1340" s="29" t="str">
        <f aca="false">IF(COUNTIF(Referral_Data!$C$5:$C$1000,B1340)&gt;0,"Referred",IF(COUNTIF(Referral_Data!$B$5:$B$1000,B1340)&gt;0,"Referrer","Organic"))</f>
        <v>Organic</v>
      </c>
      <c r="G1340" s="29" t="n">
        <f aca="false">IF(COUNTIFS($B$5:B1340,B1340,$C$5:C1340,C1340)=1,1,0)</f>
        <v>0</v>
      </c>
      <c r="H1340" s="29" t="n">
        <f aca="false">IF(AND(G1340=1,COUNTIFS($B$5:$B$1635,B1340,$C$5:$C$1635,"&lt;"&amp;C1340)&gt;0),1,0)</f>
        <v>0</v>
      </c>
      <c r="I1340" s="29" t="n">
        <f aca="false">IF(AND(D1340="Feature Use",COUNTIFS($B$5:B1340,B1340,$D$5:D1340,"Feature Use",$E$5:E1340,E1340)=1),1,0)</f>
        <v>0</v>
      </c>
      <c r="J1340" s="29" t="n">
        <f aca="false">IF(AND(D1340="Feature Use",COUNTIFS($B$5:B1340,B1340,$D$5:D1340,"Feature Use",$E$5:E1340,E1340)=2),1,0)</f>
        <v>0</v>
      </c>
      <c r="K1340" s="29" t="n">
        <f aca="false">IF(COUNTIF($B$5:B1340,B1340)=1,1,0)</f>
        <v>0</v>
      </c>
      <c r="L1340" s="29" t="n">
        <f aca="false">IF(AND(C1340&gt;=Settings!$B$5-Settings!$B$8+1,C1340&lt;=Settings!$B$5,COUNTIFS($B$5:B1340,B1340,$C$5:C1340,"&gt;="&amp;(Settings!$B$5-Settings!$B$8+1),$C$5:C1340,"&lt;="&amp;Settings!$B$5)=1),1,0)</f>
        <v>0</v>
      </c>
      <c r="M1340" s="29" t="n">
        <f aca="false">IF(AND(C1340&gt;=Settings!$B$5-Settings!$B$9+1,C1340&lt;=Settings!$B$5,COUNTIFS($B$5:B1340,B1340,$C$5:C1340,"&gt;="&amp;(Settings!$B$5-Settings!$B$9+1),$C$5:C1340,"&lt;="&amp;Settings!$B$5)=1),1,0)</f>
        <v>0</v>
      </c>
      <c r="N1340" s="29" t="n">
        <f aca="false">IF(AND(D1340="Feature Use",COUNTIFS($B$5:B1340,B1340,$D$5:D1340,"Feature Use")=1),1,0)</f>
        <v>0</v>
      </c>
    </row>
    <row r="1341" customFormat="false" ht="15" hidden="false" customHeight="false" outlineLevel="0" collapsed="false">
      <c r="A1341" s="22" t="s">
        <v>1648</v>
      </c>
      <c r="B1341" s="22" t="s">
        <v>530</v>
      </c>
      <c r="C1341" s="31" t="n">
        <v>46305</v>
      </c>
      <c r="D1341" s="22" t="s">
        <v>297</v>
      </c>
      <c r="E1341" s="22" t="s">
        <v>298</v>
      </c>
      <c r="F1341" s="29" t="str">
        <f aca="false">IF(COUNTIF(Referral_Data!$C$5:$C$1000,B1341)&gt;0,"Referred",IF(COUNTIF(Referral_Data!$B$5:$B$1000,B1341)&gt;0,"Referrer","Organic"))</f>
        <v>Organic</v>
      </c>
      <c r="G1341" s="29" t="n">
        <f aca="false">IF(COUNTIFS($B$5:B1341,B1341,$C$5:C1341,C1341)=1,1,0)</f>
        <v>1</v>
      </c>
      <c r="H1341" s="29" t="n">
        <f aca="false">IF(AND(G1341=1,COUNTIFS($B$5:$B$1635,B1341,$C$5:$C$1635,"&lt;"&amp;C1341)&gt;0),1,0)</f>
        <v>1</v>
      </c>
      <c r="I1341" s="29" t="n">
        <f aca="false">IF(AND(D1341="Feature Use",COUNTIFS($B$5:B1341,B1341,$D$5:D1341,"Feature Use",$E$5:E1341,E1341)=1),1,0)</f>
        <v>0</v>
      </c>
      <c r="J1341" s="29" t="n">
        <f aca="false">IF(AND(D1341="Feature Use",COUNTIFS($B$5:B1341,B1341,$D$5:D1341,"Feature Use",$E$5:E1341,E1341)=2),1,0)</f>
        <v>0</v>
      </c>
      <c r="K1341" s="29" t="n">
        <f aca="false">IF(COUNTIF($B$5:B1341,B1341)=1,1,0)</f>
        <v>0</v>
      </c>
      <c r="L1341" s="29" t="n">
        <f aca="false">IF(AND(C1341&gt;=Settings!$B$5-Settings!$B$8+1,C1341&lt;=Settings!$B$5,COUNTIFS($B$5:B1341,B1341,$C$5:C1341,"&gt;="&amp;(Settings!$B$5-Settings!$B$8+1),$C$5:C1341,"&lt;="&amp;Settings!$B$5)=1),1,0)</f>
        <v>0</v>
      </c>
      <c r="M1341" s="29" t="n">
        <f aca="false">IF(AND(C1341&gt;=Settings!$B$5-Settings!$B$9+1,C1341&lt;=Settings!$B$5,COUNTIFS($B$5:B1341,B1341,$C$5:C1341,"&gt;="&amp;(Settings!$B$5-Settings!$B$9+1),$C$5:C1341,"&lt;="&amp;Settings!$B$5)=1),1,0)</f>
        <v>0</v>
      </c>
      <c r="N1341" s="29" t="n">
        <f aca="false">IF(AND(D1341="Feature Use",COUNTIFS($B$5:B1341,B1341,$D$5:D1341,"Feature Use")=1),1,0)</f>
        <v>0</v>
      </c>
    </row>
    <row r="1342" customFormat="false" ht="15" hidden="false" customHeight="false" outlineLevel="0" collapsed="false">
      <c r="A1342" s="22" t="s">
        <v>1649</v>
      </c>
      <c r="B1342" s="22" t="s">
        <v>530</v>
      </c>
      <c r="C1342" s="31" t="n">
        <v>46305</v>
      </c>
      <c r="D1342" s="22" t="s">
        <v>300</v>
      </c>
      <c r="E1342" s="22" t="s">
        <v>305</v>
      </c>
      <c r="F1342" s="29" t="str">
        <f aca="false">IF(COUNTIF(Referral_Data!$C$5:$C$1000,B1342)&gt;0,"Referred",IF(COUNTIF(Referral_Data!$B$5:$B$1000,B1342)&gt;0,"Referrer","Organic"))</f>
        <v>Organic</v>
      </c>
      <c r="G1342" s="29" t="n">
        <f aca="false">IF(COUNTIFS($B$5:B1342,B1342,$C$5:C1342,C1342)=1,1,0)</f>
        <v>0</v>
      </c>
      <c r="H1342" s="29" t="n">
        <f aca="false">IF(AND(G1342=1,COUNTIFS($B$5:$B$1635,B1342,$C$5:$C$1635,"&lt;"&amp;C1342)&gt;0),1,0)</f>
        <v>0</v>
      </c>
      <c r="I1342" s="29" t="n">
        <f aca="false">IF(AND(D1342="Feature Use",COUNTIFS($B$5:B1342,B1342,$D$5:D1342,"Feature Use",$E$5:E1342,E1342)=1),1,0)</f>
        <v>0</v>
      </c>
      <c r="J1342" s="29" t="n">
        <f aca="false">IF(AND(D1342="Feature Use",COUNTIFS($B$5:B1342,B1342,$D$5:D1342,"Feature Use",$E$5:E1342,E1342)=2),1,0)</f>
        <v>0</v>
      </c>
      <c r="K1342" s="29" t="n">
        <f aca="false">IF(COUNTIF($B$5:B1342,B1342)=1,1,0)</f>
        <v>0</v>
      </c>
      <c r="L1342" s="29" t="n">
        <f aca="false">IF(AND(C1342&gt;=Settings!$B$5-Settings!$B$8+1,C1342&lt;=Settings!$B$5,COUNTIFS($B$5:B1342,B1342,$C$5:C1342,"&gt;="&amp;(Settings!$B$5-Settings!$B$8+1),$C$5:C1342,"&lt;="&amp;Settings!$B$5)=1),1,0)</f>
        <v>0</v>
      </c>
      <c r="M1342" s="29" t="n">
        <f aca="false">IF(AND(C1342&gt;=Settings!$B$5-Settings!$B$9+1,C1342&lt;=Settings!$B$5,COUNTIFS($B$5:B1342,B1342,$C$5:C1342,"&gt;="&amp;(Settings!$B$5-Settings!$B$9+1),$C$5:C1342,"&lt;="&amp;Settings!$B$5)=1),1,0)</f>
        <v>0</v>
      </c>
      <c r="N1342" s="29" t="n">
        <f aca="false">IF(AND(D1342="Feature Use",COUNTIFS($B$5:B1342,B1342,$D$5:D1342,"Feature Use")=1),1,0)</f>
        <v>0</v>
      </c>
    </row>
    <row r="1343" customFormat="false" ht="15" hidden="false" customHeight="false" outlineLevel="0" collapsed="false">
      <c r="A1343" s="22" t="s">
        <v>1650</v>
      </c>
      <c r="B1343" s="22" t="s">
        <v>171</v>
      </c>
      <c r="C1343" s="31" t="n">
        <v>46305</v>
      </c>
      <c r="D1343" s="22" t="s">
        <v>297</v>
      </c>
      <c r="E1343" s="22" t="s">
        <v>298</v>
      </c>
      <c r="F1343" s="29" t="str">
        <f aca="false">IF(COUNTIF(Referral_Data!$C$5:$C$1000,B1343)&gt;0,"Referred",IF(COUNTIF(Referral_Data!$B$5:$B$1000,B1343)&gt;0,"Referrer","Organic"))</f>
        <v>Referred</v>
      </c>
      <c r="G1343" s="29" t="n">
        <f aca="false">IF(COUNTIFS($B$5:B1343,B1343,$C$5:C1343,C1343)=1,1,0)</f>
        <v>1</v>
      </c>
      <c r="H1343" s="29" t="n">
        <f aca="false">IF(AND(G1343=1,COUNTIFS($B$5:$B$1635,B1343,$C$5:$C$1635,"&lt;"&amp;C1343)&gt;0),1,0)</f>
        <v>0</v>
      </c>
      <c r="I1343" s="29" t="n">
        <f aca="false">IF(AND(D1343="Feature Use",COUNTIFS($B$5:B1343,B1343,$D$5:D1343,"Feature Use",$E$5:E1343,E1343)=1),1,0)</f>
        <v>0</v>
      </c>
      <c r="J1343" s="29" t="n">
        <f aca="false">IF(AND(D1343="Feature Use",COUNTIFS($B$5:B1343,B1343,$D$5:D1343,"Feature Use",$E$5:E1343,E1343)=2),1,0)</f>
        <v>0</v>
      </c>
      <c r="K1343" s="29" t="n">
        <f aca="false">IF(COUNTIF($B$5:B1343,B1343)=1,1,0)</f>
        <v>1</v>
      </c>
      <c r="L1343" s="29" t="n">
        <f aca="false">IF(AND(C1343&gt;=Settings!$B$5-Settings!$B$8+1,C1343&lt;=Settings!$B$5,COUNTIFS($B$5:B1343,B1343,$C$5:C1343,"&gt;="&amp;(Settings!$B$5-Settings!$B$8+1),$C$5:C1343,"&lt;="&amp;Settings!$B$5)=1),1,0)</f>
        <v>1</v>
      </c>
      <c r="M1343" s="29" t="n">
        <f aca="false">IF(AND(C1343&gt;=Settings!$B$5-Settings!$B$9+1,C1343&lt;=Settings!$B$5,COUNTIFS($B$5:B1343,B1343,$C$5:C1343,"&gt;="&amp;(Settings!$B$5-Settings!$B$9+1),$C$5:C1343,"&lt;="&amp;Settings!$B$5)=1),1,0)</f>
        <v>1</v>
      </c>
      <c r="N1343" s="29" t="n">
        <f aca="false">IF(AND(D1343="Feature Use",COUNTIFS($B$5:B1343,B1343,$D$5:D1343,"Feature Use")=1),1,0)</f>
        <v>0</v>
      </c>
    </row>
    <row r="1344" customFormat="false" ht="15" hidden="false" customHeight="false" outlineLevel="0" collapsed="false">
      <c r="A1344" s="22" t="s">
        <v>1651</v>
      </c>
      <c r="B1344" s="22" t="s">
        <v>171</v>
      </c>
      <c r="C1344" s="31" t="n">
        <v>46305</v>
      </c>
      <c r="D1344" s="22" t="s">
        <v>300</v>
      </c>
      <c r="E1344" s="22" t="s">
        <v>305</v>
      </c>
      <c r="F1344" s="29" t="str">
        <f aca="false">IF(COUNTIF(Referral_Data!$C$5:$C$1000,B1344)&gt;0,"Referred",IF(COUNTIF(Referral_Data!$B$5:$B$1000,B1344)&gt;0,"Referrer","Organic"))</f>
        <v>Referred</v>
      </c>
      <c r="G1344" s="29" t="n">
        <f aca="false">IF(COUNTIFS($B$5:B1344,B1344,$C$5:C1344,C1344)=1,1,0)</f>
        <v>0</v>
      </c>
      <c r="H1344" s="29" t="n">
        <f aca="false">IF(AND(G1344=1,COUNTIFS($B$5:$B$1635,B1344,$C$5:$C$1635,"&lt;"&amp;C1344)&gt;0),1,0)</f>
        <v>0</v>
      </c>
      <c r="I1344" s="29" t="n">
        <f aca="false">IF(AND(D1344="Feature Use",COUNTIFS($B$5:B1344,B1344,$D$5:D1344,"Feature Use",$E$5:E1344,E1344)=1),1,0)</f>
        <v>1</v>
      </c>
      <c r="J1344" s="29" t="n">
        <f aca="false">IF(AND(D1344="Feature Use",COUNTIFS($B$5:B1344,B1344,$D$5:D1344,"Feature Use",$E$5:E1344,E1344)=2),1,0)</f>
        <v>0</v>
      </c>
      <c r="K1344" s="29" t="n">
        <f aca="false">IF(COUNTIF($B$5:B1344,B1344)=1,1,0)</f>
        <v>0</v>
      </c>
      <c r="L1344" s="29" t="n">
        <f aca="false">IF(AND(C1344&gt;=Settings!$B$5-Settings!$B$8+1,C1344&lt;=Settings!$B$5,COUNTIFS($B$5:B1344,B1344,$C$5:C1344,"&gt;="&amp;(Settings!$B$5-Settings!$B$8+1),$C$5:C1344,"&lt;="&amp;Settings!$B$5)=1),1,0)</f>
        <v>0</v>
      </c>
      <c r="M1344" s="29" t="n">
        <f aca="false">IF(AND(C1344&gt;=Settings!$B$5-Settings!$B$9+1,C1344&lt;=Settings!$B$5,COUNTIFS($B$5:B1344,B1344,$C$5:C1344,"&gt;="&amp;(Settings!$B$5-Settings!$B$9+1),$C$5:C1344,"&lt;="&amp;Settings!$B$5)=1),1,0)</f>
        <v>0</v>
      </c>
      <c r="N1344" s="29" t="n">
        <f aca="false">IF(AND(D1344="Feature Use",COUNTIFS($B$5:B1344,B1344,$D$5:D1344,"Feature Use")=1),1,0)</f>
        <v>1</v>
      </c>
    </row>
    <row r="1345" customFormat="false" ht="15" hidden="false" customHeight="false" outlineLevel="0" collapsed="false">
      <c r="A1345" s="22" t="s">
        <v>1652</v>
      </c>
      <c r="B1345" s="22" t="s">
        <v>171</v>
      </c>
      <c r="C1345" s="31" t="n">
        <v>46305</v>
      </c>
      <c r="D1345" s="22" t="s">
        <v>300</v>
      </c>
      <c r="E1345" s="22" t="s">
        <v>319</v>
      </c>
      <c r="F1345" s="29" t="str">
        <f aca="false">IF(COUNTIF(Referral_Data!$C$5:$C$1000,B1345)&gt;0,"Referred",IF(COUNTIF(Referral_Data!$B$5:$B$1000,B1345)&gt;0,"Referrer","Organic"))</f>
        <v>Referred</v>
      </c>
      <c r="G1345" s="29" t="n">
        <f aca="false">IF(COUNTIFS($B$5:B1345,B1345,$C$5:C1345,C1345)=1,1,0)</f>
        <v>0</v>
      </c>
      <c r="H1345" s="29" t="n">
        <f aca="false">IF(AND(G1345=1,COUNTIFS($B$5:$B$1635,B1345,$C$5:$C$1635,"&lt;"&amp;C1345)&gt;0),1,0)</f>
        <v>0</v>
      </c>
      <c r="I1345" s="29" t="n">
        <f aca="false">IF(AND(D1345="Feature Use",COUNTIFS($B$5:B1345,B1345,$D$5:D1345,"Feature Use",$E$5:E1345,E1345)=1),1,0)</f>
        <v>1</v>
      </c>
      <c r="J1345" s="29" t="n">
        <f aca="false">IF(AND(D1345="Feature Use",COUNTIFS($B$5:B1345,B1345,$D$5:D1345,"Feature Use",$E$5:E1345,E1345)=2),1,0)</f>
        <v>0</v>
      </c>
      <c r="K1345" s="29" t="n">
        <f aca="false">IF(COUNTIF($B$5:B1345,B1345)=1,1,0)</f>
        <v>0</v>
      </c>
      <c r="L1345" s="29" t="n">
        <f aca="false">IF(AND(C1345&gt;=Settings!$B$5-Settings!$B$8+1,C1345&lt;=Settings!$B$5,COUNTIFS($B$5:B1345,B1345,$C$5:C1345,"&gt;="&amp;(Settings!$B$5-Settings!$B$8+1),$C$5:C1345,"&lt;="&amp;Settings!$B$5)=1),1,0)</f>
        <v>0</v>
      </c>
      <c r="M1345" s="29" t="n">
        <f aca="false">IF(AND(C1345&gt;=Settings!$B$5-Settings!$B$9+1,C1345&lt;=Settings!$B$5,COUNTIFS($B$5:B1345,B1345,$C$5:C1345,"&gt;="&amp;(Settings!$B$5-Settings!$B$9+1),$C$5:C1345,"&lt;="&amp;Settings!$B$5)=1),1,0)</f>
        <v>0</v>
      </c>
      <c r="N1345" s="29" t="n">
        <f aca="false">IF(AND(D1345="Feature Use",COUNTIFS($B$5:B1345,B1345,$D$5:D1345,"Feature Use")=1),1,0)</f>
        <v>0</v>
      </c>
    </row>
    <row r="1346" customFormat="false" ht="15" hidden="false" customHeight="false" outlineLevel="0" collapsed="false">
      <c r="A1346" s="22" t="s">
        <v>1653</v>
      </c>
      <c r="B1346" s="22" t="s">
        <v>181</v>
      </c>
      <c r="C1346" s="31" t="n">
        <v>46305</v>
      </c>
      <c r="D1346" s="22" t="s">
        <v>297</v>
      </c>
      <c r="E1346" s="22" t="s">
        <v>298</v>
      </c>
      <c r="F1346" s="29" t="str">
        <f aca="false">IF(COUNTIF(Referral_Data!$C$5:$C$1000,B1346)&gt;0,"Referred",IF(COUNTIF(Referral_Data!$B$5:$B$1000,B1346)&gt;0,"Referrer","Organic"))</f>
        <v>Referred</v>
      </c>
      <c r="G1346" s="29" t="n">
        <f aca="false">IF(COUNTIFS($B$5:B1346,B1346,$C$5:C1346,C1346)=1,1,0)</f>
        <v>1</v>
      </c>
      <c r="H1346" s="29" t="n">
        <f aca="false">IF(AND(G1346=1,COUNTIFS($B$5:$B$1635,B1346,$C$5:$C$1635,"&lt;"&amp;C1346)&gt;0),1,0)</f>
        <v>1</v>
      </c>
      <c r="I1346" s="29" t="n">
        <f aca="false">IF(AND(D1346="Feature Use",COUNTIFS($B$5:B1346,B1346,$D$5:D1346,"Feature Use",$E$5:E1346,E1346)=1),1,0)</f>
        <v>0</v>
      </c>
      <c r="J1346" s="29" t="n">
        <f aca="false">IF(AND(D1346="Feature Use",COUNTIFS($B$5:B1346,B1346,$D$5:D1346,"Feature Use",$E$5:E1346,E1346)=2),1,0)</f>
        <v>0</v>
      </c>
      <c r="K1346" s="29" t="n">
        <f aca="false">IF(COUNTIF($B$5:B1346,B1346)=1,1,0)</f>
        <v>0</v>
      </c>
      <c r="L1346" s="29" t="n">
        <f aca="false">IF(AND(C1346&gt;=Settings!$B$5-Settings!$B$8+1,C1346&lt;=Settings!$B$5,COUNTIFS($B$5:B1346,B1346,$C$5:C1346,"&gt;="&amp;(Settings!$B$5-Settings!$B$8+1),$C$5:C1346,"&lt;="&amp;Settings!$B$5)=1),1,0)</f>
        <v>0</v>
      </c>
      <c r="M1346" s="29" t="n">
        <f aca="false">IF(AND(C1346&gt;=Settings!$B$5-Settings!$B$9+1,C1346&lt;=Settings!$B$5,COUNTIFS($B$5:B1346,B1346,$C$5:C1346,"&gt;="&amp;(Settings!$B$5-Settings!$B$9+1),$C$5:C1346,"&lt;="&amp;Settings!$B$5)=1),1,0)</f>
        <v>0</v>
      </c>
      <c r="N1346" s="29" t="n">
        <f aca="false">IF(AND(D1346="Feature Use",COUNTIFS($B$5:B1346,B1346,$D$5:D1346,"Feature Use")=1),1,0)</f>
        <v>0</v>
      </c>
    </row>
    <row r="1347" customFormat="false" ht="15" hidden="false" customHeight="false" outlineLevel="0" collapsed="false">
      <c r="A1347" s="22" t="s">
        <v>1654</v>
      </c>
      <c r="B1347" s="22" t="s">
        <v>181</v>
      </c>
      <c r="C1347" s="31" t="n">
        <v>46305</v>
      </c>
      <c r="D1347" s="22" t="s">
        <v>300</v>
      </c>
      <c r="E1347" s="22" t="s">
        <v>309</v>
      </c>
      <c r="F1347" s="29" t="str">
        <f aca="false">IF(COUNTIF(Referral_Data!$C$5:$C$1000,B1347)&gt;0,"Referred",IF(COUNTIF(Referral_Data!$B$5:$B$1000,B1347)&gt;0,"Referrer","Organic"))</f>
        <v>Referred</v>
      </c>
      <c r="G1347" s="29" t="n">
        <f aca="false">IF(COUNTIFS($B$5:B1347,B1347,$C$5:C1347,C1347)=1,1,0)</f>
        <v>0</v>
      </c>
      <c r="H1347" s="29" t="n">
        <f aca="false">IF(AND(G1347=1,COUNTIFS($B$5:$B$1635,B1347,$C$5:$C$1635,"&lt;"&amp;C1347)&gt;0),1,0)</f>
        <v>0</v>
      </c>
      <c r="I1347" s="29" t="n">
        <f aca="false">IF(AND(D1347="Feature Use",COUNTIFS($B$5:B1347,B1347,$D$5:D1347,"Feature Use",$E$5:E1347,E1347)=1),1,0)</f>
        <v>0</v>
      </c>
      <c r="J1347" s="29" t="n">
        <f aca="false">IF(AND(D1347="Feature Use",COUNTIFS($B$5:B1347,B1347,$D$5:D1347,"Feature Use",$E$5:E1347,E1347)=2),1,0)</f>
        <v>0</v>
      </c>
      <c r="K1347" s="29" t="n">
        <f aca="false">IF(COUNTIF($B$5:B1347,B1347)=1,1,0)</f>
        <v>0</v>
      </c>
      <c r="L1347" s="29" t="n">
        <f aca="false">IF(AND(C1347&gt;=Settings!$B$5-Settings!$B$8+1,C1347&lt;=Settings!$B$5,COUNTIFS($B$5:B1347,B1347,$C$5:C1347,"&gt;="&amp;(Settings!$B$5-Settings!$B$8+1),$C$5:C1347,"&lt;="&amp;Settings!$B$5)=1),1,0)</f>
        <v>0</v>
      </c>
      <c r="M1347" s="29" t="n">
        <f aca="false">IF(AND(C1347&gt;=Settings!$B$5-Settings!$B$9+1,C1347&lt;=Settings!$B$5,COUNTIFS($B$5:B1347,B1347,$C$5:C1347,"&gt;="&amp;(Settings!$B$5-Settings!$B$9+1),$C$5:C1347,"&lt;="&amp;Settings!$B$5)=1),1,0)</f>
        <v>0</v>
      </c>
      <c r="N1347" s="29" t="n">
        <f aca="false">IF(AND(D1347="Feature Use",COUNTIFS($B$5:B1347,B1347,$D$5:D1347,"Feature Use")=1),1,0)</f>
        <v>0</v>
      </c>
    </row>
    <row r="1348" customFormat="false" ht="15" hidden="false" customHeight="false" outlineLevel="0" collapsed="false">
      <c r="A1348" s="22" t="s">
        <v>1655</v>
      </c>
      <c r="B1348" s="22" t="s">
        <v>181</v>
      </c>
      <c r="C1348" s="31" t="n">
        <v>46305</v>
      </c>
      <c r="D1348" s="22" t="s">
        <v>300</v>
      </c>
      <c r="E1348" s="22" t="s">
        <v>301</v>
      </c>
      <c r="F1348" s="29" t="str">
        <f aca="false">IF(COUNTIF(Referral_Data!$C$5:$C$1000,B1348)&gt;0,"Referred",IF(COUNTIF(Referral_Data!$B$5:$B$1000,B1348)&gt;0,"Referrer","Organic"))</f>
        <v>Referred</v>
      </c>
      <c r="G1348" s="29" t="n">
        <f aca="false">IF(COUNTIFS($B$5:B1348,B1348,$C$5:C1348,C1348)=1,1,0)</f>
        <v>0</v>
      </c>
      <c r="H1348" s="29" t="n">
        <f aca="false">IF(AND(G1348=1,COUNTIFS($B$5:$B$1635,B1348,$C$5:$C$1635,"&lt;"&amp;C1348)&gt;0),1,0)</f>
        <v>0</v>
      </c>
      <c r="I1348" s="29" t="n">
        <f aca="false">IF(AND(D1348="Feature Use",COUNTIFS($B$5:B1348,B1348,$D$5:D1348,"Feature Use",$E$5:E1348,E1348)=1),1,0)</f>
        <v>0</v>
      </c>
      <c r="J1348" s="29" t="n">
        <f aca="false">IF(AND(D1348="Feature Use",COUNTIFS($B$5:B1348,B1348,$D$5:D1348,"Feature Use",$E$5:E1348,E1348)=2),1,0)</f>
        <v>0</v>
      </c>
      <c r="K1348" s="29" t="n">
        <f aca="false">IF(COUNTIF($B$5:B1348,B1348)=1,1,0)</f>
        <v>0</v>
      </c>
      <c r="L1348" s="29" t="n">
        <f aca="false">IF(AND(C1348&gt;=Settings!$B$5-Settings!$B$8+1,C1348&lt;=Settings!$B$5,COUNTIFS($B$5:B1348,B1348,$C$5:C1348,"&gt;="&amp;(Settings!$B$5-Settings!$B$8+1),$C$5:C1348,"&lt;="&amp;Settings!$B$5)=1),1,0)</f>
        <v>0</v>
      </c>
      <c r="M1348" s="29" t="n">
        <f aca="false">IF(AND(C1348&gt;=Settings!$B$5-Settings!$B$9+1,C1348&lt;=Settings!$B$5,COUNTIFS($B$5:B1348,B1348,$C$5:C1348,"&gt;="&amp;(Settings!$B$5-Settings!$B$9+1),$C$5:C1348,"&lt;="&amp;Settings!$B$5)=1),1,0)</f>
        <v>0</v>
      </c>
      <c r="N1348" s="29" t="n">
        <f aca="false">IF(AND(D1348="Feature Use",COUNTIFS($B$5:B1348,B1348,$D$5:D1348,"Feature Use")=1),1,0)</f>
        <v>0</v>
      </c>
    </row>
    <row r="1349" customFormat="false" ht="15" hidden="false" customHeight="false" outlineLevel="0" collapsed="false">
      <c r="A1349" s="22" t="s">
        <v>1656</v>
      </c>
      <c r="B1349" s="22" t="s">
        <v>181</v>
      </c>
      <c r="C1349" s="31" t="n">
        <v>46305</v>
      </c>
      <c r="D1349" s="22" t="s">
        <v>308</v>
      </c>
      <c r="E1349" s="22" t="s">
        <v>301</v>
      </c>
      <c r="F1349" s="29" t="str">
        <f aca="false">IF(COUNTIF(Referral_Data!$C$5:$C$1000,B1349)&gt;0,"Referred",IF(COUNTIF(Referral_Data!$B$5:$B$1000,B1349)&gt;0,"Referrer","Organic"))</f>
        <v>Referred</v>
      </c>
      <c r="G1349" s="29" t="n">
        <f aca="false">IF(COUNTIFS($B$5:B1349,B1349,$C$5:C1349,C1349)=1,1,0)</f>
        <v>0</v>
      </c>
      <c r="H1349" s="29" t="n">
        <f aca="false">IF(AND(G1349=1,COUNTIFS($B$5:$B$1635,B1349,$C$5:$C$1635,"&lt;"&amp;C1349)&gt;0),1,0)</f>
        <v>0</v>
      </c>
      <c r="I1349" s="29" t="n">
        <f aca="false">IF(AND(D1349="Feature Use",COUNTIFS($B$5:B1349,B1349,$D$5:D1349,"Feature Use",$E$5:E1349,E1349)=1),1,0)</f>
        <v>0</v>
      </c>
      <c r="J1349" s="29" t="n">
        <f aca="false">IF(AND(D1349="Feature Use",COUNTIFS($B$5:B1349,B1349,$D$5:D1349,"Feature Use",$E$5:E1349,E1349)=2),1,0)</f>
        <v>0</v>
      </c>
      <c r="K1349" s="29" t="n">
        <f aca="false">IF(COUNTIF($B$5:B1349,B1349)=1,1,0)</f>
        <v>0</v>
      </c>
      <c r="L1349" s="29" t="n">
        <f aca="false">IF(AND(C1349&gt;=Settings!$B$5-Settings!$B$8+1,C1349&lt;=Settings!$B$5,COUNTIFS($B$5:B1349,B1349,$C$5:C1349,"&gt;="&amp;(Settings!$B$5-Settings!$B$8+1),$C$5:C1349,"&lt;="&amp;Settings!$B$5)=1),1,0)</f>
        <v>0</v>
      </c>
      <c r="M1349" s="29" t="n">
        <f aca="false">IF(AND(C1349&gt;=Settings!$B$5-Settings!$B$9+1,C1349&lt;=Settings!$B$5,COUNTIFS($B$5:B1349,B1349,$C$5:C1349,"&gt;="&amp;(Settings!$B$5-Settings!$B$9+1),$C$5:C1349,"&lt;="&amp;Settings!$B$5)=1),1,0)</f>
        <v>0</v>
      </c>
      <c r="N1349" s="29" t="n">
        <f aca="false">IF(AND(D1349="Feature Use",COUNTIFS($B$5:B1349,B1349,$D$5:D1349,"Feature Use")=1),1,0)</f>
        <v>0</v>
      </c>
    </row>
    <row r="1350" customFormat="false" ht="15" hidden="false" customHeight="false" outlineLevel="0" collapsed="false">
      <c r="A1350" s="22" t="s">
        <v>1657</v>
      </c>
      <c r="B1350" s="22" t="s">
        <v>184</v>
      </c>
      <c r="C1350" s="31" t="n">
        <v>46305</v>
      </c>
      <c r="D1350" s="22" t="s">
        <v>297</v>
      </c>
      <c r="E1350" s="22" t="s">
        <v>298</v>
      </c>
      <c r="F1350" s="29" t="str">
        <f aca="false">IF(COUNTIF(Referral_Data!$C$5:$C$1000,B1350)&gt;0,"Referred",IF(COUNTIF(Referral_Data!$B$5:$B$1000,B1350)&gt;0,"Referrer","Organic"))</f>
        <v>Referred</v>
      </c>
      <c r="G1350" s="29" t="n">
        <f aca="false">IF(COUNTIFS($B$5:B1350,B1350,$C$5:C1350,C1350)=1,1,0)</f>
        <v>1</v>
      </c>
      <c r="H1350" s="29" t="n">
        <f aca="false">IF(AND(G1350=1,COUNTIFS($B$5:$B$1635,B1350,$C$5:$C$1635,"&lt;"&amp;C1350)&gt;0),1,0)</f>
        <v>1</v>
      </c>
      <c r="I1350" s="29" t="n">
        <f aca="false">IF(AND(D1350="Feature Use",COUNTIFS($B$5:B1350,B1350,$D$5:D1350,"Feature Use",$E$5:E1350,E1350)=1),1,0)</f>
        <v>0</v>
      </c>
      <c r="J1350" s="29" t="n">
        <f aca="false">IF(AND(D1350="Feature Use",COUNTIFS($B$5:B1350,B1350,$D$5:D1350,"Feature Use",$E$5:E1350,E1350)=2),1,0)</f>
        <v>0</v>
      </c>
      <c r="K1350" s="29" t="n">
        <f aca="false">IF(COUNTIF($B$5:B1350,B1350)=1,1,0)</f>
        <v>0</v>
      </c>
      <c r="L1350" s="29" t="n">
        <f aca="false">IF(AND(C1350&gt;=Settings!$B$5-Settings!$B$8+1,C1350&lt;=Settings!$B$5,COUNTIFS($B$5:B1350,B1350,$C$5:C1350,"&gt;="&amp;(Settings!$B$5-Settings!$B$8+1),$C$5:C1350,"&lt;="&amp;Settings!$B$5)=1),1,0)</f>
        <v>1</v>
      </c>
      <c r="M1350" s="29" t="n">
        <f aca="false">IF(AND(C1350&gt;=Settings!$B$5-Settings!$B$9+1,C1350&lt;=Settings!$B$5,COUNTIFS($B$5:B1350,B1350,$C$5:C1350,"&gt;="&amp;(Settings!$B$5-Settings!$B$9+1),$C$5:C1350,"&lt;="&amp;Settings!$B$5)=1),1,0)</f>
        <v>0</v>
      </c>
      <c r="N1350" s="29" t="n">
        <f aca="false">IF(AND(D1350="Feature Use",COUNTIFS($B$5:B1350,B1350,$D$5:D1350,"Feature Use")=1),1,0)</f>
        <v>0</v>
      </c>
    </row>
    <row r="1351" customFormat="false" ht="15" hidden="false" customHeight="false" outlineLevel="0" collapsed="false">
      <c r="A1351" s="22" t="s">
        <v>1658</v>
      </c>
      <c r="B1351" s="22" t="s">
        <v>184</v>
      </c>
      <c r="C1351" s="31" t="n">
        <v>46305</v>
      </c>
      <c r="D1351" s="22" t="s">
        <v>300</v>
      </c>
      <c r="E1351" s="22" t="s">
        <v>305</v>
      </c>
      <c r="F1351" s="29" t="str">
        <f aca="false">IF(COUNTIF(Referral_Data!$C$5:$C$1000,B1351)&gt;0,"Referred",IF(COUNTIF(Referral_Data!$B$5:$B$1000,B1351)&gt;0,"Referrer","Organic"))</f>
        <v>Referred</v>
      </c>
      <c r="G1351" s="29" t="n">
        <f aca="false">IF(COUNTIFS($B$5:B1351,B1351,$C$5:C1351,C1351)=1,1,0)</f>
        <v>0</v>
      </c>
      <c r="H1351" s="29" t="n">
        <f aca="false">IF(AND(G1351=1,COUNTIFS($B$5:$B$1635,B1351,$C$5:$C$1635,"&lt;"&amp;C1351)&gt;0),1,0)</f>
        <v>0</v>
      </c>
      <c r="I1351" s="29" t="n">
        <f aca="false">IF(AND(D1351="Feature Use",COUNTIFS($B$5:B1351,B1351,$D$5:D1351,"Feature Use",$E$5:E1351,E1351)=1),1,0)</f>
        <v>0</v>
      </c>
      <c r="J1351" s="29" t="n">
        <f aca="false">IF(AND(D1351="Feature Use",COUNTIFS($B$5:B1351,B1351,$D$5:D1351,"Feature Use",$E$5:E1351,E1351)=2),1,0)</f>
        <v>0</v>
      </c>
      <c r="K1351" s="29" t="n">
        <f aca="false">IF(COUNTIF($B$5:B1351,B1351)=1,1,0)</f>
        <v>0</v>
      </c>
      <c r="L1351" s="29" t="n">
        <f aca="false">IF(AND(C1351&gt;=Settings!$B$5-Settings!$B$8+1,C1351&lt;=Settings!$B$5,COUNTIFS($B$5:B1351,B1351,$C$5:C1351,"&gt;="&amp;(Settings!$B$5-Settings!$B$8+1),$C$5:C1351,"&lt;="&amp;Settings!$B$5)=1),1,0)</f>
        <v>0</v>
      </c>
      <c r="M1351" s="29" t="n">
        <f aca="false">IF(AND(C1351&gt;=Settings!$B$5-Settings!$B$9+1,C1351&lt;=Settings!$B$5,COUNTIFS($B$5:B1351,B1351,$C$5:C1351,"&gt;="&amp;(Settings!$B$5-Settings!$B$9+1),$C$5:C1351,"&lt;="&amp;Settings!$B$5)=1),1,0)</f>
        <v>0</v>
      </c>
      <c r="N1351" s="29" t="n">
        <f aca="false">IF(AND(D1351="Feature Use",COUNTIFS($B$5:B1351,B1351,$D$5:D1351,"Feature Use")=1),1,0)</f>
        <v>0</v>
      </c>
    </row>
    <row r="1352" customFormat="false" ht="15" hidden="false" customHeight="false" outlineLevel="0" collapsed="false">
      <c r="A1352" s="22" t="s">
        <v>1659</v>
      </c>
      <c r="B1352" s="22" t="s">
        <v>184</v>
      </c>
      <c r="C1352" s="31" t="n">
        <v>46305</v>
      </c>
      <c r="D1352" s="22" t="s">
        <v>300</v>
      </c>
      <c r="E1352" s="22" t="s">
        <v>311</v>
      </c>
      <c r="F1352" s="29" t="str">
        <f aca="false">IF(COUNTIF(Referral_Data!$C$5:$C$1000,B1352)&gt;0,"Referred",IF(COUNTIF(Referral_Data!$B$5:$B$1000,B1352)&gt;0,"Referrer","Organic"))</f>
        <v>Referred</v>
      </c>
      <c r="G1352" s="29" t="n">
        <f aca="false">IF(COUNTIFS($B$5:B1352,B1352,$C$5:C1352,C1352)=1,1,0)</f>
        <v>0</v>
      </c>
      <c r="H1352" s="29" t="n">
        <f aca="false">IF(AND(G1352=1,COUNTIFS($B$5:$B$1635,B1352,$C$5:$C$1635,"&lt;"&amp;C1352)&gt;0),1,0)</f>
        <v>0</v>
      </c>
      <c r="I1352" s="29" t="n">
        <f aca="false">IF(AND(D1352="Feature Use",COUNTIFS($B$5:B1352,B1352,$D$5:D1352,"Feature Use",$E$5:E1352,E1352)=1),1,0)</f>
        <v>0</v>
      </c>
      <c r="J1352" s="29" t="n">
        <f aca="false">IF(AND(D1352="Feature Use",COUNTIFS($B$5:B1352,B1352,$D$5:D1352,"Feature Use",$E$5:E1352,E1352)=2),1,0)</f>
        <v>0</v>
      </c>
      <c r="K1352" s="29" t="n">
        <f aca="false">IF(COUNTIF($B$5:B1352,B1352)=1,1,0)</f>
        <v>0</v>
      </c>
      <c r="L1352" s="29" t="n">
        <f aca="false">IF(AND(C1352&gt;=Settings!$B$5-Settings!$B$8+1,C1352&lt;=Settings!$B$5,COUNTIFS($B$5:B1352,B1352,$C$5:C1352,"&gt;="&amp;(Settings!$B$5-Settings!$B$8+1),$C$5:C1352,"&lt;="&amp;Settings!$B$5)=1),1,0)</f>
        <v>0</v>
      </c>
      <c r="M1352" s="29" t="n">
        <f aca="false">IF(AND(C1352&gt;=Settings!$B$5-Settings!$B$9+1,C1352&lt;=Settings!$B$5,COUNTIFS($B$5:B1352,B1352,$C$5:C1352,"&gt;="&amp;(Settings!$B$5-Settings!$B$9+1),$C$5:C1352,"&lt;="&amp;Settings!$B$5)=1),1,0)</f>
        <v>0</v>
      </c>
      <c r="N1352" s="29" t="n">
        <f aca="false">IF(AND(D1352="Feature Use",COUNTIFS($B$5:B1352,B1352,$D$5:D1352,"Feature Use")=1),1,0)</f>
        <v>0</v>
      </c>
    </row>
    <row r="1353" customFormat="false" ht="15" hidden="false" customHeight="false" outlineLevel="0" collapsed="false">
      <c r="A1353" s="22" t="s">
        <v>1660</v>
      </c>
      <c r="B1353" s="22" t="s">
        <v>184</v>
      </c>
      <c r="C1353" s="31" t="n">
        <v>46305</v>
      </c>
      <c r="D1353" s="22" t="s">
        <v>308</v>
      </c>
      <c r="E1353" s="22" t="s">
        <v>319</v>
      </c>
      <c r="F1353" s="29" t="str">
        <f aca="false">IF(COUNTIF(Referral_Data!$C$5:$C$1000,B1353)&gt;0,"Referred",IF(COUNTIF(Referral_Data!$B$5:$B$1000,B1353)&gt;0,"Referrer","Organic"))</f>
        <v>Referred</v>
      </c>
      <c r="G1353" s="29" t="n">
        <f aca="false">IF(COUNTIFS($B$5:B1353,B1353,$C$5:C1353,C1353)=1,1,0)</f>
        <v>0</v>
      </c>
      <c r="H1353" s="29" t="n">
        <f aca="false">IF(AND(G1353=1,COUNTIFS($B$5:$B$1635,B1353,$C$5:$C$1635,"&lt;"&amp;C1353)&gt;0),1,0)</f>
        <v>0</v>
      </c>
      <c r="I1353" s="29" t="n">
        <f aca="false">IF(AND(D1353="Feature Use",COUNTIFS($B$5:B1353,B1353,$D$5:D1353,"Feature Use",$E$5:E1353,E1353)=1),1,0)</f>
        <v>0</v>
      </c>
      <c r="J1353" s="29" t="n">
        <f aca="false">IF(AND(D1353="Feature Use",COUNTIFS($B$5:B1353,B1353,$D$5:D1353,"Feature Use",$E$5:E1353,E1353)=2),1,0)</f>
        <v>0</v>
      </c>
      <c r="K1353" s="29" t="n">
        <f aca="false">IF(COUNTIF($B$5:B1353,B1353)=1,1,0)</f>
        <v>0</v>
      </c>
      <c r="L1353" s="29" t="n">
        <f aca="false">IF(AND(C1353&gt;=Settings!$B$5-Settings!$B$8+1,C1353&lt;=Settings!$B$5,COUNTIFS($B$5:B1353,B1353,$C$5:C1353,"&gt;="&amp;(Settings!$B$5-Settings!$B$8+1),$C$5:C1353,"&lt;="&amp;Settings!$B$5)=1),1,0)</f>
        <v>0</v>
      </c>
      <c r="M1353" s="29" t="n">
        <f aca="false">IF(AND(C1353&gt;=Settings!$B$5-Settings!$B$9+1,C1353&lt;=Settings!$B$5,COUNTIFS($B$5:B1353,B1353,$C$5:C1353,"&gt;="&amp;(Settings!$B$5-Settings!$B$9+1),$C$5:C1353,"&lt;="&amp;Settings!$B$5)=1),1,0)</f>
        <v>0</v>
      </c>
      <c r="N1353" s="29" t="n">
        <f aca="false">IF(AND(D1353="Feature Use",COUNTIFS($B$5:B1353,B1353,$D$5:D1353,"Feature Use")=1),1,0)</f>
        <v>0</v>
      </c>
    </row>
    <row r="1354" customFormat="false" ht="15" hidden="false" customHeight="false" outlineLevel="0" collapsed="false">
      <c r="A1354" s="22" t="s">
        <v>1661</v>
      </c>
      <c r="B1354" s="22" t="s">
        <v>184</v>
      </c>
      <c r="C1354" s="31" t="n">
        <v>46305</v>
      </c>
      <c r="D1354" s="22" t="s">
        <v>308</v>
      </c>
      <c r="E1354" s="22" t="s">
        <v>301</v>
      </c>
      <c r="F1354" s="29" t="str">
        <f aca="false">IF(COUNTIF(Referral_Data!$C$5:$C$1000,B1354)&gt;0,"Referred",IF(COUNTIF(Referral_Data!$B$5:$B$1000,B1354)&gt;0,"Referrer","Organic"))</f>
        <v>Referred</v>
      </c>
      <c r="G1354" s="29" t="n">
        <f aca="false">IF(COUNTIFS($B$5:B1354,B1354,$C$5:C1354,C1354)=1,1,0)</f>
        <v>0</v>
      </c>
      <c r="H1354" s="29" t="n">
        <f aca="false">IF(AND(G1354=1,COUNTIFS($B$5:$B$1635,B1354,$C$5:$C$1635,"&lt;"&amp;C1354)&gt;0),1,0)</f>
        <v>0</v>
      </c>
      <c r="I1354" s="29" t="n">
        <f aca="false">IF(AND(D1354="Feature Use",COUNTIFS($B$5:B1354,B1354,$D$5:D1354,"Feature Use",$E$5:E1354,E1354)=1),1,0)</f>
        <v>0</v>
      </c>
      <c r="J1354" s="29" t="n">
        <f aca="false">IF(AND(D1354="Feature Use",COUNTIFS($B$5:B1354,B1354,$D$5:D1354,"Feature Use",$E$5:E1354,E1354)=2),1,0)</f>
        <v>0</v>
      </c>
      <c r="K1354" s="29" t="n">
        <f aca="false">IF(COUNTIF($B$5:B1354,B1354)=1,1,0)</f>
        <v>0</v>
      </c>
      <c r="L1354" s="29" t="n">
        <f aca="false">IF(AND(C1354&gt;=Settings!$B$5-Settings!$B$8+1,C1354&lt;=Settings!$B$5,COUNTIFS($B$5:B1354,B1354,$C$5:C1354,"&gt;="&amp;(Settings!$B$5-Settings!$B$8+1),$C$5:C1354,"&lt;="&amp;Settings!$B$5)=1),1,0)</f>
        <v>0</v>
      </c>
      <c r="M1354" s="29" t="n">
        <f aca="false">IF(AND(C1354&gt;=Settings!$B$5-Settings!$B$9+1,C1354&lt;=Settings!$B$5,COUNTIFS($B$5:B1354,B1354,$C$5:C1354,"&gt;="&amp;(Settings!$B$5-Settings!$B$9+1),$C$5:C1354,"&lt;="&amp;Settings!$B$5)=1),1,0)</f>
        <v>0</v>
      </c>
      <c r="N1354" s="29" t="n">
        <f aca="false">IF(AND(D1354="Feature Use",COUNTIFS($B$5:B1354,B1354,$D$5:D1354,"Feature Use")=1),1,0)</f>
        <v>0</v>
      </c>
    </row>
    <row r="1355" customFormat="false" ht="15" hidden="false" customHeight="false" outlineLevel="0" collapsed="false">
      <c r="A1355" s="22" t="s">
        <v>1662</v>
      </c>
      <c r="B1355" s="22" t="s">
        <v>194</v>
      </c>
      <c r="C1355" s="31" t="n">
        <v>46305</v>
      </c>
      <c r="D1355" s="22" t="s">
        <v>297</v>
      </c>
      <c r="E1355" s="22" t="s">
        <v>298</v>
      </c>
      <c r="F1355" s="29" t="str">
        <f aca="false">IF(COUNTIF(Referral_Data!$C$5:$C$1000,B1355)&gt;0,"Referred",IF(COUNTIF(Referral_Data!$B$5:$B$1000,B1355)&gt;0,"Referrer","Organic"))</f>
        <v>Referred</v>
      </c>
      <c r="G1355" s="29" t="n">
        <f aca="false">IF(COUNTIFS($B$5:B1355,B1355,$C$5:C1355,C1355)=1,1,0)</f>
        <v>1</v>
      </c>
      <c r="H1355" s="29" t="n">
        <f aca="false">IF(AND(G1355=1,COUNTIFS($B$5:$B$1635,B1355,$C$5:$C$1635,"&lt;"&amp;C1355)&gt;0),1,0)</f>
        <v>1</v>
      </c>
      <c r="I1355" s="29" t="n">
        <f aca="false">IF(AND(D1355="Feature Use",COUNTIFS($B$5:B1355,B1355,$D$5:D1355,"Feature Use",$E$5:E1355,E1355)=1),1,0)</f>
        <v>0</v>
      </c>
      <c r="J1355" s="29" t="n">
        <f aca="false">IF(AND(D1355="Feature Use",COUNTIFS($B$5:B1355,B1355,$D$5:D1355,"Feature Use",$E$5:E1355,E1355)=2),1,0)</f>
        <v>0</v>
      </c>
      <c r="K1355" s="29" t="n">
        <f aca="false">IF(COUNTIF($B$5:B1355,B1355)=1,1,0)</f>
        <v>0</v>
      </c>
      <c r="L1355" s="29" t="n">
        <f aca="false">IF(AND(C1355&gt;=Settings!$B$5-Settings!$B$8+1,C1355&lt;=Settings!$B$5,COUNTIFS($B$5:B1355,B1355,$C$5:C1355,"&gt;="&amp;(Settings!$B$5-Settings!$B$8+1),$C$5:C1355,"&lt;="&amp;Settings!$B$5)=1),1,0)</f>
        <v>1</v>
      </c>
      <c r="M1355" s="29" t="n">
        <f aca="false">IF(AND(C1355&gt;=Settings!$B$5-Settings!$B$9+1,C1355&lt;=Settings!$B$5,COUNTIFS($B$5:B1355,B1355,$C$5:C1355,"&gt;="&amp;(Settings!$B$5-Settings!$B$9+1),$C$5:C1355,"&lt;="&amp;Settings!$B$5)=1),1,0)</f>
        <v>0</v>
      </c>
      <c r="N1355" s="29" t="n">
        <f aca="false">IF(AND(D1355="Feature Use",COUNTIFS($B$5:B1355,B1355,$D$5:D1355,"Feature Use")=1),1,0)</f>
        <v>0</v>
      </c>
    </row>
    <row r="1356" customFormat="false" ht="15" hidden="false" customHeight="false" outlineLevel="0" collapsed="false">
      <c r="A1356" s="22" t="s">
        <v>1663</v>
      </c>
      <c r="B1356" s="22" t="s">
        <v>194</v>
      </c>
      <c r="C1356" s="31" t="n">
        <v>46305</v>
      </c>
      <c r="D1356" s="22" t="s">
        <v>300</v>
      </c>
      <c r="E1356" s="22" t="s">
        <v>305</v>
      </c>
      <c r="F1356" s="29" t="str">
        <f aca="false">IF(COUNTIF(Referral_Data!$C$5:$C$1000,B1356)&gt;0,"Referred",IF(COUNTIF(Referral_Data!$B$5:$B$1000,B1356)&gt;0,"Referrer","Organic"))</f>
        <v>Referred</v>
      </c>
      <c r="G1356" s="29" t="n">
        <f aca="false">IF(COUNTIFS($B$5:B1356,B1356,$C$5:C1356,C1356)=1,1,0)</f>
        <v>0</v>
      </c>
      <c r="H1356" s="29" t="n">
        <f aca="false">IF(AND(G1356=1,COUNTIFS($B$5:$B$1635,B1356,$C$5:$C$1635,"&lt;"&amp;C1356)&gt;0),1,0)</f>
        <v>0</v>
      </c>
      <c r="I1356" s="29" t="n">
        <f aca="false">IF(AND(D1356="Feature Use",COUNTIFS($B$5:B1356,B1356,$D$5:D1356,"Feature Use",$E$5:E1356,E1356)=1),1,0)</f>
        <v>0</v>
      </c>
      <c r="J1356" s="29" t="n">
        <f aca="false">IF(AND(D1356="Feature Use",COUNTIFS($B$5:B1356,B1356,$D$5:D1356,"Feature Use",$E$5:E1356,E1356)=2),1,0)</f>
        <v>0</v>
      </c>
      <c r="K1356" s="29" t="n">
        <f aca="false">IF(COUNTIF($B$5:B1356,B1356)=1,1,0)</f>
        <v>0</v>
      </c>
      <c r="L1356" s="29" t="n">
        <f aca="false">IF(AND(C1356&gt;=Settings!$B$5-Settings!$B$8+1,C1356&lt;=Settings!$B$5,COUNTIFS($B$5:B1356,B1356,$C$5:C1356,"&gt;="&amp;(Settings!$B$5-Settings!$B$8+1),$C$5:C1356,"&lt;="&amp;Settings!$B$5)=1),1,0)</f>
        <v>0</v>
      </c>
      <c r="M1356" s="29" t="n">
        <f aca="false">IF(AND(C1356&gt;=Settings!$B$5-Settings!$B$9+1,C1356&lt;=Settings!$B$5,COUNTIFS($B$5:B1356,B1356,$C$5:C1356,"&gt;="&amp;(Settings!$B$5-Settings!$B$9+1),$C$5:C1356,"&lt;="&amp;Settings!$B$5)=1),1,0)</f>
        <v>0</v>
      </c>
      <c r="N1356" s="29" t="n">
        <f aca="false">IF(AND(D1356="Feature Use",COUNTIFS($B$5:B1356,B1356,$D$5:D1356,"Feature Use")=1),1,0)</f>
        <v>0</v>
      </c>
    </row>
    <row r="1357" customFormat="false" ht="15" hidden="false" customHeight="false" outlineLevel="0" collapsed="false">
      <c r="A1357" s="22" t="s">
        <v>1664</v>
      </c>
      <c r="B1357" s="22" t="s">
        <v>194</v>
      </c>
      <c r="C1357" s="31" t="n">
        <v>46305</v>
      </c>
      <c r="D1357" s="22" t="s">
        <v>300</v>
      </c>
      <c r="E1357" s="22" t="s">
        <v>305</v>
      </c>
      <c r="F1357" s="29" t="str">
        <f aca="false">IF(COUNTIF(Referral_Data!$C$5:$C$1000,B1357)&gt;0,"Referred",IF(COUNTIF(Referral_Data!$B$5:$B$1000,B1357)&gt;0,"Referrer","Organic"))</f>
        <v>Referred</v>
      </c>
      <c r="G1357" s="29" t="n">
        <f aca="false">IF(COUNTIFS($B$5:B1357,B1357,$C$5:C1357,C1357)=1,1,0)</f>
        <v>0</v>
      </c>
      <c r="H1357" s="29" t="n">
        <f aca="false">IF(AND(G1357=1,COUNTIFS($B$5:$B$1635,B1357,$C$5:$C$1635,"&lt;"&amp;C1357)&gt;0),1,0)</f>
        <v>0</v>
      </c>
      <c r="I1357" s="29" t="n">
        <f aca="false">IF(AND(D1357="Feature Use",COUNTIFS($B$5:B1357,B1357,$D$5:D1357,"Feature Use",$E$5:E1357,E1357)=1),1,0)</f>
        <v>0</v>
      </c>
      <c r="J1357" s="29" t="n">
        <f aca="false">IF(AND(D1357="Feature Use",COUNTIFS($B$5:B1357,B1357,$D$5:D1357,"Feature Use",$E$5:E1357,E1357)=2),1,0)</f>
        <v>0</v>
      </c>
      <c r="K1357" s="29" t="n">
        <f aca="false">IF(COUNTIF($B$5:B1357,B1357)=1,1,0)</f>
        <v>0</v>
      </c>
      <c r="L1357" s="29" t="n">
        <f aca="false">IF(AND(C1357&gt;=Settings!$B$5-Settings!$B$8+1,C1357&lt;=Settings!$B$5,COUNTIFS($B$5:B1357,B1357,$C$5:C1357,"&gt;="&amp;(Settings!$B$5-Settings!$B$8+1),$C$5:C1357,"&lt;="&amp;Settings!$B$5)=1),1,0)</f>
        <v>0</v>
      </c>
      <c r="M1357" s="29" t="n">
        <f aca="false">IF(AND(C1357&gt;=Settings!$B$5-Settings!$B$9+1,C1357&lt;=Settings!$B$5,COUNTIFS($B$5:B1357,B1357,$C$5:C1357,"&gt;="&amp;(Settings!$B$5-Settings!$B$9+1),$C$5:C1357,"&lt;="&amp;Settings!$B$5)=1),1,0)</f>
        <v>0</v>
      </c>
      <c r="N1357" s="29" t="n">
        <f aca="false">IF(AND(D1357="Feature Use",COUNTIFS($B$5:B1357,B1357,$D$5:D1357,"Feature Use")=1),1,0)</f>
        <v>0</v>
      </c>
    </row>
    <row r="1358" customFormat="false" ht="15" hidden="false" customHeight="false" outlineLevel="0" collapsed="false">
      <c r="A1358" s="22" t="s">
        <v>1665</v>
      </c>
      <c r="B1358" s="22" t="s">
        <v>213</v>
      </c>
      <c r="C1358" s="31" t="n">
        <v>46305</v>
      </c>
      <c r="D1358" s="22" t="s">
        <v>297</v>
      </c>
      <c r="E1358" s="22" t="s">
        <v>298</v>
      </c>
      <c r="F1358" s="29" t="str">
        <f aca="false">IF(COUNTIF(Referral_Data!$C$5:$C$1000,B1358)&gt;0,"Referred",IF(COUNTIF(Referral_Data!$B$5:$B$1000,B1358)&gt;0,"Referrer","Organic"))</f>
        <v>Referred</v>
      </c>
      <c r="G1358" s="29" t="n">
        <f aca="false">IF(COUNTIFS($B$5:B1358,B1358,$C$5:C1358,C1358)=1,1,0)</f>
        <v>1</v>
      </c>
      <c r="H1358" s="29" t="n">
        <f aca="false">IF(AND(G1358=1,COUNTIFS($B$5:$B$1635,B1358,$C$5:$C$1635,"&lt;"&amp;C1358)&gt;0),1,0)</f>
        <v>1</v>
      </c>
      <c r="I1358" s="29" t="n">
        <f aca="false">IF(AND(D1358="Feature Use",COUNTIFS($B$5:B1358,B1358,$D$5:D1358,"Feature Use",$E$5:E1358,E1358)=1),1,0)</f>
        <v>0</v>
      </c>
      <c r="J1358" s="29" t="n">
        <f aca="false">IF(AND(D1358="Feature Use",COUNTIFS($B$5:B1358,B1358,$D$5:D1358,"Feature Use",$E$5:E1358,E1358)=2),1,0)</f>
        <v>0</v>
      </c>
      <c r="K1358" s="29" t="n">
        <f aca="false">IF(COUNTIF($B$5:B1358,B1358)=1,1,0)</f>
        <v>0</v>
      </c>
      <c r="L1358" s="29" t="n">
        <f aca="false">IF(AND(C1358&gt;=Settings!$B$5-Settings!$B$8+1,C1358&lt;=Settings!$B$5,COUNTIFS($B$5:B1358,B1358,$C$5:C1358,"&gt;="&amp;(Settings!$B$5-Settings!$B$8+1),$C$5:C1358,"&lt;="&amp;Settings!$B$5)=1),1,0)</f>
        <v>1</v>
      </c>
      <c r="M1358" s="29" t="n">
        <f aca="false">IF(AND(C1358&gt;=Settings!$B$5-Settings!$B$9+1,C1358&lt;=Settings!$B$5,COUNTIFS($B$5:B1358,B1358,$C$5:C1358,"&gt;="&amp;(Settings!$B$5-Settings!$B$9+1),$C$5:C1358,"&lt;="&amp;Settings!$B$5)=1),1,0)</f>
        <v>0</v>
      </c>
      <c r="N1358" s="29" t="n">
        <f aca="false">IF(AND(D1358="Feature Use",COUNTIFS($B$5:B1358,B1358,$D$5:D1358,"Feature Use")=1),1,0)</f>
        <v>0</v>
      </c>
    </row>
    <row r="1359" customFormat="false" ht="15" hidden="false" customHeight="false" outlineLevel="0" collapsed="false">
      <c r="A1359" s="22" t="s">
        <v>1666</v>
      </c>
      <c r="B1359" s="22" t="s">
        <v>213</v>
      </c>
      <c r="C1359" s="31" t="n">
        <v>46305</v>
      </c>
      <c r="D1359" s="22" t="s">
        <v>300</v>
      </c>
      <c r="E1359" s="22" t="s">
        <v>311</v>
      </c>
      <c r="F1359" s="29" t="str">
        <f aca="false">IF(COUNTIF(Referral_Data!$C$5:$C$1000,B1359)&gt;0,"Referred",IF(COUNTIF(Referral_Data!$B$5:$B$1000,B1359)&gt;0,"Referrer","Organic"))</f>
        <v>Referred</v>
      </c>
      <c r="G1359" s="29" t="n">
        <f aca="false">IF(COUNTIFS($B$5:B1359,B1359,$C$5:C1359,C1359)=1,1,0)</f>
        <v>0</v>
      </c>
      <c r="H1359" s="29" t="n">
        <f aca="false">IF(AND(G1359=1,COUNTIFS($B$5:$B$1635,B1359,$C$5:$C$1635,"&lt;"&amp;C1359)&gt;0),1,0)</f>
        <v>0</v>
      </c>
      <c r="I1359" s="29" t="n">
        <f aca="false">IF(AND(D1359="Feature Use",COUNTIFS($B$5:B1359,B1359,$D$5:D1359,"Feature Use",$E$5:E1359,E1359)=1),1,0)</f>
        <v>0</v>
      </c>
      <c r="J1359" s="29" t="n">
        <f aca="false">IF(AND(D1359="Feature Use",COUNTIFS($B$5:B1359,B1359,$D$5:D1359,"Feature Use",$E$5:E1359,E1359)=2),1,0)</f>
        <v>0</v>
      </c>
      <c r="K1359" s="29" t="n">
        <f aca="false">IF(COUNTIF($B$5:B1359,B1359)=1,1,0)</f>
        <v>0</v>
      </c>
      <c r="L1359" s="29" t="n">
        <f aca="false">IF(AND(C1359&gt;=Settings!$B$5-Settings!$B$8+1,C1359&lt;=Settings!$B$5,COUNTIFS($B$5:B1359,B1359,$C$5:C1359,"&gt;="&amp;(Settings!$B$5-Settings!$B$8+1),$C$5:C1359,"&lt;="&amp;Settings!$B$5)=1),1,0)</f>
        <v>0</v>
      </c>
      <c r="M1359" s="29" t="n">
        <f aca="false">IF(AND(C1359&gt;=Settings!$B$5-Settings!$B$9+1,C1359&lt;=Settings!$B$5,COUNTIFS($B$5:B1359,B1359,$C$5:C1359,"&gt;="&amp;(Settings!$B$5-Settings!$B$9+1),$C$5:C1359,"&lt;="&amp;Settings!$B$5)=1),1,0)</f>
        <v>0</v>
      </c>
      <c r="N1359" s="29" t="n">
        <f aca="false">IF(AND(D1359="Feature Use",COUNTIFS($B$5:B1359,B1359,$D$5:D1359,"Feature Use")=1),1,0)</f>
        <v>0</v>
      </c>
    </row>
    <row r="1360" customFormat="false" ht="15" hidden="false" customHeight="false" outlineLevel="0" collapsed="false">
      <c r="A1360" s="22" t="s">
        <v>1667</v>
      </c>
      <c r="B1360" s="22" t="s">
        <v>213</v>
      </c>
      <c r="C1360" s="31" t="n">
        <v>46305</v>
      </c>
      <c r="D1360" s="22" t="s">
        <v>300</v>
      </c>
      <c r="E1360" s="22" t="s">
        <v>301</v>
      </c>
      <c r="F1360" s="29" t="str">
        <f aca="false">IF(COUNTIF(Referral_Data!$C$5:$C$1000,B1360)&gt;0,"Referred",IF(COUNTIF(Referral_Data!$B$5:$B$1000,B1360)&gt;0,"Referrer","Organic"))</f>
        <v>Referred</v>
      </c>
      <c r="G1360" s="29" t="n">
        <f aca="false">IF(COUNTIFS($B$5:B1360,B1360,$C$5:C1360,C1360)=1,1,0)</f>
        <v>0</v>
      </c>
      <c r="H1360" s="29" t="n">
        <f aca="false">IF(AND(G1360=1,COUNTIFS($B$5:$B$1635,B1360,$C$5:$C$1635,"&lt;"&amp;C1360)&gt;0),1,0)</f>
        <v>0</v>
      </c>
      <c r="I1360" s="29" t="n">
        <f aca="false">IF(AND(D1360="Feature Use",COUNTIFS($B$5:B1360,B1360,$D$5:D1360,"Feature Use",$E$5:E1360,E1360)=1),1,0)</f>
        <v>0</v>
      </c>
      <c r="J1360" s="29" t="n">
        <f aca="false">IF(AND(D1360="Feature Use",COUNTIFS($B$5:B1360,B1360,$D$5:D1360,"Feature Use",$E$5:E1360,E1360)=2),1,0)</f>
        <v>0</v>
      </c>
      <c r="K1360" s="29" t="n">
        <f aca="false">IF(COUNTIF($B$5:B1360,B1360)=1,1,0)</f>
        <v>0</v>
      </c>
      <c r="L1360" s="29" t="n">
        <f aca="false">IF(AND(C1360&gt;=Settings!$B$5-Settings!$B$8+1,C1360&lt;=Settings!$B$5,COUNTIFS($B$5:B1360,B1360,$C$5:C1360,"&gt;="&amp;(Settings!$B$5-Settings!$B$8+1),$C$5:C1360,"&lt;="&amp;Settings!$B$5)=1),1,0)</f>
        <v>0</v>
      </c>
      <c r="M1360" s="29" t="n">
        <f aca="false">IF(AND(C1360&gt;=Settings!$B$5-Settings!$B$9+1,C1360&lt;=Settings!$B$5,COUNTIFS($B$5:B1360,B1360,$C$5:C1360,"&gt;="&amp;(Settings!$B$5-Settings!$B$9+1),$C$5:C1360,"&lt;="&amp;Settings!$B$5)=1),1,0)</f>
        <v>0</v>
      </c>
      <c r="N1360" s="29" t="n">
        <f aca="false">IF(AND(D1360="Feature Use",COUNTIFS($B$5:B1360,B1360,$D$5:D1360,"Feature Use")=1),1,0)</f>
        <v>0</v>
      </c>
    </row>
    <row r="1361" customFormat="false" ht="15" hidden="false" customHeight="false" outlineLevel="0" collapsed="false">
      <c r="A1361" s="22" t="s">
        <v>1668</v>
      </c>
      <c r="B1361" s="22" t="s">
        <v>222</v>
      </c>
      <c r="C1361" s="31" t="n">
        <v>46305</v>
      </c>
      <c r="D1361" s="22" t="s">
        <v>297</v>
      </c>
      <c r="E1361" s="22" t="s">
        <v>298</v>
      </c>
      <c r="F1361" s="29" t="str">
        <f aca="false">IF(COUNTIF(Referral_Data!$C$5:$C$1000,B1361)&gt;0,"Referred",IF(COUNTIF(Referral_Data!$B$5:$B$1000,B1361)&gt;0,"Referrer","Organic"))</f>
        <v>Referred</v>
      </c>
      <c r="G1361" s="29" t="n">
        <f aca="false">IF(COUNTIFS($B$5:B1361,B1361,$C$5:C1361,C1361)=1,1,0)</f>
        <v>1</v>
      </c>
      <c r="H1361" s="29" t="n">
        <f aca="false">IF(AND(G1361=1,COUNTIFS($B$5:$B$1635,B1361,$C$5:$C$1635,"&lt;"&amp;C1361)&gt;0),1,0)</f>
        <v>0</v>
      </c>
      <c r="I1361" s="29" t="n">
        <f aca="false">IF(AND(D1361="Feature Use",COUNTIFS($B$5:B1361,B1361,$D$5:D1361,"Feature Use",$E$5:E1361,E1361)=1),1,0)</f>
        <v>0</v>
      </c>
      <c r="J1361" s="29" t="n">
        <f aca="false">IF(AND(D1361="Feature Use",COUNTIFS($B$5:B1361,B1361,$D$5:D1361,"Feature Use",$E$5:E1361,E1361)=2),1,0)</f>
        <v>0</v>
      </c>
      <c r="K1361" s="29" t="n">
        <f aca="false">IF(COUNTIF($B$5:B1361,B1361)=1,1,0)</f>
        <v>1</v>
      </c>
      <c r="L1361" s="29" t="n">
        <f aca="false">IF(AND(C1361&gt;=Settings!$B$5-Settings!$B$8+1,C1361&lt;=Settings!$B$5,COUNTIFS($B$5:B1361,B1361,$C$5:C1361,"&gt;="&amp;(Settings!$B$5-Settings!$B$8+1),$C$5:C1361,"&lt;="&amp;Settings!$B$5)=1),1,0)</f>
        <v>1</v>
      </c>
      <c r="M1361" s="29" t="n">
        <f aca="false">IF(AND(C1361&gt;=Settings!$B$5-Settings!$B$9+1,C1361&lt;=Settings!$B$5,COUNTIFS($B$5:B1361,B1361,$C$5:C1361,"&gt;="&amp;(Settings!$B$5-Settings!$B$9+1),$C$5:C1361,"&lt;="&amp;Settings!$B$5)=1),1,0)</f>
        <v>1</v>
      </c>
      <c r="N1361" s="29" t="n">
        <f aca="false">IF(AND(D1361="Feature Use",COUNTIFS($B$5:B1361,B1361,$D$5:D1361,"Feature Use")=1),1,0)</f>
        <v>0</v>
      </c>
    </row>
    <row r="1362" customFormat="false" ht="15" hidden="false" customHeight="false" outlineLevel="0" collapsed="false">
      <c r="A1362" s="22" t="s">
        <v>1669</v>
      </c>
      <c r="B1362" s="22" t="s">
        <v>222</v>
      </c>
      <c r="C1362" s="31" t="n">
        <v>46305</v>
      </c>
      <c r="D1362" s="22" t="s">
        <v>300</v>
      </c>
      <c r="E1362" s="22" t="s">
        <v>319</v>
      </c>
      <c r="F1362" s="29" t="str">
        <f aca="false">IF(COUNTIF(Referral_Data!$C$5:$C$1000,B1362)&gt;0,"Referred",IF(COUNTIF(Referral_Data!$B$5:$B$1000,B1362)&gt;0,"Referrer","Organic"))</f>
        <v>Referred</v>
      </c>
      <c r="G1362" s="29" t="n">
        <f aca="false">IF(COUNTIFS($B$5:B1362,B1362,$C$5:C1362,C1362)=1,1,0)</f>
        <v>0</v>
      </c>
      <c r="H1362" s="29" t="n">
        <f aca="false">IF(AND(G1362=1,COUNTIFS($B$5:$B$1635,B1362,$C$5:$C$1635,"&lt;"&amp;C1362)&gt;0),1,0)</f>
        <v>0</v>
      </c>
      <c r="I1362" s="29" t="n">
        <f aca="false">IF(AND(D1362="Feature Use",COUNTIFS($B$5:B1362,B1362,$D$5:D1362,"Feature Use",$E$5:E1362,E1362)=1),1,0)</f>
        <v>1</v>
      </c>
      <c r="J1362" s="29" t="n">
        <f aca="false">IF(AND(D1362="Feature Use",COUNTIFS($B$5:B1362,B1362,$D$5:D1362,"Feature Use",$E$5:E1362,E1362)=2),1,0)</f>
        <v>0</v>
      </c>
      <c r="K1362" s="29" t="n">
        <f aca="false">IF(COUNTIF($B$5:B1362,B1362)=1,1,0)</f>
        <v>0</v>
      </c>
      <c r="L1362" s="29" t="n">
        <f aca="false">IF(AND(C1362&gt;=Settings!$B$5-Settings!$B$8+1,C1362&lt;=Settings!$B$5,COUNTIFS($B$5:B1362,B1362,$C$5:C1362,"&gt;="&amp;(Settings!$B$5-Settings!$B$8+1),$C$5:C1362,"&lt;="&amp;Settings!$B$5)=1),1,0)</f>
        <v>0</v>
      </c>
      <c r="M1362" s="29" t="n">
        <f aca="false">IF(AND(C1362&gt;=Settings!$B$5-Settings!$B$9+1,C1362&lt;=Settings!$B$5,COUNTIFS($B$5:B1362,B1362,$C$5:C1362,"&gt;="&amp;(Settings!$B$5-Settings!$B$9+1),$C$5:C1362,"&lt;="&amp;Settings!$B$5)=1),1,0)</f>
        <v>0</v>
      </c>
      <c r="N1362" s="29" t="n">
        <f aca="false">IF(AND(D1362="Feature Use",COUNTIFS($B$5:B1362,B1362,$D$5:D1362,"Feature Use")=1),1,0)</f>
        <v>1</v>
      </c>
    </row>
    <row r="1363" customFormat="false" ht="15" hidden="false" customHeight="false" outlineLevel="0" collapsed="false">
      <c r="A1363" s="22" t="s">
        <v>1670</v>
      </c>
      <c r="B1363" s="22" t="s">
        <v>222</v>
      </c>
      <c r="C1363" s="31" t="n">
        <v>46305</v>
      </c>
      <c r="D1363" s="22" t="s">
        <v>300</v>
      </c>
      <c r="E1363" s="22" t="s">
        <v>305</v>
      </c>
      <c r="F1363" s="29" t="str">
        <f aca="false">IF(COUNTIF(Referral_Data!$C$5:$C$1000,B1363)&gt;0,"Referred",IF(COUNTIF(Referral_Data!$B$5:$B$1000,B1363)&gt;0,"Referrer","Organic"))</f>
        <v>Referred</v>
      </c>
      <c r="G1363" s="29" t="n">
        <f aca="false">IF(COUNTIFS($B$5:B1363,B1363,$C$5:C1363,C1363)=1,1,0)</f>
        <v>0</v>
      </c>
      <c r="H1363" s="29" t="n">
        <f aca="false">IF(AND(G1363=1,COUNTIFS($B$5:$B$1635,B1363,$C$5:$C$1635,"&lt;"&amp;C1363)&gt;0),1,0)</f>
        <v>0</v>
      </c>
      <c r="I1363" s="29" t="n">
        <f aca="false">IF(AND(D1363="Feature Use",COUNTIFS($B$5:B1363,B1363,$D$5:D1363,"Feature Use",$E$5:E1363,E1363)=1),1,0)</f>
        <v>1</v>
      </c>
      <c r="J1363" s="29" t="n">
        <f aca="false">IF(AND(D1363="Feature Use",COUNTIFS($B$5:B1363,B1363,$D$5:D1363,"Feature Use",$E$5:E1363,E1363)=2),1,0)</f>
        <v>0</v>
      </c>
      <c r="K1363" s="29" t="n">
        <f aca="false">IF(COUNTIF($B$5:B1363,B1363)=1,1,0)</f>
        <v>0</v>
      </c>
      <c r="L1363" s="29" t="n">
        <f aca="false">IF(AND(C1363&gt;=Settings!$B$5-Settings!$B$8+1,C1363&lt;=Settings!$B$5,COUNTIFS($B$5:B1363,B1363,$C$5:C1363,"&gt;="&amp;(Settings!$B$5-Settings!$B$8+1),$C$5:C1363,"&lt;="&amp;Settings!$B$5)=1),1,0)</f>
        <v>0</v>
      </c>
      <c r="M1363" s="29" t="n">
        <f aca="false">IF(AND(C1363&gt;=Settings!$B$5-Settings!$B$9+1,C1363&lt;=Settings!$B$5,COUNTIFS($B$5:B1363,B1363,$C$5:C1363,"&gt;="&amp;(Settings!$B$5-Settings!$B$9+1),$C$5:C1363,"&lt;="&amp;Settings!$B$5)=1),1,0)</f>
        <v>0</v>
      </c>
      <c r="N1363" s="29" t="n">
        <f aca="false">IF(AND(D1363="Feature Use",COUNTIFS($B$5:B1363,B1363,$D$5:D1363,"Feature Use")=1),1,0)</f>
        <v>0</v>
      </c>
    </row>
    <row r="1364" customFormat="false" ht="15" hidden="false" customHeight="false" outlineLevel="0" collapsed="false">
      <c r="A1364" s="22" t="s">
        <v>1671</v>
      </c>
      <c r="B1364" s="22" t="s">
        <v>230</v>
      </c>
      <c r="C1364" s="31" t="n">
        <v>46305</v>
      </c>
      <c r="D1364" s="22" t="s">
        <v>297</v>
      </c>
      <c r="E1364" s="22" t="s">
        <v>298</v>
      </c>
      <c r="F1364" s="29" t="str">
        <f aca="false">IF(COUNTIF(Referral_Data!$C$5:$C$1000,B1364)&gt;0,"Referred",IF(COUNTIF(Referral_Data!$B$5:$B$1000,B1364)&gt;0,"Referrer","Organic"))</f>
        <v>Referred</v>
      </c>
      <c r="G1364" s="29" t="n">
        <f aca="false">IF(COUNTIFS($B$5:B1364,B1364,$C$5:C1364,C1364)=1,1,0)</f>
        <v>1</v>
      </c>
      <c r="H1364" s="29" t="n">
        <f aca="false">IF(AND(G1364=1,COUNTIFS($B$5:$B$1635,B1364,$C$5:$C$1635,"&lt;"&amp;C1364)&gt;0),1,0)</f>
        <v>1</v>
      </c>
      <c r="I1364" s="29" t="n">
        <f aca="false">IF(AND(D1364="Feature Use",COUNTIFS($B$5:B1364,B1364,$D$5:D1364,"Feature Use",$E$5:E1364,E1364)=1),1,0)</f>
        <v>0</v>
      </c>
      <c r="J1364" s="29" t="n">
        <f aca="false">IF(AND(D1364="Feature Use",COUNTIFS($B$5:B1364,B1364,$D$5:D1364,"Feature Use",$E$5:E1364,E1364)=2),1,0)</f>
        <v>0</v>
      </c>
      <c r="K1364" s="29" t="n">
        <f aca="false">IF(COUNTIF($B$5:B1364,B1364)=1,1,0)</f>
        <v>0</v>
      </c>
      <c r="L1364" s="29" t="n">
        <f aca="false">IF(AND(C1364&gt;=Settings!$B$5-Settings!$B$8+1,C1364&lt;=Settings!$B$5,COUNTIFS($B$5:B1364,B1364,$C$5:C1364,"&gt;="&amp;(Settings!$B$5-Settings!$B$8+1),$C$5:C1364,"&lt;="&amp;Settings!$B$5)=1),1,0)</f>
        <v>0</v>
      </c>
      <c r="M1364" s="29" t="n">
        <f aca="false">IF(AND(C1364&gt;=Settings!$B$5-Settings!$B$9+1,C1364&lt;=Settings!$B$5,COUNTIFS($B$5:B1364,B1364,$C$5:C1364,"&gt;="&amp;(Settings!$B$5-Settings!$B$9+1),$C$5:C1364,"&lt;="&amp;Settings!$B$5)=1),1,0)</f>
        <v>0</v>
      </c>
      <c r="N1364" s="29" t="n">
        <f aca="false">IF(AND(D1364="Feature Use",COUNTIFS($B$5:B1364,B1364,$D$5:D1364,"Feature Use")=1),1,0)</f>
        <v>0</v>
      </c>
    </row>
    <row r="1365" customFormat="false" ht="15" hidden="false" customHeight="false" outlineLevel="0" collapsed="false">
      <c r="A1365" s="22" t="s">
        <v>1672</v>
      </c>
      <c r="B1365" s="22" t="s">
        <v>230</v>
      </c>
      <c r="C1365" s="31" t="n">
        <v>46305</v>
      </c>
      <c r="D1365" s="22" t="s">
        <v>300</v>
      </c>
      <c r="E1365" s="22" t="s">
        <v>319</v>
      </c>
      <c r="F1365" s="29" t="str">
        <f aca="false">IF(COUNTIF(Referral_Data!$C$5:$C$1000,B1365)&gt;0,"Referred",IF(COUNTIF(Referral_Data!$B$5:$B$1000,B1365)&gt;0,"Referrer","Organic"))</f>
        <v>Referred</v>
      </c>
      <c r="G1365" s="29" t="n">
        <f aca="false">IF(COUNTIFS($B$5:B1365,B1365,$C$5:C1365,C1365)=1,1,0)</f>
        <v>0</v>
      </c>
      <c r="H1365" s="29" t="n">
        <f aca="false">IF(AND(G1365=1,COUNTIFS($B$5:$B$1635,B1365,$C$5:$C$1635,"&lt;"&amp;C1365)&gt;0),1,0)</f>
        <v>0</v>
      </c>
      <c r="I1365" s="29" t="n">
        <f aca="false">IF(AND(D1365="Feature Use",COUNTIFS($B$5:B1365,B1365,$D$5:D1365,"Feature Use",$E$5:E1365,E1365)=1),1,0)</f>
        <v>1</v>
      </c>
      <c r="J1365" s="29" t="n">
        <f aca="false">IF(AND(D1365="Feature Use",COUNTIFS($B$5:B1365,B1365,$D$5:D1365,"Feature Use",$E$5:E1365,E1365)=2),1,0)</f>
        <v>0</v>
      </c>
      <c r="K1365" s="29" t="n">
        <f aca="false">IF(COUNTIF($B$5:B1365,B1365)=1,1,0)</f>
        <v>0</v>
      </c>
      <c r="L1365" s="29" t="n">
        <f aca="false">IF(AND(C1365&gt;=Settings!$B$5-Settings!$B$8+1,C1365&lt;=Settings!$B$5,COUNTIFS($B$5:B1365,B1365,$C$5:C1365,"&gt;="&amp;(Settings!$B$5-Settings!$B$8+1),$C$5:C1365,"&lt;="&amp;Settings!$B$5)=1),1,0)</f>
        <v>0</v>
      </c>
      <c r="M1365" s="29" t="n">
        <f aca="false">IF(AND(C1365&gt;=Settings!$B$5-Settings!$B$9+1,C1365&lt;=Settings!$B$5,COUNTIFS($B$5:B1365,B1365,$C$5:C1365,"&gt;="&amp;(Settings!$B$5-Settings!$B$9+1),$C$5:C1365,"&lt;="&amp;Settings!$B$5)=1),1,0)</f>
        <v>0</v>
      </c>
      <c r="N1365" s="29" t="n">
        <f aca="false">IF(AND(D1365="Feature Use",COUNTIFS($B$5:B1365,B1365,$D$5:D1365,"Feature Use")=1),1,0)</f>
        <v>0</v>
      </c>
    </row>
    <row r="1366" customFormat="false" ht="15" hidden="false" customHeight="false" outlineLevel="0" collapsed="false">
      <c r="A1366" s="22" t="s">
        <v>1673</v>
      </c>
      <c r="B1366" s="22" t="s">
        <v>230</v>
      </c>
      <c r="C1366" s="31" t="n">
        <v>46305</v>
      </c>
      <c r="D1366" s="22" t="s">
        <v>300</v>
      </c>
      <c r="E1366" s="22" t="s">
        <v>311</v>
      </c>
      <c r="F1366" s="29" t="str">
        <f aca="false">IF(COUNTIF(Referral_Data!$C$5:$C$1000,B1366)&gt;0,"Referred",IF(COUNTIF(Referral_Data!$B$5:$B$1000,B1366)&gt;0,"Referrer","Organic"))</f>
        <v>Referred</v>
      </c>
      <c r="G1366" s="29" t="n">
        <f aca="false">IF(COUNTIFS($B$5:B1366,B1366,$C$5:C1366,C1366)=1,1,0)</f>
        <v>0</v>
      </c>
      <c r="H1366" s="29" t="n">
        <f aca="false">IF(AND(G1366=1,COUNTIFS($B$5:$B$1635,B1366,$C$5:$C$1635,"&lt;"&amp;C1366)&gt;0),1,0)</f>
        <v>0</v>
      </c>
      <c r="I1366" s="29" t="n">
        <f aca="false">IF(AND(D1366="Feature Use",COUNTIFS($B$5:B1366,B1366,$D$5:D1366,"Feature Use",$E$5:E1366,E1366)=1),1,0)</f>
        <v>1</v>
      </c>
      <c r="J1366" s="29" t="n">
        <f aca="false">IF(AND(D1366="Feature Use",COUNTIFS($B$5:B1366,B1366,$D$5:D1366,"Feature Use",$E$5:E1366,E1366)=2),1,0)</f>
        <v>0</v>
      </c>
      <c r="K1366" s="29" t="n">
        <f aca="false">IF(COUNTIF($B$5:B1366,B1366)=1,1,0)</f>
        <v>0</v>
      </c>
      <c r="L1366" s="29" t="n">
        <f aca="false">IF(AND(C1366&gt;=Settings!$B$5-Settings!$B$8+1,C1366&lt;=Settings!$B$5,COUNTIFS($B$5:B1366,B1366,$C$5:C1366,"&gt;="&amp;(Settings!$B$5-Settings!$B$8+1),$C$5:C1366,"&lt;="&amp;Settings!$B$5)=1),1,0)</f>
        <v>0</v>
      </c>
      <c r="M1366" s="29" t="n">
        <f aca="false">IF(AND(C1366&gt;=Settings!$B$5-Settings!$B$9+1,C1366&lt;=Settings!$B$5,COUNTIFS($B$5:B1366,B1366,$C$5:C1366,"&gt;="&amp;(Settings!$B$5-Settings!$B$9+1),$C$5:C1366,"&lt;="&amp;Settings!$B$5)=1),1,0)</f>
        <v>0</v>
      </c>
      <c r="N1366" s="29" t="n">
        <f aca="false">IF(AND(D1366="Feature Use",COUNTIFS($B$5:B1366,B1366,$D$5:D1366,"Feature Use")=1),1,0)</f>
        <v>0</v>
      </c>
    </row>
    <row r="1367" customFormat="false" ht="15" hidden="false" customHeight="false" outlineLevel="0" collapsed="false">
      <c r="A1367" s="22" t="s">
        <v>1674</v>
      </c>
      <c r="B1367" s="22" t="s">
        <v>232</v>
      </c>
      <c r="C1367" s="31" t="n">
        <v>46305</v>
      </c>
      <c r="D1367" s="22" t="s">
        <v>297</v>
      </c>
      <c r="E1367" s="22" t="s">
        <v>298</v>
      </c>
      <c r="F1367" s="29" t="str">
        <f aca="false">IF(COUNTIF(Referral_Data!$C$5:$C$1000,B1367)&gt;0,"Referred",IF(COUNTIF(Referral_Data!$B$5:$B$1000,B1367)&gt;0,"Referrer","Organic"))</f>
        <v>Referred</v>
      </c>
      <c r="G1367" s="29" t="n">
        <f aca="false">IF(COUNTIFS($B$5:B1367,B1367,$C$5:C1367,C1367)=1,1,0)</f>
        <v>1</v>
      </c>
      <c r="H1367" s="29" t="n">
        <f aca="false">IF(AND(G1367=1,COUNTIFS($B$5:$B$1635,B1367,$C$5:$C$1635,"&lt;"&amp;C1367)&gt;0),1,0)</f>
        <v>0</v>
      </c>
      <c r="I1367" s="29" t="n">
        <f aca="false">IF(AND(D1367="Feature Use",COUNTIFS($B$5:B1367,B1367,$D$5:D1367,"Feature Use",$E$5:E1367,E1367)=1),1,0)</f>
        <v>0</v>
      </c>
      <c r="J1367" s="29" t="n">
        <f aca="false">IF(AND(D1367="Feature Use",COUNTIFS($B$5:B1367,B1367,$D$5:D1367,"Feature Use",$E$5:E1367,E1367)=2),1,0)</f>
        <v>0</v>
      </c>
      <c r="K1367" s="29" t="n">
        <f aca="false">IF(COUNTIF($B$5:B1367,B1367)=1,1,0)</f>
        <v>1</v>
      </c>
      <c r="L1367" s="29" t="n">
        <f aca="false">IF(AND(C1367&gt;=Settings!$B$5-Settings!$B$8+1,C1367&lt;=Settings!$B$5,COUNTIFS($B$5:B1367,B1367,$C$5:C1367,"&gt;="&amp;(Settings!$B$5-Settings!$B$8+1),$C$5:C1367,"&lt;="&amp;Settings!$B$5)=1),1,0)</f>
        <v>1</v>
      </c>
      <c r="M1367" s="29" t="n">
        <f aca="false">IF(AND(C1367&gt;=Settings!$B$5-Settings!$B$9+1,C1367&lt;=Settings!$B$5,COUNTIFS($B$5:B1367,B1367,$C$5:C1367,"&gt;="&amp;(Settings!$B$5-Settings!$B$9+1),$C$5:C1367,"&lt;="&amp;Settings!$B$5)=1),1,0)</f>
        <v>1</v>
      </c>
      <c r="N1367" s="29" t="n">
        <f aca="false">IF(AND(D1367="Feature Use",COUNTIFS($B$5:B1367,B1367,$D$5:D1367,"Feature Use")=1),1,0)</f>
        <v>0</v>
      </c>
    </row>
    <row r="1368" customFormat="false" ht="15" hidden="false" customHeight="false" outlineLevel="0" collapsed="false">
      <c r="A1368" s="22" t="s">
        <v>1675</v>
      </c>
      <c r="B1368" s="22" t="s">
        <v>232</v>
      </c>
      <c r="C1368" s="31" t="n">
        <v>46305</v>
      </c>
      <c r="D1368" s="22" t="s">
        <v>300</v>
      </c>
      <c r="E1368" s="22" t="s">
        <v>305</v>
      </c>
      <c r="F1368" s="29" t="str">
        <f aca="false">IF(COUNTIF(Referral_Data!$C$5:$C$1000,B1368)&gt;0,"Referred",IF(COUNTIF(Referral_Data!$B$5:$B$1000,B1368)&gt;0,"Referrer","Organic"))</f>
        <v>Referred</v>
      </c>
      <c r="G1368" s="29" t="n">
        <f aca="false">IF(COUNTIFS($B$5:B1368,B1368,$C$5:C1368,C1368)=1,1,0)</f>
        <v>0</v>
      </c>
      <c r="H1368" s="29" t="n">
        <f aca="false">IF(AND(G1368=1,COUNTIFS($B$5:$B$1635,B1368,$C$5:$C$1635,"&lt;"&amp;C1368)&gt;0),1,0)</f>
        <v>0</v>
      </c>
      <c r="I1368" s="29" t="n">
        <f aca="false">IF(AND(D1368="Feature Use",COUNTIFS($B$5:B1368,B1368,$D$5:D1368,"Feature Use",$E$5:E1368,E1368)=1),1,0)</f>
        <v>1</v>
      </c>
      <c r="J1368" s="29" t="n">
        <f aca="false">IF(AND(D1368="Feature Use",COUNTIFS($B$5:B1368,B1368,$D$5:D1368,"Feature Use",$E$5:E1368,E1368)=2),1,0)</f>
        <v>0</v>
      </c>
      <c r="K1368" s="29" t="n">
        <f aca="false">IF(COUNTIF($B$5:B1368,B1368)=1,1,0)</f>
        <v>0</v>
      </c>
      <c r="L1368" s="29" t="n">
        <f aca="false">IF(AND(C1368&gt;=Settings!$B$5-Settings!$B$8+1,C1368&lt;=Settings!$B$5,COUNTIFS($B$5:B1368,B1368,$C$5:C1368,"&gt;="&amp;(Settings!$B$5-Settings!$B$8+1),$C$5:C1368,"&lt;="&amp;Settings!$B$5)=1),1,0)</f>
        <v>0</v>
      </c>
      <c r="M1368" s="29" t="n">
        <f aca="false">IF(AND(C1368&gt;=Settings!$B$5-Settings!$B$9+1,C1368&lt;=Settings!$B$5,COUNTIFS($B$5:B1368,B1368,$C$5:C1368,"&gt;="&amp;(Settings!$B$5-Settings!$B$9+1),$C$5:C1368,"&lt;="&amp;Settings!$B$5)=1),1,0)</f>
        <v>0</v>
      </c>
      <c r="N1368" s="29" t="n">
        <f aca="false">IF(AND(D1368="Feature Use",COUNTIFS($B$5:B1368,B1368,$D$5:D1368,"Feature Use")=1),1,0)</f>
        <v>1</v>
      </c>
    </row>
    <row r="1369" customFormat="false" ht="15" hidden="false" customHeight="false" outlineLevel="0" collapsed="false">
      <c r="A1369" s="22" t="s">
        <v>1676</v>
      </c>
      <c r="B1369" s="22" t="s">
        <v>232</v>
      </c>
      <c r="C1369" s="31" t="n">
        <v>46305</v>
      </c>
      <c r="D1369" s="22" t="s">
        <v>300</v>
      </c>
      <c r="E1369" s="22" t="s">
        <v>319</v>
      </c>
      <c r="F1369" s="29" t="str">
        <f aca="false">IF(COUNTIF(Referral_Data!$C$5:$C$1000,B1369)&gt;0,"Referred",IF(COUNTIF(Referral_Data!$B$5:$B$1000,B1369)&gt;0,"Referrer","Organic"))</f>
        <v>Referred</v>
      </c>
      <c r="G1369" s="29" t="n">
        <f aca="false">IF(COUNTIFS($B$5:B1369,B1369,$C$5:C1369,C1369)=1,1,0)</f>
        <v>0</v>
      </c>
      <c r="H1369" s="29" t="n">
        <f aca="false">IF(AND(G1369=1,COUNTIFS($B$5:$B$1635,B1369,$C$5:$C$1635,"&lt;"&amp;C1369)&gt;0),1,0)</f>
        <v>0</v>
      </c>
      <c r="I1369" s="29" t="n">
        <f aca="false">IF(AND(D1369="Feature Use",COUNTIFS($B$5:B1369,B1369,$D$5:D1369,"Feature Use",$E$5:E1369,E1369)=1),1,0)</f>
        <v>1</v>
      </c>
      <c r="J1369" s="29" t="n">
        <f aca="false">IF(AND(D1369="Feature Use",COUNTIFS($B$5:B1369,B1369,$D$5:D1369,"Feature Use",$E$5:E1369,E1369)=2),1,0)</f>
        <v>0</v>
      </c>
      <c r="K1369" s="29" t="n">
        <f aca="false">IF(COUNTIF($B$5:B1369,B1369)=1,1,0)</f>
        <v>0</v>
      </c>
      <c r="L1369" s="29" t="n">
        <f aca="false">IF(AND(C1369&gt;=Settings!$B$5-Settings!$B$8+1,C1369&lt;=Settings!$B$5,COUNTIFS($B$5:B1369,B1369,$C$5:C1369,"&gt;="&amp;(Settings!$B$5-Settings!$B$8+1),$C$5:C1369,"&lt;="&amp;Settings!$B$5)=1),1,0)</f>
        <v>0</v>
      </c>
      <c r="M1369" s="29" t="n">
        <f aca="false">IF(AND(C1369&gt;=Settings!$B$5-Settings!$B$9+1,C1369&lt;=Settings!$B$5,COUNTIFS($B$5:B1369,B1369,$C$5:C1369,"&gt;="&amp;(Settings!$B$5-Settings!$B$9+1),$C$5:C1369,"&lt;="&amp;Settings!$B$5)=1),1,0)</f>
        <v>0</v>
      </c>
      <c r="N1369" s="29" t="n">
        <f aca="false">IF(AND(D1369="Feature Use",COUNTIFS($B$5:B1369,B1369,$D$5:D1369,"Feature Use")=1),1,0)</f>
        <v>0</v>
      </c>
    </row>
    <row r="1370" customFormat="false" ht="15" hidden="false" customHeight="false" outlineLevel="0" collapsed="false">
      <c r="A1370" s="22" t="s">
        <v>1677</v>
      </c>
      <c r="B1370" s="22" t="s">
        <v>234</v>
      </c>
      <c r="C1370" s="31" t="n">
        <v>46305</v>
      </c>
      <c r="D1370" s="22" t="s">
        <v>297</v>
      </c>
      <c r="E1370" s="22" t="s">
        <v>298</v>
      </c>
      <c r="F1370" s="29" t="str">
        <f aca="false">IF(COUNTIF(Referral_Data!$C$5:$C$1000,B1370)&gt;0,"Referred",IF(COUNTIF(Referral_Data!$B$5:$B$1000,B1370)&gt;0,"Referrer","Organic"))</f>
        <v>Referred</v>
      </c>
      <c r="G1370" s="29" t="n">
        <f aca="false">IF(COUNTIFS($B$5:B1370,B1370,$C$5:C1370,C1370)=1,1,0)</f>
        <v>1</v>
      </c>
      <c r="H1370" s="29" t="n">
        <f aca="false">IF(AND(G1370=1,COUNTIFS($B$5:$B$1635,B1370,$C$5:$C$1635,"&lt;"&amp;C1370)&gt;0),1,0)</f>
        <v>1</v>
      </c>
      <c r="I1370" s="29" t="n">
        <f aca="false">IF(AND(D1370="Feature Use",COUNTIFS($B$5:B1370,B1370,$D$5:D1370,"Feature Use",$E$5:E1370,E1370)=1),1,0)</f>
        <v>0</v>
      </c>
      <c r="J1370" s="29" t="n">
        <f aca="false">IF(AND(D1370="Feature Use",COUNTIFS($B$5:B1370,B1370,$D$5:D1370,"Feature Use",$E$5:E1370,E1370)=2),1,0)</f>
        <v>0</v>
      </c>
      <c r="K1370" s="29" t="n">
        <f aca="false">IF(COUNTIF($B$5:B1370,B1370)=1,1,0)</f>
        <v>0</v>
      </c>
      <c r="L1370" s="29" t="n">
        <f aca="false">IF(AND(C1370&gt;=Settings!$B$5-Settings!$B$8+1,C1370&lt;=Settings!$B$5,COUNTIFS($B$5:B1370,B1370,$C$5:C1370,"&gt;="&amp;(Settings!$B$5-Settings!$B$8+1),$C$5:C1370,"&lt;="&amp;Settings!$B$5)=1),1,0)</f>
        <v>0</v>
      </c>
      <c r="M1370" s="29" t="n">
        <f aca="false">IF(AND(C1370&gt;=Settings!$B$5-Settings!$B$9+1,C1370&lt;=Settings!$B$5,COUNTIFS($B$5:B1370,B1370,$C$5:C1370,"&gt;="&amp;(Settings!$B$5-Settings!$B$9+1),$C$5:C1370,"&lt;="&amp;Settings!$B$5)=1),1,0)</f>
        <v>0</v>
      </c>
      <c r="N1370" s="29" t="n">
        <f aca="false">IF(AND(D1370="Feature Use",COUNTIFS($B$5:B1370,B1370,$D$5:D1370,"Feature Use")=1),1,0)</f>
        <v>0</v>
      </c>
    </row>
    <row r="1371" customFormat="false" ht="15" hidden="false" customHeight="false" outlineLevel="0" collapsed="false">
      <c r="A1371" s="22" t="s">
        <v>1678</v>
      </c>
      <c r="B1371" s="22" t="s">
        <v>234</v>
      </c>
      <c r="C1371" s="31" t="n">
        <v>46305</v>
      </c>
      <c r="D1371" s="22" t="s">
        <v>300</v>
      </c>
      <c r="E1371" s="22" t="s">
        <v>311</v>
      </c>
      <c r="F1371" s="29" t="str">
        <f aca="false">IF(COUNTIF(Referral_Data!$C$5:$C$1000,B1371)&gt;0,"Referred",IF(COUNTIF(Referral_Data!$B$5:$B$1000,B1371)&gt;0,"Referrer","Organic"))</f>
        <v>Referred</v>
      </c>
      <c r="G1371" s="29" t="n">
        <f aca="false">IF(COUNTIFS($B$5:B1371,B1371,$C$5:C1371,C1371)=1,1,0)</f>
        <v>0</v>
      </c>
      <c r="H1371" s="29" t="n">
        <f aca="false">IF(AND(G1371=1,COUNTIFS($B$5:$B$1635,B1371,$C$5:$C$1635,"&lt;"&amp;C1371)&gt;0),1,0)</f>
        <v>0</v>
      </c>
      <c r="I1371" s="29" t="n">
        <f aca="false">IF(AND(D1371="Feature Use",COUNTIFS($B$5:B1371,B1371,$D$5:D1371,"Feature Use",$E$5:E1371,E1371)=1),1,0)</f>
        <v>0</v>
      </c>
      <c r="J1371" s="29" t="n">
        <f aca="false">IF(AND(D1371="Feature Use",COUNTIFS($B$5:B1371,B1371,$D$5:D1371,"Feature Use",$E$5:E1371,E1371)=2),1,0)</f>
        <v>0</v>
      </c>
      <c r="K1371" s="29" t="n">
        <f aca="false">IF(COUNTIF($B$5:B1371,B1371)=1,1,0)</f>
        <v>0</v>
      </c>
      <c r="L1371" s="29" t="n">
        <f aca="false">IF(AND(C1371&gt;=Settings!$B$5-Settings!$B$8+1,C1371&lt;=Settings!$B$5,COUNTIFS($B$5:B1371,B1371,$C$5:C1371,"&gt;="&amp;(Settings!$B$5-Settings!$B$8+1),$C$5:C1371,"&lt;="&amp;Settings!$B$5)=1),1,0)</f>
        <v>0</v>
      </c>
      <c r="M1371" s="29" t="n">
        <f aca="false">IF(AND(C1371&gt;=Settings!$B$5-Settings!$B$9+1,C1371&lt;=Settings!$B$5,COUNTIFS($B$5:B1371,B1371,$C$5:C1371,"&gt;="&amp;(Settings!$B$5-Settings!$B$9+1),$C$5:C1371,"&lt;="&amp;Settings!$B$5)=1),1,0)</f>
        <v>0</v>
      </c>
      <c r="N1371" s="29" t="n">
        <f aca="false">IF(AND(D1371="Feature Use",COUNTIFS($B$5:B1371,B1371,$D$5:D1371,"Feature Use")=1),1,0)</f>
        <v>0</v>
      </c>
    </row>
    <row r="1372" customFormat="false" ht="15" hidden="false" customHeight="false" outlineLevel="0" collapsed="false">
      <c r="A1372" s="22" t="s">
        <v>1679</v>
      </c>
      <c r="B1372" s="22" t="s">
        <v>263</v>
      </c>
      <c r="C1372" s="31" t="n">
        <v>46305</v>
      </c>
      <c r="D1372" s="22" t="s">
        <v>297</v>
      </c>
      <c r="E1372" s="22" t="s">
        <v>298</v>
      </c>
      <c r="F1372" s="29" t="str">
        <f aca="false">IF(COUNTIF(Referral_Data!$C$5:$C$1000,B1372)&gt;0,"Referred",IF(COUNTIF(Referral_Data!$B$5:$B$1000,B1372)&gt;0,"Referrer","Organic"))</f>
        <v>Referred</v>
      </c>
      <c r="G1372" s="29" t="n">
        <f aca="false">IF(COUNTIFS($B$5:B1372,B1372,$C$5:C1372,C1372)=1,1,0)</f>
        <v>1</v>
      </c>
      <c r="H1372" s="29" t="n">
        <f aca="false">IF(AND(G1372=1,COUNTIFS($B$5:$B$1635,B1372,$C$5:$C$1635,"&lt;"&amp;C1372)&gt;0),1,0)</f>
        <v>1</v>
      </c>
      <c r="I1372" s="29" t="n">
        <f aca="false">IF(AND(D1372="Feature Use",COUNTIFS($B$5:B1372,B1372,$D$5:D1372,"Feature Use",$E$5:E1372,E1372)=1),1,0)</f>
        <v>0</v>
      </c>
      <c r="J1372" s="29" t="n">
        <f aca="false">IF(AND(D1372="Feature Use",COUNTIFS($B$5:B1372,B1372,$D$5:D1372,"Feature Use",$E$5:E1372,E1372)=2),1,0)</f>
        <v>0</v>
      </c>
      <c r="K1372" s="29" t="n">
        <f aca="false">IF(COUNTIF($B$5:B1372,B1372)=1,1,0)</f>
        <v>0</v>
      </c>
      <c r="L1372" s="29" t="n">
        <f aca="false">IF(AND(C1372&gt;=Settings!$B$5-Settings!$B$8+1,C1372&lt;=Settings!$B$5,COUNTIFS($B$5:B1372,B1372,$C$5:C1372,"&gt;="&amp;(Settings!$B$5-Settings!$B$8+1),$C$5:C1372,"&lt;="&amp;Settings!$B$5)=1),1,0)</f>
        <v>1</v>
      </c>
      <c r="M1372" s="29" t="n">
        <f aca="false">IF(AND(C1372&gt;=Settings!$B$5-Settings!$B$9+1,C1372&lt;=Settings!$B$5,COUNTIFS($B$5:B1372,B1372,$C$5:C1372,"&gt;="&amp;(Settings!$B$5-Settings!$B$9+1),$C$5:C1372,"&lt;="&amp;Settings!$B$5)=1),1,0)</f>
        <v>0</v>
      </c>
      <c r="N1372" s="29" t="n">
        <f aca="false">IF(AND(D1372="Feature Use",COUNTIFS($B$5:B1372,B1372,$D$5:D1372,"Feature Use")=1),1,0)</f>
        <v>0</v>
      </c>
    </row>
    <row r="1373" customFormat="false" ht="15" hidden="false" customHeight="false" outlineLevel="0" collapsed="false">
      <c r="A1373" s="22" t="s">
        <v>1680</v>
      </c>
      <c r="B1373" s="22" t="s">
        <v>263</v>
      </c>
      <c r="C1373" s="31" t="n">
        <v>46305</v>
      </c>
      <c r="D1373" s="22" t="s">
        <v>300</v>
      </c>
      <c r="E1373" s="22" t="s">
        <v>305</v>
      </c>
      <c r="F1373" s="29" t="str">
        <f aca="false">IF(COUNTIF(Referral_Data!$C$5:$C$1000,B1373)&gt;0,"Referred",IF(COUNTIF(Referral_Data!$B$5:$B$1000,B1373)&gt;0,"Referrer","Organic"))</f>
        <v>Referred</v>
      </c>
      <c r="G1373" s="29" t="n">
        <f aca="false">IF(COUNTIFS($B$5:B1373,B1373,$C$5:C1373,C1373)=1,1,0)</f>
        <v>0</v>
      </c>
      <c r="H1373" s="29" t="n">
        <f aca="false">IF(AND(G1373=1,COUNTIFS($B$5:$B$1635,B1373,$C$5:$C$1635,"&lt;"&amp;C1373)&gt;0),1,0)</f>
        <v>0</v>
      </c>
      <c r="I1373" s="29" t="n">
        <f aca="false">IF(AND(D1373="Feature Use",COUNTIFS($B$5:B1373,B1373,$D$5:D1373,"Feature Use",$E$5:E1373,E1373)=1),1,0)</f>
        <v>0</v>
      </c>
      <c r="J1373" s="29" t="n">
        <f aca="false">IF(AND(D1373="Feature Use",COUNTIFS($B$5:B1373,B1373,$D$5:D1373,"Feature Use",$E$5:E1373,E1373)=2),1,0)</f>
        <v>0</v>
      </c>
      <c r="K1373" s="29" t="n">
        <f aca="false">IF(COUNTIF($B$5:B1373,B1373)=1,1,0)</f>
        <v>0</v>
      </c>
      <c r="L1373" s="29" t="n">
        <f aca="false">IF(AND(C1373&gt;=Settings!$B$5-Settings!$B$8+1,C1373&lt;=Settings!$B$5,COUNTIFS($B$5:B1373,B1373,$C$5:C1373,"&gt;="&amp;(Settings!$B$5-Settings!$B$8+1),$C$5:C1373,"&lt;="&amp;Settings!$B$5)=1),1,0)</f>
        <v>0</v>
      </c>
      <c r="M1373" s="29" t="n">
        <f aca="false">IF(AND(C1373&gt;=Settings!$B$5-Settings!$B$9+1,C1373&lt;=Settings!$B$5,COUNTIFS($B$5:B1373,B1373,$C$5:C1373,"&gt;="&amp;(Settings!$B$5-Settings!$B$9+1),$C$5:C1373,"&lt;="&amp;Settings!$B$5)=1),1,0)</f>
        <v>0</v>
      </c>
      <c r="N1373" s="29" t="n">
        <f aca="false">IF(AND(D1373="Feature Use",COUNTIFS($B$5:B1373,B1373,$D$5:D1373,"Feature Use")=1),1,0)</f>
        <v>0</v>
      </c>
    </row>
    <row r="1374" customFormat="false" ht="15" hidden="false" customHeight="false" outlineLevel="0" collapsed="false">
      <c r="A1374" s="22" t="s">
        <v>1681</v>
      </c>
      <c r="B1374" s="22" t="s">
        <v>263</v>
      </c>
      <c r="C1374" s="31" t="n">
        <v>46305</v>
      </c>
      <c r="D1374" s="22" t="s">
        <v>300</v>
      </c>
      <c r="E1374" s="22" t="s">
        <v>305</v>
      </c>
      <c r="F1374" s="29" t="str">
        <f aca="false">IF(COUNTIF(Referral_Data!$C$5:$C$1000,B1374)&gt;0,"Referred",IF(COUNTIF(Referral_Data!$B$5:$B$1000,B1374)&gt;0,"Referrer","Organic"))</f>
        <v>Referred</v>
      </c>
      <c r="G1374" s="29" t="n">
        <f aca="false">IF(COUNTIFS($B$5:B1374,B1374,$C$5:C1374,C1374)=1,1,0)</f>
        <v>0</v>
      </c>
      <c r="H1374" s="29" t="n">
        <f aca="false">IF(AND(G1374=1,COUNTIFS($B$5:$B$1635,B1374,$C$5:$C$1635,"&lt;"&amp;C1374)&gt;0),1,0)</f>
        <v>0</v>
      </c>
      <c r="I1374" s="29" t="n">
        <f aca="false">IF(AND(D1374="Feature Use",COUNTIFS($B$5:B1374,B1374,$D$5:D1374,"Feature Use",$E$5:E1374,E1374)=1),1,0)</f>
        <v>0</v>
      </c>
      <c r="J1374" s="29" t="n">
        <f aca="false">IF(AND(D1374="Feature Use",COUNTIFS($B$5:B1374,B1374,$D$5:D1374,"Feature Use",$E$5:E1374,E1374)=2),1,0)</f>
        <v>0</v>
      </c>
      <c r="K1374" s="29" t="n">
        <f aca="false">IF(COUNTIF($B$5:B1374,B1374)=1,1,0)</f>
        <v>0</v>
      </c>
      <c r="L1374" s="29" t="n">
        <f aca="false">IF(AND(C1374&gt;=Settings!$B$5-Settings!$B$8+1,C1374&lt;=Settings!$B$5,COUNTIFS($B$5:B1374,B1374,$C$5:C1374,"&gt;="&amp;(Settings!$B$5-Settings!$B$8+1),$C$5:C1374,"&lt;="&amp;Settings!$B$5)=1),1,0)</f>
        <v>0</v>
      </c>
      <c r="M1374" s="29" t="n">
        <f aca="false">IF(AND(C1374&gt;=Settings!$B$5-Settings!$B$9+1,C1374&lt;=Settings!$B$5,COUNTIFS($B$5:B1374,B1374,$C$5:C1374,"&gt;="&amp;(Settings!$B$5-Settings!$B$9+1),$C$5:C1374,"&lt;="&amp;Settings!$B$5)=1),1,0)</f>
        <v>0</v>
      </c>
      <c r="N1374" s="29" t="n">
        <f aca="false">IF(AND(D1374="Feature Use",COUNTIFS($B$5:B1374,B1374,$D$5:D1374,"Feature Use")=1),1,0)</f>
        <v>0</v>
      </c>
    </row>
    <row r="1375" customFormat="false" ht="15" hidden="false" customHeight="false" outlineLevel="0" collapsed="false">
      <c r="A1375" s="22" t="s">
        <v>1682</v>
      </c>
      <c r="B1375" s="22" t="s">
        <v>263</v>
      </c>
      <c r="C1375" s="31" t="n">
        <v>46305</v>
      </c>
      <c r="D1375" s="22" t="s">
        <v>308</v>
      </c>
      <c r="E1375" s="22" t="s">
        <v>311</v>
      </c>
      <c r="F1375" s="29" t="str">
        <f aca="false">IF(COUNTIF(Referral_Data!$C$5:$C$1000,B1375)&gt;0,"Referred",IF(COUNTIF(Referral_Data!$B$5:$B$1000,B1375)&gt;0,"Referrer","Organic"))</f>
        <v>Referred</v>
      </c>
      <c r="G1375" s="29" t="n">
        <f aca="false">IF(COUNTIFS($B$5:B1375,B1375,$C$5:C1375,C1375)=1,1,0)</f>
        <v>0</v>
      </c>
      <c r="H1375" s="29" t="n">
        <f aca="false">IF(AND(G1375=1,COUNTIFS($B$5:$B$1635,B1375,$C$5:$C$1635,"&lt;"&amp;C1375)&gt;0),1,0)</f>
        <v>0</v>
      </c>
      <c r="I1375" s="29" t="n">
        <f aca="false">IF(AND(D1375="Feature Use",COUNTIFS($B$5:B1375,B1375,$D$5:D1375,"Feature Use",$E$5:E1375,E1375)=1),1,0)</f>
        <v>0</v>
      </c>
      <c r="J1375" s="29" t="n">
        <f aca="false">IF(AND(D1375="Feature Use",COUNTIFS($B$5:B1375,B1375,$D$5:D1375,"Feature Use",$E$5:E1375,E1375)=2),1,0)</f>
        <v>0</v>
      </c>
      <c r="K1375" s="29" t="n">
        <f aca="false">IF(COUNTIF($B$5:B1375,B1375)=1,1,0)</f>
        <v>0</v>
      </c>
      <c r="L1375" s="29" t="n">
        <f aca="false">IF(AND(C1375&gt;=Settings!$B$5-Settings!$B$8+1,C1375&lt;=Settings!$B$5,COUNTIFS($B$5:B1375,B1375,$C$5:C1375,"&gt;="&amp;(Settings!$B$5-Settings!$B$8+1),$C$5:C1375,"&lt;="&amp;Settings!$B$5)=1),1,0)</f>
        <v>0</v>
      </c>
      <c r="M1375" s="29" t="n">
        <f aca="false">IF(AND(C1375&gt;=Settings!$B$5-Settings!$B$9+1,C1375&lt;=Settings!$B$5,COUNTIFS($B$5:B1375,B1375,$C$5:C1375,"&gt;="&amp;(Settings!$B$5-Settings!$B$9+1),$C$5:C1375,"&lt;="&amp;Settings!$B$5)=1),1,0)</f>
        <v>0</v>
      </c>
      <c r="N1375" s="29" t="n">
        <f aca="false">IF(AND(D1375="Feature Use",COUNTIFS($B$5:B1375,B1375,$D$5:D1375,"Feature Use")=1),1,0)</f>
        <v>0</v>
      </c>
    </row>
    <row r="1376" customFormat="false" ht="15" hidden="false" customHeight="false" outlineLevel="0" collapsed="false">
      <c r="A1376" s="22" t="s">
        <v>1683</v>
      </c>
      <c r="B1376" s="22" t="s">
        <v>196</v>
      </c>
      <c r="C1376" s="31" t="n">
        <v>46305</v>
      </c>
      <c r="D1376" s="22" t="s">
        <v>297</v>
      </c>
      <c r="E1376" s="22" t="s">
        <v>298</v>
      </c>
      <c r="F1376" s="29" t="str">
        <f aca="false">IF(COUNTIF(Referral_Data!$C$5:$C$1000,B1376)&gt;0,"Referred",IF(COUNTIF(Referral_Data!$B$5:$B$1000,B1376)&gt;0,"Referrer","Organic"))</f>
        <v>Referrer</v>
      </c>
      <c r="G1376" s="29" t="n">
        <f aca="false">IF(COUNTIFS($B$5:B1376,B1376,$C$5:C1376,C1376)=1,1,0)</f>
        <v>1</v>
      </c>
      <c r="H1376" s="29" t="n">
        <f aca="false">IF(AND(G1376=1,COUNTIFS($B$5:$B$1635,B1376,$C$5:$C$1635,"&lt;"&amp;C1376)&gt;0),1,0)</f>
        <v>1</v>
      </c>
      <c r="I1376" s="29" t="n">
        <f aca="false">IF(AND(D1376="Feature Use",COUNTIFS($B$5:B1376,B1376,$D$5:D1376,"Feature Use",$E$5:E1376,E1376)=1),1,0)</f>
        <v>0</v>
      </c>
      <c r="J1376" s="29" t="n">
        <f aca="false">IF(AND(D1376="Feature Use",COUNTIFS($B$5:B1376,B1376,$D$5:D1376,"Feature Use",$E$5:E1376,E1376)=2),1,0)</f>
        <v>0</v>
      </c>
      <c r="K1376" s="29" t="n">
        <f aca="false">IF(COUNTIF($B$5:B1376,B1376)=1,1,0)</f>
        <v>0</v>
      </c>
      <c r="L1376" s="29" t="n">
        <f aca="false">IF(AND(C1376&gt;=Settings!$B$5-Settings!$B$8+1,C1376&lt;=Settings!$B$5,COUNTIFS($B$5:B1376,B1376,$C$5:C1376,"&gt;="&amp;(Settings!$B$5-Settings!$B$8+1),$C$5:C1376,"&lt;="&amp;Settings!$B$5)=1),1,0)</f>
        <v>1</v>
      </c>
      <c r="M1376" s="29" t="n">
        <f aca="false">IF(AND(C1376&gt;=Settings!$B$5-Settings!$B$9+1,C1376&lt;=Settings!$B$5,COUNTIFS($B$5:B1376,B1376,$C$5:C1376,"&gt;="&amp;(Settings!$B$5-Settings!$B$9+1),$C$5:C1376,"&lt;="&amp;Settings!$B$5)=1),1,0)</f>
        <v>0</v>
      </c>
      <c r="N1376" s="29" t="n">
        <f aca="false">IF(AND(D1376="Feature Use",COUNTIFS($B$5:B1376,B1376,$D$5:D1376,"Feature Use")=1),1,0)</f>
        <v>0</v>
      </c>
    </row>
    <row r="1377" customFormat="false" ht="15" hidden="false" customHeight="false" outlineLevel="0" collapsed="false">
      <c r="A1377" s="22" t="s">
        <v>1684</v>
      </c>
      <c r="B1377" s="22" t="s">
        <v>196</v>
      </c>
      <c r="C1377" s="31" t="n">
        <v>46305</v>
      </c>
      <c r="D1377" s="22" t="s">
        <v>300</v>
      </c>
      <c r="E1377" s="22" t="s">
        <v>319</v>
      </c>
      <c r="F1377" s="29" t="str">
        <f aca="false">IF(COUNTIF(Referral_Data!$C$5:$C$1000,B1377)&gt;0,"Referred",IF(COUNTIF(Referral_Data!$B$5:$B$1000,B1377)&gt;0,"Referrer","Organic"))</f>
        <v>Referrer</v>
      </c>
      <c r="G1377" s="29" t="n">
        <f aca="false">IF(COUNTIFS($B$5:B1377,B1377,$C$5:C1377,C1377)=1,1,0)</f>
        <v>0</v>
      </c>
      <c r="H1377" s="29" t="n">
        <f aca="false">IF(AND(G1377=1,COUNTIFS($B$5:$B$1635,B1377,$C$5:$C$1635,"&lt;"&amp;C1377)&gt;0),1,0)</f>
        <v>0</v>
      </c>
      <c r="I1377" s="29" t="n">
        <f aca="false">IF(AND(D1377="Feature Use",COUNTIFS($B$5:B1377,B1377,$D$5:D1377,"Feature Use",$E$5:E1377,E1377)=1),1,0)</f>
        <v>0</v>
      </c>
      <c r="J1377" s="29" t="n">
        <f aca="false">IF(AND(D1377="Feature Use",COUNTIFS($B$5:B1377,B1377,$D$5:D1377,"Feature Use",$E$5:E1377,E1377)=2),1,0)</f>
        <v>1</v>
      </c>
      <c r="K1377" s="29" t="n">
        <f aca="false">IF(COUNTIF($B$5:B1377,B1377)=1,1,0)</f>
        <v>0</v>
      </c>
      <c r="L1377" s="29" t="n">
        <f aca="false">IF(AND(C1377&gt;=Settings!$B$5-Settings!$B$8+1,C1377&lt;=Settings!$B$5,COUNTIFS($B$5:B1377,B1377,$C$5:C1377,"&gt;="&amp;(Settings!$B$5-Settings!$B$8+1),$C$5:C1377,"&lt;="&amp;Settings!$B$5)=1),1,0)</f>
        <v>0</v>
      </c>
      <c r="M1377" s="29" t="n">
        <f aca="false">IF(AND(C1377&gt;=Settings!$B$5-Settings!$B$9+1,C1377&lt;=Settings!$B$5,COUNTIFS($B$5:B1377,B1377,$C$5:C1377,"&gt;="&amp;(Settings!$B$5-Settings!$B$9+1),$C$5:C1377,"&lt;="&amp;Settings!$B$5)=1),1,0)</f>
        <v>0</v>
      </c>
      <c r="N1377" s="29" t="n">
        <f aca="false">IF(AND(D1377="Feature Use",COUNTIFS($B$5:B1377,B1377,$D$5:D1377,"Feature Use")=1),1,0)</f>
        <v>0</v>
      </c>
    </row>
    <row r="1378" customFormat="false" ht="15" hidden="false" customHeight="false" outlineLevel="0" collapsed="false">
      <c r="A1378" s="22" t="s">
        <v>1685</v>
      </c>
      <c r="B1378" s="22" t="s">
        <v>196</v>
      </c>
      <c r="C1378" s="31" t="n">
        <v>46305</v>
      </c>
      <c r="D1378" s="22" t="s">
        <v>300</v>
      </c>
      <c r="E1378" s="22" t="s">
        <v>311</v>
      </c>
      <c r="F1378" s="29" t="str">
        <f aca="false">IF(COUNTIF(Referral_Data!$C$5:$C$1000,B1378)&gt;0,"Referred",IF(COUNTIF(Referral_Data!$B$5:$B$1000,B1378)&gt;0,"Referrer","Organic"))</f>
        <v>Referrer</v>
      </c>
      <c r="G1378" s="29" t="n">
        <f aca="false">IF(COUNTIFS($B$5:B1378,B1378,$C$5:C1378,C1378)=1,1,0)</f>
        <v>0</v>
      </c>
      <c r="H1378" s="29" t="n">
        <f aca="false">IF(AND(G1378=1,COUNTIFS($B$5:$B$1635,B1378,$C$5:$C$1635,"&lt;"&amp;C1378)&gt;0),1,0)</f>
        <v>0</v>
      </c>
      <c r="I1378" s="29" t="n">
        <f aca="false">IF(AND(D1378="Feature Use",COUNTIFS($B$5:B1378,B1378,$D$5:D1378,"Feature Use",$E$5:E1378,E1378)=1),1,0)</f>
        <v>0</v>
      </c>
      <c r="J1378" s="29" t="n">
        <f aca="false">IF(AND(D1378="Feature Use",COUNTIFS($B$5:B1378,B1378,$D$5:D1378,"Feature Use",$E$5:E1378,E1378)=2),1,0)</f>
        <v>0</v>
      </c>
      <c r="K1378" s="29" t="n">
        <f aca="false">IF(COUNTIF($B$5:B1378,B1378)=1,1,0)</f>
        <v>0</v>
      </c>
      <c r="L1378" s="29" t="n">
        <f aca="false">IF(AND(C1378&gt;=Settings!$B$5-Settings!$B$8+1,C1378&lt;=Settings!$B$5,COUNTIFS($B$5:B1378,B1378,$C$5:C1378,"&gt;="&amp;(Settings!$B$5-Settings!$B$8+1),$C$5:C1378,"&lt;="&amp;Settings!$B$5)=1),1,0)</f>
        <v>0</v>
      </c>
      <c r="M1378" s="29" t="n">
        <f aca="false">IF(AND(C1378&gt;=Settings!$B$5-Settings!$B$9+1,C1378&lt;=Settings!$B$5,COUNTIFS($B$5:B1378,B1378,$C$5:C1378,"&gt;="&amp;(Settings!$B$5-Settings!$B$9+1),$C$5:C1378,"&lt;="&amp;Settings!$B$5)=1),1,0)</f>
        <v>0</v>
      </c>
      <c r="N1378" s="29" t="n">
        <f aca="false">IF(AND(D1378="Feature Use",COUNTIFS($B$5:B1378,B1378,$D$5:D1378,"Feature Use")=1),1,0)</f>
        <v>0</v>
      </c>
    </row>
    <row r="1379" customFormat="false" ht="15" hidden="false" customHeight="false" outlineLevel="0" collapsed="false">
      <c r="A1379" s="22" t="s">
        <v>1686</v>
      </c>
      <c r="B1379" s="22" t="s">
        <v>203</v>
      </c>
      <c r="C1379" s="31" t="n">
        <v>46305</v>
      </c>
      <c r="D1379" s="22" t="s">
        <v>297</v>
      </c>
      <c r="E1379" s="22" t="s">
        <v>298</v>
      </c>
      <c r="F1379" s="29" t="str">
        <f aca="false">IF(COUNTIF(Referral_Data!$C$5:$C$1000,B1379)&gt;0,"Referred",IF(COUNTIF(Referral_Data!$B$5:$B$1000,B1379)&gt;0,"Referrer","Organic"))</f>
        <v>Referrer</v>
      </c>
      <c r="G1379" s="29" t="n">
        <f aca="false">IF(COUNTIFS($B$5:B1379,B1379,$C$5:C1379,C1379)=1,1,0)</f>
        <v>1</v>
      </c>
      <c r="H1379" s="29" t="n">
        <f aca="false">IF(AND(G1379=1,COUNTIFS($B$5:$B$1635,B1379,$C$5:$C$1635,"&lt;"&amp;C1379)&gt;0),1,0)</f>
        <v>1</v>
      </c>
      <c r="I1379" s="29" t="n">
        <f aca="false">IF(AND(D1379="Feature Use",COUNTIFS($B$5:B1379,B1379,$D$5:D1379,"Feature Use",$E$5:E1379,E1379)=1),1,0)</f>
        <v>0</v>
      </c>
      <c r="J1379" s="29" t="n">
        <f aca="false">IF(AND(D1379="Feature Use",COUNTIFS($B$5:B1379,B1379,$D$5:D1379,"Feature Use",$E$5:E1379,E1379)=2),1,0)</f>
        <v>0</v>
      </c>
      <c r="K1379" s="29" t="n">
        <f aca="false">IF(COUNTIF($B$5:B1379,B1379)=1,1,0)</f>
        <v>0</v>
      </c>
      <c r="L1379" s="29" t="n">
        <f aca="false">IF(AND(C1379&gt;=Settings!$B$5-Settings!$B$8+1,C1379&lt;=Settings!$B$5,COUNTIFS($B$5:B1379,B1379,$C$5:C1379,"&gt;="&amp;(Settings!$B$5-Settings!$B$8+1),$C$5:C1379,"&lt;="&amp;Settings!$B$5)=1),1,0)</f>
        <v>1</v>
      </c>
      <c r="M1379" s="29" t="n">
        <f aca="false">IF(AND(C1379&gt;=Settings!$B$5-Settings!$B$9+1,C1379&lt;=Settings!$B$5,COUNTIFS($B$5:B1379,B1379,$C$5:C1379,"&gt;="&amp;(Settings!$B$5-Settings!$B$9+1),$C$5:C1379,"&lt;="&amp;Settings!$B$5)=1),1,0)</f>
        <v>0</v>
      </c>
      <c r="N1379" s="29" t="n">
        <f aca="false">IF(AND(D1379="Feature Use",COUNTIFS($B$5:B1379,B1379,$D$5:D1379,"Feature Use")=1),1,0)</f>
        <v>0</v>
      </c>
    </row>
    <row r="1380" customFormat="false" ht="15" hidden="false" customHeight="false" outlineLevel="0" collapsed="false">
      <c r="A1380" s="22" t="s">
        <v>1687</v>
      </c>
      <c r="B1380" s="22" t="s">
        <v>203</v>
      </c>
      <c r="C1380" s="31" t="n">
        <v>46305</v>
      </c>
      <c r="D1380" s="22" t="s">
        <v>300</v>
      </c>
      <c r="E1380" s="22" t="s">
        <v>311</v>
      </c>
      <c r="F1380" s="29" t="str">
        <f aca="false">IF(COUNTIF(Referral_Data!$C$5:$C$1000,B1380)&gt;0,"Referred",IF(COUNTIF(Referral_Data!$B$5:$B$1000,B1380)&gt;0,"Referrer","Organic"))</f>
        <v>Referrer</v>
      </c>
      <c r="G1380" s="29" t="n">
        <f aca="false">IF(COUNTIFS($B$5:B1380,B1380,$C$5:C1380,C1380)=1,1,0)</f>
        <v>0</v>
      </c>
      <c r="H1380" s="29" t="n">
        <f aca="false">IF(AND(G1380=1,COUNTIFS($B$5:$B$1635,B1380,$C$5:$C$1635,"&lt;"&amp;C1380)&gt;0),1,0)</f>
        <v>0</v>
      </c>
      <c r="I1380" s="29" t="n">
        <f aca="false">IF(AND(D1380="Feature Use",COUNTIFS($B$5:B1380,B1380,$D$5:D1380,"Feature Use",$E$5:E1380,E1380)=1),1,0)</f>
        <v>0</v>
      </c>
      <c r="J1380" s="29" t="n">
        <f aca="false">IF(AND(D1380="Feature Use",COUNTIFS($B$5:B1380,B1380,$D$5:D1380,"Feature Use",$E$5:E1380,E1380)=2),1,0)</f>
        <v>0</v>
      </c>
      <c r="K1380" s="29" t="n">
        <f aca="false">IF(COUNTIF($B$5:B1380,B1380)=1,1,0)</f>
        <v>0</v>
      </c>
      <c r="L1380" s="29" t="n">
        <f aca="false">IF(AND(C1380&gt;=Settings!$B$5-Settings!$B$8+1,C1380&lt;=Settings!$B$5,COUNTIFS($B$5:B1380,B1380,$C$5:C1380,"&gt;="&amp;(Settings!$B$5-Settings!$B$8+1),$C$5:C1380,"&lt;="&amp;Settings!$B$5)=1),1,0)</f>
        <v>0</v>
      </c>
      <c r="M1380" s="29" t="n">
        <f aca="false">IF(AND(C1380&gt;=Settings!$B$5-Settings!$B$9+1,C1380&lt;=Settings!$B$5,COUNTIFS($B$5:B1380,B1380,$C$5:C1380,"&gt;="&amp;(Settings!$B$5-Settings!$B$9+1),$C$5:C1380,"&lt;="&amp;Settings!$B$5)=1),1,0)</f>
        <v>0</v>
      </c>
      <c r="N1380" s="29" t="n">
        <f aca="false">IF(AND(D1380="Feature Use",COUNTIFS($B$5:B1380,B1380,$D$5:D1380,"Feature Use")=1),1,0)</f>
        <v>0</v>
      </c>
    </row>
    <row r="1381" customFormat="false" ht="15" hidden="false" customHeight="false" outlineLevel="0" collapsed="false">
      <c r="A1381" s="22" t="s">
        <v>1688</v>
      </c>
      <c r="B1381" s="22" t="s">
        <v>170</v>
      </c>
      <c r="C1381" s="31" t="n">
        <v>46305</v>
      </c>
      <c r="D1381" s="22" t="s">
        <v>297</v>
      </c>
      <c r="E1381" s="22" t="s">
        <v>298</v>
      </c>
      <c r="F1381" s="29" t="str">
        <f aca="false">IF(COUNTIF(Referral_Data!$C$5:$C$1000,B1381)&gt;0,"Referred",IF(COUNTIF(Referral_Data!$B$5:$B$1000,B1381)&gt;0,"Referrer","Organic"))</f>
        <v>Referrer</v>
      </c>
      <c r="G1381" s="29" t="n">
        <f aca="false">IF(COUNTIFS($B$5:B1381,B1381,$C$5:C1381,C1381)=1,1,0)</f>
        <v>1</v>
      </c>
      <c r="H1381" s="29" t="n">
        <f aca="false">IF(AND(G1381=1,COUNTIFS($B$5:$B$1635,B1381,$C$5:$C$1635,"&lt;"&amp;C1381)&gt;0),1,0)</f>
        <v>1</v>
      </c>
      <c r="I1381" s="29" t="n">
        <f aca="false">IF(AND(D1381="Feature Use",COUNTIFS($B$5:B1381,B1381,$D$5:D1381,"Feature Use",$E$5:E1381,E1381)=1),1,0)</f>
        <v>0</v>
      </c>
      <c r="J1381" s="29" t="n">
        <f aca="false">IF(AND(D1381="Feature Use",COUNTIFS($B$5:B1381,B1381,$D$5:D1381,"Feature Use",$E$5:E1381,E1381)=2),1,0)</f>
        <v>0</v>
      </c>
      <c r="K1381" s="29" t="n">
        <f aca="false">IF(COUNTIF($B$5:B1381,B1381)=1,1,0)</f>
        <v>0</v>
      </c>
      <c r="L1381" s="29" t="n">
        <f aca="false">IF(AND(C1381&gt;=Settings!$B$5-Settings!$B$8+1,C1381&lt;=Settings!$B$5,COUNTIFS($B$5:B1381,B1381,$C$5:C1381,"&gt;="&amp;(Settings!$B$5-Settings!$B$8+1),$C$5:C1381,"&lt;="&amp;Settings!$B$5)=1),1,0)</f>
        <v>1</v>
      </c>
      <c r="M1381" s="29" t="n">
        <f aca="false">IF(AND(C1381&gt;=Settings!$B$5-Settings!$B$9+1,C1381&lt;=Settings!$B$5,COUNTIFS($B$5:B1381,B1381,$C$5:C1381,"&gt;="&amp;(Settings!$B$5-Settings!$B$9+1),$C$5:C1381,"&lt;="&amp;Settings!$B$5)=1),1,0)</f>
        <v>0</v>
      </c>
      <c r="N1381" s="29" t="n">
        <f aca="false">IF(AND(D1381="Feature Use",COUNTIFS($B$5:B1381,B1381,$D$5:D1381,"Feature Use")=1),1,0)</f>
        <v>0</v>
      </c>
    </row>
    <row r="1382" customFormat="false" ht="15" hidden="false" customHeight="false" outlineLevel="0" collapsed="false">
      <c r="A1382" s="22" t="s">
        <v>1689</v>
      </c>
      <c r="B1382" s="22" t="s">
        <v>170</v>
      </c>
      <c r="C1382" s="31" t="n">
        <v>46305</v>
      </c>
      <c r="D1382" s="22" t="s">
        <v>300</v>
      </c>
      <c r="E1382" s="22" t="s">
        <v>311</v>
      </c>
      <c r="F1382" s="29" t="str">
        <f aca="false">IF(COUNTIF(Referral_Data!$C$5:$C$1000,B1382)&gt;0,"Referred",IF(COUNTIF(Referral_Data!$B$5:$B$1000,B1382)&gt;0,"Referrer","Organic"))</f>
        <v>Referrer</v>
      </c>
      <c r="G1382" s="29" t="n">
        <f aca="false">IF(COUNTIFS($B$5:B1382,B1382,$C$5:C1382,C1382)=1,1,0)</f>
        <v>0</v>
      </c>
      <c r="H1382" s="29" t="n">
        <f aca="false">IF(AND(G1382=1,COUNTIFS($B$5:$B$1635,B1382,$C$5:$C$1635,"&lt;"&amp;C1382)&gt;0),1,0)</f>
        <v>0</v>
      </c>
      <c r="I1382" s="29" t="n">
        <f aca="false">IF(AND(D1382="Feature Use",COUNTIFS($B$5:B1382,B1382,$D$5:D1382,"Feature Use",$E$5:E1382,E1382)=1),1,0)</f>
        <v>0</v>
      </c>
      <c r="J1382" s="29" t="n">
        <f aca="false">IF(AND(D1382="Feature Use",COUNTIFS($B$5:B1382,B1382,$D$5:D1382,"Feature Use",$E$5:E1382,E1382)=2),1,0)</f>
        <v>0</v>
      </c>
      <c r="K1382" s="29" t="n">
        <f aca="false">IF(COUNTIF($B$5:B1382,B1382)=1,1,0)</f>
        <v>0</v>
      </c>
      <c r="L1382" s="29" t="n">
        <f aca="false">IF(AND(C1382&gt;=Settings!$B$5-Settings!$B$8+1,C1382&lt;=Settings!$B$5,COUNTIFS($B$5:B1382,B1382,$C$5:C1382,"&gt;="&amp;(Settings!$B$5-Settings!$B$8+1),$C$5:C1382,"&lt;="&amp;Settings!$B$5)=1),1,0)</f>
        <v>0</v>
      </c>
      <c r="M1382" s="29" t="n">
        <f aca="false">IF(AND(C1382&gt;=Settings!$B$5-Settings!$B$9+1,C1382&lt;=Settings!$B$5,COUNTIFS($B$5:B1382,B1382,$C$5:C1382,"&gt;="&amp;(Settings!$B$5-Settings!$B$9+1),$C$5:C1382,"&lt;="&amp;Settings!$B$5)=1),1,0)</f>
        <v>0</v>
      </c>
      <c r="N1382" s="29" t="n">
        <f aca="false">IF(AND(D1382="Feature Use",COUNTIFS($B$5:B1382,B1382,$D$5:D1382,"Feature Use")=1),1,0)</f>
        <v>0</v>
      </c>
    </row>
    <row r="1383" customFormat="false" ht="15" hidden="false" customHeight="false" outlineLevel="0" collapsed="false">
      <c r="A1383" s="22" t="s">
        <v>1690</v>
      </c>
      <c r="B1383" s="22" t="s">
        <v>183</v>
      </c>
      <c r="C1383" s="31" t="n">
        <v>46305</v>
      </c>
      <c r="D1383" s="22" t="s">
        <v>297</v>
      </c>
      <c r="E1383" s="22" t="s">
        <v>298</v>
      </c>
      <c r="F1383" s="29" t="str">
        <f aca="false">IF(COUNTIF(Referral_Data!$C$5:$C$1000,B1383)&gt;0,"Referred",IF(COUNTIF(Referral_Data!$B$5:$B$1000,B1383)&gt;0,"Referrer","Organic"))</f>
        <v>Referrer</v>
      </c>
      <c r="G1383" s="29" t="n">
        <f aca="false">IF(COUNTIFS($B$5:B1383,B1383,$C$5:C1383,C1383)=1,1,0)</f>
        <v>1</v>
      </c>
      <c r="H1383" s="29" t="n">
        <f aca="false">IF(AND(G1383=1,COUNTIFS($B$5:$B$1635,B1383,$C$5:$C$1635,"&lt;"&amp;C1383)&gt;0),1,0)</f>
        <v>1</v>
      </c>
      <c r="I1383" s="29" t="n">
        <f aca="false">IF(AND(D1383="Feature Use",COUNTIFS($B$5:B1383,B1383,$D$5:D1383,"Feature Use",$E$5:E1383,E1383)=1),1,0)</f>
        <v>0</v>
      </c>
      <c r="J1383" s="29" t="n">
        <f aca="false">IF(AND(D1383="Feature Use",COUNTIFS($B$5:B1383,B1383,$D$5:D1383,"Feature Use",$E$5:E1383,E1383)=2),1,0)</f>
        <v>0</v>
      </c>
      <c r="K1383" s="29" t="n">
        <f aca="false">IF(COUNTIF($B$5:B1383,B1383)=1,1,0)</f>
        <v>0</v>
      </c>
      <c r="L1383" s="29" t="n">
        <f aca="false">IF(AND(C1383&gt;=Settings!$B$5-Settings!$B$8+1,C1383&lt;=Settings!$B$5,COUNTIFS($B$5:B1383,B1383,$C$5:C1383,"&gt;="&amp;(Settings!$B$5-Settings!$B$8+1),$C$5:C1383,"&lt;="&amp;Settings!$B$5)=1),1,0)</f>
        <v>1</v>
      </c>
      <c r="M1383" s="29" t="n">
        <f aca="false">IF(AND(C1383&gt;=Settings!$B$5-Settings!$B$9+1,C1383&lt;=Settings!$B$5,COUNTIFS($B$5:B1383,B1383,$C$5:C1383,"&gt;="&amp;(Settings!$B$5-Settings!$B$9+1),$C$5:C1383,"&lt;="&amp;Settings!$B$5)=1),1,0)</f>
        <v>0</v>
      </c>
      <c r="N1383" s="29" t="n">
        <f aca="false">IF(AND(D1383="Feature Use",COUNTIFS($B$5:B1383,B1383,$D$5:D1383,"Feature Use")=1),1,0)</f>
        <v>0</v>
      </c>
    </row>
    <row r="1384" customFormat="false" ht="15" hidden="false" customHeight="false" outlineLevel="0" collapsed="false">
      <c r="A1384" s="22" t="s">
        <v>1691</v>
      </c>
      <c r="B1384" s="22" t="s">
        <v>183</v>
      </c>
      <c r="C1384" s="31" t="n">
        <v>46305</v>
      </c>
      <c r="D1384" s="22" t="s">
        <v>300</v>
      </c>
      <c r="E1384" s="22" t="s">
        <v>309</v>
      </c>
      <c r="F1384" s="29" t="str">
        <f aca="false">IF(COUNTIF(Referral_Data!$C$5:$C$1000,B1384)&gt;0,"Referred",IF(COUNTIF(Referral_Data!$B$5:$B$1000,B1384)&gt;0,"Referrer","Organic"))</f>
        <v>Referrer</v>
      </c>
      <c r="G1384" s="29" t="n">
        <f aca="false">IF(COUNTIFS($B$5:B1384,B1384,$C$5:C1384,C1384)=1,1,0)</f>
        <v>0</v>
      </c>
      <c r="H1384" s="29" t="n">
        <f aca="false">IF(AND(G1384=1,COUNTIFS($B$5:$B$1635,B1384,$C$5:$C$1635,"&lt;"&amp;C1384)&gt;0),1,0)</f>
        <v>0</v>
      </c>
      <c r="I1384" s="29" t="n">
        <f aca="false">IF(AND(D1384="Feature Use",COUNTIFS($B$5:B1384,B1384,$D$5:D1384,"Feature Use",$E$5:E1384,E1384)=1),1,0)</f>
        <v>0</v>
      </c>
      <c r="J1384" s="29" t="n">
        <f aca="false">IF(AND(D1384="Feature Use",COUNTIFS($B$5:B1384,B1384,$D$5:D1384,"Feature Use",$E$5:E1384,E1384)=2),1,0)</f>
        <v>0</v>
      </c>
      <c r="K1384" s="29" t="n">
        <f aca="false">IF(COUNTIF($B$5:B1384,B1384)=1,1,0)</f>
        <v>0</v>
      </c>
      <c r="L1384" s="29" t="n">
        <f aca="false">IF(AND(C1384&gt;=Settings!$B$5-Settings!$B$8+1,C1384&lt;=Settings!$B$5,COUNTIFS($B$5:B1384,B1384,$C$5:C1384,"&gt;="&amp;(Settings!$B$5-Settings!$B$8+1),$C$5:C1384,"&lt;="&amp;Settings!$B$5)=1),1,0)</f>
        <v>0</v>
      </c>
      <c r="M1384" s="29" t="n">
        <f aca="false">IF(AND(C1384&gt;=Settings!$B$5-Settings!$B$9+1,C1384&lt;=Settings!$B$5,COUNTIFS($B$5:B1384,B1384,$C$5:C1384,"&gt;="&amp;(Settings!$B$5-Settings!$B$9+1),$C$5:C1384,"&lt;="&amp;Settings!$B$5)=1),1,0)</f>
        <v>0</v>
      </c>
      <c r="N1384" s="29" t="n">
        <f aca="false">IF(AND(D1384="Feature Use",COUNTIFS($B$5:B1384,B1384,$D$5:D1384,"Feature Use")=1),1,0)</f>
        <v>0</v>
      </c>
    </row>
    <row r="1385" customFormat="false" ht="15" hidden="false" customHeight="false" outlineLevel="0" collapsed="false">
      <c r="A1385" s="22" t="s">
        <v>1692</v>
      </c>
      <c r="B1385" s="22" t="s">
        <v>183</v>
      </c>
      <c r="C1385" s="31" t="n">
        <v>46305</v>
      </c>
      <c r="D1385" s="22" t="s">
        <v>308</v>
      </c>
      <c r="E1385" s="22" t="s">
        <v>301</v>
      </c>
      <c r="F1385" s="29" t="str">
        <f aca="false">IF(COUNTIF(Referral_Data!$C$5:$C$1000,B1385)&gt;0,"Referred",IF(COUNTIF(Referral_Data!$B$5:$B$1000,B1385)&gt;0,"Referrer","Organic"))</f>
        <v>Referrer</v>
      </c>
      <c r="G1385" s="29" t="n">
        <f aca="false">IF(COUNTIFS($B$5:B1385,B1385,$C$5:C1385,C1385)=1,1,0)</f>
        <v>0</v>
      </c>
      <c r="H1385" s="29" t="n">
        <f aca="false">IF(AND(G1385=1,COUNTIFS($B$5:$B$1635,B1385,$C$5:$C$1635,"&lt;"&amp;C1385)&gt;0),1,0)</f>
        <v>0</v>
      </c>
      <c r="I1385" s="29" t="n">
        <f aca="false">IF(AND(D1385="Feature Use",COUNTIFS($B$5:B1385,B1385,$D$5:D1385,"Feature Use",$E$5:E1385,E1385)=1),1,0)</f>
        <v>0</v>
      </c>
      <c r="J1385" s="29" t="n">
        <f aca="false">IF(AND(D1385="Feature Use",COUNTIFS($B$5:B1385,B1385,$D$5:D1385,"Feature Use",$E$5:E1385,E1385)=2),1,0)</f>
        <v>0</v>
      </c>
      <c r="K1385" s="29" t="n">
        <f aca="false">IF(COUNTIF($B$5:B1385,B1385)=1,1,0)</f>
        <v>0</v>
      </c>
      <c r="L1385" s="29" t="n">
        <f aca="false">IF(AND(C1385&gt;=Settings!$B$5-Settings!$B$8+1,C1385&lt;=Settings!$B$5,COUNTIFS($B$5:B1385,B1385,$C$5:C1385,"&gt;="&amp;(Settings!$B$5-Settings!$B$8+1),$C$5:C1385,"&lt;="&amp;Settings!$B$5)=1),1,0)</f>
        <v>0</v>
      </c>
      <c r="M1385" s="29" t="n">
        <f aca="false">IF(AND(C1385&gt;=Settings!$B$5-Settings!$B$9+1,C1385&lt;=Settings!$B$5,COUNTIFS($B$5:B1385,B1385,$C$5:C1385,"&gt;="&amp;(Settings!$B$5-Settings!$B$9+1),$C$5:C1385,"&lt;="&amp;Settings!$B$5)=1),1,0)</f>
        <v>0</v>
      </c>
      <c r="N1385" s="29" t="n">
        <f aca="false">IF(AND(D1385="Feature Use",COUNTIFS($B$5:B1385,B1385,$D$5:D1385,"Feature Use")=1),1,0)</f>
        <v>0</v>
      </c>
    </row>
    <row r="1386" customFormat="false" ht="15" hidden="false" customHeight="false" outlineLevel="0" collapsed="false">
      <c r="A1386" s="22" t="s">
        <v>1693</v>
      </c>
      <c r="B1386" s="22" t="s">
        <v>296</v>
      </c>
      <c r="C1386" s="31" t="n">
        <v>46306</v>
      </c>
      <c r="D1386" s="22" t="s">
        <v>297</v>
      </c>
      <c r="E1386" s="22" t="s">
        <v>298</v>
      </c>
      <c r="F1386" s="29" t="str">
        <f aca="false">IF(COUNTIF(Referral_Data!$C$5:$C$1000,B1386)&gt;0,"Referred",IF(COUNTIF(Referral_Data!$B$5:$B$1000,B1386)&gt;0,"Referrer","Organic"))</f>
        <v>Organic</v>
      </c>
      <c r="G1386" s="29" t="n">
        <f aca="false">IF(COUNTIFS($B$5:B1386,B1386,$C$5:C1386,C1386)=1,1,0)</f>
        <v>1</v>
      </c>
      <c r="H1386" s="29" t="n">
        <f aca="false">IF(AND(G1386=1,COUNTIFS($B$5:$B$1635,B1386,$C$5:$C$1635,"&lt;"&amp;C1386)&gt;0),1,0)</f>
        <v>1</v>
      </c>
      <c r="I1386" s="29" t="n">
        <f aca="false">IF(AND(D1386="Feature Use",COUNTIFS($B$5:B1386,B1386,$D$5:D1386,"Feature Use",$E$5:E1386,E1386)=1),1,0)</f>
        <v>0</v>
      </c>
      <c r="J1386" s="29" t="n">
        <f aca="false">IF(AND(D1386="Feature Use",COUNTIFS($B$5:B1386,B1386,$D$5:D1386,"Feature Use",$E$5:E1386,E1386)=2),1,0)</f>
        <v>0</v>
      </c>
      <c r="K1386" s="29" t="n">
        <f aca="false">IF(COUNTIF($B$5:B1386,B1386)=1,1,0)</f>
        <v>0</v>
      </c>
      <c r="L1386" s="29" t="n">
        <f aca="false">IF(AND(C1386&gt;=Settings!$B$5-Settings!$B$8+1,C1386&lt;=Settings!$B$5,COUNTIFS($B$5:B1386,B1386,$C$5:C1386,"&gt;="&amp;(Settings!$B$5-Settings!$B$8+1),$C$5:C1386,"&lt;="&amp;Settings!$B$5)=1),1,0)</f>
        <v>1</v>
      </c>
      <c r="M1386" s="29" t="n">
        <f aca="false">IF(AND(C1386&gt;=Settings!$B$5-Settings!$B$9+1,C1386&lt;=Settings!$B$5,COUNTIFS($B$5:B1386,B1386,$C$5:C1386,"&gt;="&amp;(Settings!$B$5-Settings!$B$9+1),$C$5:C1386,"&lt;="&amp;Settings!$B$5)=1),1,0)</f>
        <v>0</v>
      </c>
      <c r="N1386" s="29" t="n">
        <f aca="false">IF(AND(D1386="Feature Use",COUNTIFS($B$5:B1386,B1386,$D$5:D1386,"Feature Use")=1),1,0)</f>
        <v>0</v>
      </c>
    </row>
    <row r="1387" customFormat="false" ht="15" hidden="false" customHeight="false" outlineLevel="0" collapsed="false">
      <c r="A1387" s="22" t="s">
        <v>1694</v>
      </c>
      <c r="B1387" s="22" t="s">
        <v>296</v>
      </c>
      <c r="C1387" s="31" t="n">
        <v>46306</v>
      </c>
      <c r="D1387" s="22" t="s">
        <v>300</v>
      </c>
      <c r="E1387" s="22" t="s">
        <v>305</v>
      </c>
      <c r="F1387" s="29" t="str">
        <f aca="false">IF(COUNTIF(Referral_Data!$C$5:$C$1000,B1387)&gt;0,"Referred",IF(COUNTIF(Referral_Data!$B$5:$B$1000,B1387)&gt;0,"Referrer","Organic"))</f>
        <v>Organic</v>
      </c>
      <c r="G1387" s="29" t="n">
        <f aca="false">IF(COUNTIFS($B$5:B1387,B1387,$C$5:C1387,C1387)=1,1,0)</f>
        <v>0</v>
      </c>
      <c r="H1387" s="29" t="n">
        <f aca="false">IF(AND(G1387=1,COUNTIFS($B$5:$B$1635,B1387,$C$5:$C$1635,"&lt;"&amp;C1387)&gt;0),1,0)</f>
        <v>0</v>
      </c>
      <c r="I1387" s="29" t="n">
        <f aca="false">IF(AND(D1387="Feature Use",COUNTIFS($B$5:B1387,B1387,$D$5:D1387,"Feature Use",$E$5:E1387,E1387)=1),1,0)</f>
        <v>0</v>
      </c>
      <c r="J1387" s="29" t="n">
        <f aca="false">IF(AND(D1387="Feature Use",COUNTIFS($B$5:B1387,B1387,$D$5:D1387,"Feature Use",$E$5:E1387,E1387)=2),1,0)</f>
        <v>0</v>
      </c>
      <c r="K1387" s="29" t="n">
        <f aca="false">IF(COUNTIF($B$5:B1387,B1387)=1,1,0)</f>
        <v>0</v>
      </c>
      <c r="L1387" s="29" t="n">
        <f aca="false">IF(AND(C1387&gt;=Settings!$B$5-Settings!$B$8+1,C1387&lt;=Settings!$B$5,COUNTIFS($B$5:B1387,B1387,$C$5:C1387,"&gt;="&amp;(Settings!$B$5-Settings!$B$8+1),$C$5:C1387,"&lt;="&amp;Settings!$B$5)=1),1,0)</f>
        <v>0</v>
      </c>
      <c r="M1387" s="29" t="n">
        <f aca="false">IF(AND(C1387&gt;=Settings!$B$5-Settings!$B$9+1,C1387&lt;=Settings!$B$5,COUNTIFS($B$5:B1387,B1387,$C$5:C1387,"&gt;="&amp;(Settings!$B$5-Settings!$B$9+1),$C$5:C1387,"&lt;="&amp;Settings!$B$5)=1),1,0)</f>
        <v>0</v>
      </c>
      <c r="N1387" s="29" t="n">
        <f aca="false">IF(AND(D1387="Feature Use",COUNTIFS($B$5:B1387,B1387,$D$5:D1387,"Feature Use")=1),1,0)</f>
        <v>0</v>
      </c>
    </row>
    <row r="1388" customFormat="false" ht="15" hidden="false" customHeight="false" outlineLevel="0" collapsed="false">
      <c r="A1388" s="22" t="s">
        <v>1695</v>
      </c>
      <c r="B1388" s="22" t="s">
        <v>530</v>
      </c>
      <c r="C1388" s="31" t="n">
        <v>46306</v>
      </c>
      <c r="D1388" s="22" t="s">
        <v>297</v>
      </c>
      <c r="E1388" s="22" t="s">
        <v>298</v>
      </c>
      <c r="F1388" s="29" t="str">
        <f aca="false">IF(COUNTIF(Referral_Data!$C$5:$C$1000,B1388)&gt;0,"Referred",IF(COUNTIF(Referral_Data!$B$5:$B$1000,B1388)&gt;0,"Referrer","Organic"))</f>
        <v>Organic</v>
      </c>
      <c r="G1388" s="29" t="n">
        <f aca="false">IF(COUNTIFS($B$5:B1388,B1388,$C$5:C1388,C1388)=1,1,0)</f>
        <v>1</v>
      </c>
      <c r="H1388" s="29" t="n">
        <f aca="false">IF(AND(G1388=1,COUNTIFS($B$5:$B$1635,B1388,$C$5:$C$1635,"&lt;"&amp;C1388)&gt;0),1,0)</f>
        <v>1</v>
      </c>
      <c r="I1388" s="29" t="n">
        <f aca="false">IF(AND(D1388="Feature Use",COUNTIFS($B$5:B1388,B1388,$D$5:D1388,"Feature Use",$E$5:E1388,E1388)=1),1,0)</f>
        <v>0</v>
      </c>
      <c r="J1388" s="29" t="n">
        <f aca="false">IF(AND(D1388="Feature Use",COUNTIFS($B$5:B1388,B1388,$D$5:D1388,"Feature Use",$E$5:E1388,E1388)=2),1,0)</f>
        <v>0</v>
      </c>
      <c r="K1388" s="29" t="n">
        <f aca="false">IF(COUNTIF($B$5:B1388,B1388)=1,1,0)</f>
        <v>0</v>
      </c>
      <c r="L1388" s="29" t="n">
        <f aca="false">IF(AND(C1388&gt;=Settings!$B$5-Settings!$B$8+1,C1388&lt;=Settings!$B$5,COUNTIFS($B$5:B1388,B1388,$C$5:C1388,"&gt;="&amp;(Settings!$B$5-Settings!$B$8+1),$C$5:C1388,"&lt;="&amp;Settings!$B$5)=1),1,0)</f>
        <v>0</v>
      </c>
      <c r="M1388" s="29" t="n">
        <f aca="false">IF(AND(C1388&gt;=Settings!$B$5-Settings!$B$9+1,C1388&lt;=Settings!$B$5,COUNTIFS($B$5:B1388,B1388,$C$5:C1388,"&gt;="&amp;(Settings!$B$5-Settings!$B$9+1),$C$5:C1388,"&lt;="&amp;Settings!$B$5)=1),1,0)</f>
        <v>0</v>
      </c>
      <c r="N1388" s="29" t="n">
        <f aca="false">IF(AND(D1388="Feature Use",COUNTIFS($B$5:B1388,B1388,$D$5:D1388,"Feature Use")=1),1,0)</f>
        <v>0</v>
      </c>
    </row>
    <row r="1389" customFormat="false" ht="15" hidden="false" customHeight="false" outlineLevel="0" collapsed="false">
      <c r="A1389" s="22" t="s">
        <v>1696</v>
      </c>
      <c r="B1389" s="22" t="s">
        <v>530</v>
      </c>
      <c r="C1389" s="31" t="n">
        <v>46306</v>
      </c>
      <c r="D1389" s="22" t="s">
        <v>300</v>
      </c>
      <c r="E1389" s="22" t="s">
        <v>311</v>
      </c>
      <c r="F1389" s="29" t="str">
        <f aca="false">IF(COUNTIF(Referral_Data!$C$5:$C$1000,B1389)&gt;0,"Referred",IF(COUNTIF(Referral_Data!$B$5:$B$1000,B1389)&gt;0,"Referrer","Organic"))</f>
        <v>Organic</v>
      </c>
      <c r="G1389" s="29" t="n">
        <f aca="false">IF(COUNTIFS($B$5:B1389,B1389,$C$5:C1389,C1389)=1,1,0)</f>
        <v>0</v>
      </c>
      <c r="H1389" s="29" t="n">
        <f aca="false">IF(AND(G1389=1,COUNTIFS($B$5:$B$1635,B1389,$C$5:$C$1635,"&lt;"&amp;C1389)&gt;0),1,0)</f>
        <v>0</v>
      </c>
      <c r="I1389" s="29" t="n">
        <f aca="false">IF(AND(D1389="Feature Use",COUNTIFS($B$5:B1389,B1389,$D$5:D1389,"Feature Use",$E$5:E1389,E1389)=1),1,0)</f>
        <v>0</v>
      </c>
      <c r="J1389" s="29" t="n">
        <f aca="false">IF(AND(D1389="Feature Use",COUNTIFS($B$5:B1389,B1389,$D$5:D1389,"Feature Use",$E$5:E1389,E1389)=2),1,0)</f>
        <v>0</v>
      </c>
      <c r="K1389" s="29" t="n">
        <f aca="false">IF(COUNTIF($B$5:B1389,B1389)=1,1,0)</f>
        <v>0</v>
      </c>
      <c r="L1389" s="29" t="n">
        <f aca="false">IF(AND(C1389&gt;=Settings!$B$5-Settings!$B$8+1,C1389&lt;=Settings!$B$5,COUNTIFS($B$5:B1389,B1389,$C$5:C1389,"&gt;="&amp;(Settings!$B$5-Settings!$B$8+1),$C$5:C1389,"&lt;="&amp;Settings!$B$5)=1),1,0)</f>
        <v>0</v>
      </c>
      <c r="M1389" s="29" t="n">
        <f aca="false">IF(AND(C1389&gt;=Settings!$B$5-Settings!$B$9+1,C1389&lt;=Settings!$B$5,COUNTIFS($B$5:B1389,B1389,$C$5:C1389,"&gt;="&amp;(Settings!$B$5-Settings!$B$9+1),$C$5:C1389,"&lt;="&amp;Settings!$B$5)=1),1,0)</f>
        <v>0</v>
      </c>
      <c r="N1389" s="29" t="n">
        <f aca="false">IF(AND(D1389="Feature Use",COUNTIFS($B$5:B1389,B1389,$D$5:D1389,"Feature Use")=1),1,0)</f>
        <v>0</v>
      </c>
    </row>
    <row r="1390" customFormat="false" ht="15" hidden="false" customHeight="false" outlineLevel="0" collapsed="false">
      <c r="A1390" s="22" t="s">
        <v>1697</v>
      </c>
      <c r="B1390" s="22" t="s">
        <v>313</v>
      </c>
      <c r="C1390" s="31" t="n">
        <v>46306</v>
      </c>
      <c r="D1390" s="22" t="s">
        <v>297</v>
      </c>
      <c r="E1390" s="22" t="s">
        <v>298</v>
      </c>
      <c r="F1390" s="29" t="str">
        <f aca="false">IF(COUNTIF(Referral_Data!$C$5:$C$1000,B1390)&gt;0,"Referred",IF(COUNTIF(Referral_Data!$B$5:$B$1000,B1390)&gt;0,"Referrer","Organic"))</f>
        <v>Organic</v>
      </c>
      <c r="G1390" s="29" t="n">
        <f aca="false">IF(COUNTIFS($B$5:B1390,B1390,$C$5:C1390,C1390)=1,1,0)</f>
        <v>1</v>
      </c>
      <c r="H1390" s="29" t="n">
        <f aca="false">IF(AND(G1390=1,COUNTIFS($B$5:$B$1635,B1390,$C$5:$C$1635,"&lt;"&amp;C1390)&gt;0),1,0)</f>
        <v>1</v>
      </c>
      <c r="I1390" s="29" t="n">
        <f aca="false">IF(AND(D1390="Feature Use",COUNTIFS($B$5:B1390,B1390,$D$5:D1390,"Feature Use",$E$5:E1390,E1390)=1),1,0)</f>
        <v>0</v>
      </c>
      <c r="J1390" s="29" t="n">
        <f aca="false">IF(AND(D1390="Feature Use",COUNTIFS($B$5:B1390,B1390,$D$5:D1390,"Feature Use",$E$5:E1390,E1390)=2),1,0)</f>
        <v>0</v>
      </c>
      <c r="K1390" s="29" t="n">
        <f aca="false">IF(COUNTIF($B$5:B1390,B1390)=1,1,0)</f>
        <v>0</v>
      </c>
      <c r="L1390" s="29" t="n">
        <f aca="false">IF(AND(C1390&gt;=Settings!$B$5-Settings!$B$8+1,C1390&lt;=Settings!$B$5,COUNTIFS($B$5:B1390,B1390,$C$5:C1390,"&gt;="&amp;(Settings!$B$5-Settings!$B$8+1),$C$5:C1390,"&lt;="&amp;Settings!$B$5)=1),1,0)</f>
        <v>0</v>
      </c>
      <c r="M1390" s="29" t="n">
        <f aca="false">IF(AND(C1390&gt;=Settings!$B$5-Settings!$B$9+1,C1390&lt;=Settings!$B$5,COUNTIFS($B$5:B1390,B1390,$C$5:C1390,"&gt;="&amp;(Settings!$B$5-Settings!$B$9+1),$C$5:C1390,"&lt;="&amp;Settings!$B$5)=1),1,0)</f>
        <v>0</v>
      </c>
      <c r="N1390" s="29" t="n">
        <f aca="false">IF(AND(D1390="Feature Use",COUNTIFS($B$5:B1390,B1390,$D$5:D1390,"Feature Use")=1),1,0)</f>
        <v>0</v>
      </c>
    </row>
    <row r="1391" customFormat="false" ht="15" hidden="false" customHeight="false" outlineLevel="0" collapsed="false">
      <c r="A1391" s="22" t="s">
        <v>1698</v>
      </c>
      <c r="B1391" s="22" t="s">
        <v>313</v>
      </c>
      <c r="C1391" s="31" t="n">
        <v>46306</v>
      </c>
      <c r="D1391" s="22" t="s">
        <v>300</v>
      </c>
      <c r="E1391" s="22" t="s">
        <v>305</v>
      </c>
      <c r="F1391" s="29" t="str">
        <f aca="false">IF(COUNTIF(Referral_Data!$C$5:$C$1000,B1391)&gt;0,"Referred",IF(COUNTIF(Referral_Data!$B$5:$B$1000,B1391)&gt;0,"Referrer","Organic"))</f>
        <v>Organic</v>
      </c>
      <c r="G1391" s="29" t="n">
        <f aca="false">IF(COUNTIFS($B$5:B1391,B1391,$C$5:C1391,C1391)=1,1,0)</f>
        <v>0</v>
      </c>
      <c r="H1391" s="29" t="n">
        <f aca="false">IF(AND(G1391=1,COUNTIFS($B$5:$B$1635,B1391,$C$5:$C$1635,"&lt;"&amp;C1391)&gt;0),1,0)</f>
        <v>0</v>
      </c>
      <c r="I1391" s="29" t="n">
        <f aca="false">IF(AND(D1391="Feature Use",COUNTIFS($B$5:B1391,B1391,$D$5:D1391,"Feature Use",$E$5:E1391,E1391)=1),1,0)</f>
        <v>0</v>
      </c>
      <c r="J1391" s="29" t="n">
        <f aca="false">IF(AND(D1391="Feature Use",COUNTIFS($B$5:B1391,B1391,$D$5:D1391,"Feature Use",$E$5:E1391,E1391)=2),1,0)</f>
        <v>0</v>
      </c>
      <c r="K1391" s="29" t="n">
        <f aca="false">IF(COUNTIF($B$5:B1391,B1391)=1,1,0)</f>
        <v>0</v>
      </c>
      <c r="L1391" s="29" t="n">
        <f aca="false">IF(AND(C1391&gt;=Settings!$B$5-Settings!$B$8+1,C1391&lt;=Settings!$B$5,COUNTIFS($B$5:B1391,B1391,$C$5:C1391,"&gt;="&amp;(Settings!$B$5-Settings!$B$8+1),$C$5:C1391,"&lt;="&amp;Settings!$B$5)=1),1,0)</f>
        <v>0</v>
      </c>
      <c r="M1391" s="29" t="n">
        <f aca="false">IF(AND(C1391&gt;=Settings!$B$5-Settings!$B$9+1,C1391&lt;=Settings!$B$5,COUNTIFS($B$5:B1391,B1391,$C$5:C1391,"&gt;="&amp;(Settings!$B$5-Settings!$B$9+1),$C$5:C1391,"&lt;="&amp;Settings!$B$5)=1),1,0)</f>
        <v>0</v>
      </c>
      <c r="N1391" s="29" t="n">
        <f aca="false">IF(AND(D1391="Feature Use",COUNTIFS($B$5:B1391,B1391,$D$5:D1391,"Feature Use")=1),1,0)</f>
        <v>0</v>
      </c>
    </row>
    <row r="1392" customFormat="false" ht="15" hidden="false" customHeight="false" outlineLevel="0" collapsed="false">
      <c r="A1392" s="22" t="s">
        <v>1699</v>
      </c>
      <c r="B1392" s="22" t="s">
        <v>176</v>
      </c>
      <c r="C1392" s="31" t="n">
        <v>46306</v>
      </c>
      <c r="D1392" s="22" t="s">
        <v>297</v>
      </c>
      <c r="E1392" s="22" t="s">
        <v>298</v>
      </c>
      <c r="F1392" s="29" t="str">
        <f aca="false">IF(COUNTIF(Referral_Data!$C$5:$C$1000,B1392)&gt;0,"Referred",IF(COUNTIF(Referral_Data!$B$5:$B$1000,B1392)&gt;0,"Referrer","Organic"))</f>
        <v>Referred</v>
      </c>
      <c r="G1392" s="29" t="n">
        <f aca="false">IF(COUNTIFS($B$5:B1392,B1392,$C$5:C1392,C1392)=1,1,0)</f>
        <v>1</v>
      </c>
      <c r="H1392" s="29" t="n">
        <f aca="false">IF(AND(G1392=1,COUNTIFS($B$5:$B$1635,B1392,$C$5:$C$1635,"&lt;"&amp;C1392)&gt;0),1,0)</f>
        <v>1</v>
      </c>
      <c r="I1392" s="29" t="n">
        <f aca="false">IF(AND(D1392="Feature Use",COUNTIFS($B$5:B1392,B1392,$D$5:D1392,"Feature Use",$E$5:E1392,E1392)=1),1,0)</f>
        <v>0</v>
      </c>
      <c r="J1392" s="29" t="n">
        <f aca="false">IF(AND(D1392="Feature Use",COUNTIFS($B$5:B1392,B1392,$D$5:D1392,"Feature Use",$E$5:E1392,E1392)=2),1,0)</f>
        <v>0</v>
      </c>
      <c r="K1392" s="29" t="n">
        <f aca="false">IF(COUNTIF($B$5:B1392,B1392)=1,1,0)</f>
        <v>0</v>
      </c>
      <c r="L1392" s="29" t="n">
        <f aca="false">IF(AND(C1392&gt;=Settings!$B$5-Settings!$B$8+1,C1392&lt;=Settings!$B$5,COUNTIFS($B$5:B1392,B1392,$C$5:C1392,"&gt;="&amp;(Settings!$B$5-Settings!$B$8+1),$C$5:C1392,"&lt;="&amp;Settings!$B$5)=1),1,0)</f>
        <v>0</v>
      </c>
      <c r="M1392" s="29" t="n">
        <f aca="false">IF(AND(C1392&gt;=Settings!$B$5-Settings!$B$9+1,C1392&lt;=Settings!$B$5,COUNTIFS($B$5:B1392,B1392,$C$5:C1392,"&gt;="&amp;(Settings!$B$5-Settings!$B$9+1),$C$5:C1392,"&lt;="&amp;Settings!$B$5)=1),1,0)</f>
        <v>0</v>
      </c>
      <c r="N1392" s="29" t="n">
        <f aca="false">IF(AND(D1392="Feature Use",COUNTIFS($B$5:B1392,B1392,$D$5:D1392,"Feature Use")=1),1,0)</f>
        <v>0</v>
      </c>
    </row>
    <row r="1393" customFormat="false" ht="15" hidden="false" customHeight="false" outlineLevel="0" collapsed="false">
      <c r="A1393" s="22" t="s">
        <v>1700</v>
      </c>
      <c r="B1393" s="22" t="s">
        <v>176</v>
      </c>
      <c r="C1393" s="31" t="n">
        <v>46306</v>
      </c>
      <c r="D1393" s="22" t="s">
        <v>300</v>
      </c>
      <c r="E1393" s="22" t="s">
        <v>319</v>
      </c>
      <c r="F1393" s="29" t="str">
        <f aca="false">IF(COUNTIF(Referral_Data!$C$5:$C$1000,B1393)&gt;0,"Referred",IF(COUNTIF(Referral_Data!$B$5:$B$1000,B1393)&gt;0,"Referrer","Organic"))</f>
        <v>Referred</v>
      </c>
      <c r="G1393" s="29" t="n">
        <f aca="false">IF(COUNTIFS($B$5:B1393,B1393,$C$5:C1393,C1393)=1,1,0)</f>
        <v>0</v>
      </c>
      <c r="H1393" s="29" t="n">
        <f aca="false">IF(AND(G1393=1,COUNTIFS($B$5:$B$1635,B1393,$C$5:$C$1635,"&lt;"&amp;C1393)&gt;0),1,0)</f>
        <v>0</v>
      </c>
      <c r="I1393" s="29" t="n">
        <f aca="false">IF(AND(D1393="Feature Use",COUNTIFS($B$5:B1393,B1393,$D$5:D1393,"Feature Use",$E$5:E1393,E1393)=1),1,0)</f>
        <v>0</v>
      </c>
      <c r="J1393" s="29" t="n">
        <f aca="false">IF(AND(D1393="Feature Use",COUNTIFS($B$5:B1393,B1393,$D$5:D1393,"Feature Use",$E$5:E1393,E1393)=2),1,0)</f>
        <v>1</v>
      </c>
      <c r="K1393" s="29" t="n">
        <f aca="false">IF(COUNTIF($B$5:B1393,B1393)=1,1,0)</f>
        <v>0</v>
      </c>
      <c r="L1393" s="29" t="n">
        <f aca="false">IF(AND(C1393&gt;=Settings!$B$5-Settings!$B$8+1,C1393&lt;=Settings!$B$5,COUNTIFS($B$5:B1393,B1393,$C$5:C1393,"&gt;="&amp;(Settings!$B$5-Settings!$B$8+1),$C$5:C1393,"&lt;="&amp;Settings!$B$5)=1),1,0)</f>
        <v>0</v>
      </c>
      <c r="M1393" s="29" t="n">
        <f aca="false">IF(AND(C1393&gt;=Settings!$B$5-Settings!$B$9+1,C1393&lt;=Settings!$B$5,COUNTIFS($B$5:B1393,B1393,$C$5:C1393,"&gt;="&amp;(Settings!$B$5-Settings!$B$9+1),$C$5:C1393,"&lt;="&amp;Settings!$B$5)=1),1,0)</f>
        <v>0</v>
      </c>
      <c r="N1393" s="29" t="n">
        <f aca="false">IF(AND(D1393="Feature Use",COUNTIFS($B$5:B1393,B1393,$D$5:D1393,"Feature Use")=1),1,0)</f>
        <v>0</v>
      </c>
    </row>
    <row r="1394" customFormat="false" ht="15" hidden="false" customHeight="false" outlineLevel="0" collapsed="false">
      <c r="A1394" s="22" t="s">
        <v>1701</v>
      </c>
      <c r="B1394" s="22" t="s">
        <v>194</v>
      </c>
      <c r="C1394" s="31" t="n">
        <v>46306</v>
      </c>
      <c r="D1394" s="22" t="s">
        <v>297</v>
      </c>
      <c r="E1394" s="22" t="s">
        <v>298</v>
      </c>
      <c r="F1394" s="29" t="str">
        <f aca="false">IF(COUNTIF(Referral_Data!$C$5:$C$1000,B1394)&gt;0,"Referred",IF(COUNTIF(Referral_Data!$B$5:$B$1000,B1394)&gt;0,"Referrer","Organic"))</f>
        <v>Referred</v>
      </c>
      <c r="G1394" s="29" t="n">
        <f aca="false">IF(COUNTIFS($B$5:B1394,B1394,$C$5:C1394,C1394)=1,1,0)</f>
        <v>1</v>
      </c>
      <c r="H1394" s="29" t="n">
        <f aca="false">IF(AND(G1394=1,COUNTIFS($B$5:$B$1635,B1394,$C$5:$C$1635,"&lt;"&amp;C1394)&gt;0),1,0)</f>
        <v>1</v>
      </c>
      <c r="I1394" s="29" t="n">
        <f aca="false">IF(AND(D1394="Feature Use",COUNTIFS($B$5:B1394,B1394,$D$5:D1394,"Feature Use",$E$5:E1394,E1394)=1),1,0)</f>
        <v>0</v>
      </c>
      <c r="J1394" s="29" t="n">
        <f aca="false">IF(AND(D1394="Feature Use",COUNTIFS($B$5:B1394,B1394,$D$5:D1394,"Feature Use",$E$5:E1394,E1394)=2),1,0)</f>
        <v>0</v>
      </c>
      <c r="K1394" s="29" t="n">
        <f aca="false">IF(COUNTIF($B$5:B1394,B1394)=1,1,0)</f>
        <v>0</v>
      </c>
      <c r="L1394" s="29" t="n">
        <f aca="false">IF(AND(C1394&gt;=Settings!$B$5-Settings!$B$8+1,C1394&lt;=Settings!$B$5,COUNTIFS($B$5:B1394,B1394,$C$5:C1394,"&gt;="&amp;(Settings!$B$5-Settings!$B$8+1),$C$5:C1394,"&lt;="&amp;Settings!$B$5)=1),1,0)</f>
        <v>0</v>
      </c>
      <c r="M1394" s="29" t="n">
        <f aca="false">IF(AND(C1394&gt;=Settings!$B$5-Settings!$B$9+1,C1394&lt;=Settings!$B$5,COUNTIFS($B$5:B1394,B1394,$C$5:C1394,"&gt;="&amp;(Settings!$B$5-Settings!$B$9+1),$C$5:C1394,"&lt;="&amp;Settings!$B$5)=1),1,0)</f>
        <v>0</v>
      </c>
      <c r="N1394" s="29" t="n">
        <f aca="false">IF(AND(D1394="Feature Use",COUNTIFS($B$5:B1394,B1394,$D$5:D1394,"Feature Use")=1),1,0)</f>
        <v>0</v>
      </c>
    </row>
    <row r="1395" customFormat="false" ht="15" hidden="false" customHeight="false" outlineLevel="0" collapsed="false">
      <c r="A1395" s="22" t="s">
        <v>1702</v>
      </c>
      <c r="B1395" s="22" t="s">
        <v>194</v>
      </c>
      <c r="C1395" s="31" t="n">
        <v>46306</v>
      </c>
      <c r="D1395" s="22" t="s">
        <v>300</v>
      </c>
      <c r="E1395" s="22" t="s">
        <v>319</v>
      </c>
      <c r="F1395" s="29" t="str">
        <f aca="false">IF(COUNTIF(Referral_Data!$C$5:$C$1000,B1395)&gt;0,"Referred",IF(COUNTIF(Referral_Data!$B$5:$B$1000,B1395)&gt;0,"Referrer","Organic"))</f>
        <v>Referred</v>
      </c>
      <c r="G1395" s="29" t="n">
        <f aca="false">IF(COUNTIFS($B$5:B1395,B1395,$C$5:C1395,C1395)=1,1,0)</f>
        <v>0</v>
      </c>
      <c r="H1395" s="29" t="n">
        <f aca="false">IF(AND(G1395=1,COUNTIFS($B$5:$B$1635,B1395,$C$5:$C$1635,"&lt;"&amp;C1395)&gt;0),1,0)</f>
        <v>0</v>
      </c>
      <c r="I1395" s="29" t="n">
        <f aca="false">IF(AND(D1395="Feature Use",COUNTIFS($B$5:B1395,B1395,$D$5:D1395,"Feature Use",$E$5:E1395,E1395)=1),1,0)</f>
        <v>0</v>
      </c>
      <c r="J1395" s="29" t="n">
        <f aca="false">IF(AND(D1395="Feature Use",COUNTIFS($B$5:B1395,B1395,$D$5:D1395,"Feature Use",$E$5:E1395,E1395)=2),1,0)</f>
        <v>0</v>
      </c>
      <c r="K1395" s="29" t="n">
        <f aca="false">IF(COUNTIF($B$5:B1395,B1395)=1,1,0)</f>
        <v>0</v>
      </c>
      <c r="L1395" s="29" t="n">
        <f aca="false">IF(AND(C1395&gt;=Settings!$B$5-Settings!$B$8+1,C1395&lt;=Settings!$B$5,COUNTIFS($B$5:B1395,B1395,$C$5:C1395,"&gt;="&amp;(Settings!$B$5-Settings!$B$8+1),$C$5:C1395,"&lt;="&amp;Settings!$B$5)=1),1,0)</f>
        <v>0</v>
      </c>
      <c r="M1395" s="29" t="n">
        <f aca="false">IF(AND(C1395&gt;=Settings!$B$5-Settings!$B$9+1,C1395&lt;=Settings!$B$5,COUNTIFS($B$5:B1395,B1395,$C$5:C1395,"&gt;="&amp;(Settings!$B$5-Settings!$B$9+1),$C$5:C1395,"&lt;="&amp;Settings!$B$5)=1),1,0)</f>
        <v>0</v>
      </c>
      <c r="N1395" s="29" t="n">
        <f aca="false">IF(AND(D1395="Feature Use",COUNTIFS($B$5:B1395,B1395,$D$5:D1395,"Feature Use")=1),1,0)</f>
        <v>0</v>
      </c>
    </row>
    <row r="1396" customFormat="false" ht="15" hidden="false" customHeight="false" outlineLevel="0" collapsed="false">
      <c r="A1396" s="22" t="s">
        <v>1703</v>
      </c>
      <c r="B1396" s="22" t="s">
        <v>194</v>
      </c>
      <c r="C1396" s="31" t="n">
        <v>46306</v>
      </c>
      <c r="D1396" s="22" t="s">
        <v>300</v>
      </c>
      <c r="E1396" s="22" t="s">
        <v>311</v>
      </c>
      <c r="F1396" s="29" t="str">
        <f aca="false">IF(COUNTIF(Referral_Data!$C$5:$C$1000,B1396)&gt;0,"Referred",IF(COUNTIF(Referral_Data!$B$5:$B$1000,B1396)&gt;0,"Referrer","Organic"))</f>
        <v>Referred</v>
      </c>
      <c r="G1396" s="29" t="n">
        <f aca="false">IF(COUNTIFS($B$5:B1396,B1396,$C$5:C1396,C1396)=1,1,0)</f>
        <v>0</v>
      </c>
      <c r="H1396" s="29" t="n">
        <f aca="false">IF(AND(G1396=1,COUNTIFS($B$5:$B$1635,B1396,$C$5:$C$1635,"&lt;"&amp;C1396)&gt;0),1,0)</f>
        <v>0</v>
      </c>
      <c r="I1396" s="29" t="n">
        <f aca="false">IF(AND(D1396="Feature Use",COUNTIFS($B$5:B1396,B1396,$D$5:D1396,"Feature Use",$E$5:E1396,E1396)=1),1,0)</f>
        <v>0</v>
      </c>
      <c r="J1396" s="29" t="n">
        <f aca="false">IF(AND(D1396="Feature Use",COUNTIFS($B$5:B1396,B1396,$D$5:D1396,"Feature Use",$E$5:E1396,E1396)=2),1,0)</f>
        <v>0</v>
      </c>
      <c r="K1396" s="29" t="n">
        <f aca="false">IF(COUNTIF($B$5:B1396,B1396)=1,1,0)</f>
        <v>0</v>
      </c>
      <c r="L1396" s="29" t="n">
        <f aca="false">IF(AND(C1396&gt;=Settings!$B$5-Settings!$B$8+1,C1396&lt;=Settings!$B$5,COUNTIFS($B$5:B1396,B1396,$C$5:C1396,"&gt;="&amp;(Settings!$B$5-Settings!$B$8+1),$C$5:C1396,"&lt;="&amp;Settings!$B$5)=1),1,0)</f>
        <v>0</v>
      </c>
      <c r="M1396" s="29" t="n">
        <f aca="false">IF(AND(C1396&gt;=Settings!$B$5-Settings!$B$9+1,C1396&lt;=Settings!$B$5,COUNTIFS($B$5:B1396,B1396,$C$5:C1396,"&gt;="&amp;(Settings!$B$5-Settings!$B$9+1),$C$5:C1396,"&lt;="&amp;Settings!$B$5)=1),1,0)</f>
        <v>0</v>
      </c>
      <c r="N1396" s="29" t="n">
        <f aca="false">IF(AND(D1396="Feature Use",COUNTIFS($B$5:B1396,B1396,$D$5:D1396,"Feature Use")=1),1,0)</f>
        <v>0</v>
      </c>
    </row>
    <row r="1397" customFormat="false" ht="15" hidden="false" customHeight="false" outlineLevel="0" collapsed="false">
      <c r="A1397" s="22" t="s">
        <v>1704</v>
      </c>
      <c r="B1397" s="22" t="s">
        <v>194</v>
      </c>
      <c r="C1397" s="31" t="n">
        <v>46306</v>
      </c>
      <c r="D1397" s="22" t="s">
        <v>308</v>
      </c>
      <c r="E1397" s="22" t="s">
        <v>311</v>
      </c>
      <c r="F1397" s="29" t="str">
        <f aca="false">IF(COUNTIF(Referral_Data!$C$5:$C$1000,B1397)&gt;0,"Referred",IF(COUNTIF(Referral_Data!$B$5:$B$1000,B1397)&gt;0,"Referrer","Organic"))</f>
        <v>Referred</v>
      </c>
      <c r="G1397" s="29" t="n">
        <f aca="false">IF(COUNTIFS($B$5:B1397,B1397,$C$5:C1397,C1397)=1,1,0)</f>
        <v>0</v>
      </c>
      <c r="H1397" s="29" t="n">
        <f aca="false">IF(AND(G1397=1,COUNTIFS($B$5:$B$1635,B1397,$C$5:$C$1635,"&lt;"&amp;C1397)&gt;0),1,0)</f>
        <v>0</v>
      </c>
      <c r="I1397" s="29" t="n">
        <f aca="false">IF(AND(D1397="Feature Use",COUNTIFS($B$5:B1397,B1397,$D$5:D1397,"Feature Use",$E$5:E1397,E1397)=1),1,0)</f>
        <v>0</v>
      </c>
      <c r="J1397" s="29" t="n">
        <f aca="false">IF(AND(D1397="Feature Use",COUNTIFS($B$5:B1397,B1397,$D$5:D1397,"Feature Use",$E$5:E1397,E1397)=2),1,0)</f>
        <v>0</v>
      </c>
      <c r="K1397" s="29" t="n">
        <f aca="false">IF(COUNTIF($B$5:B1397,B1397)=1,1,0)</f>
        <v>0</v>
      </c>
      <c r="L1397" s="29" t="n">
        <f aca="false">IF(AND(C1397&gt;=Settings!$B$5-Settings!$B$8+1,C1397&lt;=Settings!$B$5,COUNTIFS($B$5:B1397,B1397,$C$5:C1397,"&gt;="&amp;(Settings!$B$5-Settings!$B$8+1),$C$5:C1397,"&lt;="&amp;Settings!$B$5)=1),1,0)</f>
        <v>0</v>
      </c>
      <c r="M1397" s="29" t="n">
        <f aca="false">IF(AND(C1397&gt;=Settings!$B$5-Settings!$B$9+1,C1397&lt;=Settings!$B$5,COUNTIFS($B$5:B1397,B1397,$C$5:C1397,"&gt;="&amp;(Settings!$B$5-Settings!$B$9+1),$C$5:C1397,"&lt;="&amp;Settings!$B$5)=1),1,0)</f>
        <v>0</v>
      </c>
      <c r="N1397" s="29" t="n">
        <f aca="false">IF(AND(D1397="Feature Use",COUNTIFS($B$5:B1397,B1397,$D$5:D1397,"Feature Use")=1),1,0)</f>
        <v>0</v>
      </c>
    </row>
    <row r="1398" customFormat="false" ht="15" hidden="false" customHeight="false" outlineLevel="0" collapsed="false">
      <c r="A1398" s="22" t="s">
        <v>1705</v>
      </c>
      <c r="B1398" s="22" t="s">
        <v>194</v>
      </c>
      <c r="C1398" s="31" t="n">
        <v>46306</v>
      </c>
      <c r="D1398" s="22" t="s">
        <v>308</v>
      </c>
      <c r="E1398" s="22" t="s">
        <v>305</v>
      </c>
      <c r="F1398" s="29" t="str">
        <f aca="false">IF(COUNTIF(Referral_Data!$C$5:$C$1000,B1398)&gt;0,"Referred",IF(COUNTIF(Referral_Data!$B$5:$B$1000,B1398)&gt;0,"Referrer","Organic"))</f>
        <v>Referred</v>
      </c>
      <c r="G1398" s="29" t="n">
        <f aca="false">IF(COUNTIFS($B$5:B1398,B1398,$C$5:C1398,C1398)=1,1,0)</f>
        <v>0</v>
      </c>
      <c r="H1398" s="29" t="n">
        <f aca="false">IF(AND(G1398=1,COUNTIFS($B$5:$B$1635,B1398,$C$5:$C$1635,"&lt;"&amp;C1398)&gt;0),1,0)</f>
        <v>0</v>
      </c>
      <c r="I1398" s="29" t="n">
        <f aca="false">IF(AND(D1398="Feature Use",COUNTIFS($B$5:B1398,B1398,$D$5:D1398,"Feature Use",$E$5:E1398,E1398)=1),1,0)</f>
        <v>0</v>
      </c>
      <c r="J1398" s="29" t="n">
        <f aca="false">IF(AND(D1398="Feature Use",COUNTIFS($B$5:B1398,B1398,$D$5:D1398,"Feature Use",$E$5:E1398,E1398)=2),1,0)</f>
        <v>0</v>
      </c>
      <c r="K1398" s="29" t="n">
        <f aca="false">IF(COUNTIF($B$5:B1398,B1398)=1,1,0)</f>
        <v>0</v>
      </c>
      <c r="L1398" s="29" t="n">
        <f aca="false">IF(AND(C1398&gt;=Settings!$B$5-Settings!$B$8+1,C1398&lt;=Settings!$B$5,COUNTIFS($B$5:B1398,B1398,$C$5:C1398,"&gt;="&amp;(Settings!$B$5-Settings!$B$8+1),$C$5:C1398,"&lt;="&amp;Settings!$B$5)=1),1,0)</f>
        <v>0</v>
      </c>
      <c r="M1398" s="29" t="n">
        <f aca="false">IF(AND(C1398&gt;=Settings!$B$5-Settings!$B$9+1,C1398&lt;=Settings!$B$5,COUNTIFS($B$5:B1398,B1398,$C$5:C1398,"&gt;="&amp;(Settings!$B$5-Settings!$B$9+1),$C$5:C1398,"&lt;="&amp;Settings!$B$5)=1),1,0)</f>
        <v>0</v>
      </c>
      <c r="N1398" s="29" t="n">
        <f aca="false">IF(AND(D1398="Feature Use",COUNTIFS($B$5:B1398,B1398,$D$5:D1398,"Feature Use")=1),1,0)</f>
        <v>0</v>
      </c>
    </row>
    <row r="1399" customFormat="false" ht="15" hidden="false" customHeight="false" outlineLevel="0" collapsed="false">
      <c r="A1399" s="22" t="s">
        <v>1706</v>
      </c>
      <c r="B1399" s="22" t="s">
        <v>197</v>
      </c>
      <c r="C1399" s="31" t="n">
        <v>46306</v>
      </c>
      <c r="D1399" s="22" t="s">
        <v>297</v>
      </c>
      <c r="E1399" s="22" t="s">
        <v>298</v>
      </c>
      <c r="F1399" s="29" t="str">
        <f aca="false">IF(COUNTIF(Referral_Data!$C$5:$C$1000,B1399)&gt;0,"Referred",IF(COUNTIF(Referral_Data!$B$5:$B$1000,B1399)&gt;0,"Referrer","Organic"))</f>
        <v>Referred</v>
      </c>
      <c r="G1399" s="29" t="n">
        <f aca="false">IF(COUNTIFS($B$5:B1399,B1399,$C$5:C1399,C1399)=1,1,0)</f>
        <v>1</v>
      </c>
      <c r="H1399" s="29" t="n">
        <f aca="false">IF(AND(G1399=1,COUNTIFS($B$5:$B$1635,B1399,$C$5:$C$1635,"&lt;"&amp;C1399)&gt;0),1,0)</f>
        <v>1</v>
      </c>
      <c r="I1399" s="29" t="n">
        <f aca="false">IF(AND(D1399="Feature Use",COUNTIFS($B$5:B1399,B1399,$D$5:D1399,"Feature Use",$E$5:E1399,E1399)=1),1,0)</f>
        <v>0</v>
      </c>
      <c r="J1399" s="29" t="n">
        <f aca="false">IF(AND(D1399="Feature Use",COUNTIFS($B$5:B1399,B1399,$D$5:D1399,"Feature Use",$E$5:E1399,E1399)=2),1,0)</f>
        <v>0</v>
      </c>
      <c r="K1399" s="29" t="n">
        <f aca="false">IF(COUNTIF($B$5:B1399,B1399)=1,1,0)</f>
        <v>0</v>
      </c>
      <c r="L1399" s="29" t="n">
        <f aca="false">IF(AND(C1399&gt;=Settings!$B$5-Settings!$B$8+1,C1399&lt;=Settings!$B$5,COUNTIFS($B$5:B1399,B1399,$C$5:C1399,"&gt;="&amp;(Settings!$B$5-Settings!$B$8+1),$C$5:C1399,"&lt;="&amp;Settings!$B$5)=1),1,0)</f>
        <v>0</v>
      </c>
      <c r="M1399" s="29" t="n">
        <f aca="false">IF(AND(C1399&gt;=Settings!$B$5-Settings!$B$9+1,C1399&lt;=Settings!$B$5,COUNTIFS($B$5:B1399,B1399,$C$5:C1399,"&gt;="&amp;(Settings!$B$5-Settings!$B$9+1),$C$5:C1399,"&lt;="&amp;Settings!$B$5)=1),1,0)</f>
        <v>0</v>
      </c>
      <c r="N1399" s="29" t="n">
        <f aca="false">IF(AND(D1399="Feature Use",COUNTIFS($B$5:B1399,B1399,$D$5:D1399,"Feature Use")=1),1,0)</f>
        <v>0</v>
      </c>
    </row>
    <row r="1400" customFormat="false" ht="15" hidden="false" customHeight="false" outlineLevel="0" collapsed="false">
      <c r="A1400" s="22" t="s">
        <v>1707</v>
      </c>
      <c r="B1400" s="22" t="s">
        <v>197</v>
      </c>
      <c r="C1400" s="31" t="n">
        <v>46306</v>
      </c>
      <c r="D1400" s="22" t="s">
        <v>300</v>
      </c>
      <c r="E1400" s="22" t="s">
        <v>311</v>
      </c>
      <c r="F1400" s="29" t="str">
        <f aca="false">IF(COUNTIF(Referral_Data!$C$5:$C$1000,B1400)&gt;0,"Referred",IF(COUNTIF(Referral_Data!$B$5:$B$1000,B1400)&gt;0,"Referrer","Organic"))</f>
        <v>Referred</v>
      </c>
      <c r="G1400" s="29" t="n">
        <f aca="false">IF(COUNTIFS($B$5:B1400,B1400,$C$5:C1400,C1400)=1,1,0)</f>
        <v>0</v>
      </c>
      <c r="H1400" s="29" t="n">
        <f aca="false">IF(AND(G1400=1,COUNTIFS($B$5:$B$1635,B1400,$C$5:$C$1635,"&lt;"&amp;C1400)&gt;0),1,0)</f>
        <v>0</v>
      </c>
      <c r="I1400" s="29" t="n">
        <f aca="false">IF(AND(D1400="Feature Use",COUNTIFS($B$5:B1400,B1400,$D$5:D1400,"Feature Use",$E$5:E1400,E1400)=1),1,0)</f>
        <v>1</v>
      </c>
      <c r="J1400" s="29" t="n">
        <f aca="false">IF(AND(D1400="Feature Use",COUNTIFS($B$5:B1400,B1400,$D$5:D1400,"Feature Use",$E$5:E1400,E1400)=2),1,0)</f>
        <v>0</v>
      </c>
      <c r="K1400" s="29" t="n">
        <f aca="false">IF(COUNTIF($B$5:B1400,B1400)=1,1,0)</f>
        <v>0</v>
      </c>
      <c r="L1400" s="29" t="n">
        <f aca="false">IF(AND(C1400&gt;=Settings!$B$5-Settings!$B$8+1,C1400&lt;=Settings!$B$5,COUNTIFS($B$5:B1400,B1400,$C$5:C1400,"&gt;="&amp;(Settings!$B$5-Settings!$B$8+1),$C$5:C1400,"&lt;="&amp;Settings!$B$5)=1),1,0)</f>
        <v>0</v>
      </c>
      <c r="M1400" s="29" t="n">
        <f aca="false">IF(AND(C1400&gt;=Settings!$B$5-Settings!$B$9+1,C1400&lt;=Settings!$B$5,COUNTIFS($B$5:B1400,B1400,$C$5:C1400,"&gt;="&amp;(Settings!$B$5-Settings!$B$9+1),$C$5:C1400,"&lt;="&amp;Settings!$B$5)=1),1,0)</f>
        <v>0</v>
      </c>
      <c r="N1400" s="29" t="n">
        <f aca="false">IF(AND(D1400="Feature Use",COUNTIFS($B$5:B1400,B1400,$D$5:D1400,"Feature Use")=1),1,0)</f>
        <v>0</v>
      </c>
    </row>
    <row r="1401" customFormat="false" ht="15" hidden="false" customHeight="false" outlineLevel="0" collapsed="false">
      <c r="A1401" s="22" t="s">
        <v>1708</v>
      </c>
      <c r="B1401" s="22" t="s">
        <v>201</v>
      </c>
      <c r="C1401" s="31" t="n">
        <v>46306</v>
      </c>
      <c r="D1401" s="22" t="s">
        <v>297</v>
      </c>
      <c r="E1401" s="22" t="s">
        <v>298</v>
      </c>
      <c r="F1401" s="29" t="str">
        <f aca="false">IF(COUNTIF(Referral_Data!$C$5:$C$1000,B1401)&gt;0,"Referred",IF(COUNTIF(Referral_Data!$B$5:$B$1000,B1401)&gt;0,"Referrer","Organic"))</f>
        <v>Referred</v>
      </c>
      <c r="G1401" s="29" t="n">
        <f aca="false">IF(COUNTIFS($B$5:B1401,B1401,$C$5:C1401,C1401)=1,1,0)</f>
        <v>1</v>
      </c>
      <c r="H1401" s="29" t="n">
        <f aca="false">IF(AND(G1401=1,COUNTIFS($B$5:$B$1635,B1401,$C$5:$C$1635,"&lt;"&amp;C1401)&gt;0),1,0)</f>
        <v>0</v>
      </c>
      <c r="I1401" s="29" t="n">
        <f aca="false">IF(AND(D1401="Feature Use",COUNTIFS($B$5:B1401,B1401,$D$5:D1401,"Feature Use",$E$5:E1401,E1401)=1),1,0)</f>
        <v>0</v>
      </c>
      <c r="J1401" s="29" t="n">
        <f aca="false">IF(AND(D1401="Feature Use",COUNTIFS($B$5:B1401,B1401,$D$5:D1401,"Feature Use",$E$5:E1401,E1401)=2),1,0)</f>
        <v>0</v>
      </c>
      <c r="K1401" s="29" t="n">
        <f aca="false">IF(COUNTIF($B$5:B1401,B1401)=1,1,0)</f>
        <v>1</v>
      </c>
      <c r="L1401" s="29" t="n">
        <f aca="false">IF(AND(C1401&gt;=Settings!$B$5-Settings!$B$8+1,C1401&lt;=Settings!$B$5,COUNTIFS($B$5:B1401,B1401,$C$5:C1401,"&gt;="&amp;(Settings!$B$5-Settings!$B$8+1),$C$5:C1401,"&lt;="&amp;Settings!$B$5)=1),1,0)</f>
        <v>1</v>
      </c>
      <c r="M1401" s="29" t="n">
        <f aca="false">IF(AND(C1401&gt;=Settings!$B$5-Settings!$B$9+1,C1401&lt;=Settings!$B$5,COUNTIFS($B$5:B1401,B1401,$C$5:C1401,"&gt;="&amp;(Settings!$B$5-Settings!$B$9+1),$C$5:C1401,"&lt;="&amp;Settings!$B$5)=1),1,0)</f>
        <v>1</v>
      </c>
      <c r="N1401" s="29" t="n">
        <f aca="false">IF(AND(D1401="Feature Use",COUNTIFS($B$5:B1401,B1401,$D$5:D1401,"Feature Use")=1),1,0)</f>
        <v>0</v>
      </c>
    </row>
    <row r="1402" customFormat="false" ht="15" hidden="false" customHeight="false" outlineLevel="0" collapsed="false">
      <c r="A1402" s="22" t="s">
        <v>1709</v>
      </c>
      <c r="B1402" s="22" t="s">
        <v>201</v>
      </c>
      <c r="C1402" s="31" t="n">
        <v>46306</v>
      </c>
      <c r="D1402" s="22" t="s">
        <v>300</v>
      </c>
      <c r="E1402" s="22" t="s">
        <v>305</v>
      </c>
      <c r="F1402" s="29" t="str">
        <f aca="false">IF(COUNTIF(Referral_Data!$C$5:$C$1000,B1402)&gt;0,"Referred",IF(COUNTIF(Referral_Data!$B$5:$B$1000,B1402)&gt;0,"Referrer","Organic"))</f>
        <v>Referred</v>
      </c>
      <c r="G1402" s="29" t="n">
        <f aca="false">IF(COUNTIFS($B$5:B1402,B1402,$C$5:C1402,C1402)=1,1,0)</f>
        <v>0</v>
      </c>
      <c r="H1402" s="29" t="n">
        <f aca="false">IF(AND(G1402=1,COUNTIFS($B$5:$B$1635,B1402,$C$5:$C$1635,"&lt;"&amp;C1402)&gt;0),1,0)</f>
        <v>0</v>
      </c>
      <c r="I1402" s="29" t="n">
        <f aca="false">IF(AND(D1402="Feature Use",COUNTIFS($B$5:B1402,B1402,$D$5:D1402,"Feature Use",$E$5:E1402,E1402)=1),1,0)</f>
        <v>1</v>
      </c>
      <c r="J1402" s="29" t="n">
        <f aca="false">IF(AND(D1402="Feature Use",COUNTIFS($B$5:B1402,B1402,$D$5:D1402,"Feature Use",$E$5:E1402,E1402)=2),1,0)</f>
        <v>0</v>
      </c>
      <c r="K1402" s="29" t="n">
        <f aca="false">IF(COUNTIF($B$5:B1402,B1402)=1,1,0)</f>
        <v>0</v>
      </c>
      <c r="L1402" s="29" t="n">
        <f aca="false">IF(AND(C1402&gt;=Settings!$B$5-Settings!$B$8+1,C1402&lt;=Settings!$B$5,COUNTIFS($B$5:B1402,B1402,$C$5:C1402,"&gt;="&amp;(Settings!$B$5-Settings!$B$8+1),$C$5:C1402,"&lt;="&amp;Settings!$B$5)=1),1,0)</f>
        <v>0</v>
      </c>
      <c r="M1402" s="29" t="n">
        <f aca="false">IF(AND(C1402&gt;=Settings!$B$5-Settings!$B$9+1,C1402&lt;=Settings!$B$5,COUNTIFS($B$5:B1402,B1402,$C$5:C1402,"&gt;="&amp;(Settings!$B$5-Settings!$B$9+1),$C$5:C1402,"&lt;="&amp;Settings!$B$5)=1),1,0)</f>
        <v>0</v>
      </c>
      <c r="N1402" s="29" t="n">
        <f aca="false">IF(AND(D1402="Feature Use",COUNTIFS($B$5:B1402,B1402,$D$5:D1402,"Feature Use")=1),1,0)</f>
        <v>1</v>
      </c>
    </row>
    <row r="1403" customFormat="false" ht="15" hidden="false" customHeight="false" outlineLevel="0" collapsed="false">
      <c r="A1403" s="22" t="s">
        <v>1710</v>
      </c>
      <c r="B1403" s="22" t="s">
        <v>201</v>
      </c>
      <c r="C1403" s="31" t="n">
        <v>46306</v>
      </c>
      <c r="D1403" s="22" t="s">
        <v>300</v>
      </c>
      <c r="E1403" s="22" t="s">
        <v>305</v>
      </c>
      <c r="F1403" s="29" t="str">
        <f aca="false">IF(COUNTIF(Referral_Data!$C$5:$C$1000,B1403)&gt;0,"Referred",IF(COUNTIF(Referral_Data!$B$5:$B$1000,B1403)&gt;0,"Referrer","Organic"))</f>
        <v>Referred</v>
      </c>
      <c r="G1403" s="29" t="n">
        <f aca="false">IF(COUNTIFS($B$5:B1403,B1403,$C$5:C1403,C1403)=1,1,0)</f>
        <v>0</v>
      </c>
      <c r="H1403" s="29" t="n">
        <f aca="false">IF(AND(G1403=1,COUNTIFS($B$5:$B$1635,B1403,$C$5:$C$1635,"&lt;"&amp;C1403)&gt;0),1,0)</f>
        <v>0</v>
      </c>
      <c r="I1403" s="29" t="n">
        <f aca="false">IF(AND(D1403="Feature Use",COUNTIFS($B$5:B1403,B1403,$D$5:D1403,"Feature Use",$E$5:E1403,E1403)=1),1,0)</f>
        <v>0</v>
      </c>
      <c r="J1403" s="29" t="n">
        <f aca="false">IF(AND(D1403="Feature Use",COUNTIFS($B$5:B1403,B1403,$D$5:D1403,"Feature Use",$E$5:E1403,E1403)=2),1,0)</f>
        <v>1</v>
      </c>
      <c r="K1403" s="29" t="n">
        <f aca="false">IF(COUNTIF($B$5:B1403,B1403)=1,1,0)</f>
        <v>0</v>
      </c>
      <c r="L1403" s="29" t="n">
        <f aca="false">IF(AND(C1403&gt;=Settings!$B$5-Settings!$B$8+1,C1403&lt;=Settings!$B$5,COUNTIFS($B$5:B1403,B1403,$C$5:C1403,"&gt;="&amp;(Settings!$B$5-Settings!$B$8+1),$C$5:C1403,"&lt;="&amp;Settings!$B$5)=1),1,0)</f>
        <v>0</v>
      </c>
      <c r="M1403" s="29" t="n">
        <f aca="false">IF(AND(C1403&gt;=Settings!$B$5-Settings!$B$9+1,C1403&lt;=Settings!$B$5,COUNTIFS($B$5:B1403,B1403,$C$5:C1403,"&gt;="&amp;(Settings!$B$5-Settings!$B$9+1),$C$5:C1403,"&lt;="&amp;Settings!$B$5)=1),1,0)</f>
        <v>0</v>
      </c>
      <c r="N1403" s="29" t="n">
        <f aca="false">IF(AND(D1403="Feature Use",COUNTIFS($B$5:B1403,B1403,$D$5:D1403,"Feature Use")=1),1,0)</f>
        <v>0</v>
      </c>
    </row>
    <row r="1404" customFormat="false" ht="15" hidden="false" customHeight="false" outlineLevel="0" collapsed="false">
      <c r="A1404" s="22" t="s">
        <v>1711</v>
      </c>
      <c r="B1404" s="22" t="s">
        <v>211</v>
      </c>
      <c r="C1404" s="31" t="n">
        <v>46306</v>
      </c>
      <c r="D1404" s="22" t="s">
        <v>297</v>
      </c>
      <c r="E1404" s="22" t="s">
        <v>298</v>
      </c>
      <c r="F1404" s="29" t="str">
        <f aca="false">IF(COUNTIF(Referral_Data!$C$5:$C$1000,B1404)&gt;0,"Referred",IF(COUNTIF(Referral_Data!$B$5:$B$1000,B1404)&gt;0,"Referrer","Organic"))</f>
        <v>Referred</v>
      </c>
      <c r="G1404" s="29" t="n">
        <f aca="false">IF(COUNTIFS($B$5:B1404,B1404,$C$5:C1404,C1404)=1,1,0)</f>
        <v>1</v>
      </c>
      <c r="H1404" s="29" t="n">
        <f aca="false">IF(AND(G1404=1,COUNTIFS($B$5:$B$1635,B1404,$C$5:$C$1635,"&lt;"&amp;C1404)&gt;0),1,0)</f>
        <v>1</v>
      </c>
      <c r="I1404" s="29" t="n">
        <f aca="false">IF(AND(D1404="Feature Use",COUNTIFS($B$5:B1404,B1404,$D$5:D1404,"Feature Use",$E$5:E1404,E1404)=1),1,0)</f>
        <v>0</v>
      </c>
      <c r="J1404" s="29" t="n">
        <f aca="false">IF(AND(D1404="Feature Use",COUNTIFS($B$5:B1404,B1404,$D$5:D1404,"Feature Use",$E$5:E1404,E1404)=2),1,0)</f>
        <v>0</v>
      </c>
      <c r="K1404" s="29" t="n">
        <f aca="false">IF(COUNTIF($B$5:B1404,B1404)=1,1,0)</f>
        <v>0</v>
      </c>
      <c r="L1404" s="29" t="n">
        <f aca="false">IF(AND(C1404&gt;=Settings!$B$5-Settings!$B$8+1,C1404&lt;=Settings!$B$5,COUNTIFS($B$5:B1404,B1404,$C$5:C1404,"&gt;="&amp;(Settings!$B$5-Settings!$B$8+1),$C$5:C1404,"&lt;="&amp;Settings!$B$5)=1),1,0)</f>
        <v>1</v>
      </c>
      <c r="M1404" s="29" t="n">
        <f aca="false">IF(AND(C1404&gt;=Settings!$B$5-Settings!$B$9+1,C1404&lt;=Settings!$B$5,COUNTIFS($B$5:B1404,B1404,$C$5:C1404,"&gt;="&amp;(Settings!$B$5-Settings!$B$9+1),$C$5:C1404,"&lt;="&amp;Settings!$B$5)=1),1,0)</f>
        <v>0</v>
      </c>
      <c r="N1404" s="29" t="n">
        <f aca="false">IF(AND(D1404="Feature Use",COUNTIFS($B$5:B1404,B1404,$D$5:D1404,"Feature Use")=1),1,0)</f>
        <v>0</v>
      </c>
    </row>
    <row r="1405" customFormat="false" ht="15" hidden="false" customHeight="false" outlineLevel="0" collapsed="false">
      <c r="A1405" s="22" t="s">
        <v>1712</v>
      </c>
      <c r="B1405" s="22" t="s">
        <v>211</v>
      </c>
      <c r="C1405" s="31" t="n">
        <v>46306</v>
      </c>
      <c r="D1405" s="22" t="s">
        <v>300</v>
      </c>
      <c r="E1405" s="22" t="s">
        <v>301</v>
      </c>
      <c r="F1405" s="29" t="str">
        <f aca="false">IF(COUNTIF(Referral_Data!$C$5:$C$1000,B1405)&gt;0,"Referred",IF(COUNTIF(Referral_Data!$B$5:$B$1000,B1405)&gt;0,"Referrer","Organic"))</f>
        <v>Referred</v>
      </c>
      <c r="G1405" s="29" t="n">
        <f aca="false">IF(COUNTIFS($B$5:B1405,B1405,$C$5:C1405,C1405)=1,1,0)</f>
        <v>0</v>
      </c>
      <c r="H1405" s="29" t="n">
        <f aca="false">IF(AND(G1405=1,COUNTIFS($B$5:$B$1635,B1405,$C$5:$C$1635,"&lt;"&amp;C1405)&gt;0),1,0)</f>
        <v>0</v>
      </c>
      <c r="I1405" s="29" t="n">
        <f aca="false">IF(AND(D1405="Feature Use",COUNTIFS($B$5:B1405,B1405,$D$5:D1405,"Feature Use",$E$5:E1405,E1405)=1),1,0)</f>
        <v>0</v>
      </c>
      <c r="J1405" s="29" t="n">
        <f aca="false">IF(AND(D1405="Feature Use",COUNTIFS($B$5:B1405,B1405,$D$5:D1405,"Feature Use",$E$5:E1405,E1405)=2),1,0)</f>
        <v>1</v>
      </c>
      <c r="K1405" s="29" t="n">
        <f aca="false">IF(COUNTIF($B$5:B1405,B1405)=1,1,0)</f>
        <v>0</v>
      </c>
      <c r="L1405" s="29" t="n">
        <f aca="false">IF(AND(C1405&gt;=Settings!$B$5-Settings!$B$8+1,C1405&lt;=Settings!$B$5,COUNTIFS($B$5:B1405,B1405,$C$5:C1405,"&gt;="&amp;(Settings!$B$5-Settings!$B$8+1),$C$5:C1405,"&lt;="&amp;Settings!$B$5)=1),1,0)</f>
        <v>0</v>
      </c>
      <c r="M1405" s="29" t="n">
        <f aca="false">IF(AND(C1405&gt;=Settings!$B$5-Settings!$B$9+1,C1405&lt;=Settings!$B$5,COUNTIFS($B$5:B1405,B1405,$C$5:C1405,"&gt;="&amp;(Settings!$B$5-Settings!$B$9+1),$C$5:C1405,"&lt;="&amp;Settings!$B$5)=1),1,0)</f>
        <v>0</v>
      </c>
      <c r="N1405" s="29" t="n">
        <f aca="false">IF(AND(D1405="Feature Use",COUNTIFS($B$5:B1405,B1405,$D$5:D1405,"Feature Use")=1),1,0)</f>
        <v>0</v>
      </c>
    </row>
    <row r="1406" customFormat="false" ht="15" hidden="false" customHeight="false" outlineLevel="0" collapsed="false">
      <c r="A1406" s="22" t="s">
        <v>1713</v>
      </c>
      <c r="B1406" s="22" t="s">
        <v>220</v>
      </c>
      <c r="C1406" s="31" t="n">
        <v>46306</v>
      </c>
      <c r="D1406" s="22" t="s">
        <v>297</v>
      </c>
      <c r="E1406" s="22" t="s">
        <v>298</v>
      </c>
      <c r="F1406" s="29" t="str">
        <f aca="false">IF(COUNTIF(Referral_Data!$C$5:$C$1000,B1406)&gt;0,"Referred",IF(COUNTIF(Referral_Data!$B$5:$B$1000,B1406)&gt;0,"Referrer","Organic"))</f>
        <v>Referred</v>
      </c>
      <c r="G1406" s="29" t="n">
        <f aca="false">IF(COUNTIFS($B$5:B1406,B1406,$C$5:C1406,C1406)=1,1,0)</f>
        <v>1</v>
      </c>
      <c r="H1406" s="29" t="n">
        <f aca="false">IF(AND(G1406=1,COUNTIFS($B$5:$B$1635,B1406,$C$5:$C$1635,"&lt;"&amp;C1406)&gt;0),1,0)</f>
        <v>1</v>
      </c>
      <c r="I1406" s="29" t="n">
        <f aca="false">IF(AND(D1406="Feature Use",COUNTIFS($B$5:B1406,B1406,$D$5:D1406,"Feature Use",$E$5:E1406,E1406)=1),1,0)</f>
        <v>0</v>
      </c>
      <c r="J1406" s="29" t="n">
        <f aca="false">IF(AND(D1406="Feature Use",COUNTIFS($B$5:B1406,B1406,$D$5:D1406,"Feature Use",$E$5:E1406,E1406)=2),1,0)</f>
        <v>0</v>
      </c>
      <c r="K1406" s="29" t="n">
        <f aca="false">IF(COUNTIF($B$5:B1406,B1406)=1,1,0)</f>
        <v>0</v>
      </c>
      <c r="L1406" s="29" t="n">
        <f aca="false">IF(AND(C1406&gt;=Settings!$B$5-Settings!$B$8+1,C1406&lt;=Settings!$B$5,COUNTIFS($B$5:B1406,B1406,$C$5:C1406,"&gt;="&amp;(Settings!$B$5-Settings!$B$8+1),$C$5:C1406,"&lt;="&amp;Settings!$B$5)=1),1,0)</f>
        <v>0</v>
      </c>
      <c r="M1406" s="29" t="n">
        <f aca="false">IF(AND(C1406&gt;=Settings!$B$5-Settings!$B$9+1,C1406&lt;=Settings!$B$5,COUNTIFS($B$5:B1406,B1406,$C$5:C1406,"&gt;="&amp;(Settings!$B$5-Settings!$B$9+1),$C$5:C1406,"&lt;="&amp;Settings!$B$5)=1),1,0)</f>
        <v>0</v>
      </c>
      <c r="N1406" s="29" t="n">
        <f aca="false">IF(AND(D1406="Feature Use",COUNTIFS($B$5:B1406,B1406,$D$5:D1406,"Feature Use")=1),1,0)</f>
        <v>0</v>
      </c>
    </row>
    <row r="1407" customFormat="false" ht="15" hidden="false" customHeight="false" outlineLevel="0" collapsed="false">
      <c r="A1407" s="22" t="s">
        <v>1714</v>
      </c>
      <c r="B1407" s="22" t="s">
        <v>220</v>
      </c>
      <c r="C1407" s="31" t="n">
        <v>46306</v>
      </c>
      <c r="D1407" s="22" t="s">
        <v>300</v>
      </c>
      <c r="E1407" s="22" t="s">
        <v>319</v>
      </c>
      <c r="F1407" s="29" t="str">
        <f aca="false">IF(COUNTIF(Referral_Data!$C$5:$C$1000,B1407)&gt;0,"Referred",IF(COUNTIF(Referral_Data!$B$5:$B$1000,B1407)&gt;0,"Referrer","Organic"))</f>
        <v>Referred</v>
      </c>
      <c r="G1407" s="29" t="n">
        <f aca="false">IF(COUNTIFS($B$5:B1407,B1407,$C$5:C1407,C1407)=1,1,0)</f>
        <v>0</v>
      </c>
      <c r="H1407" s="29" t="n">
        <f aca="false">IF(AND(G1407=1,COUNTIFS($B$5:$B$1635,B1407,$C$5:$C$1635,"&lt;"&amp;C1407)&gt;0),1,0)</f>
        <v>0</v>
      </c>
      <c r="I1407" s="29" t="n">
        <f aca="false">IF(AND(D1407="Feature Use",COUNTIFS($B$5:B1407,B1407,$D$5:D1407,"Feature Use",$E$5:E1407,E1407)=1),1,0)</f>
        <v>0</v>
      </c>
      <c r="J1407" s="29" t="n">
        <f aca="false">IF(AND(D1407="Feature Use",COUNTIFS($B$5:B1407,B1407,$D$5:D1407,"Feature Use",$E$5:E1407,E1407)=2),1,0)</f>
        <v>1</v>
      </c>
      <c r="K1407" s="29" t="n">
        <f aca="false">IF(COUNTIF($B$5:B1407,B1407)=1,1,0)</f>
        <v>0</v>
      </c>
      <c r="L1407" s="29" t="n">
        <f aca="false">IF(AND(C1407&gt;=Settings!$B$5-Settings!$B$8+1,C1407&lt;=Settings!$B$5,COUNTIFS($B$5:B1407,B1407,$C$5:C1407,"&gt;="&amp;(Settings!$B$5-Settings!$B$8+1),$C$5:C1407,"&lt;="&amp;Settings!$B$5)=1),1,0)</f>
        <v>0</v>
      </c>
      <c r="M1407" s="29" t="n">
        <f aca="false">IF(AND(C1407&gt;=Settings!$B$5-Settings!$B$9+1,C1407&lt;=Settings!$B$5,COUNTIFS($B$5:B1407,B1407,$C$5:C1407,"&gt;="&amp;(Settings!$B$5-Settings!$B$9+1),$C$5:C1407,"&lt;="&amp;Settings!$B$5)=1),1,0)</f>
        <v>0</v>
      </c>
      <c r="N1407" s="29" t="n">
        <f aca="false">IF(AND(D1407="Feature Use",COUNTIFS($B$5:B1407,B1407,$D$5:D1407,"Feature Use")=1),1,0)</f>
        <v>0</v>
      </c>
    </row>
    <row r="1408" customFormat="false" ht="15" hidden="false" customHeight="false" outlineLevel="0" collapsed="false">
      <c r="A1408" s="22" t="s">
        <v>1715</v>
      </c>
      <c r="B1408" s="22" t="s">
        <v>220</v>
      </c>
      <c r="C1408" s="31" t="n">
        <v>46306</v>
      </c>
      <c r="D1408" s="22" t="s">
        <v>300</v>
      </c>
      <c r="E1408" s="22" t="s">
        <v>305</v>
      </c>
      <c r="F1408" s="29" t="str">
        <f aca="false">IF(COUNTIF(Referral_Data!$C$5:$C$1000,B1408)&gt;0,"Referred",IF(COUNTIF(Referral_Data!$B$5:$B$1000,B1408)&gt;0,"Referrer","Organic"))</f>
        <v>Referred</v>
      </c>
      <c r="G1408" s="29" t="n">
        <f aca="false">IF(COUNTIFS($B$5:B1408,B1408,$C$5:C1408,C1408)=1,1,0)</f>
        <v>0</v>
      </c>
      <c r="H1408" s="29" t="n">
        <f aca="false">IF(AND(G1408=1,COUNTIFS($B$5:$B$1635,B1408,$C$5:$C$1635,"&lt;"&amp;C1408)&gt;0),1,0)</f>
        <v>0</v>
      </c>
      <c r="I1408" s="29" t="n">
        <f aca="false">IF(AND(D1408="Feature Use",COUNTIFS($B$5:B1408,B1408,$D$5:D1408,"Feature Use",$E$5:E1408,E1408)=1),1,0)</f>
        <v>0</v>
      </c>
      <c r="J1408" s="29" t="n">
        <f aca="false">IF(AND(D1408="Feature Use",COUNTIFS($B$5:B1408,B1408,$D$5:D1408,"Feature Use",$E$5:E1408,E1408)=2),1,0)</f>
        <v>0</v>
      </c>
      <c r="K1408" s="29" t="n">
        <f aca="false">IF(COUNTIF($B$5:B1408,B1408)=1,1,0)</f>
        <v>0</v>
      </c>
      <c r="L1408" s="29" t="n">
        <f aca="false">IF(AND(C1408&gt;=Settings!$B$5-Settings!$B$8+1,C1408&lt;=Settings!$B$5,COUNTIFS($B$5:B1408,B1408,$C$5:C1408,"&gt;="&amp;(Settings!$B$5-Settings!$B$8+1),$C$5:C1408,"&lt;="&amp;Settings!$B$5)=1),1,0)</f>
        <v>0</v>
      </c>
      <c r="M1408" s="29" t="n">
        <f aca="false">IF(AND(C1408&gt;=Settings!$B$5-Settings!$B$9+1,C1408&lt;=Settings!$B$5,COUNTIFS($B$5:B1408,B1408,$C$5:C1408,"&gt;="&amp;(Settings!$B$5-Settings!$B$9+1),$C$5:C1408,"&lt;="&amp;Settings!$B$5)=1),1,0)</f>
        <v>0</v>
      </c>
      <c r="N1408" s="29" t="n">
        <f aca="false">IF(AND(D1408="Feature Use",COUNTIFS($B$5:B1408,B1408,$D$5:D1408,"Feature Use")=1),1,0)</f>
        <v>0</v>
      </c>
    </row>
    <row r="1409" customFormat="false" ht="15" hidden="false" customHeight="false" outlineLevel="0" collapsed="false">
      <c r="A1409" s="22" t="s">
        <v>1716</v>
      </c>
      <c r="B1409" s="22" t="s">
        <v>230</v>
      </c>
      <c r="C1409" s="31" t="n">
        <v>46306</v>
      </c>
      <c r="D1409" s="22" t="s">
        <v>297</v>
      </c>
      <c r="E1409" s="22" t="s">
        <v>298</v>
      </c>
      <c r="F1409" s="29" t="str">
        <f aca="false">IF(COUNTIF(Referral_Data!$C$5:$C$1000,B1409)&gt;0,"Referred",IF(COUNTIF(Referral_Data!$B$5:$B$1000,B1409)&gt;0,"Referrer","Organic"))</f>
        <v>Referred</v>
      </c>
      <c r="G1409" s="29" t="n">
        <f aca="false">IF(COUNTIFS($B$5:B1409,B1409,$C$5:C1409,C1409)=1,1,0)</f>
        <v>1</v>
      </c>
      <c r="H1409" s="29" t="n">
        <f aca="false">IF(AND(G1409=1,COUNTIFS($B$5:$B$1635,B1409,$C$5:$C$1635,"&lt;"&amp;C1409)&gt;0),1,0)</f>
        <v>1</v>
      </c>
      <c r="I1409" s="29" t="n">
        <f aca="false">IF(AND(D1409="Feature Use",COUNTIFS($B$5:B1409,B1409,$D$5:D1409,"Feature Use",$E$5:E1409,E1409)=1),1,0)</f>
        <v>0</v>
      </c>
      <c r="J1409" s="29" t="n">
        <f aca="false">IF(AND(D1409="Feature Use",COUNTIFS($B$5:B1409,B1409,$D$5:D1409,"Feature Use",$E$5:E1409,E1409)=2),1,0)</f>
        <v>0</v>
      </c>
      <c r="K1409" s="29" t="n">
        <f aca="false">IF(COUNTIF($B$5:B1409,B1409)=1,1,0)</f>
        <v>0</v>
      </c>
      <c r="L1409" s="29" t="n">
        <f aca="false">IF(AND(C1409&gt;=Settings!$B$5-Settings!$B$8+1,C1409&lt;=Settings!$B$5,COUNTIFS($B$5:B1409,B1409,$C$5:C1409,"&gt;="&amp;(Settings!$B$5-Settings!$B$8+1),$C$5:C1409,"&lt;="&amp;Settings!$B$5)=1),1,0)</f>
        <v>0</v>
      </c>
      <c r="M1409" s="29" t="n">
        <f aca="false">IF(AND(C1409&gt;=Settings!$B$5-Settings!$B$9+1,C1409&lt;=Settings!$B$5,COUNTIFS($B$5:B1409,B1409,$C$5:C1409,"&gt;="&amp;(Settings!$B$5-Settings!$B$9+1),$C$5:C1409,"&lt;="&amp;Settings!$B$5)=1),1,0)</f>
        <v>0</v>
      </c>
      <c r="N1409" s="29" t="n">
        <f aca="false">IF(AND(D1409="Feature Use",COUNTIFS($B$5:B1409,B1409,$D$5:D1409,"Feature Use")=1),1,0)</f>
        <v>0</v>
      </c>
    </row>
    <row r="1410" customFormat="false" ht="15" hidden="false" customHeight="false" outlineLevel="0" collapsed="false">
      <c r="A1410" s="22" t="s">
        <v>1717</v>
      </c>
      <c r="B1410" s="22" t="s">
        <v>230</v>
      </c>
      <c r="C1410" s="31" t="n">
        <v>46306</v>
      </c>
      <c r="D1410" s="22" t="s">
        <v>300</v>
      </c>
      <c r="E1410" s="22" t="s">
        <v>311</v>
      </c>
      <c r="F1410" s="29" t="str">
        <f aca="false">IF(COUNTIF(Referral_Data!$C$5:$C$1000,B1410)&gt;0,"Referred",IF(COUNTIF(Referral_Data!$B$5:$B$1000,B1410)&gt;0,"Referrer","Organic"))</f>
        <v>Referred</v>
      </c>
      <c r="G1410" s="29" t="n">
        <f aca="false">IF(COUNTIFS($B$5:B1410,B1410,$C$5:C1410,C1410)=1,1,0)</f>
        <v>0</v>
      </c>
      <c r="H1410" s="29" t="n">
        <f aca="false">IF(AND(G1410=1,COUNTIFS($B$5:$B$1635,B1410,$C$5:$C$1635,"&lt;"&amp;C1410)&gt;0),1,0)</f>
        <v>0</v>
      </c>
      <c r="I1410" s="29" t="n">
        <f aca="false">IF(AND(D1410="Feature Use",COUNTIFS($B$5:B1410,B1410,$D$5:D1410,"Feature Use",$E$5:E1410,E1410)=1),1,0)</f>
        <v>0</v>
      </c>
      <c r="J1410" s="29" t="n">
        <f aca="false">IF(AND(D1410="Feature Use",COUNTIFS($B$5:B1410,B1410,$D$5:D1410,"Feature Use",$E$5:E1410,E1410)=2),1,0)</f>
        <v>1</v>
      </c>
      <c r="K1410" s="29" t="n">
        <f aca="false">IF(COUNTIF($B$5:B1410,B1410)=1,1,0)</f>
        <v>0</v>
      </c>
      <c r="L1410" s="29" t="n">
        <f aca="false">IF(AND(C1410&gt;=Settings!$B$5-Settings!$B$8+1,C1410&lt;=Settings!$B$5,COUNTIFS($B$5:B1410,B1410,$C$5:C1410,"&gt;="&amp;(Settings!$B$5-Settings!$B$8+1),$C$5:C1410,"&lt;="&amp;Settings!$B$5)=1),1,0)</f>
        <v>0</v>
      </c>
      <c r="M1410" s="29" t="n">
        <f aca="false">IF(AND(C1410&gt;=Settings!$B$5-Settings!$B$9+1,C1410&lt;=Settings!$B$5,COUNTIFS($B$5:B1410,B1410,$C$5:C1410,"&gt;="&amp;(Settings!$B$5-Settings!$B$9+1),$C$5:C1410,"&lt;="&amp;Settings!$B$5)=1),1,0)</f>
        <v>0</v>
      </c>
      <c r="N1410" s="29" t="n">
        <f aca="false">IF(AND(D1410="Feature Use",COUNTIFS($B$5:B1410,B1410,$D$5:D1410,"Feature Use")=1),1,0)</f>
        <v>0</v>
      </c>
    </row>
    <row r="1411" customFormat="false" ht="15" hidden="false" customHeight="false" outlineLevel="0" collapsed="false">
      <c r="A1411" s="22" t="s">
        <v>1718</v>
      </c>
      <c r="B1411" s="22" t="s">
        <v>230</v>
      </c>
      <c r="C1411" s="31" t="n">
        <v>46306</v>
      </c>
      <c r="D1411" s="22" t="s">
        <v>300</v>
      </c>
      <c r="E1411" s="22" t="s">
        <v>305</v>
      </c>
      <c r="F1411" s="29" t="str">
        <f aca="false">IF(COUNTIF(Referral_Data!$C$5:$C$1000,B1411)&gt;0,"Referred",IF(COUNTIF(Referral_Data!$B$5:$B$1000,B1411)&gt;0,"Referrer","Organic"))</f>
        <v>Referred</v>
      </c>
      <c r="G1411" s="29" t="n">
        <f aca="false">IF(COUNTIFS($B$5:B1411,B1411,$C$5:C1411,C1411)=1,1,0)</f>
        <v>0</v>
      </c>
      <c r="H1411" s="29" t="n">
        <f aca="false">IF(AND(G1411=1,COUNTIFS($B$5:$B$1635,B1411,$C$5:$C$1635,"&lt;"&amp;C1411)&gt;0),1,0)</f>
        <v>0</v>
      </c>
      <c r="I1411" s="29" t="n">
        <f aca="false">IF(AND(D1411="Feature Use",COUNTIFS($B$5:B1411,B1411,$D$5:D1411,"Feature Use",$E$5:E1411,E1411)=1),1,0)</f>
        <v>0</v>
      </c>
      <c r="J1411" s="29" t="n">
        <f aca="false">IF(AND(D1411="Feature Use",COUNTIFS($B$5:B1411,B1411,$D$5:D1411,"Feature Use",$E$5:E1411,E1411)=2),1,0)</f>
        <v>0</v>
      </c>
      <c r="K1411" s="29" t="n">
        <f aca="false">IF(COUNTIF($B$5:B1411,B1411)=1,1,0)</f>
        <v>0</v>
      </c>
      <c r="L1411" s="29" t="n">
        <f aca="false">IF(AND(C1411&gt;=Settings!$B$5-Settings!$B$8+1,C1411&lt;=Settings!$B$5,COUNTIFS($B$5:B1411,B1411,$C$5:C1411,"&gt;="&amp;(Settings!$B$5-Settings!$B$8+1),$C$5:C1411,"&lt;="&amp;Settings!$B$5)=1),1,0)</f>
        <v>0</v>
      </c>
      <c r="M1411" s="29" t="n">
        <f aca="false">IF(AND(C1411&gt;=Settings!$B$5-Settings!$B$9+1,C1411&lt;=Settings!$B$5,COUNTIFS($B$5:B1411,B1411,$C$5:C1411,"&gt;="&amp;(Settings!$B$5-Settings!$B$9+1),$C$5:C1411,"&lt;="&amp;Settings!$B$5)=1),1,0)</f>
        <v>0</v>
      </c>
      <c r="N1411" s="29" t="n">
        <f aca="false">IF(AND(D1411="Feature Use",COUNTIFS($B$5:B1411,B1411,$D$5:D1411,"Feature Use")=1),1,0)</f>
        <v>0</v>
      </c>
    </row>
    <row r="1412" customFormat="false" ht="15" hidden="false" customHeight="false" outlineLevel="0" collapsed="false">
      <c r="A1412" s="22" t="s">
        <v>1719</v>
      </c>
      <c r="B1412" s="22" t="s">
        <v>230</v>
      </c>
      <c r="C1412" s="31" t="n">
        <v>46306</v>
      </c>
      <c r="D1412" s="22" t="s">
        <v>308</v>
      </c>
      <c r="E1412" s="22" t="s">
        <v>309</v>
      </c>
      <c r="F1412" s="29" t="str">
        <f aca="false">IF(COUNTIF(Referral_Data!$C$5:$C$1000,B1412)&gt;0,"Referred",IF(COUNTIF(Referral_Data!$B$5:$B$1000,B1412)&gt;0,"Referrer","Organic"))</f>
        <v>Referred</v>
      </c>
      <c r="G1412" s="29" t="n">
        <f aca="false">IF(COUNTIFS($B$5:B1412,B1412,$C$5:C1412,C1412)=1,1,0)</f>
        <v>0</v>
      </c>
      <c r="H1412" s="29" t="n">
        <f aca="false">IF(AND(G1412=1,COUNTIFS($B$5:$B$1635,B1412,$C$5:$C$1635,"&lt;"&amp;C1412)&gt;0),1,0)</f>
        <v>0</v>
      </c>
      <c r="I1412" s="29" t="n">
        <f aca="false">IF(AND(D1412="Feature Use",COUNTIFS($B$5:B1412,B1412,$D$5:D1412,"Feature Use",$E$5:E1412,E1412)=1),1,0)</f>
        <v>0</v>
      </c>
      <c r="J1412" s="29" t="n">
        <f aca="false">IF(AND(D1412="Feature Use",COUNTIFS($B$5:B1412,B1412,$D$5:D1412,"Feature Use",$E$5:E1412,E1412)=2),1,0)</f>
        <v>0</v>
      </c>
      <c r="K1412" s="29" t="n">
        <f aca="false">IF(COUNTIF($B$5:B1412,B1412)=1,1,0)</f>
        <v>0</v>
      </c>
      <c r="L1412" s="29" t="n">
        <f aca="false">IF(AND(C1412&gt;=Settings!$B$5-Settings!$B$8+1,C1412&lt;=Settings!$B$5,COUNTIFS($B$5:B1412,B1412,$C$5:C1412,"&gt;="&amp;(Settings!$B$5-Settings!$B$8+1),$C$5:C1412,"&lt;="&amp;Settings!$B$5)=1),1,0)</f>
        <v>0</v>
      </c>
      <c r="M1412" s="29" t="n">
        <f aca="false">IF(AND(C1412&gt;=Settings!$B$5-Settings!$B$9+1,C1412&lt;=Settings!$B$5,COUNTIFS($B$5:B1412,B1412,$C$5:C1412,"&gt;="&amp;(Settings!$B$5-Settings!$B$9+1),$C$5:C1412,"&lt;="&amp;Settings!$B$5)=1),1,0)</f>
        <v>0</v>
      </c>
      <c r="N1412" s="29" t="n">
        <f aca="false">IF(AND(D1412="Feature Use",COUNTIFS($B$5:B1412,B1412,$D$5:D1412,"Feature Use")=1),1,0)</f>
        <v>0</v>
      </c>
    </row>
    <row r="1413" customFormat="false" ht="15" hidden="false" customHeight="false" outlineLevel="0" collapsed="false">
      <c r="A1413" s="22" t="s">
        <v>1720</v>
      </c>
      <c r="B1413" s="22" t="s">
        <v>237</v>
      </c>
      <c r="C1413" s="31" t="n">
        <v>46306</v>
      </c>
      <c r="D1413" s="22" t="s">
        <v>297</v>
      </c>
      <c r="E1413" s="22" t="s">
        <v>298</v>
      </c>
      <c r="F1413" s="29" t="str">
        <f aca="false">IF(COUNTIF(Referral_Data!$C$5:$C$1000,B1413)&gt;0,"Referred",IF(COUNTIF(Referral_Data!$B$5:$B$1000,B1413)&gt;0,"Referrer","Organic"))</f>
        <v>Referred</v>
      </c>
      <c r="G1413" s="29" t="n">
        <f aca="false">IF(COUNTIFS($B$5:B1413,B1413,$C$5:C1413,C1413)=1,1,0)</f>
        <v>1</v>
      </c>
      <c r="H1413" s="29" t="n">
        <f aca="false">IF(AND(G1413=1,COUNTIFS($B$5:$B$1635,B1413,$C$5:$C$1635,"&lt;"&amp;C1413)&gt;0),1,0)</f>
        <v>1</v>
      </c>
      <c r="I1413" s="29" t="n">
        <f aca="false">IF(AND(D1413="Feature Use",COUNTIFS($B$5:B1413,B1413,$D$5:D1413,"Feature Use",$E$5:E1413,E1413)=1),1,0)</f>
        <v>0</v>
      </c>
      <c r="J1413" s="29" t="n">
        <f aca="false">IF(AND(D1413="Feature Use",COUNTIFS($B$5:B1413,B1413,$D$5:D1413,"Feature Use",$E$5:E1413,E1413)=2),1,0)</f>
        <v>0</v>
      </c>
      <c r="K1413" s="29" t="n">
        <f aca="false">IF(COUNTIF($B$5:B1413,B1413)=1,1,0)</f>
        <v>0</v>
      </c>
      <c r="L1413" s="29" t="n">
        <f aca="false">IF(AND(C1413&gt;=Settings!$B$5-Settings!$B$8+1,C1413&lt;=Settings!$B$5,COUNTIFS($B$5:B1413,B1413,$C$5:C1413,"&gt;="&amp;(Settings!$B$5-Settings!$B$8+1),$C$5:C1413,"&lt;="&amp;Settings!$B$5)=1),1,0)</f>
        <v>0</v>
      </c>
      <c r="M1413" s="29" t="n">
        <f aca="false">IF(AND(C1413&gt;=Settings!$B$5-Settings!$B$9+1,C1413&lt;=Settings!$B$5,COUNTIFS($B$5:B1413,B1413,$C$5:C1413,"&gt;="&amp;(Settings!$B$5-Settings!$B$9+1),$C$5:C1413,"&lt;="&amp;Settings!$B$5)=1),1,0)</f>
        <v>0</v>
      </c>
      <c r="N1413" s="29" t="n">
        <f aca="false">IF(AND(D1413="Feature Use",COUNTIFS($B$5:B1413,B1413,$D$5:D1413,"Feature Use")=1),1,0)</f>
        <v>0</v>
      </c>
    </row>
    <row r="1414" customFormat="false" ht="15" hidden="false" customHeight="false" outlineLevel="0" collapsed="false">
      <c r="A1414" s="22" t="s">
        <v>1721</v>
      </c>
      <c r="B1414" s="22" t="s">
        <v>237</v>
      </c>
      <c r="C1414" s="31" t="n">
        <v>46306</v>
      </c>
      <c r="D1414" s="22" t="s">
        <v>300</v>
      </c>
      <c r="E1414" s="22" t="s">
        <v>305</v>
      </c>
      <c r="F1414" s="29" t="str">
        <f aca="false">IF(COUNTIF(Referral_Data!$C$5:$C$1000,B1414)&gt;0,"Referred",IF(COUNTIF(Referral_Data!$B$5:$B$1000,B1414)&gt;0,"Referrer","Organic"))</f>
        <v>Referred</v>
      </c>
      <c r="G1414" s="29" t="n">
        <f aca="false">IF(COUNTIFS($B$5:B1414,B1414,$C$5:C1414,C1414)=1,1,0)</f>
        <v>0</v>
      </c>
      <c r="H1414" s="29" t="n">
        <f aca="false">IF(AND(G1414=1,COUNTIFS($B$5:$B$1635,B1414,$C$5:$C$1635,"&lt;"&amp;C1414)&gt;0),1,0)</f>
        <v>0</v>
      </c>
      <c r="I1414" s="29" t="n">
        <f aca="false">IF(AND(D1414="Feature Use",COUNTIFS($B$5:B1414,B1414,$D$5:D1414,"Feature Use",$E$5:E1414,E1414)=1),1,0)</f>
        <v>0</v>
      </c>
      <c r="J1414" s="29" t="n">
        <f aca="false">IF(AND(D1414="Feature Use",COUNTIFS($B$5:B1414,B1414,$D$5:D1414,"Feature Use",$E$5:E1414,E1414)=2),1,0)</f>
        <v>0</v>
      </c>
      <c r="K1414" s="29" t="n">
        <f aca="false">IF(COUNTIF($B$5:B1414,B1414)=1,1,0)</f>
        <v>0</v>
      </c>
      <c r="L1414" s="29" t="n">
        <f aca="false">IF(AND(C1414&gt;=Settings!$B$5-Settings!$B$8+1,C1414&lt;=Settings!$B$5,COUNTIFS($B$5:B1414,B1414,$C$5:C1414,"&gt;="&amp;(Settings!$B$5-Settings!$B$8+1),$C$5:C1414,"&lt;="&amp;Settings!$B$5)=1),1,0)</f>
        <v>0</v>
      </c>
      <c r="M1414" s="29" t="n">
        <f aca="false">IF(AND(C1414&gt;=Settings!$B$5-Settings!$B$9+1,C1414&lt;=Settings!$B$5,COUNTIFS($B$5:B1414,B1414,$C$5:C1414,"&gt;="&amp;(Settings!$B$5-Settings!$B$9+1),$C$5:C1414,"&lt;="&amp;Settings!$B$5)=1),1,0)</f>
        <v>0</v>
      </c>
      <c r="N1414" s="29" t="n">
        <f aca="false">IF(AND(D1414="Feature Use",COUNTIFS($B$5:B1414,B1414,$D$5:D1414,"Feature Use")=1),1,0)</f>
        <v>0</v>
      </c>
    </row>
    <row r="1415" customFormat="false" ht="15" hidden="false" customHeight="false" outlineLevel="0" collapsed="false">
      <c r="A1415" s="22" t="s">
        <v>1722</v>
      </c>
      <c r="B1415" s="22" t="s">
        <v>237</v>
      </c>
      <c r="C1415" s="31" t="n">
        <v>46306</v>
      </c>
      <c r="D1415" s="22" t="s">
        <v>300</v>
      </c>
      <c r="E1415" s="22" t="s">
        <v>301</v>
      </c>
      <c r="F1415" s="29" t="str">
        <f aca="false">IF(COUNTIF(Referral_Data!$C$5:$C$1000,B1415)&gt;0,"Referred",IF(COUNTIF(Referral_Data!$B$5:$B$1000,B1415)&gt;0,"Referrer","Organic"))</f>
        <v>Referred</v>
      </c>
      <c r="G1415" s="29" t="n">
        <f aca="false">IF(COUNTIFS($B$5:B1415,B1415,$C$5:C1415,C1415)=1,1,0)</f>
        <v>0</v>
      </c>
      <c r="H1415" s="29" t="n">
        <f aca="false">IF(AND(G1415=1,COUNTIFS($B$5:$B$1635,B1415,$C$5:$C$1635,"&lt;"&amp;C1415)&gt;0),1,0)</f>
        <v>0</v>
      </c>
      <c r="I1415" s="29" t="n">
        <f aca="false">IF(AND(D1415="Feature Use",COUNTIFS($B$5:B1415,B1415,$D$5:D1415,"Feature Use",$E$5:E1415,E1415)=1),1,0)</f>
        <v>0</v>
      </c>
      <c r="J1415" s="29" t="n">
        <f aca="false">IF(AND(D1415="Feature Use",COUNTIFS($B$5:B1415,B1415,$D$5:D1415,"Feature Use",$E$5:E1415,E1415)=2),1,0)</f>
        <v>0</v>
      </c>
      <c r="K1415" s="29" t="n">
        <f aca="false">IF(COUNTIF($B$5:B1415,B1415)=1,1,0)</f>
        <v>0</v>
      </c>
      <c r="L1415" s="29" t="n">
        <f aca="false">IF(AND(C1415&gt;=Settings!$B$5-Settings!$B$8+1,C1415&lt;=Settings!$B$5,COUNTIFS($B$5:B1415,B1415,$C$5:C1415,"&gt;="&amp;(Settings!$B$5-Settings!$B$8+1),$C$5:C1415,"&lt;="&amp;Settings!$B$5)=1),1,0)</f>
        <v>0</v>
      </c>
      <c r="M1415" s="29" t="n">
        <f aca="false">IF(AND(C1415&gt;=Settings!$B$5-Settings!$B$9+1,C1415&lt;=Settings!$B$5,COUNTIFS($B$5:B1415,B1415,$C$5:C1415,"&gt;="&amp;(Settings!$B$5-Settings!$B$9+1),$C$5:C1415,"&lt;="&amp;Settings!$B$5)=1),1,0)</f>
        <v>0</v>
      </c>
      <c r="N1415" s="29" t="n">
        <f aca="false">IF(AND(D1415="Feature Use",COUNTIFS($B$5:B1415,B1415,$D$5:D1415,"Feature Use")=1),1,0)</f>
        <v>0</v>
      </c>
    </row>
    <row r="1416" customFormat="false" ht="15" hidden="false" customHeight="false" outlineLevel="0" collapsed="false">
      <c r="A1416" s="22" t="s">
        <v>1723</v>
      </c>
      <c r="B1416" s="22" t="s">
        <v>237</v>
      </c>
      <c r="C1416" s="31" t="n">
        <v>46306</v>
      </c>
      <c r="D1416" s="22" t="s">
        <v>308</v>
      </c>
      <c r="E1416" s="22" t="s">
        <v>319</v>
      </c>
      <c r="F1416" s="29" t="str">
        <f aca="false">IF(COUNTIF(Referral_Data!$C$5:$C$1000,B1416)&gt;0,"Referred",IF(COUNTIF(Referral_Data!$B$5:$B$1000,B1416)&gt;0,"Referrer","Organic"))</f>
        <v>Referred</v>
      </c>
      <c r="G1416" s="29" t="n">
        <f aca="false">IF(COUNTIFS($B$5:B1416,B1416,$C$5:C1416,C1416)=1,1,0)</f>
        <v>0</v>
      </c>
      <c r="H1416" s="29" t="n">
        <f aca="false">IF(AND(G1416=1,COUNTIFS($B$5:$B$1635,B1416,$C$5:$C$1635,"&lt;"&amp;C1416)&gt;0),1,0)</f>
        <v>0</v>
      </c>
      <c r="I1416" s="29" t="n">
        <f aca="false">IF(AND(D1416="Feature Use",COUNTIFS($B$5:B1416,B1416,$D$5:D1416,"Feature Use",$E$5:E1416,E1416)=1),1,0)</f>
        <v>0</v>
      </c>
      <c r="J1416" s="29" t="n">
        <f aca="false">IF(AND(D1416="Feature Use",COUNTIFS($B$5:B1416,B1416,$D$5:D1416,"Feature Use",$E$5:E1416,E1416)=2),1,0)</f>
        <v>0</v>
      </c>
      <c r="K1416" s="29" t="n">
        <f aca="false">IF(COUNTIF($B$5:B1416,B1416)=1,1,0)</f>
        <v>0</v>
      </c>
      <c r="L1416" s="29" t="n">
        <f aca="false">IF(AND(C1416&gt;=Settings!$B$5-Settings!$B$8+1,C1416&lt;=Settings!$B$5,COUNTIFS($B$5:B1416,B1416,$C$5:C1416,"&gt;="&amp;(Settings!$B$5-Settings!$B$8+1),$C$5:C1416,"&lt;="&amp;Settings!$B$5)=1),1,0)</f>
        <v>0</v>
      </c>
      <c r="M1416" s="29" t="n">
        <f aca="false">IF(AND(C1416&gt;=Settings!$B$5-Settings!$B$9+1,C1416&lt;=Settings!$B$5,COUNTIFS($B$5:B1416,B1416,$C$5:C1416,"&gt;="&amp;(Settings!$B$5-Settings!$B$9+1),$C$5:C1416,"&lt;="&amp;Settings!$B$5)=1),1,0)</f>
        <v>0</v>
      </c>
      <c r="N1416" s="29" t="n">
        <f aca="false">IF(AND(D1416="Feature Use",COUNTIFS($B$5:B1416,B1416,$D$5:D1416,"Feature Use")=1),1,0)</f>
        <v>0</v>
      </c>
    </row>
    <row r="1417" customFormat="false" ht="15" hidden="false" customHeight="false" outlineLevel="0" collapsed="false">
      <c r="A1417" s="22" t="s">
        <v>1724</v>
      </c>
      <c r="B1417" s="22" t="s">
        <v>237</v>
      </c>
      <c r="C1417" s="31" t="n">
        <v>46306</v>
      </c>
      <c r="D1417" s="22" t="s">
        <v>308</v>
      </c>
      <c r="E1417" s="22" t="s">
        <v>305</v>
      </c>
      <c r="F1417" s="29" t="str">
        <f aca="false">IF(COUNTIF(Referral_Data!$C$5:$C$1000,B1417)&gt;0,"Referred",IF(COUNTIF(Referral_Data!$B$5:$B$1000,B1417)&gt;0,"Referrer","Organic"))</f>
        <v>Referred</v>
      </c>
      <c r="G1417" s="29" t="n">
        <f aca="false">IF(COUNTIFS($B$5:B1417,B1417,$C$5:C1417,C1417)=1,1,0)</f>
        <v>0</v>
      </c>
      <c r="H1417" s="29" t="n">
        <f aca="false">IF(AND(G1417=1,COUNTIFS($B$5:$B$1635,B1417,$C$5:$C$1635,"&lt;"&amp;C1417)&gt;0),1,0)</f>
        <v>0</v>
      </c>
      <c r="I1417" s="29" t="n">
        <f aca="false">IF(AND(D1417="Feature Use",COUNTIFS($B$5:B1417,B1417,$D$5:D1417,"Feature Use",$E$5:E1417,E1417)=1),1,0)</f>
        <v>0</v>
      </c>
      <c r="J1417" s="29" t="n">
        <f aca="false">IF(AND(D1417="Feature Use",COUNTIFS($B$5:B1417,B1417,$D$5:D1417,"Feature Use",$E$5:E1417,E1417)=2),1,0)</f>
        <v>0</v>
      </c>
      <c r="K1417" s="29" t="n">
        <f aca="false">IF(COUNTIF($B$5:B1417,B1417)=1,1,0)</f>
        <v>0</v>
      </c>
      <c r="L1417" s="29" t="n">
        <f aca="false">IF(AND(C1417&gt;=Settings!$B$5-Settings!$B$8+1,C1417&lt;=Settings!$B$5,COUNTIFS($B$5:B1417,B1417,$C$5:C1417,"&gt;="&amp;(Settings!$B$5-Settings!$B$8+1),$C$5:C1417,"&lt;="&amp;Settings!$B$5)=1),1,0)</f>
        <v>0</v>
      </c>
      <c r="M1417" s="29" t="n">
        <f aca="false">IF(AND(C1417&gt;=Settings!$B$5-Settings!$B$9+1,C1417&lt;=Settings!$B$5,COUNTIFS($B$5:B1417,B1417,$C$5:C1417,"&gt;="&amp;(Settings!$B$5-Settings!$B$9+1),$C$5:C1417,"&lt;="&amp;Settings!$B$5)=1),1,0)</f>
        <v>0</v>
      </c>
      <c r="N1417" s="29" t="n">
        <f aca="false">IF(AND(D1417="Feature Use",COUNTIFS($B$5:B1417,B1417,$D$5:D1417,"Feature Use")=1),1,0)</f>
        <v>0</v>
      </c>
    </row>
    <row r="1418" customFormat="false" ht="15" hidden="false" customHeight="false" outlineLevel="0" collapsed="false">
      <c r="A1418" s="22" t="s">
        <v>1725</v>
      </c>
      <c r="B1418" s="22" t="s">
        <v>239</v>
      </c>
      <c r="C1418" s="31" t="n">
        <v>46306</v>
      </c>
      <c r="D1418" s="22" t="s">
        <v>297</v>
      </c>
      <c r="E1418" s="22" t="s">
        <v>298</v>
      </c>
      <c r="F1418" s="29" t="str">
        <f aca="false">IF(COUNTIF(Referral_Data!$C$5:$C$1000,B1418)&gt;0,"Referred",IF(COUNTIF(Referral_Data!$B$5:$B$1000,B1418)&gt;0,"Referrer","Organic"))</f>
        <v>Referred</v>
      </c>
      <c r="G1418" s="29" t="n">
        <f aca="false">IF(COUNTIFS($B$5:B1418,B1418,$C$5:C1418,C1418)=1,1,0)</f>
        <v>1</v>
      </c>
      <c r="H1418" s="29" t="n">
        <f aca="false">IF(AND(G1418=1,COUNTIFS($B$5:$B$1635,B1418,$C$5:$C$1635,"&lt;"&amp;C1418)&gt;0),1,0)</f>
        <v>1</v>
      </c>
      <c r="I1418" s="29" t="n">
        <f aca="false">IF(AND(D1418="Feature Use",COUNTIFS($B$5:B1418,B1418,$D$5:D1418,"Feature Use",$E$5:E1418,E1418)=1),1,0)</f>
        <v>0</v>
      </c>
      <c r="J1418" s="29" t="n">
        <f aca="false">IF(AND(D1418="Feature Use",COUNTIFS($B$5:B1418,B1418,$D$5:D1418,"Feature Use",$E$5:E1418,E1418)=2),1,0)</f>
        <v>0</v>
      </c>
      <c r="K1418" s="29" t="n">
        <f aca="false">IF(COUNTIF($B$5:B1418,B1418)=1,1,0)</f>
        <v>0</v>
      </c>
      <c r="L1418" s="29" t="n">
        <f aca="false">IF(AND(C1418&gt;=Settings!$B$5-Settings!$B$8+1,C1418&lt;=Settings!$B$5,COUNTIFS($B$5:B1418,B1418,$C$5:C1418,"&gt;="&amp;(Settings!$B$5-Settings!$B$8+1),$C$5:C1418,"&lt;="&amp;Settings!$B$5)=1),1,0)</f>
        <v>0</v>
      </c>
      <c r="M1418" s="29" t="n">
        <f aca="false">IF(AND(C1418&gt;=Settings!$B$5-Settings!$B$9+1,C1418&lt;=Settings!$B$5,COUNTIFS($B$5:B1418,B1418,$C$5:C1418,"&gt;="&amp;(Settings!$B$5-Settings!$B$9+1),$C$5:C1418,"&lt;="&amp;Settings!$B$5)=1),1,0)</f>
        <v>0</v>
      </c>
      <c r="N1418" s="29" t="n">
        <f aca="false">IF(AND(D1418="Feature Use",COUNTIFS($B$5:B1418,B1418,$D$5:D1418,"Feature Use")=1),1,0)</f>
        <v>0</v>
      </c>
    </row>
    <row r="1419" customFormat="false" ht="15" hidden="false" customHeight="false" outlineLevel="0" collapsed="false">
      <c r="A1419" s="22" t="s">
        <v>1726</v>
      </c>
      <c r="B1419" s="22" t="s">
        <v>239</v>
      </c>
      <c r="C1419" s="31" t="n">
        <v>46306</v>
      </c>
      <c r="D1419" s="22" t="s">
        <v>300</v>
      </c>
      <c r="E1419" s="22" t="s">
        <v>319</v>
      </c>
      <c r="F1419" s="29" t="str">
        <f aca="false">IF(COUNTIF(Referral_Data!$C$5:$C$1000,B1419)&gt;0,"Referred",IF(COUNTIF(Referral_Data!$B$5:$B$1000,B1419)&gt;0,"Referrer","Organic"))</f>
        <v>Referred</v>
      </c>
      <c r="G1419" s="29" t="n">
        <f aca="false">IF(COUNTIFS($B$5:B1419,B1419,$C$5:C1419,C1419)=1,1,0)</f>
        <v>0</v>
      </c>
      <c r="H1419" s="29" t="n">
        <f aca="false">IF(AND(G1419=1,COUNTIFS($B$5:$B$1635,B1419,$C$5:$C$1635,"&lt;"&amp;C1419)&gt;0),1,0)</f>
        <v>0</v>
      </c>
      <c r="I1419" s="29" t="n">
        <f aca="false">IF(AND(D1419="Feature Use",COUNTIFS($B$5:B1419,B1419,$D$5:D1419,"Feature Use",$E$5:E1419,E1419)=1),1,0)</f>
        <v>0</v>
      </c>
      <c r="J1419" s="29" t="n">
        <f aca="false">IF(AND(D1419="Feature Use",COUNTIFS($B$5:B1419,B1419,$D$5:D1419,"Feature Use",$E$5:E1419,E1419)=2),1,0)</f>
        <v>1</v>
      </c>
      <c r="K1419" s="29" t="n">
        <f aca="false">IF(COUNTIF($B$5:B1419,B1419)=1,1,0)</f>
        <v>0</v>
      </c>
      <c r="L1419" s="29" t="n">
        <f aca="false">IF(AND(C1419&gt;=Settings!$B$5-Settings!$B$8+1,C1419&lt;=Settings!$B$5,COUNTIFS($B$5:B1419,B1419,$C$5:C1419,"&gt;="&amp;(Settings!$B$5-Settings!$B$8+1),$C$5:C1419,"&lt;="&amp;Settings!$B$5)=1),1,0)</f>
        <v>0</v>
      </c>
      <c r="M1419" s="29" t="n">
        <f aca="false">IF(AND(C1419&gt;=Settings!$B$5-Settings!$B$9+1,C1419&lt;=Settings!$B$5,COUNTIFS($B$5:B1419,B1419,$C$5:C1419,"&gt;="&amp;(Settings!$B$5-Settings!$B$9+1),$C$5:C1419,"&lt;="&amp;Settings!$B$5)=1),1,0)</f>
        <v>0</v>
      </c>
      <c r="N1419" s="29" t="n">
        <f aca="false">IF(AND(D1419="Feature Use",COUNTIFS($B$5:B1419,B1419,$D$5:D1419,"Feature Use")=1),1,0)</f>
        <v>0</v>
      </c>
    </row>
    <row r="1420" customFormat="false" ht="15" hidden="false" customHeight="false" outlineLevel="0" collapsed="false">
      <c r="A1420" s="22" t="s">
        <v>1727</v>
      </c>
      <c r="B1420" s="22" t="s">
        <v>239</v>
      </c>
      <c r="C1420" s="31" t="n">
        <v>46306</v>
      </c>
      <c r="D1420" s="22" t="s">
        <v>300</v>
      </c>
      <c r="E1420" s="22" t="s">
        <v>305</v>
      </c>
      <c r="F1420" s="29" t="str">
        <f aca="false">IF(COUNTIF(Referral_Data!$C$5:$C$1000,B1420)&gt;0,"Referred",IF(COUNTIF(Referral_Data!$B$5:$B$1000,B1420)&gt;0,"Referrer","Organic"))</f>
        <v>Referred</v>
      </c>
      <c r="G1420" s="29" t="n">
        <f aca="false">IF(COUNTIFS($B$5:B1420,B1420,$C$5:C1420,C1420)=1,1,0)</f>
        <v>0</v>
      </c>
      <c r="H1420" s="29" t="n">
        <f aca="false">IF(AND(G1420=1,COUNTIFS($B$5:$B$1635,B1420,$C$5:$C$1635,"&lt;"&amp;C1420)&gt;0),1,0)</f>
        <v>0</v>
      </c>
      <c r="I1420" s="29" t="n">
        <f aca="false">IF(AND(D1420="Feature Use",COUNTIFS($B$5:B1420,B1420,$D$5:D1420,"Feature Use",$E$5:E1420,E1420)=1),1,0)</f>
        <v>1</v>
      </c>
      <c r="J1420" s="29" t="n">
        <f aca="false">IF(AND(D1420="Feature Use",COUNTIFS($B$5:B1420,B1420,$D$5:D1420,"Feature Use",$E$5:E1420,E1420)=2),1,0)</f>
        <v>0</v>
      </c>
      <c r="K1420" s="29" t="n">
        <f aca="false">IF(COUNTIF($B$5:B1420,B1420)=1,1,0)</f>
        <v>0</v>
      </c>
      <c r="L1420" s="29" t="n">
        <f aca="false">IF(AND(C1420&gt;=Settings!$B$5-Settings!$B$8+1,C1420&lt;=Settings!$B$5,COUNTIFS($B$5:B1420,B1420,$C$5:C1420,"&gt;="&amp;(Settings!$B$5-Settings!$B$8+1),$C$5:C1420,"&lt;="&amp;Settings!$B$5)=1),1,0)</f>
        <v>0</v>
      </c>
      <c r="M1420" s="29" t="n">
        <f aca="false">IF(AND(C1420&gt;=Settings!$B$5-Settings!$B$9+1,C1420&lt;=Settings!$B$5,COUNTIFS($B$5:B1420,B1420,$C$5:C1420,"&gt;="&amp;(Settings!$B$5-Settings!$B$9+1),$C$5:C1420,"&lt;="&amp;Settings!$B$5)=1),1,0)</f>
        <v>0</v>
      </c>
      <c r="N1420" s="29" t="n">
        <f aca="false">IF(AND(D1420="Feature Use",COUNTIFS($B$5:B1420,B1420,$D$5:D1420,"Feature Use")=1),1,0)</f>
        <v>0</v>
      </c>
    </row>
    <row r="1421" customFormat="false" ht="15" hidden="false" customHeight="false" outlineLevel="0" collapsed="false">
      <c r="A1421" s="22" t="s">
        <v>1728</v>
      </c>
      <c r="B1421" s="22" t="s">
        <v>243</v>
      </c>
      <c r="C1421" s="31" t="n">
        <v>46306</v>
      </c>
      <c r="D1421" s="22" t="s">
        <v>297</v>
      </c>
      <c r="E1421" s="22" t="s">
        <v>298</v>
      </c>
      <c r="F1421" s="29" t="str">
        <f aca="false">IF(COUNTIF(Referral_Data!$C$5:$C$1000,B1421)&gt;0,"Referred",IF(COUNTIF(Referral_Data!$B$5:$B$1000,B1421)&gt;0,"Referrer","Organic"))</f>
        <v>Referred</v>
      </c>
      <c r="G1421" s="29" t="n">
        <f aca="false">IF(COUNTIFS($B$5:B1421,B1421,$C$5:C1421,C1421)=1,1,0)</f>
        <v>1</v>
      </c>
      <c r="H1421" s="29" t="n">
        <f aca="false">IF(AND(G1421=1,COUNTIFS($B$5:$B$1635,B1421,$C$5:$C$1635,"&lt;"&amp;C1421)&gt;0),1,0)</f>
        <v>1</v>
      </c>
      <c r="I1421" s="29" t="n">
        <f aca="false">IF(AND(D1421="Feature Use",COUNTIFS($B$5:B1421,B1421,$D$5:D1421,"Feature Use",$E$5:E1421,E1421)=1),1,0)</f>
        <v>0</v>
      </c>
      <c r="J1421" s="29" t="n">
        <f aca="false">IF(AND(D1421="Feature Use",COUNTIFS($B$5:B1421,B1421,$D$5:D1421,"Feature Use",$E$5:E1421,E1421)=2),1,0)</f>
        <v>0</v>
      </c>
      <c r="K1421" s="29" t="n">
        <f aca="false">IF(COUNTIF($B$5:B1421,B1421)=1,1,0)</f>
        <v>0</v>
      </c>
      <c r="L1421" s="29" t="n">
        <f aca="false">IF(AND(C1421&gt;=Settings!$B$5-Settings!$B$8+1,C1421&lt;=Settings!$B$5,COUNTIFS($B$5:B1421,B1421,$C$5:C1421,"&gt;="&amp;(Settings!$B$5-Settings!$B$8+1),$C$5:C1421,"&lt;="&amp;Settings!$B$5)=1),1,0)</f>
        <v>1</v>
      </c>
      <c r="M1421" s="29" t="n">
        <f aca="false">IF(AND(C1421&gt;=Settings!$B$5-Settings!$B$9+1,C1421&lt;=Settings!$B$5,COUNTIFS($B$5:B1421,B1421,$C$5:C1421,"&gt;="&amp;(Settings!$B$5-Settings!$B$9+1),$C$5:C1421,"&lt;="&amp;Settings!$B$5)=1),1,0)</f>
        <v>0</v>
      </c>
      <c r="N1421" s="29" t="n">
        <f aca="false">IF(AND(D1421="Feature Use",COUNTIFS($B$5:B1421,B1421,$D$5:D1421,"Feature Use")=1),1,0)</f>
        <v>0</v>
      </c>
    </row>
    <row r="1422" customFormat="false" ht="15" hidden="false" customHeight="false" outlineLevel="0" collapsed="false">
      <c r="A1422" s="22" t="s">
        <v>1729</v>
      </c>
      <c r="B1422" s="22" t="s">
        <v>243</v>
      </c>
      <c r="C1422" s="31" t="n">
        <v>46306</v>
      </c>
      <c r="D1422" s="22" t="s">
        <v>300</v>
      </c>
      <c r="E1422" s="22" t="s">
        <v>309</v>
      </c>
      <c r="F1422" s="29" t="str">
        <f aca="false">IF(COUNTIF(Referral_Data!$C$5:$C$1000,B1422)&gt;0,"Referred",IF(COUNTIF(Referral_Data!$B$5:$B$1000,B1422)&gt;0,"Referrer","Organic"))</f>
        <v>Referred</v>
      </c>
      <c r="G1422" s="29" t="n">
        <f aca="false">IF(COUNTIFS($B$5:B1422,B1422,$C$5:C1422,C1422)=1,1,0)</f>
        <v>0</v>
      </c>
      <c r="H1422" s="29" t="n">
        <f aca="false">IF(AND(G1422=1,COUNTIFS($B$5:$B$1635,B1422,$C$5:$C$1635,"&lt;"&amp;C1422)&gt;0),1,0)</f>
        <v>0</v>
      </c>
      <c r="I1422" s="29" t="n">
        <f aca="false">IF(AND(D1422="Feature Use",COUNTIFS($B$5:B1422,B1422,$D$5:D1422,"Feature Use",$E$5:E1422,E1422)=1),1,0)</f>
        <v>1</v>
      </c>
      <c r="J1422" s="29" t="n">
        <f aca="false">IF(AND(D1422="Feature Use",COUNTIFS($B$5:B1422,B1422,$D$5:D1422,"Feature Use",$E$5:E1422,E1422)=2),1,0)</f>
        <v>0</v>
      </c>
      <c r="K1422" s="29" t="n">
        <f aca="false">IF(COUNTIF($B$5:B1422,B1422)=1,1,0)</f>
        <v>0</v>
      </c>
      <c r="L1422" s="29" t="n">
        <f aca="false">IF(AND(C1422&gt;=Settings!$B$5-Settings!$B$8+1,C1422&lt;=Settings!$B$5,COUNTIFS($B$5:B1422,B1422,$C$5:C1422,"&gt;="&amp;(Settings!$B$5-Settings!$B$8+1),$C$5:C1422,"&lt;="&amp;Settings!$B$5)=1),1,0)</f>
        <v>0</v>
      </c>
      <c r="M1422" s="29" t="n">
        <f aca="false">IF(AND(C1422&gt;=Settings!$B$5-Settings!$B$9+1,C1422&lt;=Settings!$B$5,COUNTIFS($B$5:B1422,B1422,$C$5:C1422,"&gt;="&amp;(Settings!$B$5-Settings!$B$9+1),$C$5:C1422,"&lt;="&amp;Settings!$B$5)=1),1,0)</f>
        <v>0</v>
      </c>
      <c r="N1422" s="29" t="n">
        <f aca="false">IF(AND(D1422="Feature Use",COUNTIFS($B$5:B1422,B1422,$D$5:D1422,"Feature Use")=1),1,0)</f>
        <v>0</v>
      </c>
    </row>
    <row r="1423" customFormat="false" ht="15" hidden="false" customHeight="false" outlineLevel="0" collapsed="false">
      <c r="A1423" s="22" t="s">
        <v>1730</v>
      </c>
      <c r="B1423" s="22" t="s">
        <v>263</v>
      </c>
      <c r="C1423" s="31" t="n">
        <v>46306</v>
      </c>
      <c r="D1423" s="22" t="s">
        <v>297</v>
      </c>
      <c r="E1423" s="22" t="s">
        <v>298</v>
      </c>
      <c r="F1423" s="29" t="str">
        <f aca="false">IF(COUNTIF(Referral_Data!$C$5:$C$1000,B1423)&gt;0,"Referred",IF(COUNTIF(Referral_Data!$B$5:$B$1000,B1423)&gt;0,"Referrer","Organic"))</f>
        <v>Referred</v>
      </c>
      <c r="G1423" s="29" t="n">
        <f aca="false">IF(COUNTIFS($B$5:B1423,B1423,$C$5:C1423,C1423)=1,1,0)</f>
        <v>1</v>
      </c>
      <c r="H1423" s="29" t="n">
        <f aca="false">IF(AND(G1423=1,COUNTIFS($B$5:$B$1635,B1423,$C$5:$C$1635,"&lt;"&amp;C1423)&gt;0),1,0)</f>
        <v>1</v>
      </c>
      <c r="I1423" s="29" t="n">
        <f aca="false">IF(AND(D1423="Feature Use",COUNTIFS($B$5:B1423,B1423,$D$5:D1423,"Feature Use",$E$5:E1423,E1423)=1),1,0)</f>
        <v>0</v>
      </c>
      <c r="J1423" s="29" t="n">
        <f aca="false">IF(AND(D1423="Feature Use",COUNTIFS($B$5:B1423,B1423,$D$5:D1423,"Feature Use",$E$5:E1423,E1423)=2),1,0)</f>
        <v>0</v>
      </c>
      <c r="K1423" s="29" t="n">
        <f aca="false">IF(COUNTIF($B$5:B1423,B1423)=1,1,0)</f>
        <v>0</v>
      </c>
      <c r="L1423" s="29" t="n">
        <f aca="false">IF(AND(C1423&gt;=Settings!$B$5-Settings!$B$8+1,C1423&lt;=Settings!$B$5,COUNTIFS($B$5:B1423,B1423,$C$5:C1423,"&gt;="&amp;(Settings!$B$5-Settings!$B$8+1),$C$5:C1423,"&lt;="&amp;Settings!$B$5)=1),1,0)</f>
        <v>0</v>
      </c>
      <c r="M1423" s="29" t="n">
        <f aca="false">IF(AND(C1423&gt;=Settings!$B$5-Settings!$B$9+1,C1423&lt;=Settings!$B$5,COUNTIFS($B$5:B1423,B1423,$C$5:C1423,"&gt;="&amp;(Settings!$B$5-Settings!$B$9+1),$C$5:C1423,"&lt;="&amp;Settings!$B$5)=1),1,0)</f>
        <v>0</v>
      </c>
      <c r="N1423" s="29" t="n">
        <f aca="false">IF(AND(D1423="Feature Use",COUNTIFS($B$5:B1423,B1423,$D$5:D1423,"Feature Use")=1),1,0)</f>
        <v>0</v>
      </c>
    </row>
    <row r="1424" customFormat="false" ht="15" hidden="false" customHeight="false" outlineLevel="0" collapsed="false">
      <c r="A1424" s="22" t="s">
        <v>1731</v>
      </c>
      <c r="B1424" s="22" t="s">
        <v>263</v>
      </c>
      <c r="C1424" s="31" t="n">
        <v>46306</v>
      </c>
      <c r="D1424" s="22" t="s">
        <v>300</v>
      </c>
      <c r="E1424" s="22" t="s">
        <v>305</v>
      </c>
      <c r="F1424" s="29" t="str">
        <f aca="false">IF(COUNTIF(Referral_Data!$C$5:$C$1000,B1424)&gt;0,"Referred",IF(COUNTIF(Referral_Data!$B$5:$B$1000,B1424)&gt;0,"Referrer","Organic"))</f>
        <v>Referred</v>
      </c>
      <c r="G1424" s="29" t="n">
        <f aca="false">IF(COUNTIFS($B$5:B1424,B1424,$C$5:C1424,C1424)=1,1,0)</f>
        <v>0</v>
      </c>
      <c r="H1424" s="29" t="n">
        <f aca="false">IF(AND(G1424=1,COUNTIFS($B$5:$B$1635,B1424,$C$5:$C$1635,"&lt;"&amp;C1424)&gt;0),1,0)</f>
        <v>0</v>
      </c>
      <c r="I1424" s="29" t="n">
        <f aca="false">IF(AND(D1424="Feature Use",COUNTIFS($B$5:B1424,B1424,$D$5:D1424,"Feature Use",$E$5:E1424,E1424)=1),1,0)</f>
        <v>0</v>
      </c>
      <c r="J1424" s="29" t="n">
        <f aca="false">IF(AND(D1424="Feature Use",COUNTIFS($B$5:B1424,B1424,$D$5:D1424,"Feature Use",$E$5:E1424,E1424)=2),1,0)</f>
        <v>0</v>
      </c>
      <c r="K1424" s="29" t="n">
        <f aca="false">IF(COUNTIF($B$5:B1424,B1424)=1,1,0)</f>
        <v>0</v>
      </c>
      <c r="L1424" s="29" t="n">
        <f aca="false">IF(AND(C1424&gt;=Settings!$B$5-Settings!$B$8+1,C1424&lt;=Settings!$B$5,COUNTIFS($B$5:B1424,B1424,$C$5:C1424,"&gt;="&amp;(Settings!$B$5-Settings!$B$8+1),$C$5:C1424,"&lt;="&amp;Settings!$B$5)=1),1,0)</f>
        <v>0</v>
      </c>
      <c r="M1424" s="29" t="n">
        <f aca="false">IF(AND(C1424&gt;=Settings!$B$5-Settings!$B$9+1,C1424&lt;=Settings!$B$5,COUNTIFS($B$5:B1424,B1424,$C$5:C1424,"&gt;="&amp;(Settings!$B$5-Settings!$B$9+1),$C$5:C1424,"&lt;="&amp;Settings!$B$5)=1),1,0)</f>
        <v>0</v>
      </c>
      <c r="N1424" s="29" t="n">
        <f aca="false">IF(AND(D1424="Feature Use",COUNTIFS($B$5:B1424,B1424,$D$5:D1424,"Feature Use")=1),1,0)</f>
        <v>0</v>
      </c>
    </row>
    <row r="1425" customFormat="false" ht="15" hidden="false" customHeight="false" outlineLevel="0" collapsed="false">
      <c r="A1425" s="22" t="s">
        <v>1732</v>
      </c>
      <c r="B1425" s="22" t="s">
        <v>263</v>
      </c>
      <c r="C1425" s="31" t="n">
        <v>46306</v>
      </c>
      <c r="D1425" s="22" t="s">
        <v>308</v>
      </c>
      <c r="E1425" s="22" t="s">
        <v>305</v>
      </c>
      <c r="F1425" s="29" t="str">
        <f aca="false">IF(COUNTIF(Referral_Data!$C$5:$C$1000,B1425)&gt;0,"Referred",IF(COUNTIF(Referral_Data!$B$5:$B$1000,B1425)&gt;0,"Referrer","Organic"))</f>
        <v>Referred</v>
      </c>
      <c r="G1425" s="29" t="n">
        <f aca="false">IF(COUNTIFS($B$5:B1425,B1425,$C$5:C1425,C1425)=1,1,0)</f>
        <v>0</v>
      </c>
      <c r="H1425" s="29" t="n">
        <f aca="false">IF(AND(G1425=1,COUNTIFS($B$5:$B$1635,B1425,$C$5:$C$1635,"&lt;"&amp;C1425)&gt;0),1,0)</f>
        <v>0</v>
      </c>
      <c r="I1425" s="29" t="n">
        <f aca="false">IF(AND(D1425="Feature Use",COUNTIFS($B$5:B1425,B1425,$D$5:D1425,"Feature Use",$E$5:E1425,E1425)=1),1,0)</f>
        <v>0</v>
      </c>
      <c r="J1425" s="29" t="n">
        <f aca="false">IF(AND(D1425="Feature Use",COUNTIFS($B$5:B1425,B1425,$D$5:D1425,"Feature Use",$E$5:E1425,E1425)=2),1,0)</f>
        <v>0</v>
      </c>
      <c r="K1425" s="29" t="n">
        <f aca="false">IF(COUNTIF($B$5:B1425,B1425)=1,1,0)</f>
        <v>0</v>
      </c>
      <c r="L1425" s="29" t="n">
        <f aca="false">IF(AND(C1425&gt;=Settings!$B$5-Settings!$B$8+1,C1425&lt;=Settings!$B$5,COUNTIFS($B$5:B1425,B1425,$C$5:C1425,"&gt;="&amp;(Settings!$B$5-Settings!$B$8+1),$C$5:C1425,"&lt;="&amp;Settings!$B$5)=1),1,0)</f>
        <v>0</v>
      </c>
      <c r="M1425" s="29" t="n">
        <f aca="false">IF(AND(C1425&gt;=Settings!$B$5-Settings!$B$9+1,C1425&lt;=Settings!$B$5,COUNTIFS($B$5:B1425,B1425,$C$5:C1425,"&gt;="&amp;(Settings!$B$5-Settings!$B$9+1),$C$5:C1425,"&lt;="&amp;Settings!$B$5)=1),1,0)</f>
        <v>0</v>
      </c>
      <c r="N1425" s="29" t="n">
        <f aca="false">IF(AND(D1425="Feature Use",COUNTIFS($B$5:B1425,B1425,$D$5:D1425,"Feature Use")=1),1,0)</f>
        <v>0</v>
      </c>
    </row>
    <row r="1426" customFormat="false" ht="15" hidden="false" customHeight="false" outlineLevel="0" collapsed="false">
      <c r="A1426" s="22" t="s">
        <v>1733</v>
      </c>
      <c r="B1426" s="22" t="s">
        <v>265</v>
      </c>
      <c r="C1426" s="31" t="n">
        <v>46306</v>
      </c>
      <c r="D1426" s="22" t="s">
        <v>297</v>
      </c>
      <c r="E1426" s="22" t="s">
        <v>298</v>
      </c>
      <c r="F1426" s="29" t="str">
        <f aca="false">IF(COUNTIF(Referral_Data!$C$5:$C$1000,B1426)&gt;0,"Referred",IF(COUNTIF(Referral_Data!$B$5:$B$1000,B1426)&gt;0,"Referrer","Organic"))</f>
        <v>Referred</v>
      </c>
      <c r="G1426" s="29" t="n">
        <f aca="false">IF(COUNTIFS($B$5:B1426,B1426,$C$5:C1426,C1426)=1,1,0)</f>
        <v>1</v>
      </c>
      <c r="H1426" s="29" t="n">
        <f aca="false">IF(AND(G1426=1,COUNTIFS($B$5:$B$1635,B1426,$C$5:$C$1635,"&lt;"&amp;C1426)&gt;0),1,0)</f>
        <v>1</v>
      </c>
      <c r="I1426" s="29" t="n">
        <f aca="false">IF(AND(D1426="Feature Use",COUNTIFS($B$5:B1426,B1426,$D$5:D1426,"Feature Use",$E$5:E1426,E1426)=1),1,0)</f>
        <v>0</v>
      </c>
      <c r="J1426" s="29" t="n">
        <f aca="false">IF(AND(D1426="Feature Use",COUNTIFS($B$5:B1426,B1426,$D$5:D1426,"Feature Use",$E$5:E1426,E1426)=2),1,0)</f>
        <v>0</v>
      </c>
      <c r="K1426" s="29" t="n">
        <f aca="false">IF(COUNTIF($B$5:B1426,B1426)=1,1,0)</f>
        <v>0</v>
      </c>
      <c r="L1426" s="29" t="n">
        <f aca="false">IF(AND(C1426&gt;=Settings!$B$5-Settings!$B$8+1,C1426&lt;=Settings!$B$5,COUNTIFS($B$5:B1426,B1426,$C$5:C1426,"&gt;="&amp;(Settings!$B$5-Settings!$B$8+1),$C$5:C1426,"&lt;="&amp;Settings!$B$5)=1),1,0)</f>
        <v>0</v>
      </c>
      <c r="M1426" s="29" t="n">
        <f aca="false">IF(AND(C1426&gt;=Settings!$B$5-Settings!$B$9+1,C1426&lt;=Settings!$B$5,COUNTIFS($B$5:B1426,B1426,$C$5:C1426,"&gt;="&amp;(Settings!$B$5-Settings!$B$9+1),$C$5:C1426,"&lt;="&amp;Settings!$B$5)=1),1,0)</f>
        <v>0</v>
      </c>
      <c r="N1426" s="29" t="n">
        <f aca="false">IF(AND(D1426="Feature Use",COUNTIFS($B$5:B1426,B1426,$D$5:D1426,"Feature Use")=1),1,0)</f>
        <v>0</v>
      </c>
    </row>
    <row r="1427" customFormat="false" ht="15" hidden="false" customHeight="false" outlineLevel="0" collapsed="false">
      <c r="A1427" s="22" t="s">
        <v>1734</v>
      </c>
      <c r="B1427" s="22" t="s">
        <v>265</v>
      </c>
      <c r="C1427" s="31" t="n">
        <v>46306</v>
      </c>
      <c r="D1427" s="22" t="s">
        <v>300</v>
      </c>
      <c r="E1427" s="22" t="s">
        <v>311</v>
      </c>
      <c r="F1427" s="29" t="str">
        <f aca="false">IF(COUNTIF(Referral_Data!$C$5:$C$1000,B1427)&gt;0,"Referred",IF(COUNTIF(Referral_Data!$B$5:$B$1000,B1427)&gt;0,"Referrer","Organic"))</f>
        <v>Referred</v>
      </c>
      <c r="G1427" s="29" t="n">
        <f aca="false">IF(COUNTIFS($B$5:B1427,B1427,$C$5:C1427,C1427)=1,1,0)</f>
        <v>0</v>
      </c>
      <c r="H1427" s="29" t="n">
        <f aca="false">IF(AND(G1427=1,COUNTIFS($B$5:$B$1635,B1427,$C$5:$C$1635,"&lt;"&amp;C1427)&gt;0),1,0)</f>
        <v>0</v>
      </c>
      <c r="I1427" s="29" t="n">
        <f aca="false">IF(AND(D1427="Feature Use",COUNTIFS($B$5:B1427,B1427,$D$5:D1427,"Feature Use",$E$5:E1427,E1427)=1),1,0)</f>
        <v>0</v>
      </c>
      <c r="J1427" s="29" t="n">
        <f aca="false">IF(AND(D1427="Feature Use",COUNTIFS($B$5:B1427,B1427,$D$5:D1427,"Feature Use",$E$5:E1427,E1427)=2),1,0)</f>
        <v>1</v>
      </c>
      <c r="K1427" s="29" t="n">
        <f aca="false">IF(COUNTIF($B$5:B1427,B1427)=1,1,0)</f>
        <v>0</v>
      </c>
      <c r="L1427" s="29" t="n">
        <f aca="false">IF(AND(C1427&gt;=Settings!$B$5-Settings!$B$8+1,C1427&lt;=Settings!$B$5,COUNTIFS($B$5:B1427,B1427,$C$5:C1427,"&gt;="&amp;(Settings!$B$5-Settings!$B$8+1),$C$5:C1427,"&lt;="&amp;Settings!$B$5)=1),1,0)</f>
        <v>0</v>
      </c>
      <c r="M1427" s="29" t="n">
        <f aca="false">IF(AND(C1427&gt;=Settings!$B$5-Settings!$B$9+1,C1427&lt;=Settings!$B$5,COUNTIFS($B$5:B1427,B1427,$C$5:C1427,"&gt;="&amp;(Settings!$B$5-Settings!$B$9+1),$C$5:C1427,"&lt;="&amp;Settings!$B$5)=1),1,0)</f>
        <v>0</v>
      </c>
      <c r="N1427" s="29" t="n">
        <f aca="false">IF(AND(D1427="Feature Use",COUNTIFS($B$5:B1427,B1427,$D$5:D1427,"Feature Use")=1),1,0)</f>
        <v>0</v>
      </c>
    </row>
    <row r="1428" customFormat="false" ht="15" hidden="false" customHeight="false" outlineLevel="0" collapsed="false">
      <c r="A1428" s="22" t="s">
        <v>1735</v>
      </c>
      <c r="B1428" s="22" t="s">
        <v>265</v>
      </c>
      <c r="C1428" s="31" t="n">
        <v>46306</v>
      </c>
      <c r="D1428" s="22" t="s">
        <v>300</v>
      </c>
      <c r="E1428" s="22" t="s">
        <v>301</v>
      </c>
      <c r="F1428" s="29" t="str">
        <f aca="false">IF(COUNTIF(Referral_Data!$C$5:$C$1000,B1428)&gt;0,"Referred",IF(COUNTIF(Referral_Data!$B$5:$B$1000,B1428)&gt;0,"Referrer","Organic"))</f>
        <v>Referred</v>
      </c>
      <c r="G1428" s="29" t="n">
        <f aca="false">IF(COUNTIFS($B$5:B1428,B1428,$C$5:C1428,C1428)=1,1,0)</f>
        <v>0</v>
      </c>
      <c r="H1428" s="29" t="n">
        <f aca="false">IF(AND(G1428=1,COUNTIFS($B$5:$B$1635,B1428,$C$5:$C$1635,"&lt;"&amp;C1428)&gt;0),1,0)</f>
        <v>0</v>
      </c>
      <c r="I1428" s="29" t="n">
        <f aca="false">IF(AND(D1428="Feature Use",COUNTIFS($B$5:B1428,B1428,$D$5:D1428,"Feature Use",$E$5:E1428,E1428)=1),1,0)</f>
        <v>1</v>
      </c>
      <c r="J1428" s="29" t="n">
        <f aca="false">IF(AND(D1428="Feature Use",COUNTIFS($B$5:B1428,B1428,$D$5:D1428,"Feature Use",$E$5:E1428,E1428)=2),1,0)</f>
        <v>0</v>
      </c>
      <c r="K1428" s="29" t="n">
        <f aca="false">IF(COUNTIF($B$5:B1428,B1428)=1,1,0)</f>
        <v>0</v>
      </c>
      <c r="L1428" s="29" t="n">
        <f aca="false">IF(AND(C1428&gt;=Settings!$B$5-Settings!$B$8+1,C1428&lt;=Settings!$B$5,COUNTIFS($B$5:B1428,B1428,$C$5:C1428,"&gt;="&amp;(Settings!$B$5-Settings!$B$8+1),$C$5:C1428,"&lt;="&amp;Settings!$B$5)=1),1,0)</f>
        <v>0</v>
      </c>
      <c r="M1428" s="29" t="n">
        <f aca="false">IF(AND(C1428&gt;=Settings!$B$5-Settings!$B$9+1,C1428&lt;=Settings!$B$5,COUNTIFS($B$5:B1428,B1428,$C$5:C1428,"&gt;="&amp;(Settings!$B$5-Settings!$B$9+1),$C$5:C1428,"&lt;="&amp;Settings!$B$5)=1),1,0)</f>
        <v>0</v>
      </c>
      <c r="N1428" s="29" t="n">
        <f aca="false">IF(AND(D1428="Feature Use",COUNTIFS($B$5:B1428,B1428,$D$5:D1428,"Feature Use")=1),1,0)</f>
        <v>0</v>
      </c>
    </row>
    <row r="1429" customFormat="false" ht="15" hidden="false" customHeight="false" outlineLevel="0" collapsed="false">
      <c r="A1429" s="22" t="s">
        <v>1736</v>
      </c>
      <c r="B1429" s="22" t="s">
        <v>267</v>
      </c>
      <c r="C1429" s="31" t="n">
        <v>46306</v>
      </c>
      <c r="D1429" s="22" t="s">
        <v>297</v>
      </c>
      <c r="E1429" s="22" t="s">
        <v>298</v>
      </c>
      <c r="F1429" s="29" t="str">
        <f aca="false">IF(COUNTIF(Referral_Data!$C$5:$C$1000,B1429)&gt;0,"Referred",IF(COUNTIF(Referral_Data!$B$5:$B$1000,B1429)&gt;0,"Referrer","Organic"))</f>
        <v>Referred</v>
      </c>
      <c r="G1429" s="29" t="n">
        <f aca="false">IF(COUNTIFS($B$5:B1429,B1429,$C$5:C1429,C1429)=1,1,0)</f>
        <v>1</v>
      </c>
      <c r="H1429" s="29" t="n">
        <f aca="false">IF(AND(G1429=1,COUNTIFS($B$5:$B$1635,B1429,$C$5:$C$1635,"&lt;"&amp;C1429)&gt;0),1,0)</f>
        <v>1</v>
      </c>
      <c r="I1429" s="29" t="n">
        <f aca="false">IF(AND(D1429="Feature Use",COUNTIFS($B$5:B1429,B1429,$D$5:D1429,"Feature Use",$E$5:E1429,E1429)=1),1,0)</f>
        <v>0</v>
      </c>
      <c r="J1429" s="29" t="n">
        <f aca="false">IF(AND(D1429="Feature Use",COUNTIFS($B$5:B1429,B1429,$D$5:D1429,"Feature Use",$E$5:E1429,E1429)=2),1,0)</f>
        <v>0</v>
      </c>
      <c r="K1429" s="29" t="n">
        <f aca="false">IF(COUNTIF($B$5:B1429,B1429)=1,1,0)</f>
        <v>0</v>
      </c>
      <c r="L1429" s="29" t="n">
        <f aca="false">IF(AND(C1429&gt;=Settings!$B$5-Settings!$B$8+1,C1429&lt;=Settings!$B$5,COUNTIFS($B$5:B1429,B1429,$C$5:C1429,"&gt;="&amp;(Settings!$B$5-Settings!$B$8+1),$C$5:C1429,"&lt;="&amp;Settings!$B$5)=1),1,0)</f>
        <v>1</v>
      </c>
      <c r="M1429" s="29" t="n">
        <f aca="false">IF(AND(C1429&gt;=Settings!$B$5-Settings!$B$9+1,C1429&lt;=Settings!$B$5,COUNTIFS($B$5:B1429,B1429,$C$5:C1429,"&gt;="&amp;(Settings!$B$5-Settings!$B$9+1),$C$5:C1429,"&lt;="&amp;Settings!$B$5)=1),1,0)</f>
        <v>0</v>
      </c>
      <c r="N1429" s="29" t="n">
        <f aca="false">IF(AND(D1429="Feature Use",COUNTIFS($B$5:B1429,B1429,$D$5:D1429,"Feature Use")=1),1,0)</f>
        <v>0</v>
      </c>
    </row>
    <row r="1430" customFormat="false" ht="15" hidden="false" customHeight="false" outlineLevel="0" collapsed="false">
      <c r="A1430" s="22" t="s">
        <v>1737</v>
      </c>
      <c r="B1430" s="22" t="s">
        <v>267</v>
      </c>
      <c r="C1430" s="31" t="n">
        <v>46306</v>
      </c>
      <c r="D1430" s="22" t="s">
        <v>300</v>
      </c>
      <c r="E1430" s="22" t="s">
        <v>319</v>
      </c>
      <c r="F1430" s="29" t="str">
        <f aca="false">IF(COUNTIF(Referral_Data!$C$5:$C$1000,B1430)&gt;0,"Referred",IF(COUNTIF(Referral_Data!$B$5:$B$1000,B1430)&gt;0,"Referrer","Organic"))</f>
        <v>Referred</v>
      </c>
      <c r="G1430" s="29" t="n">
        <f aca="false">IF(COUNTIFS($B$5:B1430,B1430,$C$5:C1430,C1430)=1,1,0)</f>
        <v>0</v>
      </c>
      <c r="H1430" s="29" t="n">
        <f aca="false">IF(AND(G1430=1,COUNTIFS($B$5:$B$1635,B1430,$C$5:$C$1635,"&lt;"&amp;C1430)&gt;0),1,0)</f>
        <v>0</v>
      </c>
      <c r="I1430" s="29" t="n">
        <f aca="false">IF(AND(D1430="Feature Use",COUNTIFS($B$5:B1430,B1430,$D$5:D1430,"Feature Use",$E$5:E1430,E1430)=1),1,0)</f>
        <v>0</v>
      </c>
      <c r="J1430" s="29" t="n">
        <f aca="false">IF(AND(D1430="Feature Use",COUNTIFS($B$5:B1430,B1430,$D$5:D1430,"Feature Use",$E$5:E1430,E1430)=2),1,0)</f>
        <v>0</v>
      </c>
      <c r="K1430" s="29" t="n">
        <f aca="false">IF(COUNTIF($B$5:B1430,B1430)=1,1,0)</f>
        <v>0</v>
      </c>
      <c r="L1430" s="29" t="n">
        <f aca="false">IF(AND(C1430&gt;=Settings!$B$5-Settings!$B$8+1,C1430&lt;=Settings!$B$5,COUNTIFS($B$5:B1430,B1430,$C$5:C1430,"&gt;="&amp;(Settings!$B$5-Settings!$B$8+1),$C$5:C1430,"&lt;="&amp;Settings!$B$5)=1),1,0)</f>
        <v>0</v>
      </c>
      <c r="M1430" s="29" t="n">
        <f aca="false">IF(AND(C1430&gt;=Settings!$B$5-Settings!$B$9+1,C1430&lt;=Settings!$B$5,COUNTIFS($B$5:B1430,B1430,$C$5:C1430,"&gt;="&amp;(Settings!$B$5-Settings!$B$9+1),$C$5:C1430,"&lt;="&amp;Settings!$B$5)=1),1,0)</f>
        <v>0</v>
      </c>
      <c r="N1430" s="29" t="n">
        <f aca="false">IF(AND(D1430="Feature Use",COUNTIFS($B$5:B1430,B1430,$D$5:D1430,"Feature Use")=1),1,0)</f>
        <v>0</v>
      </c>
    </row>
    <row r="1431" customFormat="false" ht="15" hidden="false" customHeight="false" outlineLevel="0" collapsed="false">
      <c r="A1431" s="22" t="s">
        <v>1738</v>
      </c>
      <c r="B1431" s="22" t="s">
        <v>267</v>
      </c>
      <c r="C1431" s="31" t="n">
        <v>46306</v>
      </c>
      <c r="D1431" s="22" t="s">
        <v>308</v>
      </c>
      <c r="E1431" s="22" t="s">
        <v>305</v>
      </c>
      <c r="F1431" s="29" t="str">
        <f aca="false">IF(COUNTIF(Referral_Data!$C$5:$C$1000,B1431)&gt;0,"Referred",IF(COUNTIF(Referral_Data!$B$5:$B$1000,B1431)&gt;0,"Referrer","Organic"))</f>
        <v>Referred</v>
      </c>
      <c r="G1431" s="29" t="n">
        <f aca="false">IF(COUNTIFS($B$5:B1431,B1431,$C$5:C1431,C1431)=1,1,0)</f>
        <v>0</v>
      </c>
      <c r="H1431" s="29" t="n">
        <f aca="false">IF(AND(G1431=1,COUNTIFS($B$5:$B$1635,B1431,$C$5:$C$1635,"&lt;"&amp;C1431)&gt;0),1,0)</f>
        <v>0</v>
      </c>
      <c r="I1431" s="29" t="n">
        <f aca="false">IF(AND(D1431="Feature Use",COUNTIFS($B$5:B1431,B1431,$D$5:D1431,"Feature Use",$E$5:E1431,E1431)=1),1,0)</f>
        <v>0</v>
      </c>
      <c r="J1431" s="29" t="n">
        <f aca="false">IF(AND(D1431="Feature Use",COUNTIFS($B$5:B1431,B1431,$D$5:D1431,"Feature Use",$E$5:E1431,E1431)=2),1,0)</f>
        <v>0</v>
      </c>
      <c r="K1431" s="29" t="n">
        <f aca="false">IF(COUNTIF($B$5:B1431,B1431)=1,1,0)</f>
        <v>0</v>
      </c>
      <c r="L1431" s="29" t="n">
        <f aca="false">IF(AND(C1431&gt;=Settings!$B$5-Settings!$B$8+1,C1431&lt;=Settings!$B$5,COUNTIFS($B$5:B1431,B1431,$C$5:C1431,"&gt;="&amp;(Settings!$B$5-Settings!$B$8+1),$C$5:C1431,"&lt;="&amp;Settings!$B$5)=1),1,0)</f>
        <v>0</v>
      </c>
      <c r="M1431" s="29" t="n">
        <f aca="false">IF(AND(C1431&gt;=Settings!$B$5-Settings!$B$9+1,C1431&lt;=Settings!$B$5,COUNTIFS($B$5:B1431,B1431,$C$5:C1431,"&gt;="&amp;(Settings!$B$5-Settings!$B$9+1),$C$5:C1431,"&lt;="&amp;Settings!$B$5)=1),1,0)</f>
        <v>0</v>
      </c>
      <c r="N1431" s="29" t="n">
        <f aca="false">IF(AND(D1431="Feature Use",COUNTIFS($B$5:B1431,B1431,$D$5:D1431,"Feature Use")=1),1,0)</f>
        <v>0</v>
      </c>
    </row>
    <row r="1432" customFormat="false" ht="15" hidden="false" customHeight="false" outlineLevel="0" collapsed="false">
      <c r="A1432" s="22" t="s">
        <v>1739</v>
      </c>
      <c r="B1432" s="22" t="s">
        <v>196</v>
      </c>
      <c r="C1432" s="31" t="n">
        <v>46306</v>
      </c>
      <c r="D1432" s="22" t="s">
        <v>297</v>
      </c>
      <c r="E1432" s="22" t="s">
        <v>298</v>
      </c>
      <c r="F1432" s="29" t="str">
        <f aca="false">IF(COUNTIF(Referral_Data!$C$5:$C$1000,B1432)&gt;0,"Referred",IF(COUNTIF(Referral_Data!$B$5:$B$1000,B1432)&gt;0,"Referrer","Organic"))</f>
        <v>Referrer</v>
      </c>
      <c r="G1432" s="29" t="n">
        <f aca="false">IF(COUNTIFS($B$5:B1432,B1432,$C$5:C1432,C1432)=1,1,0)</f>
        <v>1</v>
      </c>
      <c r="H1432" s="29" t="n">
        <f aca="false">IF(AND(G1432=1,COUNTIFS($B$5:$B$1635,B1432,$C$5:$C$1635,"&lt;"&amp;C1432)&gt;0),1,0)</f>
        <v>1</v>
      </c>
      <c r="I1432" s="29" t="n">
        <f aca="false">IF(AND(D1432="Feature Use",COUNTIFS($B$5:B1432,B1432,$D$5:D1432,"Feature Use",$E$5:E1432,E1432)=1),1,0)</f>
        <v>0</v>
      </c>
      <c r="J1432" s="29" t="n">
        <f aca="false">IF(AND(D1432="Feature Use",COUNTIFS($B$5:B1432,B1432,$D$5:D1432,"Feature Use",$E$5:E1432,E1432)=2),1,0)</f>
        <v>0</v>
      </c>
      <c r="K1432" s="29" t="n">
        <f aca="false">IF(COUNTIF($B$5:B1432,B1432)=1,1,0)</f>
        <v>0</v>
      </c>
      <c r="L1432" s="29" t="n">
        <f aca="false">IF(AND(C1432&gt;=Settings!$B$5-Settings!$B$8+1,C1432&lt;=Settings!$B$5,COUNTIFS($B$5:B1432,B1432,$C$5:C1432,"&gt;="&amp;(Settings!$B$5-Settings!$B$8+1),$C$5:C1432,"&lt;="&amp;Settings!$B$5)=1),1,0)</f>
        <v>0</v>
      </c>
      <c r="M1432" s="29" t="n">
        <f aca="false">IF(AND(C1432&gt;=Settings!$B$5-Settings!$B$9+1,C1432&lt;=Settings!$B$5,COUNTIFS($B$5:B1432,B1432,$C$5:C1432,"&gt;="&amp;(Settings!$B$5-Settings!$B$9+1),$C$5:C1432,"&lt;="&amp;Settings!$B$5)=1),1,0)</f>
        <v>0</v>
      </c>
      <c r="N1432" s="29" t="n">
        <f aca="false">IF(AND(D1432="Feature Use",COUNTIFS($B$5:B1432,B1432,$D$5:D1432,"Feature Use")=1),1,0)</f>
        <v>0</v>
      </c>
    </row>
    <row r="1433" customFormat="false" ht="15" hidden="false" customHeight="false" outlineLevel="0" collapsed="false">
      <c r="A1433" s="22" t="s">
        <v>1740</v>
      </c>
      <c r="B1433" s="22" t="s">
        <v>196</v>
      </c>
      <c r="C1433" s="31" t="n">
        <v>46306</v>
      </c>
      <c r="D1433" s="22" t="s">
        <v>300</v>
      </c>
      <c r="E1433" s="22" t="s">
        <v>305</v>
      </c>
      <c r="F1433" s="29" t="str">
        <f aca="false">IF(COUNTIF(Referral_Data!$C$5:$C$1000,B1433)&gt;0,"Referred",IF(COUNTIF(Referral_Data!$B$5:$B$1000,B1433)&gt;0,"Referrer","Organic"))</f>
        <v>Referrer</v>
      </c>
      <c r="G1433" s="29" t="n">
        <f aca="false">IF(COUNTIFS($B$5:B1433,B1433,$C$5:C1433,C1433)=1,1,0)</f>
        <v>0</v>
      </c>
      <c r="H1433" s="29" t="n">
        <f aca="false">IF(AND(G1433=1,COUNTIFS($B$5:$B$1635,B1433,$C$5:$C$1635,"&lt;"&amp;C1433)&gt;0),1,0)</f>
        <v>0</v>
      </c>
      <c r="I1433" s="29" t="n">
        <f aca="false">IF(AND(D1433="Feature Use",COUNTIFS($B$5:B1433,B1433,$D$5:D1433,"Feature Use",$E$5:E1433,E1433)=1),1,0)</f>
        <v>0</v>
      </c>
      <c r="J1433" s="29" t="n">
        <f aca="false">IF(AND(D1433="Feature Use",COUNTIFS($B$5:B1433,B1433,$D$5:D1433,"Feature Use",$E$5:E1433,E1433)=2),1,0)</f>
        <v>0</v>
      </c>
      <c r="K1433" s="29" t="n">
        <f aca="false">IF(COUNTIF($B$5:B1433,B1433)=1,1,0)</f>
        <v>0</v>
      </c>
      <c r="L1433" s="29" t="n">
        <f aca="false">IF(AND(C1433&gt;=Settings!$B$5-Settings!$B$8+1,C1433&lt;=Settings!$B$5,COUNTIFS($B$5:B1433,B1433,$C$5:C1433,"&gt;="&amp;(Settings!$B$5-Settings!$B$8+1),$C$5:C1433,"&lt;="&amp;Settings!$B$5)=1),1,0)</f>
        <v>0</v>
      </c>
      <c r="M1433" s="29" t="n">
        <f aca="false">IF(AND(C1433&gt;=Settings!$B$5-Settings!$B$9+1,C1433&lt;=Settings!$B$5,COUNTIFS($B$5:B1433,B1433,$C$5:C1433,"&gt;="&amp;(Settings!$B$5-Settings!$B$9+1),$C$5:C1433,"&lt;="&amp;Settings!$B$5)=1),1,0)</f>
        <v>0</v>
      </c>
      <c r="N1433" s="29" t="n">
        <f aca="false">IF(AND(D1433="Feature Use",COUNTIFS($B$5:B1433,B1433,$D$5:D1433,"Feature Use")=1),1,0)</f>
        <v>0</v>
      </c>
    </row>
    <row r="1434" customFormat="false" ht="15" hidden="false" customHeight="false" outlineLevel="0" collapsed="false">
      <c r="A1434" s="22" t="s">
        <v>1741</v>
      </c>
      <c r="B1434" s="22" t="s">
        <v>178</v>
      </c>
      <c r="C1434" s="31" t="n">
        <v>46306</v>
      </c>
      <c r="D1434" s="22" t="s">
        <v>297</v>
      </c>
      <c r="E1434" s="22" t="s">
        <v>298</v>
      </c>
      <c r="F1434" s="29" t="str">
        <f aca="false">IF(COUNTIF(Referral_Data!$C$5:$C$1000,B1434)&gt;0,"Referred",IF(COUNTIF(Referral_Data!$B$5:$B$1000,B1434)&gt;0,"Referrer","Organic"))</f>
        <v>Referrer</v>
      </c>
      <c r="G1434" s="29" t="n">
        <f aca="false">IF(COUNTIFS($B$5:B1434,B1434,$C$5:C1434,C1434)=1,1,0)</f>
        <v>1</v>
      </c>
      <c r="H1434" s="29" t="n">
        <f aca="false">IF(AND(G1434=1,COUNTIFS($B$5:$B$1635,B1434,$C$5:$C$1635,"&lt;"&amp;C1434)&gt;0),1,0)</f>
        <v>1</v>
      </c>
      <c r="I1434" s="29" t="n">
        <f aca="false">IF(AND(D1434="Feature Use",COUNTIFS($B$5:B1434,B1434,$D$5:D1434,"Feature Use",$E$5:E1434,E1434)=1),1,0)</f>
        <v>0</v>
      </c>
      <c r="J1434" s="29" t="n">
        <f aca="false">IF(AND(D1434="Feature Use",COUNTIFS($B$5:B1434,B1434,$D$5:D1434,"Feature Use",$E$5:E1434,E1434)=2),1,0)</f>
        <v>0</v>
      </c>
      <c r="K1434" s="29" t="n">
        <f aca="false">IF(COUNTIF($B$5:B1434,B1434)=1,1,0)</f>
        <v>0</v>
      </c>
      <c r="L1434" s="29" t="n">
        <f aca="false">IF(AND(C1434&gt;=Settings!$B$5-Settings!$B$8+1,C1434&lt;=Settings!$B$5,COUNTIFS($B$5:B1434,B1434,$C$5:C1434,"&gt;="&amp;(Settings!$B$5-Settings!$B$8+1),$C$5:C1434,"&lt;="&amp;Settings!$B$5)=1),1,0)</f>
        <v>0</v>
      </c>
      <c r="M1434" s="29" t="n">
        <f aca="false">IF(AND(C1434&gt;=Settings!$B$5-Settings!$B$9+1,C1434&lt;=Settings!$B$5,COUNTIFS($B$5:B1434,B1434,$C$5:C1434,"&gt;="&amp;(Settings!$B$5-Settings!$B$9+1),$C$5:C1434,"&lt;="&amp;Settings!$B$5)=1),1,0)</f>
        <v>0</v>
      </c>
      <c r="N1434" s="29" t="n">
        <f aca="false">IF(AND(D1434="Feature Use",COUNTIFS($B$5:B1434,B1434,$D$5:D1434,"Feature Use")=1),1,0)</f>
        <v>0</v>
      </c>
    </row>
    <row r="1435" customFormat="false" ht="15" hidden="false" customHeight="false" outlineLevel="0" collapsed="false">
      <c r="A1435" s="22" t="s">
        <v>1742</v>
      </c>
      <c r="B1435" s="22" t="s">
        <v>178</v>
      </c>
      <c r="C1435" s="31" t="n">
        <v>46306</v>
      </c>
      <c r="D1435" s="22" t="s">
        <v>300</v>
      </c>
      <c r="E1435" s="22" t="s">
        <v>319</v>
      </c>
      <c r="F1435" s="29" t="str">
        <f aca="false">IF(COUNTIF(Referral_Data!$C$5:$C$1000,B1435)&gt;0,"Referred",IF(COUNTIF(Referral_Data!$B$5:$B$1000,B1435)&gt;0,"Referrer","Organic"))</f>
        <v>Referrer</v>
      </c>
      <c r="G1435" s="29" t="n">
        <f aca="false">IF(COUNTIFS($B$5:B1435,B1435,$C$5:C1435,C1435)=1,1,0)</f>
        <v>0</v>
      </c>
      <c r="H1435" s="29" t="n">
        <f aca="false">IF(AND(G1435=1,COUNTIFS($B$5:$B$1635,B1435,$C$5:$C$1635,"&lt;"&amp;C1435)&gt;0),1,0)</f>
        <v>0</v>
      </c>
      <c r="I1435" s="29" t="n">
        <f aca="false">IF(AND(D1435="Feature Use",COUNTIFS($B$5:B1435,B1435,$D$5:D1435,"Feature Use",$E$5:E1435,E1435)=1),1,0)</f>
        <v>0</v>
      </c>
      <c r="J1435" s="29" t="n">
        <f aca="false">IF(AND(D1435="Feature Use",COUNTIFS($B$5:B1435,B1435,$D$5:D1435,"Feature Use",$E$5:E1435,E1435)=2),1,0)</f>
        <v>0</v>
      </c>
      <c r="K1435" s="29" t="n">
        <f aca="false">IF(COUNTIF($B$5:B1435,B1435)=1,1,0)</f>
        <v>0</v>
      </c>
      <c r="L1435" s="29" t="n">
        <f aca="false">IF(AND(C1435&gt;=Settings!$B$5-Settings!$B$8+1,C1435&lt;=Settings!$B$5,COUNTIFS($B$5:B1435,B1435,$C$5:C1435,"&gt;="&amp;(Settings!$B$5-Settings!$B$8+1),$C$5:C1435,"&lt;="&amp;Settings!$B$5)=1),1,0)</f>
        <v>0</v>
      </c>
      <c r="M1435" s="29" t="n">
        <f aca="false">IF(AND(C1435&gt;=Settings!$B$5-Settings!$B$9+1,C1435&lt;=Settings!$B$5,COUNTIFS($B$5:B1435,B1435,$C$5:C1435,"&gt;="&amp;(Settings!$B$5-Settings!$B$9+1),$C$5:C1435,"&lt;="&amp;Settings!$B$5)=1),1,0)</f>
        <v>0</v>
      </c>
      <c r="N1435" s="29" t="n">
        <f aca="false">IF(AND(D1435="Feature Use",COUNTIFS($B$5:B1435,B1435,$D$5:D1435,"Feature Use")=1),1,0)</f>
        <v>0</v>
      </c>
    </row>
    <row r="1436" customFormat="false" ht="15" hidden="false" customHeight="false" outlineLevel="0" collapsed="false">
      <c r="A1436" s="22" t="s">
        <v>1743</v>
      </c>
      <c r="B1436" s="22" t="s">
        <v>200</v>
      </c>
      <c r="C1436" s="31" t="n">
        <v>46306</v>
      </c>
      <c r="D1436" s="22" t="s">
        <v>297</v>
      </c>
      <c r="E1436" s="22" t="s">
        <v>298</v>
      </c>
      <c r="F1436" s="29" t="str">
        <f aca="false">IF(COUNTIF(Referral_Data!$C$5:$C$1000,B1436)&gt;0,"Referred",IF(COUNTIF(Referral_Data!$B$5:$B$1000,B1436)&gt;0,"Referrer","Organic"))</f>
        <v>Referrer</v>
      </c>
      <c r="G1436" s="29" t="n">
        <f aca="false">IF(COUNTIFS($B$5:B1436,B1436,$C$5:C1436,C1436)=1,1,0)</f>
        <v>1</v>
      </c>
      <c r="H1436" s="29" t="n">
        <f aca="false">IF(AND(G1436=1,COUNTIFS($B$5:$B$1635,B1436,$C$5:$C$1635,"&lt;"&amp;C1436)&gt;0),1,0)</f>
        <v>1</v>
      </c>
      <c r="I1436" s="29" t="n">
        <f aca="false">IF(AND(D1436="Feature Use",COUNTIFS($B$5:B1436,B1436,$D$5:D1436,"Feature Use",$E$5:E1436,E1436)=1),1,0)</f>
        <v>0</v>
      </c>
      <c r="J1436" s="29" t="n">
        <f aca="false">IF(AND(D1436="Feature Use",COUNTIFS($B$5:B1436,B1436,$D$5:D1436,"Feature Use",$E$5:E1436,E1436)=2),1,0)</f>
        <v>0</v>
      </c>
      <c r="K1436" s="29" t="n">
        <f aca="false">IF(COUNTIF($B$5:B1436,B1436)=1,1,0)</f>
        <v>0</v>
      </c>
      <c r="L1436" s="29" t="n">
        <f aca="false">IF(AND(C1436&gt;=Settings!$B$5-Settings!$B$8+1,C1436&lt;=Settings!$B$5,COUNTIFS($B$5:B1436,B1436,$C$5:C1436,"&gt;="&amp;(Settings!$B$5-Settings!$B$8+1),$C$5:C1436,"&lt;="&amp;Settings!$B$5)=1),1,0)</f>
        <v>1</v>
      </c>
      <c r="M1436" s="29" t="n">
        <f aca="false">IF(AND(C1436&gt;=Settings!$B$5-Settings!$B$9+1,C1436&lt;=Settings!$B$5,COUNTIFS($B$5:B1436,B1436,$C$5:C1436,"&gt;="&amp;(Settings!$B$5-Settings!$B$9+1),$C$5:C1436,"&lt;="&amp;Settings!$B$5)=1),1,0)</f>
        <v>0</v>
      </c>
      <c r="N1436" s="29" t="n">
        <f aca="false">IF(AND(D1436="Feature Use",COUNTIFS($B$5:B1436,B1436,$D$5:D1436,"Feature Use")=1),1,0)</f>
        <v>0</v>
      </c>
    </row>
    <row r="1437" customFormat="false" ht="15" hidden="false" customHeight="false" outlineLevel="0" collapsed="false">
      <c r="A1437" s="22" t="s">
        <v>1744</v>
      </c>
      <c r="B1437" s="22" t="s">
        <v>200</v>
      </c>
      <c r="C1437" s="31" t="n">
        <v>46306</v>
      </c>
      <c r="D1437" s="22" t="s">
        <v>300</v>
      </c>
      <c r="E1437" s="22" t="s">
        <v>305</v>
      </c>
      <c r="F1437" s="29" t="str">
        <f aca="false">IF(COUNTIF(Referral_Data!$C$5:$C$1000,B1437)&gt;0,"Referred",IF(COUNTIF(Referral_Data!$B$5:$B$1000,B1437)&gt;0,"Referrer","Organic"))</f>
        <v>Referrer</v>
      </c>
      <c r="G1437" s="29" t="n">
        <f aca="false">IF(COUNTIFS($B$5:B1437,B1437,$C$5:C1437,C1437)=1,1,0)</f>
        <v>0</v>
      </c>
      <c r="H1437" s="29" t="n">
        <f aca="false">IF(AND(G1437=1,COUNTIFS($B$5:$B$1635,B1437,$C$5:$C$1635,"&lt;"&amp;C1437)&gt;0),1,0)</f>
        <v>0</v>
      </c>
      <c r="I1437" s="29" t="n">
        <f aca="false">IF(AND(D1437="Feature Use",COUNTIFS($B$5:B1437,B1437,$D$5:D1437,"Feature Use",$E$5:E1437,E1437)=1),1,0)</f>
        <v>0</v>
      </c>
      <c r="J1437" s="29" t="n">
        <f aca="false">IF(AND(D1437="Feature Use",COUNTIFS($B$5:B1437,B1437,$D$5:D1437,"Feature Use",$E$5:E1437,E1437)=2),1,0)</f>
        <v>0</v>
      </c>
      <c r="K1437" s="29" t="n">
        <f aca="false">IF(COUNTIF($B$5:B1437,B1437)=1,1,0)</f>
        <v>0</v>
      </c>
      <c r="L1437" s="29" t="n">
        <f aca="false">IF(AND(C1437&gt;=Settings!$B$5-Settings!$B$8+1,C1437&lt;=Settings!$B$5,COUNTIFS($B$5:B1437,B1437,$C$5:C1437,"&gt;="&amp;(Settings!$B$5-Settings!$B$8+1),$C$5:C1437,"&lt;="&amp;Settings!$B$5)=1),1,0)</f>
        <v>0</v>
      </c>
      <c r="M1437" s="29" t="n">
        <f aca="false">IF(AND(C1437&gt;=Settings!$B$5-Settings!$B$9+1,C1437&lt;=Settings!$B$5,COUNTIFS($B$5:B1437,B1437,$C$5:C1437,"&gt;="&amp;(Settings!$B$5-Settings!$B$9+1),$C$5:C1437,"&lt;="&amp;Settings!$B$5)=1),1,0)</f>
        <v>0</v>
      </c>
      <c r="N1437" s="29" t="n">
        <f aca="false">IF(AND(D1437="Feature Use",COUNTIFS($B$5:B1437,B1437,$D$5:D1437,"Feature Use")=1),1,0)</f>
        <v>0</v>
      </c>
    </row>
    <row r="1438" customFormat="false" ht="15" hidden="false" customHeight="false" outlineLevel="0" collapsed="false">
      <c r="A1438" s="22" t="s">
        <v>1745</v>
      </c>
      <c r="B1438" s="22" t="s">
        <v>215</v>
      </c>
      <c r="C1438" s="31" t="n">
        <v>46306</v>
      </c>
      <c r="D1438" s="22" t="s">
        <v>297</v>
      </c>
      <c r="E1438" s="22" t="s">
        <v>298</v>
      </c>
      <c r="F1438" s="29" t="str">
        <f aca="false">IF(COUNTIF(Referral_Data!$C$5:$C$1000,B1438)&gt;0,"Referred",IF(COUNTIF(Referral_Data!$B$5:$B$1000,B1438)&gt;0,"Referrer","Organic"))</f>
        <v>Referrer</v>
      </c>
      <c r="G1438" s="29" t="n">
        <f aca="false">IF(COUNTIFS($B$5:B1438,B1438,$C$5:C1438,C1438)=1,1,0)</f>
        <v>1</v>
      </c>
      <c r="H1438" s="29" t="n">
        <f aca="false">IF(AND(G1438=1,COUNTIFS($B$5:$B$1635,B1438,$C$5:$C$1635,"&lt;"&amp;C1438)&gt;0),1,0)</f>
        <v>1</v>
      </c>
      <c r="I1438" s="29" t="n">
        <f aca="false">IF(AND(D1438="Feature Use",COUNTIFS($B$5:B1438,B1438,$D$5:D1438,"Feature Use",$E$5:E1438,E1438)=1),1,0)</f>
        <v>0</v>
      </c>
      <c r="J1438" s="29" t="n">
        <f aca="false">IF(AND(D1438="Feature Use",COUNTIFS($B$5:B1438,B1438,$D$5:D1438,"Feature Use",$E$5:E1438,E1438)=2),1,0)</f>
        <v>0</v>
      </c>
      <c r="K1438" s="29" t="n">
        <f aca="false">IF(COUNTIF($B$5:B1438,B1438)=1,1,0)</f>
        <v>0</v>
      </c>
      <c r="L1438" s="29" t="n">
        <f aca="false">IF(AND(C1438&gt;=Settings!$B$5-Settings!$B$8+1,C1438&lt;=Settings!$B$5,COUNTIFS($B$5:B1438,B1438,$C$5:C1438,"&gt;="&amp;(Settings!$B$5-Settings!$B$8+1),$C$5:C1438,"&lt;="&amp;Settings!$B$5)=1),1,0)</f>
        <v>1</v>
      </c>
      <c r="M1438" s="29" t="n">
        <f aca="false">IF(AND(C1438&gt;=Settings!$B$5-Settings!$B$9+1,C1438&lt;=Settings!$B$5,COUNTIFS($B$5:B1438,B1438,$C$5:C1438,"&gt;="&amp;(Settings!$B$5-Settings!$B$9+1),$C$5:C1438,"&lt;="&amp;Settings!$B$5)=1),1,0)</f>
        <v>0</v>
      </c>
      <c r="N1438" s="29" t="n">
        <f aca="false">IF(AND(D1438="Feature Use",COUNTIFS($B$5:B1438,B1438,$D$5:D1438,"Feature Use")=1),1,0)</f>
        <v>0</v>
      </c>
    </row>
    <row r="1439" customFormat="false" ht="15" hidden="false" customHeight="false" outlineLevel="0" collapsed="false">
      <c r="A1439" s="22" t="s">
        <v>1746</v>
      </c>
      <c r="B1439" s="22" t="s">
        <v>215</v>
      </c>
      <c r="C1439" s="31" t="n">
        <v>46306</v>
      </c>
      <c r="D1439" s="22" t="s">
        <v>300</v>
      </c>
      <c r="E1439" s="22" t="s">
        <v>305</v>
      </c>
      <c r="F1439" s="29" t="str">
        <f aca="false">IF(COUNTIF(Referral_Data!$C$5:$C$1000,B1439)&gt;0,"Referred",IF(COUNTIF(Referral_Data!$B$5:$B$1000,B1439)&gt;0,"Referrer","Organic"))</f>
        <v>Referrer</v>
      </c>
      <c r="G1439" s="29" t="n">
        <f aca="false">IF(COUNTIFS($B$5:B1439,B1439,$C$5:C1439,C1439)=1,1,0)</f>
        <v>0</v>
      </c>
      <c r="H1439" s="29" t="n">
        <f aca="false">IF(AND(G1439=1,COUNTIFS($B$5:$B$1635,B1439,$C$5:$C$1635,"&lt;"&amp;C1439)&gt;0),1,0)</f>
        <v>0</v>
      </c>
      <c r="I1439" s="29" t="n">
        <f aca="false">IF(AND(D1439="Feature Use",COUNTIFS($B$5:B1439,B1439,$D$5:D1439,"Feature Use",$E$5:E1439,E1439)=1),1,0)</f>
        <v>0</v>
      </c>
      <c r="J1439" s="29" t="n">
        <f aca="false">IF(AND(D1439="Feature Use",COUNTIFS($B$5:B1439,B1439,$D$5:D1439,"Feature Use",$E$5:E1439,E1439)=2),1,0)</f>
        <v>0</v>
      </c>
      <c r="K1439" s="29" t="n">
        <f aca="false">IF(COUNTIF($B$5:B1439,B1439)=1,1,0)</f>
        <v>0</v>
      </c>
      <c r="L1439" s="29" t="n">
        <f aca="false">IF(AND(C1439&gt;=Settings!$B$5-Settings!$B$8+1,C1439&lt;=Settings!$B$5,COUNTIFS($B$5:B1439,B1439,$C$5:C1439,"&gt;="&amp;(Settings!$B$5-Settings!$B$8+1),$C$5:C1439,"&lt;="&amp;Settings!$B$5)=1),1,0)</f>
        <v>0</v>
      </c>
      <c r="M1439" s="29" t="n">
        <f aca="false">IF(AND(C1439&gt;=Settings!$B$5-Settings!$B$9+1,C1439&lt;=Settings!$B$5,COUNTIFS($B$5:B1439,B1439,$C$5:C1439,"&gt;="&amp;(Settings!$B$5-Settings!$B$9+1),$C$5:C1439,"&lt;="&amp;Settings!$B$5)=1),1,0)</f>
        <v>0</v>
      </c>
      <c r="N1439" s="29" t="n">
        <f aca="false">IF(AND(D1439="Feature Use",COUNTIFS($B$5:B1439,B1439,$D$5:D1439,"Feature Use")=1),1,0)</f>
        <v>0</v>
      </c>
    </row>
    <row r="1440" customFormat="false" ht="15" hidden="false" customHeight="false" outlineLevel="0" collapsed="false">
      <c r="A1440" s="22" t="s">
        <v>1747</v>
      </c>
      <c r="B1440" s="22" t="s">
        <v>183</v>
      </c>
      <c r="C1440" s="31" t="n">
        <v>46306</v>
      </c>
      <c r="D1440" s="22" t="s">
        <v>297</v>
      </c>
      <c r="E1440" s="22" t="s">
        <v>298</v>
      </c>
      <c r="F1440" s="29" t="str">
        <f aca="false">IF(COUNTIF(Referral_Data!$C$5:$C$1000,B1440)&gt;0,"Referred",IF(COUNTIF(Referral_Data!$B$5:$B$1000,B1440)&gt;0,"Referrer","Organic"))</f>
        <v>Referrer</v>
      </c>
      <c r="G1440" s="29" t="n">
        <f aca="false">IF(COUNTIFS($B$5:B1440,B1440,$C$5:C1440,C1440)=1,1,0)</f>
        <v>1</v>
      </c>
      <c r="H1440" s="29" t="n">
        <f aca="false">IF(AND(G1440=1,COUNTIFS($B$5:$B$1635,B1440,$C$5:$C$1635,"&lt;"&amp;C1440)&gt;0),1,0)</f>
        <v>1</v>
      </c>
      <c r="I1440" s="29" t="n">
        <f aca="false">IF(AND(D1440="Feature Use",COUNTIFS($B$5:B1440,B1440,$D$5:D1440,"Feature Use",$E$5:E1440,E1440)=1),1,0)</f>
        <v>0</v>
      </c>
      <c r="J1440" s="29" t="n">
        <f aca="false">IF(AND(D1440="Feature Use",COUNTIFS($B$5:B1440,B1440,$D$5:D1440,"Feature Use",$E$5:E1440,E1440)=2),1,0)</f>
        <v>0</v>
      </c>
      <c r="K1440" s="29" t="n">
        <f aca="false">IF(COUNTIF($B$5:B1440,B1440)=1,1,0)</f>
        <v>0</v>
      </c>
      <c r="L1440" s="29" t="n">
        <f aca="false">IF(AND(C1440&gt;=Settings!$B$5-Settings!$B$8+1,C1440&lt;=Settings!$B$5,COUNTIFS($B$5:B1440,B1440,$C$5:C1440,"&gt;="&amp;(Settings!$B$5-Settings!$B$8+1),$C$5:C1440,"&lt;="&amp;Settings!$B$5)=1),1,0)</f>
        <v>0</v>
      </c>
      <c r="M1440" s="29" t="n">
        <f aca="false">IF(AND(C1440&gt;=Settings!$B$5-Settings!$B$9+1,C1440&lt;=Settings!$B$5,COUNTIFS($B$5:B1440,B1440,$C$5:C1440,"&gt;="&amp;(Settings!$B$5-Settings!$B$9+1),$C$5:C1440,"&lt;="&amp;Settings!$B$5)=1),1,0)</f>
        <v>0</v>
      </c>
      <c r="N1440" s="29" t="n">
        <f aca="false">IF(AND(D1440="Feature Use",COUNTIFS($B$5:B1440,B1440,$D$5:D1440,"Feature Use")=1),1,0)</f>
        <v>0</v>
      </c>
    </row>
    <row r="1441" customFormat="false" ht="15" hidden="false" customHeight="false" outlineLevel="0" collapsed="false">
      <c r="A1441" s="22" t="s">
        <v>1748</v>
      </c>
      <c r="B1441" s="22" t="s">
        <v>183</v>
      </c>
      <c r="C1441" s="31" t="n">
        <v>46306</v>
      </c>
      <c r="D1441" s="22" t="s">
        <v>300</v>
      </c>
      <c r="E1441" s="22" t="s">
        <v>311</v>
      </c>
      <c r="F1441" s="29" t="str">
        <f aca="false">IF(COUNTIF(Referral_Data!$C$5:$C$1000,B1441)&gt;0,"Referred",IF(COUNTIF(Referral_Data!$B$5:$B$1000,B1441)&gt;0,"Referrer","Organic"))</f>
        <v>Referrer</v>
      </c>
      <c r="G1441" s="29" t="n">
        <f aca="false">IF(COUNTIFS($B$5:B1441,B1441,$C$5:C1441,C1441)=1,1,0)</f>
        <v>0</v>
      </c>
      <c r="H1441" s="29" t="n">
        <f aca="false">IF(AND(G1441=1,COUNTIFS($B$5:$B$1635,B1441,$C$5:$C$1635,"&lt;"&amp;C1441)&gt;0),1,0)</f>
        <v>0</v>
      </c>
      <c r="I1441" s="29" t="n">
        <f aca="false">IF(AND(D1441="Feature Use",COUNTIFS($B$5:B1441,B1441,$D$5:D1441,"Feature Use",$E$5:E1441,E1441)=1),1,0)</f>
        <v>1</v>
      </c>
      <c r="J1441" s="29" t="n">
        <f aca="false">IF(AND(D1441="Feature Use",COUNTIFS($B$5:B1441,B1441,$D$5:D1441,"Feature Use",$E$5:E1441,E1441)=2),1,0)</f>
        <v>0</v>
      </c>
      <c r="K1441" s="29" t="n">
        <f aca="false">IF(COUNTIF($B$5:B1441,B1441)=1,1,0)</f>
        <v>0</v>
      </c>
      <c r="L1441" s="29" t="n">
        <f aca="false">IF(AND(C1441&gt;=Settings!$B$5-Settings!$B$8+1,C1441&lt;=Settings!$B$5,COUNTIFS($B$5:B1441,B1441,$C$5:C1441,"&gt;="&amp;(Settings!$B$5-Settings!$B$8+1),$C$5:C1441,"&lt;="&amp;Settings!$B$5)=1),1,0)</f>
        <v>0</v>
      </c>
      <c r="M1441" s="29" t="n">
        <f aca="false">IF(AND(C1441&gt;=Settings!$B$5-Settings!$B$9+1,C1441&lt;=Settings!$B$5,COUNTIFS($B$5:B1441,B1441,$C$5:C1441,"&gt;="&amp;(Settings!$B$5-Settings!$B$9+1),$C$5:C1441,"&lt;="&amp;Settings!$B$5)=1),1,0)</f>
        <v>0</v>
      </c>
      <c r="N1441" s="29" t="n">
        <f aca="false">IF(AND(D1441="Feature Use",COUNTIFS($B$5:B1441,B1441,$D$5:D1441,"Feature Use")=1),1,0)</f>
        <v>0</v>
      </c>
    </row>
    <row r="1442" customFormat="false" ht="15" hidden="false" customHeight="false" outlineLevel="0" collapsed="false">
      <c r="A1442" s="22" t="s">
        <v>1749</v>
      </c>
      <c r="B1442" s="22" t="s">
        <v>313</v>
      </c>
      <c r="C1442" s="31" t="n">
        <v>46307</v>
      </c>
      <c r="D1442" s="22" t="s">
        <v>297</v>
      </c>
      <c r="E1442" s="22" t="s">
        <v>298</v>
      </c>
      <c r="F1442" s="29" t="str">
        <f aca="false">IF(COUNTIF(Referral_Data!$C$5:$C$1000,B1442)&gt;0,"Referred",IF(COUNTIF(Referral_Data!$B$5:$B$1000,B1442)&gt;0,"Referrer","Organic"))</f>
        <v>Organic</v>
      </c>
      <c r="G1442" s="29" t="n">
        <f aca="false">IF(COUNTIFS($B$5:B1442,B1442,$C$5:C1442,C1442)=1,1,0)</f>
        <v>1</v>
      </c>
      <c r="H1442" s="29" t="n">
        <f aca="false">IF(AND(G1442=1,COUNTIFS($B$5:$B$1635,B1442,$C$5:$C$1635,"&lt;"&amp;C1442)&gt;0),1,0)</f>
        <v>1</v>
      </c>
      <c r="I1442" s="29" t="n">
        <f aca="false">IF(AND(D1442="Feature Use",COUNTIFS($B$5:B1442,B1442,$D$5:D1442,"Feature Use",$E$5:E1442,E1442)=1),1,0)</f>
        <v>0</v>
      </c>
      <c r="J1442" s="29" t="n">
        <f aca="false">IF(AND(D1442="Feature Use",COUNTIFS($B$5:B1442,B1442,$D$5:D1442,"Feature Use",$E$5:E1442,E1442)=2),1,0)</f>
        <v>0</v>
      </c>
      <c r="K1442" s="29" t="n">
        <f aca="false">IF(COUNTIF($B$5:B1442,B1442)=1,1,0)</f>
        <v>0</v>
      </c>
      <c r="L1442" s="29" t="n">
        <f aca="false">IF(AND(C1442&gt;=Settings!$B$5-Settings!$B$8+1,C1442&lt;=Settings!$B$5,COUNTIFS($B$5:B1442,B1442,$C$5:C1442,"&gt;="&amp;(Settings!$B$5-Settings!$B$8+1),$C$5:C1442,"&lt;="&amp;Settings!$B$5)=1),1,0)</f>
        <v>0</v>
      </c>
      <c r="M1442" s="29" t="n">
        <f aca="false">IF(AND(C1442&gt;=Settings!$B$5-Settings!$B$9+1,C1442&lt;=Settings!$B$5,COUNTIFS($B$5:B1442,B1442,$C$5:C1442,"&gt;="&amp;(Settings!$B$5-Settings!$B$9+1),$C$5:C1442,"&lt;="&amp;Settings!$B$5)=1),1,0)</f>
        <v>0</v>
      </c>
      <c r="N1442" s="29" t="n">
        <f aca="false">IF(AND(D1442="Feature Use",COUNTIFS($B$5:B1442,B1442,$D$5:D1442,"Feature Use")=1),1,0)</f>
        <v>0</v>
      </c>
    </row>
    <row r="1443" customFormat="false" ht="15" hidden="false" customHeight="false" outlineLevel="0" collapsed="false">
      <c r="A1443" s="22" t="s">
        <v>1750</v>
      </c>
      <c r="B1443" s="22" t="s">
        <v>313</v>
      </c>
      <c r="C1443" s="31" t="n">
        <v>46307</v>
      </c>
      <c r="D1443" s="22" t="s">
        <v>300</v>
      </c>
      <c r="E1443" s="22" t="s">
        <v>319</v>
      </c>
      <c r="F1443" s="29" t="str">
        <f aca="false">IF(COUNTIF(Referral_Data!$C$5:$C$1000,B1443)&gt;0,"Referred",IF(COUNTIF(Referral_Data!$B$5:$B$1000,B1443)&gt;0,"Referrer","Organic"))</f>
        <v>Organic</v>
      </c>
      <c r="G1443" s="29" t="n">
        <f aca="false">IF(COUNTIFS($B$5:B1443,B1443,$C$5:C1443,C1443)=1,1,0)</f>
        <v>0</v>
      </c>
      <c r="H1443" s="29" t="n">
        <f aca="false">IF(AND(G1443=1,COUNTIFS($B$5:$B$1635,B1443,$C$5:$C$1635,"&lt;"&amp;C1443)&gt;0),1,0)</f>
        <v>0</v>
      </c>
      <c r="I1443" s="29" t="n">
        <f aca="false">IF(AND(D1443="Feature Use",COUNTIFS($B$5:B1443,B1443,$D$5:D1443,"Feature Use",$E$5:E1443,E1443)=1),1,0)</f>
        <v>0</v>
      </c>
      <c r="J1443" s="29" t="n">
        <f aca="false">IF(AND(D1443="Feature Use",COUNTIFS($B$5:B1443,B1443,$D$5:D1443,"Feature Use",$E$5:E1443,E1443)=2),1,0)</f>
        <v>0</v>
      </c>
      <c r="K1443" s="29" t="n">
        <f aca="false">IF(COUNTIF($B$5:B1443,B1443)=1,1,0)</f>
        <v>0</v>
      </c>
      <c r="L1443" s="29" t="n">
        <f aca="false">IF(AND(C1443&gt;=Settings!$B$5-Settings!$B$8+1,C1443&lt;=Settings!$B$5,COUNTIFS($B$5:B1443,B1443,$C$5:C1443,"&gt;="&amp;(Settings!$B$5-Settings!$B$8+1),$C$5:C1443,"&lt;="&amp;Settings!$B$5)=1),1,0)</f>
        <v>0</v>
      </c>
      <c r="M1443" s="29" t="n">
        <f aca="false">IF(AND(C1443&gt;=Settings!$B$5-Settings!$B$9+1,C1443&lt;=Settings!$B$5,COUNTIFS($B$5:B1443,B1443,$C$5:C1443,"&gt;="&amp;(Settings!$B$5-Settings!$B$9+1),$C$5:C1443,"&lt;="&amp;Settings!$B$5)=1),1,0)</f>
        <v>0</v>
      </c>
      <c r="N1443" s="29" t="n">
        <f aca="false">IF(AND(D1443="Feature Use",COUNTIFS($B$5:B1443,B1443,$D$5:D1443,"Feature Use")=1),1,0)</f>
        <v>0</v>
      </c>
    </row>
    <row r="1444" customFormat="false" ht="15" hidden="false" customHeight="false" outlineLevel="0" collapsed="false">
      <c r="A1444" s="22" t="s">
        <v>1751</v>
      </c>
      <c r="B1444" s="22" t="s">
        <v>313</v>
      </c>
      <c r="C1444" s="31" t="n">
        <v>46307</v>
      </c>
      <c r="D1444" s="22" t="s">
        <v>300</v>
      </c>
      <c r="E1444" s="22" t="s">
        <v>311</v>
      </c>
      <c r="F1444" s="29" t="str">
        <f aca="false">IF(COUNTIF(Referral_Data!$C$5:$C$1000,B1444)&gt;0,"Referred",IF(COUNTIF(Referral_Data!$B$5:$B$1000,B1444)&gt;0,"Referrer","Organic"))</f>
        <v>Organic</v>
      </c>
      <c r="G1444" s="29" t="n">
        <f aca="false">IF(COUNTIFS($B$5:B1444,B1444,$C$5:C1444,C1444)=1,1,0)</f>
        <v>0</v>
      </c>
      <c r="H1444" s="29" t="n">
        <f aca="false">IF(AND(G1444=1,COUNTIFS($B$5:$B$1635,B1444,$C$5:$C$1635,"&lt;"&amp;C1444)&gt;0),1,0)</f>
        <v>0</v>
      </c>
      <c r="I1444" s="29" t="n">
        <f aca="false">IF(AND(D1444="Feature Use",COUNTIFS($B$5:B1444,B1444,$D$5:D1444,"Feature Use",$E$5:E1444,E1444)=1),1,0)</f>
        <v>0</v>
      </c>
      <c r="J1444" s="29" t="n">
        <f aca="false">IF(AND(D1444="Feature Use",COUNTIFS($B$5:B1444,B1444,$D$5:D1444,"Feature Use",$E$5:E1444,E1444)=2),1,0)</f>
        <v>0</v>
      </c>
      <c r="K1444" s="29" t="n">
        <f aca="false">IF(COUNTIF($B$5:B1444,B1444)=1,1,0)</f>
        <v>0</v>
      </c>
      <c r="L1444" s="29" t="n">
        <f aca="false">IF(AND(C1444&gt;=Settings!$B$5-Settings!$B$8+1,C1444&lt;=Settings!$B$5,COUNTIFS($B$5:B1444,B1444,$C$5:C1444,"&gt;="&amp;(Settings!$B$5-Settings!$B$8+1),$C$5:C1444,"&lt;="&amp;Settings!$B$5)=1),1,0)</f>
        <v>0</v>
      </c>
      <c r="M1444" s="29" t="n">
        <f aca="false">IF(AND(C1444&gt;=Settings!$B$5-Settings!$B$9+1,C1444&lt;=Settings!$B$5,COUNTIFS($B$5:B1444,B1444,$C$5:C1444,"&gt;="&amp;(Settings!$B$5-Settings!$B$9+1),$C$5:C1444,"&lt;="&amp;Settings!$B$5)=1),1,0)</f>
        <v>0</v>
      </c>
      <c r="N1444" s="29" t="n">
        <f aca="false">IF(AND(D1444="Feature Use",COUNTIFS($B$5:B1444,B1444,$D$5:D1444,"Feature Use")=1),1,0)</f>
        <v>0</v>
      </c>
    </row>
    <row r="1445" customFormat="false" ht="15" hidden="false" customHeight="false" outlineLevel="0" collapsed="false">
      <c r="A1445" s="22" t="s">
        <v>1752</v>
      </c>
      <c r="B1445" s="22" t="s">
        <v>181</v>
      </c>
      <c r="C1445" s="31" t="n">
        <v>46307</v>
      </c>
      <c r="D1445" s="22" t="s">
        <v>297</v>
      </c>
      <c r="E1445" s="22" t="s">
        <v>298</v>
      </c>
      <c r="F1445" s="29" t="str">
        <f aca="false">IF(COUNTIF(Referral_Data!$C$5:$C$1000,B1445)&gt;0,"Referred",IF(COUNTIF(Referral_Data!$B$5:$B$1000,B1445)&gt;0,"Referrer","Organic"))</f>
        <v>Referred</v>
      </c>
      <c r="G1445" s="29" t="n">
        <f aca="false">IF(COUNTIFS($B$5:B1445,B1445,$C$5:C1445,C1445)=1,1,0)</f>
        <v>1</v>
      </c>
      <c r="H1445" s="29" t="n">
        <f aca="false">IF(AND(G1445=1,COUNTIFS($B$5:$B$1635,B1445,$C$5:$C$1635,"&lt;"&amp;C1445)&gt;0),1,0)</f>
        <v>1</v>
      </c>
      <c r="I1445" s="29" t="n">
        <f aca="false">IF(AND(D1445="Feature Use",COUNTIFS($B$5:B1445,B1445,$D$5:D1445,"Feature Use",$E$5:E1445,E1445)=1),1,0)</f>
        <v>0</v>
      </c>
      <c r="J1445" s="29" t="n">
        <f aca="false">IF(AND(D1445="Feature Use",COUNTIFS($B$5:B1445,B1445,$D$5:D1445,"Feature Use",$E$5:E1445,E1445)=2),1,0)</f>
        <v>0</v>
      </c>
      <c r="K1445" s="29" t="n">
        <f aca="false">IF(COUNTIF($B$5:B1445,B1445)=1,1,0)</f>
        <v>0</v>
      </c>
      <c r="L1445" s="29" t="n">
        <f aca="false">IF(AND(C1445&gt;=Settings!$B$5-Settings!$B$8+1,C1445&lt;=Settings!$B$5,COUNTIFS($B$5:B1445,B1445,$C$5:C1445,"&gt;="&amp;(Settings!$B$5-Settings!$B$8+1),$C$5:C1445,"&lt;="&amp;Settings!$B$5)=1),1,0)</f>
        <v>0</v>
      </c>
      <c r="M1445" s="29" t="n">
        <f aca="false">IF(AND(C1445&gt;=Settings!$B$5-Settings!$B$9+1,C1445&lt;=Settings!$B$5,COUNTIFS($B$5:B1445,B1445,$C$5:C1445,"&gt;="&amp;(Settings!$B$5-Settings!$B$9+1),$C$5:C1445,"&lt;="&amp;Settings!$B$5)=1),1,0)</f>
        <v>0</v>
      </c>
      <c r="N1445" s="29" t="n">
        <f aca="false">IF(AND(D1445="Feature Use",COUNTIFS($B$5:B1445,B1445,$D$5:D1445,"Feature Use")=1),1,0)</f>
        <v>0</v>
      </c>
    </row>
    <row r="1446" customFormat="false" ht="15" hidden="false" customHeight="false" outlineLevel="0" collapsed="false">
      <c r="A1446" s="22" t="s">
        <v>1753</v>
      </c>
      <c r="B1446" s="22" t="s">
        <v>181</v>
      </c>
      <c r="C1446" s="31" t="n">
        <v>46307</v>
      </c>
      <c r="D1446" s="22" t="s">
        <v>300</v>
      </c>
      <c r="E1446" s="22" t="s">
        <v>319</v>
      </c>
      <c r="F1446" s="29" t="str">
        <f aca="false">IF(COUNTIF(Referral_Data!$C$5:$C$1000,B1446)&gt;0,"Referred",IF(COUNTIF(Referral_Data!$B$5:$B$1000,B1446)&gt;0,"Referrer","Organic"))</f>
        <v>Referred</v>
      </c>
      <c r="G1446" s="29" t="n">
        <f aca="false">IF(COUNTIFS($B$5:B1446,B1446,$C$5:C1446,C1446)=1,1,0)</f>
        <v>0</v>
      </c>
      <c r="H1446" s="29" t="n">
        <f aca="false">IF(AND(G1446=1,COUNTIFS($B$5:$B$1635,B1446,$C$5:$C$1635,"&lt;"&amp;C1446)&gt;0),1,0)</f>
        <v>0</v>
      </c>
      <c r="I1446" s="29" t="n">
        <f aca="false">IF(AND(D1446="Feature Use",COUNTIFS($B$5:B1446,B1446,$D$5:D1446,"Feature Use",$E$5:E1446,E1446)=1),1,0)</f>
        <v>0</v>
      </c>
      <c r="J1446" s="29" t="n">
        <f aca="false">IF(AND(D1446="Feature Use",COUNTIFS($B$5:B1446,B1446,$D$5:D1446,"Feature Use",$E$5:E1446,E1446)=2),1,0)</f>
        <v>0</v>
      </c>
      <c r="K1446" s="29" t="n">
        <f aca="false">IF(COUNTIF($B$5:B1446,B1446)=1,1,0)</f>
        <v>0</v>
      </c>
      <c r="L1446" s="29" t="n">
        <f aca="false">IF(AND(C1446&gt;=Settings!$B$5-Settings!$B$8+1,C1446&lt;=Settings!$B$5,COUNTIFS($B$5:B1446,B1446,$C$5:C1446,"&gt;="&amp;(Settings!$B$5-Settings!$B$8+1),$C$5:C1446,"&lt;="&amp;Settings!$B$5)=1),1,0)</f>
        <v>0</v>
      </c>
      <c r="M1446" s="29" t="n">
        <f aca="false">IF(AND(C1446&gt;=Settings!$B$5-Settings!$B$9+1,C1446&lt;=Settings!$B$5,COUNTIFS($B$5:B1446,B1446,$C$5:C1446,"&gt;="&amp;(Settings!$B$5-Settings!$B$9+1),$C$5:C1446,"&lt;="&amp;Settings!$B$5)=1),1,0)</f>
        <v>0</v>
      </c>
      <c r="N1446" s="29" t="n">
        <f aca="false">IF(AND(D1446="Feature Use",COUNTIFS($B$5:B1446,B1446,$D$5:D1446,"Feature Use")=1),1,0)</f>
        <v>0</v>
      </c>
    </row>
    <row r="1447" customFormat="false" ht="15" hidden="false" customHeight="false" outlineLevel="0" collapsed="false">
      <c r="A1447" s="22" t="s">
        <v>1754</v>
      </c>
      <c r="B1447" s="22" t="s">
        <v>184</v>
      </c>
      <c r="C1447" s="31" t="n">
        <v>46307</v>
      </c>
      <c r="D1447" s="22" t="s">
        <v>297</v>
      </c>
      <c r="E1447" s="22" t="s">
        <v>298</v>
      </c>
      <c r="F1447" s="29" t="str">
        <f aca="false">IF(COUNTIF(Referral_Data!$C$5:$C$1000,B1447)&gt;0,"Referred",IF(COUNTIF(Referral_Data!$B$5:$B$1000,B1447)&gt;0,"Referrer","Organic"))</f>
        <v>Referred</v>
      </c>
      <c r="G1447" s="29" t="n">
        <f aca="false">IF(COUNTIFS($B$5:B1447,B1447,$C$5:C1447,C1447)=1,1,0)</f>
        <v>1</v>
      </c>
      <c r="H1447" s="29" t="n">
        <f aca="false">IF(AND(G1447=1,COUNTIFS($B$5:$B$1635,B1447,$C$5:$C$1635,"&lt;"&amp;C1447)&gt;0),1,0)</f>
        <v>1</v>
      </c>
      <c r="I1447" s="29" t="n">
        <f aca="false">IF(AND(D1447="Feature Use",COUNTIFS($B$5:B1447,B1447,$D$5:D1447,"Feature Use",$E$5:E1447,E1447)=1),1,0)</f>
        <v>0</v>
      </c>
      <c r="J1447" s="29" t="n">
        <f aca="false">IF(AND(D1447="Feature Use",COUNTIFS($B$5:B1447,B1447,$D$5:D1447,"Feature Use",$E$5:E1447,E1447)=2),1,0)</f>
        <v>0</v>
      </c>
      <c r="K1447" s="29" t="n">
        <f aca="false">IF(COUNTIF($B$5:B1447,B1447)=1,1,0)</f>
        <v>0</v>
      </c>
      <c r="L1447" s="29" t="n">
        <f aca="false">IF(AND(C1447&gt;=Settings!$B$5-Settings!$B$8+1,C1447&lt;=Settings!$B$5,COUNTIFS($B$5:B1447,B1447,$C$5:C1447,"&gt;="&amp;(Settings!$B$5-Settings!$B$8+1),$C$5:C1447,"&lt;="&amp;Settings!$B$5)=1),1,0)</f>
        <v>0</v>
      </c>
      <c r="M1447" s="29" t="n">
        <f aca="false">IF(AND(C1447&gt;=Settings!$B$5-Settings!$B$9+1,C1447&lt;=Settings!$B$5,COUNTIFS($B$5:B1447,B1447,$C$5:C1447,"&gt;="&amp;(Settings!$B$5-Settings!$B$9+1),$C$5:C1447,"&lt;="&amp;Settings!$B$5)=1),1,0)</f>
        <v>0</v>
      </c>
      <c r="N1447" s="29" t="n">
        <f aca="false">IF(AND(D1447="Feature Use",COUNTIFS($B$5:B1447,B1447,$D$5:D1447,"Feature Use")=1),1,0)</f>
        <v>0</v>
      </c>
    </row>
    <row r="1448" customFormat="false" ht="15" hidden="false" customHeight="false" outlineLevel="0" collapsed="false">
      <c r="A1448" s="22" t="s">
        <v>1755</v>
      </c>
      <c r="B1448" s="22" t="s">
        <v>184</v>
      </c>
      <c r="C1448" s="31" t="n">
        <v>46307</v>
      </c>
      <c r="D1448" s="22" t="s">
        <v>300</v>
      </c>
      <c r="E1448" s="22" t="s">
        <v>311</v>
      </c>
      <c r="F1448" s="29" t="str">
        <f aca="false">IF(COUNTIF(Referral_Data!$C$5:$C$1000,B1448)&gt;0,"Referred",IF(COUNTIF(Referral_Data!$B$5:$B$1000,B1448)&gt;0,"Referrer","Organic"))</f>
        <v>Referred</v>
      </c>
      <c r="G1448" s="29" t="n">
        <f aca="false">IF(COUNTIFS($B$5:B1448,B1448,$C$5:C1448,C1448)=1,1,0)</f>
        <v>0</v>
      </c>
      <c r="H1448" s="29" t="n">
        <f aca="false">IF(AND(G1448=1,COUNTIFS($B$5:$B$1635,B1448,$C$5:$C$1635,"&lt;"&amp;C1448)&gt;0),1,0)</f>
        <v>0</v>
      </c>
      <c r="I1448" s="29" t="n">
        <f aca="false">IF(AND(D1448="Feature Use",COUNTIFS($B$5:B1448,B1448,$D$5:D1448,"Feature Use",$E$5:E1448,E1448)=1),1,0)</f>
        <v>0</v>
      </c>
      <c r="J1448" s="29" t="n">
        <f aca="false">IF(AND(D1448="Feature Use",COUNTIFS($B$5:B1448,B1448,$D$5:D1448,"Feature Use",$E$5:E1448,E1448)=2),1,0)</f>
        <v>0</v>
      </c>
      <c r="K1448" s="29" t="n">
        <f aca="false">IF(COUNTIF($B$5:B1448,B1448)=1,1,0)</f>
        <v>0</v>
      </c>
      <c r="L1448" s="29" t="n">
        <f aca="false">IF(AND(C1448&gt;=Settings!$B$5-Settings!$B$8+1,C1448&lt;=Settings!$B$5,COUNTIFS($B$5:B1448,B1448,$C$5:C1448,"&gt;="&amp;(Settings!$B$5-Settings!$B$8+1),$C$5:C1448,"&lt;="&amp;Settings!$B$5)=1),1,0)</f>
        <v>0</v>
      </c>
      <c r="M1448" s="29" t="n">
        <f aca="false">IF(AND(C1448&gt;=Settings!$B$5-Settings!$B$9+1,C1448&lt;=Settings!$B$5,COUNTIFS($B$5:B1448,B1448,$C$5:C1448,"&gt;="&amp;(Settings!$B$5-Settings!$B$9+1),$C$5:C1448,"&lt;="&amp;Settings!$B$5)=1),1,0)</f>
        <v>0</v>
      </c>
      <c r="N1448" s="29" t="n">
        <f aca="false">IF(AND(D1448="Feature Use",COUNTIFS($B$5:B1448,B1448,$D$5:D1448,"Feature Use")=1),1,0)</f>
        <v>0</v>
      </c>
    </row>
    <row r="1449" customFormat="false" ht="15" hidden="false" customHeight="false" outlineLevel="0" collapsed="false">
      <c r="A1449" s="22" t="s">
        <v>1756</v>
      </c>
      <c r="B1449" s="22" t="s">
        <v>213</v>
      </c>
      <c r="C1449" s="31" t="n">
        <v>46307</v>
      </c>
      <c r="D1449" s="22" t="s">
        <v>297</v>
      </c>
      <c r="E1449" s="22" t="s">
        <v>298</v>
      </c>
      <c r="F1449" s="29" t="str">
        <f aca="false">IF(COUNTIF(Referral_Data!$C$5:$C$1000,B1449)&gt;0,"Referred",IF(COUNTIF(Referral_Data!$B$5:$B$1000,B1449)&gt;0,"Referrer","Organic"))</f>
        <v>Referred</v>
      </c>
      <c r="G1449" s="29" t="n">
        <f aca="false">IF(COUNTIFS($B$5:B1449,B1449,$C$5:C1449,C1449)=1,1,0)</f>
        <v>1</v>
      </c>
      <c r="H1449" s="29" t="n">
        <f aca="false">IF(AND(G1449=1,COUNTIFS($B$5:$B$1635,B1449,$C$5:$C$1635,"&lt;"&amp;C1449)&gt;0),1,0)</f>
        <v>1</v>
      </c>
      <c r="I1449" s="29" t="n">
        <f aca="false">IF(AND(D1449="Feature Use",COUNTIFS($B$5:B1449,B1449,$D$5:D1449,"Feature Use",$E$5:E1449,E1449)=1),1,0)</f>
        <v>0</v>
      </c>
      <c r="J1449" s="29" t="n">
        <f aca="false">IF(AND(D1449="Feature Use",COUNTIFS($B$5:B1449,B1449,$D$5:D1449,"Feature Use",$E$5:E1449,E1449)=2),1,0)</f>
        <v>0</v>
      </c>
      <c r="K1449" s="29" t="n">
        <f aca="false">IF(COUNTIF($B$5:B1449,B1449)=1,1,0)</f>
        <v>0</v>
      </c>
      <c r="L1449" s="29" t="n">
        <f aca="false">IF(AND(C1449&gt;=Settings!$B$5-Settings!$B$8+1,C1449&lt;=Settings!$B$5,COUNTIFS($B$5:B1449,B1449,$C$5:C1449,"&gt;="&amp;(Settings!$B$5-Settings!$B$8+1),$C$5:C1449,"&lt;="&amp;Settings!$B$5)=1),1,0)</f>
        <v>0</v>
      </c>
      <c r="M1449" s="29" t="n">
        <f aca="false">IF(AND(C1449&gt;=Settings!$B$5-Settings!$B$9+1,C1449&lt;=Settings!$B$5,COUNTIFS($B$5:B1449,B1449,$C$5:C1449,"&gt;="&amp;(Settings!$B$5-Settings!$B$9+1),$C$5:C1449,"&lt;="&amp;Settings!$B$5)=1),1,0)</f>
        <v>0</v>
      </c>
      <c r="N1449" s="29" t="n">
        <f aca="false">IF(AND(D1449="Feature Use",COUNTIFS($B$5:B1449,B1449,$D$5:D1449,"Feature Use")=1),1,0)</f>
        <v>0</v>
      </c>
    </row>
    <row r="1450" customFormat="false" ht="15" hidden="false" customHeight="false" outlineLevel="0" collapsed="false">
      <c r="A1450" s="22" t="s">
        <v>1757</v>
      </c>
      <c r="B1450" s="22" t="s">
        <v>213</v>
      </c>
      <c r="C1450" s="31" t="n">
        <v>46307</v>
      </c>
      <c r="D1450" s="22" t="s">
        <v>300</v>
      </c>
      <c r="E1450" s="22" t="s">
        <v>305</v>
      </c>
      <c r="F1450" s="29" t="str">
        <f aca="false">IF(COUNTIF(Referral_Data!$C$5:$C$1000,B1450)&gt;0,"Referred",IF(COUNTIF(Referral_Data!$B$5:$B$1000,B1450)&gt;0,"Referrer","Organic"))</f>
        <v>Referred</v>
      </c>
      <c r="G1450" s="29" t="n">
        <f aca="false">IF(COUNTIFS($B$5:B1450,B1450,$C$5:C1450,C1450)=1,1,0)</f>
        <v>0</v>
      </c>
      <c r="H1450" s="29" t="n">
        <f aca="false">IF(AND(G1450=1,COUNTIFS($B$5:$B$1635,B1450,$C$5:$C$1635,"&lt;"&amp;C1450)&gt;0),1,0)</f>
        <v>0</v>
      </c>
      <c r="I1450" s="29" t="n">
        <f aca="false">IF(AND(D1450="Feature Use",COUNTIFS($B$5:B1450,B1450,$D$5:D1450,"Feature Use",$E$5:E1450,E1450)=1),1,0)</f>
        <v>0</v>
      </c>
      <c r="J1450" s="29" t="n">
        <f aca="false">IF(AND(D1450="Feature Use",COUNTIFS($B$5:B1450,B1450,$D$5:D1450,"Feature Use",$E$5:E1450,E1450)=2),1,0)</f>
        <v>0</v>
      </c>
      <c r="K1450" s="29" t="n">
        <f aca="false">IF(COUNTIF($B$5:B1450,B1450)=1,1,0)</f>
        <v>0</v>
      </c>
      <c r="L1450" s="29" t="n">
        <f aca="false">IF(AND(C1450&gt;=Settings!$B$5-Settings!$B$8+1,C1450&lt;=Settings!$B$5,COUNTIFS($B$5:B1450,B1450,$C$5:C1450,"&gt;="&amp;(Settings!$B$5-Settings!$B$8+1),$C$5:C1450,"&lt;="&amp;Settings!$B$5)=1),1,0)</f>
        <v>0</v>
      </c>
      <c r="M1450" s="29" t="n">
        <f aca="false">IF(AND(C1450&gt;=Settings!$B$5-Settings!$B$9+1,C1450&lt;=Settings!$B$5,COUNTIFS($B$5:B1450,B1450,$C$5:C1450,"&gt;="&amp;(Settings!$B$5-Settings!$B$9+1),$C$5:C1450,"&lt;="&amp;Settings!$B$5)=1),1,0)</f>
        <v>0</v>
      </c>
      <c r="N1450" s="29" t="n">
        <f aca="false">IF(AND(D1450="Feature Use",COUNTIFS($B$5:B1450,B1450,$D$5:D1450,"Feature Use")=1),1,0)</f>
        <v>0</v>
      </c>
    </row>
    <row r="1451" customFormat="false" ht="15" hidden="false" customHeight="false" outlineLevel="0" collapsed="false">
      <c r="A1451" s="22" t="s">
        <v>1758</v>
      </c>
      <c r="B1451" s="22" t="s">
        <v>213</v>
      </c>
      <c r="C1451" s="31" t="n">
        <v>46307</v>
      </c>
      <c r="D1451" s="22" t="s">
        <v>300</v>
      </c>
      <c r="E1451" s="22" t="s">
        <v>305</v>
      </c>
      <c r="F1451" s="29" t="str">
        <f aca="false">IF(COUNTIF(Referral_Data!$C$5:$C$1000,B1451)&gt;0,"Referred",IF(COUNTIF(Referral_Data!$B$5:$B$1000,B1451)&gt;0,"Referrer","Organic"))</f>
        <v>Referred</v>
      </c>
      <c r="G1451" s="29" t="n">
        <f aca="false">IF(COUNTIFS($B$5:B1451,B1451,$C$5:C1451,C1451)=1,1,0)</f>
        <v>0</v>
      </c>
      <c r="H1451" s="29" t="n">
        <f aca="false">IF(AND(G1451=1,COUNTIFS($B$5:$B$1635,B1451,$C$5:$C$1635,"&lt;"&amp;C1451)&gt;0),1,0)</f>
        <v>0</v>
      </c>
      <c r="I1451" s="29" t="n">
        <f aca="false">IF(AND(D1451="Feature Use",COUNTIFS($B$5:B1451,B1451,$D$5:D1451,"Feature Use",$E$5:E1451,E1451)=1),1,0)</f>
        <v>0</v>
      </c>
      <c r="J1451" s="29" t="n">
        <f aca="false">IF(AND(D1451="Feature Use",COUNTIFS($B$5:B1451,B1451,$D$5:D1451,"Feature Use",$E$5:E1451,E1451)=2),1,0)</f>
        <v>0</v>
      </c>
      <c r="K1451" s="29" t="n">
        <f aca="false">IF(COUNTIF($B$5:B1451,B1451)=1,1,0)</f>
        <v>0</v>
      </c>
      <c r="L1451" s="29" t="n">
        <f aca="false">IF(AND(C1451&gt;=Settings!$B$5-Settings!$B$8+1,C1451&lt;=Settings!$B$5,COUNTIFS($B$5:B1451,B1451,$C$5:C1451,"&gt;="&amp;(Settings!$B$5-Settings!$B$8+1),$C$5:C1451,"&lt;="&amp;Settings!$B$5)=1),1,0)</f>
        <v>0</v>
      </c>
      <c r="M1451" s="29" t="n">
        <f aca="false">IF(AND(C1451&gt;=Settings!$B$5-Settings!$B$9+1,C1451&lt;=Settings!$B$5,COUNTIFS($B$5:B1451,B1451,$C$5:C1451,"&gt;="&amp;(Settings!$B$5-Settings!$B$9+1),$C$5:C1451,"&lt;="&amp;Settings!$B$5)=1),1,0)</f>
        <v>0</v>
      </c>
      <c r="N1451" s="29" t="n">
        <f aca="false">IF(AND(D1451="Feature Use",COUNTIFS($B$5:B1451,B1451,$D$5:D1451,"Feature Use")=1),1,0)</f>
        <v>0</v>
      </c>
    </row>
    <row r="1452" customFormat="false" ht="15" hidden="false" customHeight="false" outlineLevel="0" collapsed="false">
      <c r="A1452" s="22" t="s">
        <v>1759</v>
      </c>
      <c r="B1452" s="22" t="s">
        <v>237</v>
      </c>
      <c r="C1452" s="31" t="n">
        <v>46307</v>
      </c>
      <c r="D1452" s="22" t="s">
        <v>297</v>
      </c>
      <c r="E1452" s="22" t="s">
        <v>298</v>
      </c>
      <c r="F1452" s="29" t="str">
        <f aca="false">IF(COUNTIF(Referral_Data!$C$5:$C$1000,B1452)&gt;0,"Referred",IF(COUNTIF(Referral_Data!$B$5:$B$1000,B1452)&gt;0,"Referrer","Organic"))</f>
        <v>Referred</v>
      </c>
      <c r="G1452" s="29" t="n">
        <f aca="false">IF(COUNTIFS($B$5:B1452,B1452,$C$5:C1452,C1452)=1,1,0)</f>
        <v>1</v>
      </c>
      <c r="H1452" s="29" t="n">
        <f aca="false">IF(AND(G1452=1,COUNTIFS($B$5:$B$1635,B1452,$C$5:$C$1635,"&lt;"&amp;C1452)&gt;0),1,0)</f>
        <v>1</v>
      </c>
      <c r="I1452" s="29" t="n">
        <f aca="false">IF(AND(D1452="Feature Use",COUNTIFS($B$5:B1452,B1452,$D$5:D1452,"Feature Use",$E$5:E1452,E1452)=1),1,0)</f>
        <v>0</v>
      </c>
      <c r="J1452" s="29" t="n">
        <f aca="false">IF(AND(D1452="Feature Use",COUNTIFS($B$5:B1452,B1452,$D$5:D1452,"Feature Use",$E$5:E1452,E1452)=2),1,0)</f>
        <v>0</v>
      </c>
      <c r="K1452" s="29" t="n">
        <f aca="false">IF(COUNTIF($B$5:B1452,B1452)=1,1,0)</f>
        <v>0</v>
      </c>
      <c r="L1452" s="29" t="n">
        <f aca="false">IF(AND(C1452&gt;=Settings!$B$5-Settings!$B$8+1,C1452&lt;=Settings!$B$5,COUNTIFS($B$5:B1452,B1452,$C$5:C1452,"&gt;="&amp;(Settings!$B$5-Settings!$B$8+1),$C$5:C1452,"&lt;="&amp;Settings!$B$5)=1),1,0)</f>
        <v>0</v>
      </c>
      <c r="M1452" s="29" t="n">
        <f aca="false">IF(AND(C1452&gt;=Settings!$B$5-Settings!$B$9+1,C1452&lt;=Settings!$B$5,COUNTIFS($B$5:B1452,B1452,$C$5:C1452,"&gt;="&amp;(Settings!$B$5-Settings!$B$9+1),$C$5:C1452,"&lt;="&amp;Settings!$B$5)=1),1,0)</f>
        <v>0</v>
      </c>
      <c r="N1452" s="29" t="n">
        <f aca="false">IF(AND(D1452="Feature Use",COUNTIFS($B$5:B1452,B1452,$D$5:D1452,"Feature Use")=1),1,0)</f>
        <v>0</v>
      </c>
    </row>
    <row r="1453" customFormat="false" ht="15" hidden="false" customHeight="false" outlineLevel="0" collapsed="false">
      <c r="A1453" s="22" t="s">
        <v>1760</v>
      </c>
      <c r="B1453" s="22" t="s">
        <v>237</v>
      </c>
      <c r="C1453" s="31" t="n">
        <v>46307</v>
      </c>
      <c r="D1453" s="22" t="s">
        <v>300</v>
      </c>
      <c r="E1453" s="22" t="s">
        <v>305</v>
      </c>
      <c r="F1453" s="29" t="str">
        <f aca="false">IF(COUNTIF(Referral_Data!$C$5:$C$1000,B1453)&gt;0,"Referred",IF(COUNTIF(Referral_Data!$B$5:$B$1000,B1453)&gt;0,"Referrer","Organic"))</f>
        <v>Referred</v>
      </c>
      <c r="G1453" s="29" t="n">
        <f aca="false">IF(COUNTIFS($B$5:B1453,B1453,$C$5:C1453,C1453)=1,1,0)</f>
        <v>0</v>
      </c>
      <c r="H1453" s="29" t="n">
        <f aca="false">IF(AND(G1453=1,COUNTIFS($B$5:$B$1635,B1453,$C$5:$C$1635,"&lt;"&amp;C1453)&gt;0),1,0)</f>
        <v>0</v>
      </c>
      <c r="I1453" s="29" t="n">
        <f aca="false">IF(AND(D1453="Feature Use",COUNTIFS($B$5:B1453,B1453,$D$5:D1453,"Feature Use",$E$5:E1453,E1453)=1),1,0)</f>
        <v>0</v>
      </c>
      <c r="J1453" s="29" t="n">
        <f aca="false">IF(AND(D1453="Feature Use",COUNTIFS($B$5:B1453,B1453,$D$5:D1453,"Feature Use",$E$5:E1453,E1453)=2),1,0)</f>
        <v>0</v>
      </c>
      <c r="K1453" s="29" t="n">
        <f aca="false">IF(COUNTIF($B$5:B1453,B1453)=1,1,0)</f>
        <v>0</v>
      </c>
      <c r="L1453" s="29" t="n">
        <f aca="false">IF(AND(C1453&gt;=Settings!$B$5-Settings!$B$8+1,C1453&lt;=Settings!$B$5,COUNTIFS($B$5:B1453,B1453,$C$5:C1453,"&gt;="&amp;(Settings!$B$5-Settings!$B$8+1),$C$5:C1453,"&lt;="&amp;Settings!$B$5)=1),1,0)</f>
        <v>0</v>
      </c>
      <c r="M1453" s="29" t="n">
        <f aca="false">IF(AND(C1453&gt;=Settings!$B$5-Settings!$B$9+1,C1453&lt;=Settings!$B$5,COUNTIFS($B$5:B1453,B1453,$C$5:C1453,"&gt;="&amp;(Settings!$B$5-Settings!$B$9+1),$C$5:C1453,"&lt;="&amp;Settings!$B$5)=1),1,0)</f>
        <v>0</v>
      </c>
      <c r="N1453" s="29" t="n">
        <f aca="false">IF(AND(D1453="Feature Use",COUNTIFS($B$5:B1453,B1453,$D$5:D1453,"Feature Use")=1),1,0)</f>
        <v>0</v>
      </c>
    </row>
    <row r="1454" customFormat="false" ht="15" hidden="false" customHeight="false" outlineLevel="0" collapsed="false">
      <c r="A1454" s="22" t="s">
        <v>1761</v>
      </c>
      <c r="B1454" s="22" t="s">
        <v>237</v>
      </c>
      <c r="C1454" s="31" t="n">
        <v>46307</v>
      </c>
      <c r="D1454" s="22" t="s">
        <v>300</v>
      </c>
      <c r="E1454" s="22" t="s">
        <v>319</v>
      </c>
      <c r="F1454" s="29" t="str">
        <f aca="false">IF(COUNTIF(Referral_Data!$C$5:$C$1000,B1454)&gt;0,"Referred",IF(COUNTIF(Referral_Data!$B$5:$B$1000,B1454)&gt;0,"Referrer","Organic"))</f>
        <v>Referred</v>
      </c>
      <c r="G1454" s="29" t="n">
        <f aca="false">IF(COUNTIFS($B$5:B1454,B1454,$C$5:C1454,C1454)=1,1,0)</f>
        <v>0</v>
      </c>
      <c r="H1454" s="29" t="n">
        <f aca="false">IF(AND(G1454=1,COUNTIFS($B$5:$B$1635,B1454,$C$5:$C$1635,"&lt;"&amp;C1454)&gt;0),1,0)</f>
        <v>0</v>
      </c>
      <c r="I1454" s="29" t="n">
        <f aca="false">IF(AND(D1454="Feature Use",COUNTIFS($B$5:B1454,B1454,$D$5:D1454,"Feature Use",$E$5:E1454,E1454)=1),1,0)</f>
        <v>0</v>
      </c>
      <c r="J1454" s="29" t="n">
        <f aca="false">IF(AND(D1454="Feature Use",COUNTIFS($B$5:B1454,B1454,$D$5:D1454,"Feature Use",$E$5:E1454,E1454)=2),1,0)</f>
        <v>1</v>
      </c>
      <c r="K1454" s="29" t="n">
        <f aca="false">IF(COUNTIF($B$5:B1454,B1454)=1,1,0)</f>
        <v>0</v>
      </c>
      <c r="L1454" s="29" t="n">
        <f aca="false">IF(AND(C1454&gt;=Settings!$B$5-Settings!$B$8+1,C1454&lt;=Settings!$B$5,COUNTIFS($B$5:B1454,B1454,$C$5:C1454,"&gt;="&amp;(Settings!$B$5-Settings!$B$8+1),$C$5:C1454,"&lt;="&amp;Settings!$B$5)=1),1,0)</f>
        <v>0</v>
      </c>
      <c r="M1454" s="29" t="n">
        <f aca="false">IF(AND(C1454&gt;=Settings!$B$5-Settings!$B$9+1,C1454&lt;=Settings!$B$5,COUNTIFS($B$5:B1454,B1454,$C$5:C1454,"&gt;="&amp;(Settings!$B$5-Settings!$B$9+1),$C$5:C1454,"&lt;="&amp;Settings!$B$5)=1),1,0)</f>
        <v>0</v>
      </c>
      <c r="N1454" s="29" t="n">
        <f aca="false">IF(AND(D1454="Feature Use",COUNTIFS($B$5:B1454,B1454,$D$5:D1454,"Feature Use")=1),1,0)</f>
        <v>0</v>
      </c>
    </row>
    <row r="1455" customFormat="false" ht="15" hidden="false" customHeight="false" outlineLevel="0" collapsed="false">
      <c r="A1455" s="22" t="s">
        <v>1762</v>
      </c>
      <c r="B1455" s="22" t="s">
        <v>239</v>
      </c>
      <c r="C1455" s="31" t="n">
        <v>46307</v>
      </c>
      <c r="D1455" s="22" t="s">
        <v>297</v>
      </c>
      <c r="E1455" s="22" t="s">
        <v>298</v>
      </c>
      <c r="F1455" s="29" t="str">
        <f aca="false">IF(COUNTIF(Referral_Data!$C$5:$C$1000,B1455)&gt;0,"Referred",IF(COUNTIF(Referral_Data!$B$5:$B$1000,B1455)&gt;0,"Referrer","Organic"))</f>
        <v>Referred</v>
      </c>
      <c r="G1455" s="29" t="n">
        <f aca="false">IF(COUNTIFS($B$5:B1455,B1455,$C$5:C1455,C1455)=1,1,0)</f>
        <v>1</v>
      </c>
      <c r="H1455" s="29" t="n">
        <f aca="false">IF(AND(G1455=1,COUNTIFS($B$5:$B$1635,B1455,$C$5:$C$1635,"&lt;"&amp;C1455)&gt;0),1,0)</f>
        <v>1</v>
      </c>
      <c r="I1455" s="29" t="n">
        <f aca="false">IF(AND(D1455="Feature Use",COUNTIFS($B$5:B1455,B1455,$D$5:D1455,"Feature Use",$E$5:E1455,E1455)=1),1,0)</f>
        <v>0</v>
      </c>
      <c r="J1455" s="29" t="n">
        <f aca="false">IF(AND(D1455="Feature Use",COUNTIFS($B$5:B1455,B1455,$D$5:D1455,"Feature Use",$E$5:E1455,E1455)=2),1,0)</f>
        <v>0</v>
      </c>
      <c r="K1455" s="29" t="n">
        <f aca="false">IF(COUNTIF($B$5:B1455,B1455)=1,1,0)</f>
        <v>0</v>
      </c>
      <c r="L1455" s="29" t="n">
        <f aca="false">IF(AND(C1455&gt;=Settings!$B$5-Settings!$B$8+1,C1455&lt;=Settings!$B$5,COUNTIFS($B$5:B1455,B1455,$C$5:C1455,"&gt;="&amp;(Settings!$B$5-Settings!$B$8+1),$C$5:C1455,"&lt;="&amp;Settings!$B$5)=1),1,0)</f>
        <v>0</v>
      </c>
      <c r="M1455" s="29" t="n">
        <f aca="false">IF(AND(C1455&gt;=Settings!$B$5-Settings!$B$9+1,C1455&lt;=Settings!$B$5,COUNTIFS($B$5:B1455,B1455,$C$5:C1455,"&gt;="&amp;(Settings!$B$5-Settings!$B$9+1),$C$5:C1455,"&lt;="&amp;Settings!$B$5)=1),1,0)</f>
        <v>0</v>
      </c>
      <c r="N1455" s="29" t="n">
        <f aca="false">IF(AND(D1455="Feature Use",COUNTIFS($B$5:B1455,B1455,$D$5:D1455,"Feature Use")=1),1,0)</f>
        <v>0</v>
      </c>
    </row>
    <row r="1456" customFormat="false" ht="15" hidden="false" customHeight="false" outlineLevel="0" collapsed="false">
      <c r="A1456" s="22" t="s">
        <v>1763</v>
      </c>
      <c r="B1456" s="22" t="s">
        <v>239</v>
      </c>
      <c r="C1456" s="31" t="n">
        <v>46307</v>
      </c>
      <c r="D1456" s="22" t="s">
        <v>300</v>
      </c>
      <c r="E1456" s="22" t="s">
        <v>301</v>
      </c>
      <c r="F1456" s="29" t="str">
        <f aca="false">IF(COUNTIF(Referral_Data!$C$5:$C$1000,B1456)&gt;0,"Referred",IF(COUNTIF(Referral_Data!$B$5:$B$1000,B1456)&gt;0,"Referrer","Organic"))</f>
        <v>Referred</v>
      </c>
      <c r="G1456" s="29" t="n">
        <f aca="false">IF(COUNTIFS($B$5:B1456,B1456,$C$5:C1456,C1456)=1,1,0)</f>
        <v>0</v>
      </c>
      <c r="H1456" s="29" t="n">
        <f aca="false">IF(AND(G1456=1,COUNTIFS($B$5:$B$1635,B1456,$C$5:$C$1635,"&lt;"&amp;C1456)&gt;0),1,0)</f>
        <v>0</v>
      </c>
      <c r="I1456" s="29" t="n">
        <f aca="false">IF(AND(D1456="Feature Use",COUNTIFS($B$5:B1456,B1456,$D$5:D1456,"Feature Use",$E$5:E1456,E1456)=1),1,0)</f>
        <v>0</v>
      </c>
      <c r="J1456" s="29" t="n">
        <f aca="false">IF(AND(D1456="Feature Use",COUNTIFS($B$5:B1456,B1456,$D$5:D1456,"Feature Use",$E$5:E1456,E1456)=2),1,0)</f>
        <v>1</v>
      </c>
      <c r="K1456" s="29" t="n">
        <f aca="false">IF(COUNTIF($B$5:B1456,B1456)=1,1,0)</f>
        <v>0</v>
      </c>
      <c r="L1456" s="29" t="n">
        <f aca="false">IF(AND(C1456&gt;=Settings!$B$5-Settings!$B$8+1,C1456&lt;=Settings!$B$5,COUNTIFS($B$5:B1456,B1456,$C$5:C1456,"&gt;="&amp;(Settings!$B$5-Settings!$B$8+1),$C$5:C1456,"&lt;="&amp;Settings!$B$5)=1),1,0)</f>
        <v>0</v>
      </c>
      <c r="M1456" s="29" t="n">
        <f aca="false">IF(AND(C1456&gt;=Settings!$B$5-Settings!$B$9+1,C1456&lt;=Settings!$B$5,COUNTIFS($B$5:B1456,B1456,$C$5:C1456,"&gt;="&amp;(Settings!$B$5-Settings!$B$9+1),$C$5:C1456,"&lt;="&amp;Settings!$B$5)=1),1,0)</f>
        <v>0</v>
      </c>
      <c r="N1456" s="29" t="n">
        <f aca="false">IF(AND(D1456="Feature Use",COUNTIFS($B$5:B1456,B1456,$D$5:D1456,"Feature Use")=1),1,0)</f>
        <v>0</v>
      </c>
    </row>
    <row r="1457" customFormat="false" ht="15" hidden="false" customHeight="false" outlineLevel="0" collapsed="false">
      <c r="A1457" s="22" t="s">
        <v>1764</v>
      </c>
      <c r="B1457" s="22" t="s">
        <v>239</v>
      </c>
      <c r="C1457" s="31" t="n">
        <v>46307</v>
      </c>
      <c r="D1457" s="22" t="s">
        <v>300</v>
      </c>
      <c r="E1457" s="22" t="s">
        <v>301</v>
      </c>
      <c r="F1457" s="29" t="str">
        <f aca="false">IF(COUNTIF(Referral_Data!$C$5:$C$1000,B1457)&gt;0,"Referred",IF(COUNTIF(Referral_Data!$B$5:$B$1000,B1457)&gt;0,"Referrer","Organic"))</f>
        <v>Referred</v>
      </c>
      <c r="G1457" s="29" t="n">
        <f aca="false">IF(COUNTIFS($B$5:B1457,B1457,$C$5:C1457,C1457)=1,1,0)</f>
        <v>0</v>
      </c>
      <c r="H1457" s="29" t="n">
        <f aca="false">IF(AND(G1457=1,COUNTIFS($B$5:$B$1635,B1457,$C$5:$C$1635,"&lt;"&amp;C1457)&gt;0),1,0)</f>
        <v>0</v>
      </c>
      <c r="I1457" s="29" t="n">
        <f aca="false">IF(AND(D1457="Feature Use",COUNTIFS($B$5:B1457,B1457,$D$5:D1457,"Feature Use",$E$5:E1457,E1457)=1),1,0)</f>
        <v>0</v>
      </c>
      <c r="J1457" s="29" t="n">
        <f aca="false">IF(AND(D1457="Feature Use",COUNTIFS($B$5:B1457,B1457,$D$5:D1457,"Feature Use",$E$5:E1457,E1457)=2),1,0)</f>
        <v>0</v>
      </c>
      <c r="K1457" s="29" t="n">
        <f aca="false">IF(COUNTIF($B$5:B1457,B1457)=1,1,0)</f>
        <v>0</v>
      </c>
      <c r="L1457" s="29" t="n">
        <f aca="false">IF(AND(C1457&gt;=Settings!$B$5-Settings!$B$8+1,C1457&lt;=Settings!$B$5,COUNTIFS($B$5:B1457,B1457,$C$5:C1457,"&gt;="&amp;(Settings!$B$5-Settings!$B$8+1),$C$5:C1457,"&lt;="&amp;Settings!$B$5)=1),1,0)</f>
        <v>0</v>
      </c>
      <c r="M1457" s="29" t="n">
        <f aca="false">IF(AND(C1457&gt;=Settings!$B$5-Settings!$B$9+1,C1457&lt;=Settings!$B$5,COUNTIFS($B$5:B1457,B1457,$C$5:C1457,"&gt;="&amp;(Settings!$B$5-Settings!$B$9+1),$C$5:C1457,"&lt;="&amp;Settings!$B$5)=1),1,0)</f>
        <v>0</v>
      </c>
      <c r="N1457" s="29" t="n">
        <f aca="false">IF(AND(D1457="Feature Use",COUNTIFS($B$5:B1457,B1457,$D$5:D1457,"Feature Use")=1),1,0)</f>
        <v>0</v>
      </c>
    </row>
    <row r="1458" customFormat="false" ht="15" hidden="false" customHeight="false" outlineLevel="0" collapsed="false">
      <c r="A1458" s="22" t="s">
        <v>1765</v>
      </c>
      <c r="B1458" s="22" t="s">
        <v>243</v>
      </c>
      <c r="C1458" s="31" t="n">
        <v>46307</v>
      </c>
      <c r="D1458" s="22" t="s">
        <v>297</v>
      </c>
      <c r="E1458" s="22" t="s">
        <v>298</v>
      </c>
      <c r="F1458" s="29" t="str">
        <f aca="false">IF(COUNTIF(Referral_Data!$C$5:$C$1000,B1458)&gt;0,"Referred",IF(COUNTIF(Referral_Data!$B$5:$B$1000,B1458)&gt;0,"Referrer","Organic"))</f>
        <v>Referred</v>
      </c>
      <c r="G1458" s="29" t="n">
        <f aca="false">IF(COUNTIFS($B$5:B1458,B1458,$C$5:C1458,C1458)=1,1,0)</f>
        <v>1</v>
      </c>
      <c r="H1458" s="29" t="n">
        <f aca="false">IF(AND(G1458=1,COUNTIFS($B$5:$B$1635,B1458,$C$5:$C$1635,"&lt;"&amp;C1458)&gt;0),1,0)</f>
        <v>1</v>
      </c>
      <c r="I1458" s="29" t="n">
        <f aca="false">IF(AND(D1458="Feature Use",COUNTIFS($B$5:B1458,B1458,$D$5:D1458,"Feature Use",$E$5:E1458,E1458)=1),1,0)</f>
        <v>0</v>
      </c>
      <c r="J1458" s="29" t="n">
        <f aca="false">IF(AND(D1458="Feature Use",COUNTIFS($B$5:B1458,B1458,$D$5:D1458,"Feature Use",$E$5:E1458,E1458)=2),1,0)</f>
        <v>0</v>
      </c>
      <c r="K1458" s="29" t="n">
        <f aca="false">IF(COUNTIF($B$5:B1458,B1458)=1,1,0)</f>
        <v>0</v>
      </c>
      <c r="L1458" s="29" t="n">
        <f aca="false">IF(AND(C1458&gt;=Settings!$B$5-Settings!$B$8+1,C1458&lt;=Settings!$B$5,COUNTIFS($B$5:B1458,B1458,$C$5:C1458,"&gt;="&amp;(Settings!$B$5-Settings!$B$8+1),$C$5:C1458,"&lt;="&amp;Settings!$B$5)=1),1,0)</f>
        <v>0</v>
      </c>
      <c r="M1458" s="29" t="n">
        <f aca="false">IF(AND(C1458&gt;=Settings!$B$5-Settings!$B$9+1,C1458&lt;=Settings!$B$5,COUNTIFS($B$5:B1458,B1458,$C$5:C1458,"&gt;="&amp;(Settings!$B$5-Settings!$B$9+1),$C$5:C1458,"&lt;="&amp;Settings!$B$5)=1),1,0)</f>
        <v>0</v>
      </c>
      <c r="N1458" s="29" t="n">
        <f aca="false">IF(AND(D1458="Feature Use",COUNTIFS($B$5:B1458,B1458,$D$5:D1458,"Feature Use")=1),1,0)</f>
        <v>0</v>
      </c>
    </row>
    <row r="1459" customFormat="false" ht="15" hidden="false" customHeight="false" outlineLevel="0" collapsed="false">
      <c r="A1459" s="22" t="s">
        <v>1766</v>
      </c>
      <c r="B1459" s="22" t="s">
        <v>243</v>
      </c>
      <c r="C1459" s="31" t="n">
        <v>46307</v>
      </c>
      <c r="D1459" s="22" t="s">
        <v>300</v>
      </c>
      <c r="E1459" s="22" t="s">
        <v>309</v>
      </c>
      <c r="F1459" s="29" t="str">
        <f aca="false">IF(COUNTIF(Referral_Data!$C$5:$C$1000,B1459)&gt;0,"Referred",IF(COUNTIF(Referral_Data!$B$5:$B$1000,B1459)&gt;0,"Referrer","Organic"))</f>
        <v>Referred</v>
      </c>
      <c r="G1459" s="29" t="n">
        <f aca="false">IF(COUNTIFS($B$5:B1459,B1459,$C$5:C1459,C1459)=1,1,0)</f>
        <v>0</v>
      </c>
      <c r="H1459" s="29" t="n">
        <f aca="false">IF(AND(G1459=1,COUNTIFS($B$5:$B$1635,B1459,$C$5:$C$1635,"&lt;"&amp;C1459)&gt;0),1,0)</f>
        <v>0</v>
      </c>
      <c r="I1459" s="29" t="n">
        <f aca="false">IF(AND(D1459="Feature Use",COUNTIFS($B$5:B1459,B1459,$D$5:D1459,"Feature Use",$E$5:E1459,E1459)=1),1,0)</f>
        <v>0</v>
      </c>
      <c r="J1459" s="29" t="n">
        <f aca="false">IF(AND(D1459="Feature Use",COUNTIFS($B$5:B1459,B1459,$D$5:D1459,"Feature Use",$E$5:E1459,E1459)=2),1,0)</f>
        <v>1</v>
      </c>
      <c r="K1459" s="29" t="n">
        <f aca="false">IF(COUNTIF($B$5:B1459,B1459)=1,1,0)</f>
        <v>0</v>
      </c>
      <c r="L1459" s="29" t="n">
        <f aca="false">IF(AND(C1459&gt;=Settings!$B$5-Settings!$B$8+1,C1459&lt;=Settings!$B$5,COUNTIFS($B$5:B1459,B1459,$C$5:C1459,"&gt;="&amp;(Settings!$B$5-Settings!$B$8+1),$C$5:C1459,"&lt;="&amp;Settings!$B$5)=1),1,0)</f>
        <v>0</v>
      </c>
      <c r="M1459" s="29" t="n">
        <f aca="false">IF(AND(C1459&gt;=Settings!$B$5-Settings!$B$9+1,C1459&lt;=Settings!$B$5,COUNTIFS($B$5:B1459,B1459,$C$5:C1459,"&gt;="&amp;(Settings!$B$5-Settings!$B$9+1),$C$5:C1459,"&lt;="&amp;Settings!$B$5)=1),1,0)</f>
        <v>0</v>
      </c>
      <c r="N1459" s="29" t="n">
        <f aca="false">IF(AND(D1459="Feature Use",COUNTIFS($B$5:B1459,B1459,$D$5:D1459,"Feature Use")=1),1,0)</f>
        <v>0</v>
      </c>
    </row>
    <row r="1460" customFormat="false" ht="15" hidden="false" customHeight="false" outlineLevel="0" collapsed="false">
      <c r="A1460" s="22" t="s">
        <v>1767</v>
      </c>
      <c r="B1460" s="22" t="s">
        <v>243</v>
      </c>
      <c r="C1460" s="31" t="n">
        <v>46307</v>
      </c>
      <c r="D1460" s="22" t="s">
        <v>300</v>
      </c>
      <c r="E1460" s="22" t="s">
        <v>319</v>
      </c>
      <c r="F1460" s="29" t="str">
        <f aca="false">IF(COUNTIF(Referral_Data!$C$5:$C$1000,B1460)&gt;0,"Referred",IF(COUNTIF(Referral_Data!$B$5:$B$1000,B1460)&gt;0,"Referrer","Organic"))</f>
        <v>Referred</v>
      </c>
      <c r="G1460" s="29" t="n">
        <f aca="false">IF(COUNTIFS($B$5:B1460,B1460,$C$5:C1460,C1460)=1,1,0)</f>
        <v>0</v>
      </c>
      <c r="H1460" s="29" t="n">
        <f aca="false">IF(AND(G1460=1,COUNTIFS($B$5:$B$1635,B1460,$C$5:$C$1635,"&lt;"&amp;C1460)&gt;0),1,0)</f>
        <v>0</v>
      </c>
      <c r="I1460" s="29" t="n">
        <f aca="false">IF(AND(D1460="Feature Use",COUNTIFS($B$5:B1460,B1460,$D$5:D1460,"Feature Use",$E$5:E1460,E1460)=1),1,0)</f>
        <v>1</v>
      </c>
      <c r="J1460" s="29" t="n">
        <f aca="false">IF(AND(D1460="Feature Use",COUNTIFS($B$5:B1460,B1460,$D$5:D1460,"Feature Use",$E$5:E1460,E1460)=2),1,0)</f>
        <v>0</v>
      </c>
      <c r="K1460" s="29" t="n">
        <f aca="false">IF(COUNTIF($B$5:B1460,B1460)=1,1,0)</f>
        <v>0</v>
      </c>
      <c r="L1460" s="29" t="n">
        <f aca="false">IF(AND(C1460&gt;=Settings!$B$5-Settings!$B$8+1,C1460&lt;=Settings!$B$5,COUNTIFS($B$5:B1460,B1460,$C$5:C1460,"&gt;="&amp;(Settings!$B$5-Settings!$B$8+1),$C$5:C1460,"&lt;="&amp;Settings!$B$5)=1),1,0)</f>
        <v>0</v>
      </c>
      <c r="M1460" s="29" t="n">
        <f aca="false">IF(AND(C1460&gt;=Settings!$B$5-Settings!$B$9+1,C1460&lt;=Settings!$B$5,COUNTIFS($B$5:B1460,B1460,$C$5:C1460,"&gt;="&amp;(Settings!$B$5-Settings!$B$9+1),$C$5:C1460,"&lt;="&amp;Settings!$B$5)=1),1,0)</f>
        <v>0</v>
      </c>
      <c r="N1460" s="29" t="n">
        <f aca="false">IF(AND(D1460="Feature Use",COUNTIFS($B$5:B1460,B1460,$D$5:D1460,"Feature Use")=1),1,0)</f>
        <v>0</v>
      </c>
    </row>
    <row r="1461" customFormat="false" ht="15" hidden="false" customHeight="false" outlineLevel="0" collapsed="false">
      <c r="A1461" s="22" t="s">
        <v>1768</v>
      </c>
      <c r="B1461" s="22" t="s">
        <v>247</v>
      </c>
      <c r="C1461" s="31" t="n">
        <v>46307</v>
      </c>
      <c r="D1461" s="22" t="s">
        <v>297</v>
      </c>
      <c r="E1461" s="22" t="s">
        <v>298</v>
      </c>
      <c r="F1461" s="29" t="str">
        <f aca="false">IF(COUNTIF(Referral_Data!$C$5:$C$1000,B1461)&gt;0,"Referred",IF(COUNTIF(Referral_Data!$B$5:$B$1000,B1461)&gt;0,"Referrer","Organic"))</f>
        <v>Referred</v>
      </c>
      <c r="G1461" s="29" t="n">
        <f aca="false">IF(COUNTIFS($B$5:B1461,B1461,$C$5:C1461,C1461)=1,1,0)</f>
        <v>1</v>
      </c>
      <c r="H1461" s="29" t="n">
        <f aca="false">IF(AND(G1461=1,COUNTIFS($B$5:$B$1635,B1461,$C$5:$C$1635,"&lt;"&amp;C1461)&gt;0),1,0)</f>
        <v>0</v>
      </c>
      <c r="I1461" s="29" t="n">
        <f aca="false">IF(AND(D1461="Feature Use",COUNTIFS($B$5:B1461,B1461,$D$5:D1461,"Feature Use",$E$5:E1461,E1461)=1),1,0)</f>
        <v>0</v>
      </c>
      <c r="J1461" s="29" t="n">
        <f aca="false">IF(AND(D1461="Feature Use",COUNTIFS($B$5:B1461,B1461,$D$5:D1461,"Feature Use",$E$5:E1461,E1461)=2),1,0)</f>
        <v>0</v>
      </c>
      <c r="K1461" s="29" t="n">
        <f aca="false">IF(COUNTIF($B$5:B1461,B1461)=1,1,0)</f>
        <v>1</v>
      </c>
      <c r="L1461" s="29" t="n">
        <f aca="false">IF(AND(C1461&gt;=Settings!$B$5-Settings!$B$8+1,C1461&lt;=Settings!$B$5,COUNTIFS($B$5:B1461,B1461,$C$5:C1461,"&gt;="&amp;(Settings!$B$5-Settings!$B$8+1),$C$5:C1461,"&lt;="&amp;Settings!$B$5)=1),1,0)</f>
        <v>1</v>
      </c>
      <c r="M1461" s="29" t="n">
        <f aca="false">IF(AND(C1461&gt;=Settings!$B$5-Settings!$B$9+1,C1461&lt;=Settings!$B$5,COUNTIFS($B$5:B1461,B1461,$C$5:C1461,"&gt;="&amp;(Settings!$B$5-Settings!$B$9+1),$C$5:C1461,"&lt;="&amp;Settings!$B$5)=1),1,0)</f>
        <v>1</v>
      </c>
      <c r="N1461" s="29" t="n">
        <f aca="false">IF(AND(D1461="Feature Use",COUNTIFS($B$5:B1461,B1461,$D$5:D1461,"Feature Use")=1),1,0)</f>
        <v>0</v>
      </c>
    </row>
    <row r="1462" customFormat="false" ht="15" hidden="false" customHeight="false" outlineLevel="0" collapsed="false">
      <c r="A1462" s="22" t="s">
        <v>1769</v>
      </c>
      <c r="B1462" s="22" t="s">
        <v>247</v>
      </c>
      <c r="C1462" s="31" t="n">
        <v>46307</v>
      </c>
      <c r="D1462" s="22" t="s">
        <v>300</v>
      </c>
      <c r="E1462" s="22" t="s">
        <v>301</v>
      </c>
      <c r="F1462" s="29" t="str">
        <f aca="false">IF(COUNTIF(Referral_Data!$C$5:$C$1000,B1462)&gt;0,"Referred",IF(COUNTIF(Referral_Data!$B$5:$B$1000,B1462)&gt;0,"Referrer","Organic"))</f>
        <v>Referred</v>
      </c>
      <c r="G1462" s="29" t="n">
        <f aca="false">IF(COUNTIFS($B$5:B1462,B1462,$C$5:C1462,C1462)=1,1,0)</f>
        <v>0</v>
      </c>
      <c r="H1462" s="29" t="n">
        <f aca="false">IF(AND(G1462=1,COUNTIFS($B$5:$B$1635,B1462,$C$5:$C$1635,"&lt;"&amp;C1462)&gt;0),1,0)</f>
        <v>0</v>
      </c>
      <c r="I1462" s="29" t="n">
        <f aca="false">IF(AND(D1462="Feature Use",COUNTIFS($B$5:B1462,B1462,$D$5:D1462,"Feature Use",$E$5:E1462,E1462)=1),1,0)</f>
        <v>1</v>
      </c>
      <c r="J1462" s="29" t="n">
        <f aca="false">IF(AND(D1462="Feature Use",COUNTIFS($B$5:B1462,B1462,$D$5:D1462,"Feature Use",$E$5:E1462,E1462)=2),1,0)</f>
        <v>0</v>
      </c>
      <c r="K1462" s="29" t="n">
        <f aca="false">IF(COUNTIF($B$5:B1462,B1462)=1,1,0)</f>
        <v>0</v>
      </c>
      <c r="L1462" s="29" t="n">
        <f aca="false">IF(AND(C1462&gt;=Settings!$B$5-Settings!$B$8+1,C1462&lt;=Settings!$B$5,COUNTIFS($B$5:B1462,B1462,$C$5:C1462,"&gt;="&amp;(Settings!$B$5-Settings!$B$8+1),$C$5:C1462,"&lt;="&amp;Settings!$B$5)=1),1,0)</f>
        <v>0</v>
      </c>
      <c r="M1462" s="29" t="n">
        <f aca="false">IF(AND(C1462&gt;=Settings!$B$5-Settings!$B$9+1,C1462&lt;=Settings!$B$5,COUNTIFS($B$5:B1462,B1462,$C$5:C1462,"&gt;="&amp;(Settings!$B$5-Settings!$B$9+1),$C$5:C1462,"&lt;="&amp;Settings!$B$5)=1),1,0)</f>
        <v>0</v>
      </c>
      <c r="N1462" s="29" t="n">
        <f aca="false">IF(AND(D1462="Feature Use",COUNTIFS($B$5:B1462,B1462,$D$5:D1462,"Feature Use")=1),1,0)</f>
        <v>1</v>
      </c>
    </row>
    <row r="1463" customFormat="false" ht="15" hidden="false" customHeight="false" outlineLevel="0" collapsed="false">
      <c r="A1463" s="22" t="s">
        <v>1770</v>
      </c>
      <c r="B1463" s="22" t="s">
        <v>261</v>
      </c>
      <c r="C1463" s="31" t="n">
        <v>46307</v>
      </c>
      <c r="D1463" s="22" t="s">
        <v>297</v>
      </c>
      <c r="E1463" s="22" t="s">
        <v>298</v>
      </c>
      <c r="F1463" s="29" t="str">
        <f aca="false">IF(COUNTIF(Referral_Data!$C$5:$C$1000,B1463)&gt;0,"Referred",IF(COUNTIF(Referral_Data!$B$5:$B$1000,B1463)&gt;0,"Referrer","Organic"))</f>
        <v>Referred</v>
      </c>
      <c r="G1463" s="29" t="n">
        <f aca="false">IF(COUNTIFS($B$5:B1463,B1463,$C$5:C1463,C1463)=1,1,0)</f>
        <v>1</v>
      </c>
      <c r="H1463" s="29" t="n">
        <f aca="false">IF(AND(G1463=1,COUNTIFS($B$5:$B$1635,B1463,$C$5:$C$1635,"&lt;"&amp;C1463)&gt;0),1,0)</f>
        <v>1</v>
      </c>
      <c r="I1463" s="29" t="n">
        <f aca="false">IF(AND(D1463="Feature Use",COUNTIFS($B$5:B1463,B1463,$D$5:D1463,"Feature Use",$E$5:E1463,E1463)=1),1,0)</f>
        <v>0</v>
      </c>
      <c r="J1463" s="29" t="n">
        <f aca="false">IF(AND(D1463="Feature Use",COUNTIFS($B$5:B1463,B1463,$D$5:D1463,"Feature Use",$E$5:E1463,E1463)=2),1,0)</f>
        <v>0</v>
      </c>
      <c r="K1463" s="29" t="n">
        <f aca="false">IF(COUNTIF($B$5:B1463,B1463)=1,1,0)</f>
        <v>0</v>
      </c>
      <c r="L1463" s="29" t="n">
        <f aca="false">IF(AND(C1463&gt;=Settings!$B$5-Settings!$B$8+1,C1463&lt;=Settings!$B$5,COUNTIFS($B$5:B1463,B1463,$C$5:C1463,"&gt;="&amp;(Settings!$B$5-Settings!$B$8+1),$C$5:C1463,"&lt;="&amp;Settings!$B$5)=1),1,0)</f>
        <v>1</v>
      </c>
      <c r="M1463" s="29" t="n">
        <f aca="false">IF(AND(C1463&gt;=Settings!$B$5-Settings!$B$9+1,C1463&lt;=Settings!$B$5,COUNTIFS($B$5:B1463,B1463,$C$5:C1463,"&gt;="&amp;(Settings!$B$5-Settings!$B$9+1),$C$5:C1463,"&lt;="&amp;Settings!$B$5)=1),1,0)</f>
        <v>0</v>
      </c>
      <c r="N1463" s="29" t="n">
        <f aca="false">IF(AND(D1463="Feature Use",COUNTIFS($B$5:B1463,B1463,$D$5:D1463,"Feature Use")=1),1,0)</f>
        <v>0</v>
      </c>
    </row>
    <row r="1464" customFormat="false" ht="15" hidden="false" customHeight="false" outlineLevel="0" collapsed="false">
      <c r="A1464" s="22" t="s">
        <v>1771</v>
      </c>
      <c r="B1464" s="22" t="s">
        <v>261</v>
      </c>
      <c r="C1464" s="31" t="n">
        <v>46307</v>
      </c>
      <c r="D1464" s="22" t="s">
        <v>300</v>
      </c>
      <c r="E1464" s="22" t="s">
        <v>305</v>
      </c>
      <c r="F1464" s="29" t="str">
        <f aca="false">IF(COUNTIF(Referral_Data!$C$5:$C$1000,B1464)&gt;0,"Referred",IF(COUNTIF(Referral_Data!$B$5:$B$1000,B1464)&gt;0,"Referrer","Organic"))</f>
        <v>Referred</v>
      </c>
      <c r="G1464" s="29" t="n">
        <f aca="false">IF(COUNTIFS($B$5:B1464,B1464,$C$5:C1464,C1464)=1,1,0)</f>
        <v>0</v>
      </c>
      <c r="H1464" s="29" t="n">
        <f aca="false">IF(AND(G1464=1,COUNTIFS($B$5:$B$1635,B1464,$C$5:$C$1635,"&lt;"&amp;C1464)&gt;0),1,0)</f>
        <v>0</v>
      </c>
      <c r="I1464" s="29" t="n">
        <f aca="false">IF(AND(D1464="Feature Use",COUNTIFS($B$5:B1464,B1464,$D$5:D1464,"Feature Use",$E$5:E1464,E1464)=1),1,0)</f>
        <v>0</v>
      </c>
      <c r="J1464" s="29" t="n">
        <f aca="false">IF(AND(D1464="Feature Use",COUNTIFS($B$5:B1464,B1464,$D$5:D1464,"Feature Use",$E$5:E1464,E1464)=2),1,0)</f>
        <v>0</v>
      </c>
      <c r="K1464" s="29" t="n">
        <f aca="false">IF(COUNTIF($B$5:B1464,B1464)=1,1,0)</f>
        <v>0</v>
      </c>
      <c r="L1464" s="29" t="n">
        <f aca="false">IF(AND(C1464&gt;=Settings!$B$5-Settings!$B$8+1,C1464&lt;=Settings!$B$5,COUNTIFS($B$5:B1464,B1464,$C$5:C1464,"&gt;="&amp;(Settings!$B$5-Settings!$B$8+1),$C$5:C1464,"&lt;="&amp;Settings!$B$5)=1),1,0)</f>
        <v>0</v>
      </c>
      <c r="M1464" s="29" t="n">
        <f aca="false">IF(AND(C1464&gt;=Settings!$B$5-Settings!$B$9+1,C1464&lt;=Settings!$B$5,COUNTIFS($B$5:B1464,B1464,$C$5:C1464,"&gt;="&amp;(Settings!$B$5-Settings!$B$9+1),$C$5:C1464,"&lt;="&amp;Settings!$B$5)=1),1,0)</f>
        <v>0</v>
      </c>
      <c r="N1464" s="29" t="n">
        <f aca="false">IF(AND(D1464="Feature Use",COUNTIFS($B$5:B1464,B1464,$D$5:D1464,"Feature Use")=1),1,0)</f>
        <v>0</v>
      </c>
    </row>
    <row r="1465" customFormat="false" ht="15" hidden="false" customHeight="false" outlineLevel="0" collapsed="false">
      <c r="A1465" s="22" t="s">
        <v>1772</v>
      </c>
      <c r="B1465" s="22" t="s">
        <v>261</v>
      </c>
      <c r="C1465" s="31" t="n">
        <v>46307</v>
      </c>
      <c r="D1465" s="22" t="s">
        <v>300</v>
      </c>
      <c r="E1465" s="22" t="s">
        <v>319</v>
      </c>
      <c r="F1465" s="29" t="str">
        <f aca="false">IF(COUNTIF(Referral_Data!$C$5:$C$1000,B1465)&gt;0,"Referred",IF(COUNTIF(Referral_Data!$B$5:$B$1000,B1465)&gt;0,"Referrer","Organic"))</f>
        <v>Referred</v>
      </c>
      <c r="G1465" s="29" t="n">
        <f aca="false">IF(COUNTIFS($B$5:B1465,B1465,$C$5:C1465,C1465)=1,1,0)</f>
        <v>0</v>
      </c>
      <c r="H1465" s="29" t="n">
        <f aca="false">IF(AND(G1465=1,COUNTIFS($B$5:$B$1635,B1465,$C$5:$C$1635,"&lt;"&amp;C1465)&gt;0),1,0)</f>
        <v>0</v>
      </c>
      <c r="I1465" s="29" t="n">
        <f aca="false">IF(AND(D1465="Feature Use",COUNTIFS($B$5:B1465,B1465,$D$5:D1465,"Feature Use",$E$5:E1465,E1465)=1),1,0)</f>
        <v>0</v>
      </c>
      <c r="J1465" s="29" t="n">
        <f aca="false">IF(AND(D1465="Feature Use",COUNTIFS($B$5:B1465,B1465,$D$5:D1465,"Feature Use",$E$5:E1465,E1465)=2),1,0)</f>
        <v>0</v>
      </c>
      <c r="K1465" s="29" t="n">
        <f aca="false">IF(COUNTIF($B$5:B1465,B1465)=1,1,0)</f>
        <v>0</v>
      </c>
      <c r="L1465" s="29" t="n">
        <f aca="false">IF(AND(C1465&gt;=Settings!$B$5-Settings!$B$8+1,C1465&lt;=Settings!$B$5,COUNTIFS($B$5:B1465,B1465,$C$5:C1465,"&gt;="&amp;(Settings!$B$5-Settings!$B$8+1),$C$5:C1465,"&lt;="&amp;Settings!$B$5)=1),1,0)</f>
        <v>0</v>
      </c>
      <c r="M1465" s="29" t="n">
        <f aca="false">IF(AND(C1465&gt;=Settings!$B$5-Settings!$B$9+1,C1465&lt;=Settings!$B$5,COUNTIFS($B$5:B1465,B1465,$C$5:C1465,"&gt;="&amp;(Settings!$B$5-Settings!$B$9+1),$C$5:C1465,"&lt;="&amp;Settings!$B$5)=1),1,0)</f>
        <v>0</v>
      </c>
      <c r="N1465" s="29" t="n">
        <f aca="false">IF(AND(D1465="Feature Use",COUNTIFS($B$5:B1465,B1465,$D$5:D1465,"Feature Use")=1),1,0)</f>
        <v>0</v>
      </c>
    </row>
    <row r="1466" customFormat="false" ht="15" hidden="false" customHeight="false" outlineLevel="0" collapsed="false">
      <c r="A1466" s="22" t="s">
        <v>1773</v>
      </c>
      <c r="B1466" s="22" t="s">
        <v>267</v>
      </c>
      <c r="C1466" s="31" t="n">
        <v>46307</v>
      </c>
      <c r="D1466" s="22" t="s">
        <v>297</v>
      </c>
      <c r="E1466" s="22" t="s">
        <v>298</v>
      </c>
      <c r="F1466" s="29" t="str">
        <f aca="false">IF(COUNTIF(Referral_Data!$C$5:$C$1000,B1466)&gt;0,"Referred",IF(COUNTIF(Referral_Data!$B$5:$B$1000,B1466)&gt;0,"Referrer","Organic"))</f>
        <v>Referred</v>
      </c>
      <c r="G1466" s="29" t="n">
        <f aca="false">IF(COUNTIFS($B$5:B1466,B1466,$C$5:C1466,C1466)=1,1,0)</f>
        <v>1</v>
      </c>
      <c r="H1466" s="29" t="n">
        <f aca="false">IF(AND(G1466=1,COUNTIFS($B$5:$B$1635,B1466,$C$5:$C$1635,"&lt;"&amp;C1466)&gt;0),1,0)</f>
        <v>1</v>
      </c>
      <c r="I1466" s="29" t="n">
        <f aca="false">IF(AND(D1466="Feature Use",COUNTIFS($B$5:B1466,B1466,$D$5:D1466,"Feature Use",$E$5:E1466,E1466)=1),1,0)</f>
        <v>0</v>
      </c>
      <c r="J1466" s="29" t="n">
        <f aca="false">IF(AND(D1466="Feature Use",COUNTIFS($B$5:B1466,B1466,$D$5:D1466,"Feature Use",$E$5:E1466,E1466)=2),1,0)</f>
        <v>0</v>
      </c>
      <c r="K1466" s="29" t="n">
        <f aca="false">IF(COUNTIF($B$5:B1466,B1466)=1,1,0)</f>
        <v>0</v>
      </c>
      <c r="L1466" s="29" t="n">
        <f aca="false">IF(AND(C1466&gt;=Settings!$B$5-Settings!$B$8+1,C1466&lt;=Settings!$B$5,COUNTIFS($B$5:B1466,B1466,$C$5:C1466,"&gt;="&amp;(Settings!$B$5-Settings!$B$8+1),$C$5:C1466,"&lt;="&amp;Settings!$B$5)=1),1,0)</f>
        <v>0</v>
      </c>
      <c r="M1466" s="29" t="n">
        <f aca="false">IF(AND(C1466&gt;=Settings!$B$5-Settings!$B$9+1,C1466&lt;=Settings!$B$5,COUNTIFS($B$5:B1466,B1466,$C$5:C1466,"&gt;="&amp;(Settings!$B$5-Settings!$B$9+1),$C$5:C1466,"&lt;="&amp;Settings!$B$5)=1),1,0)</f>
        <v>0</v>
      </c>
      <c r="N1466" s="29" t="n">
        <f aca="false">IF(AND(D1466="Feature Use",COUNTIFS($B$5:B1466,B1466,$D$5:D1466,"Feature Use")=1),1,0)</f>
        <v>0</v>
      </c>
    </row>
    <row r="1467" customFormat="false" ht="15" hidden="false" customHeight="false" outlineLevel="0" collapsed="false">
      <c r="A1467" s="22" t="s">
        <v>1774</v>
      </c>
      <c r="B1467" s="22" t="s">
        <v>267</v>
      </c>
      <c r="C1467" s="31" t="n">
        <v>46307</v>
      </c>
      <c r="D1467" s="22" t="s">
        <v>300</v>
      </c>
      <c r="E1467" s="22" t="s">
        <v>311</v>
      </c>
      <c r="F1467" s="29" t="str">
        <f aca="false">IF(COUNTIF(Referral_Data!$C$5:$C$1000,B1467)&gt;0,"Referred",IF(COUNTIF(Referral_Data!$B$5:$B$1000,B1467)&gt;0,"Referrer","Organic"))</f>
        <v>Referred</v>
      </c>
      <c r="G1467" s="29" t="n">
        <f aca="false">IF(COUNTIFS($B$5:B1467,B1467,$C$5:C1467,C1467)=1,1,0)</f>
        <v>0</v>
      </c>
      <c r="H1467" s="29" t="n">
        <f aca="false">IF(AND(G1467=1,COUNTIFS($B$5:$B$1635,B1467,$C$5:$C$1635,"&lt;"&amp;C1467)&gt;0),1,0)</f>
        <v>0</v>
      </c>
      <c r="I1467" s="29" t="n">
        <f aca="false">IF(AND(D1467="Feature Use",COUNTIFS($B$5:B1467,B1467,$D$5:D1467,"Feature Use",$E$5:E1467,E1467)=1),1,0)</f>
        <v>1</v>
      </c>
      <c r="J1467" s="29" t="n">
        <f aca="false">IF(AND(D1467="Feature Use",COUNTIFS($B$5:B1467,B1467,$D$5:D1467,"Feature Use",$E$5:E1467,E1467)=2),1,0)</f>
        <v>0</v>
      </c>
      <c r="K1467" s="29" t="n">
        <f aca="false">IF(COUNTIF($B$5:B1467,B1467)=1,1,0)</f>
        <v>0</v>
      </c>
      <c r="L1467" s="29" t="n">
        <f aca="false">IF(AND(C1467&gt;=Settings!$B$5-Settings!$B$8+1,C1467&lt;=Settings!$B$5,COUNTIFS($B$5:B1467,B1467,$C$5:C1467,"&gt;="&amp;(Settings!$B$5-Settings!$B$8+1),$C$5:C1467,"&lt;="&amp;Settings!$B$5)=1),1,0)</f>
        <v>0</v>
      </c>
      <c r="M1467" s="29" t="n">
        <f aca="false">IF(AND(C1467&gt;=Settings!$B$5-Settings!$B$9+1,C1467&lt;=Settings!$B$5,COUNTIFS($B$5:B1467,B1467,$C$5:C1467,"&gt;="&amp;(Settings!$B$5-Settings!$B$9+1),$C$5:C1467,"&lt;="&amp;Settings!$B$5)=1),1,0)</f>
        <v>0</v>
      </c>
      <c r="N1467" s="29" t="n">
        <f aca="false">IF(AND(D1467="Feature Use",COUNTIFS($B$5:B1467,B1467,$D$5:D1467,"Feature Use")=1),1,0)</f>
        <v>0</v>
      </c>
    </row>
    <row r="1468" customFormat="false" ht="15" hidden="false" customHeight="false" outlineLevel="0" collapsed="false">
      <c r="A1468" s="22" t="s">
        <v>1775</v>
      </c>
      <c r="B1468" s="22" t="s">
        <v>196</v>
      </c>
      <c r="C1468" s="31" t="n">
        <v>46307</v>
      </c>
      <c r="D1468" s="22" t="s">
        <v>297</v>
      </c>
      <c r="E1468" s="22" t="s">
        <v>298</v>
      </c>
      <c r="F1468" s="29" t="str">
        <f aca="false">IF(COUNTIF(Referral_Data!$C$5:$C$1000,B1468)&gt;0,"Referred",IF(COUNTIF(Referral_Data!$B$5:$B$1000,B1468)&gt;0,"Referrer","Organic"))</f>
        <v>Referrer</v>
      </c>
      <c r="G1468" s="29" t="n">
        <f aca="false">IF(COUNTIFS($B$5:B1468,B1468,$C$5:C1468,C1468)=1,1,0)</f>
        <v>1</v>
      </c>
      <c r="H1468" s="29" t="n">
        <f aca="false">IF(AND(G1468=1,COUNTIFS($B$5:$B$1635,B1468,$C$5:$C$1635,"&lt;"&amp;C1468)&gt;0),1,0)</f>
        <v>1</v>
      </c>
      <c r="I1468" s="29" t="n">
        <f aca="false">IF(AND(D1468="Feature Use",COUNTIFS($B$5:B1468,B1468,$D$5:D1468,"Feature Use",$E$5:E1468,E1468)=1),1,0)</f>
        <v>0</v>
      </c>
      <c r="J1468" s="29" t="n">
        <f aca="false">IF(AND(D1468="Feature Use",COUNTIFS($B$5:B1468,B1468,$D$5:D1468,"Feature Use",$E$5:E1468,E1468)=2),1,0)</f>
        <v>0</v>
      </c>
      <c r="K1468" s="29" t="n">
        <f aca="false">IF(COUNTIF($B$5:B1468,B1468)=1,1,0)</f>
        <v>0</v>
      </c>
      <c r="L1468" s="29" t="n">
        <f aca="false">IF(AND(C1468&gt;=Settings!$B$5-Settings!$B$8+1,C1468&lt;=Settings!$B$5,COUNTIFS($B$5:B1468,B1468,$C$5:C1468,"&gt;="&amp;(Settings!$B$5-Settings!$B$8+1),$C$5:C1468,"&lt;="&amp;Settings!$B$5)=1),1,0)</f>
        <v>0</v>
      </c>
      <c r="M1468" s="29" t="n">
        <f aca="false">IF(AND(C1468&gt;=Settings!$B$5-Settings!$B$9+1,C1468&lt;=Settings!$B$5,COUNTIFS($B$5:B1468,B1468,$C$5:C1468,"&gt;="&amp;(Settings!$B$5-Settings!$B$9+1),$C$5:C1468,"&lt;="&amp;Settings!$B$5)=1),1,0)</f>
        <v>0</v>
      </c>
      <c r="N1468" s="29" t="n">
        <f aca="false">IF(AND(D1468="Feature Use",COUNTIFS($B$5:B1468,B1468,$D$5:D1468,"Feature Use")=1),1,0)</f>
        <v>0</v>
      </c>
    </row>
    <row r="1469" customFormat="false" ht="15" hidden="false" customHeight="false" outlineLevel="0" collapsed="false">
      <c r="A1469" s="22" t="s">
        <v>1776</v>
      </c>
      <c r="B1469" s="22" t="s">
        <v>196</v>
      </c>
      <c r="C1469" s="31" t="n">
        <v>46307</v>
      </c>
      <c r="D1469" s="22" t="s">
        <v>300</v>
      </c>
      <c r="E1469" s="22" t="s">
        <v>319</v>
      </c>
      <c r="F1469" s="29" t="str">
        <f aca="false">IF(COUNTIF(Referral_Data!$C$5:$C$1000,B1469)&gt;0,"Referred",IF(COUNTIF(Referral_Data!$B$5:$B$1000,B1469)&gt;0,"Referrer","Organic"))</f>
        <v>Referrer</v>
      </c>
      <c r="G1469" s="29" t="n">
        <f aca="false">IF(COUNTIFS($B$5:B1469,B1469,$C$5:C1469,C1469)=1,1,0)</f>
        <v>0</v>
      </c>
      <c r="H1469" s="29" t="n">
        <f aca="false">IF(AND(G1469=1,COUNTIFS($B$5:$B$1635,B1469,$C$5:$C$1635,"&lt;"&amp;C1469)&gt;0),1,0)</f>
        <v>0</v>
      </c>
      <c r="I1469" s="29" t="n">
        <f aca="false">IF(AND(D1469="Feature Use",COUNTIFS($B$5:B1469,B1469,$D$5:D1469,"Feature Use",$E$5:E1469,E1469)=1),1,0)</f>
        <v>0</v>
      </c>
      <c r="J1469" s="29" t="n">
        <f aca="false">IF(AND(D1469="Feature Use",COUNTIFS($B$5:B1469,B1469,$D$5:D1469,"Feature Use",$E$5:E1469,E1469)=2),1,0)</f>
        <v>0</v>
      </c>
      <c r="K1469" s="29" t="n">
        <f aca="false">IF(COUNTIF($B$5:B1469,B1469)=1,1,0)</f>
        <v>0</v>
      </c>
      <c r="L1469" s="29" t="n">
        <f aca="false">IF(AND(C1469&gt;=Settings!$B$5-Settings!$B$8+1,C1469&lt;=Settings!$B$5,COUNTIFS($B$5:B1469,B1469,$C$5:C1469,"&gt;="&amp;(Settings!$B$5-Settings!$B$8+1),$C$5:C1469,"&lt;="&amp;Settings!$B$5)=1),1,0)</f>
        <v>0</v>
      </c>
      <c r="M1469" s="29" t="n">
        <f aca="false">IF(AND(C1469&gt;=Settings!$B$5-Settings!$B$9+1,C1469&lt;=Settings!$B$5,COUNTIFS($B$5:B1469,B1469,$C$5:C1469,"&gt;="&amp;(Settings!$B$5-Settings!$B$9+1),$C$5:C1469,"&lt;="&amp;Settings!$B$5)=1),1,0)</f>
        <v>0</v>
      </c>
      <c r="N1469" s="29" t="n">
        <f aca="false">IF(AND(D1469="Feature Use",COUNTIFS($B$5:B1469,B1469,$D$5:D1469,"Feature Use")=1),1,0)</f>
        <v>0</v>
      </c>
    </row>
    <row r="1470" customFormat="false" ht="15" hidden="false" customHeight="false" outlineLevel="0" collapsed="false">
      <c r="A1470" s="22" t="s">
        <v>1777</v>
      </c>
      <c r="B1470" s="22" t="s">
        <v>196</v>
      </c>
      <c r="C1470" s="31" t="n">
        <v>46307</v>
      </c>
      <c r="D1470" s="22" t="s">
        <v>300</v>
      </c>
      <c r="E1470" s="22" t="s">
        <v>319</v>
      </c>
      <c r="F1470" s="29" t="str">
        <f aca="false">IF(COUNTIF(Referral_Data!$C$5:$C$1000,B1470)&gt;0,"Referred",IF(COUNTIF(Referral_Data!$B$5:$B$1000,B1470)&gt;0,"Referrer","Organic"))</f>
        <v>Referrer</v>
      </c>
      <c r="G1470" s="29" t="n">
        <f aca="false">IF(COUNTIFS($B$5:B1470,B1470,$C$5:C1470,C1470)=1,1,0)</f>
        <v>0</v>
      </c>
      <c r="H1470" s="29" t="n">
        <f aca="false">IF(AND(G1470=1,COUNTIFS($B$5:$B$1635,B1470,$C$5:$C$1635,"&lt;"&amp;C1470)&gt;0),1,0)</f>
        <v>0</v>
      </c>
      <c r="I1470" s="29" t="n">
        <f aca="false">IF(AND(D1470="Feature Use",COUNTIFS($B$5:B1470,B1470,$D$5:D1470,"Feature Use",$E$5:E1470,E1470)=1),1,0)</f>
        <v>0</v>
      </c>
      <c r="J1470" s="29" t="n">
        <f aca="false">IF(AND(D1470="Feature Use",COUNTIFS($B$5:B1470,B1470,$D$5:D1470,"Feature Use",$E$5:E1470,E1470)=2),1,0)</f>
        <v>0</v>
      </c>
      <c r="K1470" s="29" t="n">
        <f aca="false">IF(COUNTIF($B$5:B1470,B1470)=1,1,0)</f>
        <v>0</v>
      </c>
      <c r="L1470" s="29" t="n">
        <f aca="false">IF(AND(C1470&gt;=Settings!$B$5-Settings!$B$8+1,C1470&lt;=Settings!$B$5,COUNTIFS($B$5:B1470,B1470,$C$5:C1470,"&gt;="&amp;(Settings!$B$5-Settings!$B$8+1),$C$5:C1470,"&lt;="&amp;Settings!$B$5)=1),1,0)</f>
        <v>0</v>
      </c>
      <c r="M1470" s="29" t="n">
        <f aca="false">IF(AND(C1470&gt;=Settings!$B$5-Settings!$B$9+1,C1470&lt;=Settings!$B$5,COUNTIFS($B$5:B1470,B1470,$C$5:C1470,"&gt;="&amp;(Settings!$B$5-Settings!$B$9+1),$C$5:C1470,"&lt;="&amp;Settings!$B$5)=1),1,0)</f>
        <v>0</v>
      </c>
      <c r="N1470" s="29" t="n">
        <f aca="false">IF(AND(D1470="Feature Use",COUNTIFS($B$5:B1470,B1470,$D$5:D1470,"Feature Use")=1),1,0)</f>
        <v>0</v>
      </c>
    </row>
    <row r="1471" customFormat="false" ht="15" hidden="false" customHeight="false" outlineLevel="0" collapsed="false">
      <c r="A1471" s="22" t="s">
        <v>1778</v>
      </c>
      <c r="B1471" s="22" t="s">
        <v>196</v>
      </c>
      <c r="C1471" s="31" t="n">
        <v>46307</v>
      </c>
      <c r="D1471" s="22" t="s">
        <v>308</v>
      </c>
      <c r="E1471" s="22" t="s">
        <v>305</v>
      </c>
      <c r="F1471" s="29" t="str">
        <f aca="false">IF(COUNTIF(Referral_Data!$C$5:$C$1000,B1471)&gt;0,"Referred",IF(COUNTIF(Referral_Data!$B$5:$B$1000,B1471)&gt;0,"Referrer","Organic"))</f>
        <v>Referrer</v>
      </c>
      <c r="G1471" s="29" t="n">
        <f aca="false">IF(COUNTIFS($B$5:B1471,B1471,$C$5:C1471,C1471)=1,1,0)</f>
        <v>0</v>
      </c>
      <c r="H1471" s="29" t="n">
        <f aca="false">IF(AND(G1471=1,COUNTIFS($B$5:$B$1635,B1471,$C$5:$C$1635,"&lt;"&amp;C1471)&gt;0),1,0)</f>
        <v>0</v>
      </c>
      <c r="I1471" s="29" t="n">
        <f aca="false">IF(AND(D1471="Feature Use",COUNTIFS($B$5:B1471,B1471,$D$5:D1471,"Feature Use",$E$5:E1471,E1471)=1),1,0)</f>
        <v>0</v>
      </c>
      <c r="J1471" s="29" t="n">
        <f aca="false">IF(AND(D1471="Feature Use",COUNTIFS($B$5:B1471,B1471,$D$5:D1471,"Feature Use",$E$5:E1471,E1471)=2),1,0)</f>
        <v>0</v>
      </c>
      <c r="K1471" s="29" t="n">
        <f aca="false">IF(COUNTIF($B$5:B1471,B1471)=1,1,0)</f>
        <v>0</v>
      </c>
      <c r="L1471" s="29" t="n">
        <f aca="false">IF(AND(C1471&gt;=Settings!$B$5-Settings!$B$8+1,C1471&lt;=Settings!$B$5,COUNTIFS($B$5:B1471,B1471,$C$5:C1471,"&gt;="&amp;(Settings!$B$5-Settings!$B$8+1),$C$5:C1471,"&lt;="&amp;Settings!$B$5)=1),1,0)</f>
        <v>0</v>
      </c>
      <c r="M1471" s="29" t="n">
        <f aca="false">IF(AND(C1471&gt;=Settings!$B$5-Settings!$B$9+1,C1471&lt;=Settings!$B$5,COUNTIFS($B$5:B1471,B1471,$C$5:C1471,"&gt;="&amp;(Settings!$B$5-Settings!$B$9+1),$C$5:C1471,"&lt;="&amp;Settings!$B$5)=1),1,0)</f>
        <v>0</v>
      </c>
      <c r="N1471" s="29" t="n">
        <f aca="false">IF(AND(D1471="Feature Use",COUNTIFS($B$5:B1471,B1471,$D$5:D1471,"Feature Use")=1),1,0)</f>
        <v>0</v>
      </c>
    </row>
    <row r="1472" customFormat="false" ht="15" hidden="false" customHeight="false" outlineLevel="0" collapsed="false">
      <c r="A1472" s="22" t="s">
        <v>1779</v>
      </c>
      <c r="B1472" s="22" t="s">
        <v>196</v>
      </c>
      <c r="C1472" s="31" t="n">
        <v>46307</v>
      </c>
      <c r="D1472" s="22" t="s">
        <v>308</v>
      </c>
      <c r="E1472" s="22" t="s">
        <v>319</v>
      </c>
      <c r="F1472" s="29" t="str">
        <f aca="false">IF(COUNTIF(Referral_Data!$C$5:$C$1000,B1472)&gt;0,"Referred",IF(COUNTIF(Referral_Data!$B$5:$B$1000,B1472)&gt;0,"Referrer","Organic"))</f>
        <v>Referrer</v>
      </c>
      <c r="G1472" s="29" t="n">
        <f aca="false">IF(COUNTIFS($B$5:B1472,B1472,$C$5:C1472,C1472)=1,1,0)</f>
        <v>0</v>
      </c>
      <c r="H1472" s="29" t="n">
        <f aca="false">IF(AND(G1472=1,COUNTIFS($B$5:$B$1635,B1472,$C$5:$C$1635,"&lt;"&amp;C1472)&gt;0),1,0)</f>
        <v>0</v>
      </c>
      <c r="I1472" s="29" t="n">
        <f aca="false">IF(AND(D1472="Feature Use",COUNTIFS($B$5:B1472,B1472,$D$5:D1472,"Feature Use",$E$5:E1472,E1472)=1),1,0)</f>
        <v>0</v>
      </c>
      <c r="J1472" s="29" t="n">
        <f aca="false">IF(AND(D1472="Feature Use",COUNTIFS($B$5:B1472,B1472,$D$5:D1472,"Feature Use",$E$5:E1472,E1472)=2),1,0)</f>
        <v>0</v>
      </c>
      <c r="K1472" s="29" t="n">
        <f aca="false">IF(COUNTIF($B$5:B1472,B1472)=1,1,0)</f>
        <v>0</v>
      </c>
      <c r="L1472" s="29" t="n">
        <f aca="false">IF(AND(C1472&gt;=Settings!$B$5-Settings!$B$8+1,C1472&lt;=Settings!$B$5,COUNTIFS($B$5:B1472,B1472,$C$5:C1472,"&gt;="&amp;(Settings!$B$5-Settings!$B$8+1),$C$5:C1472,"&lt;="&amp;Settings!$B$5)=1),1,0)</f>
        <v>0</v>
      </c>
      <c r="M1472" s="29" t="n">
        <f aca="false">IF(AND(C1472&gt;=Settings!$B$5-Settings!$B$9+1,C1472&lt;=Settings!$B$5,COUNTIFS($B$5:B1472,B1472,$C$5:C1472,"&gt;="&amp;(Settings!$B$5-Settings!$B$9+1),$C$5:C1472,"&lt;="&amp;Settings!$B$5)=1),1,0)</f>
        <v>0</v>
      </c>
      <c r="N1472" s="29" t="n">
        <f aca="false">IF(AND(D1472="Feature Use",COUNTIFS($B$5:B1472,B1472,$D$5:D1472,"Feature Use")=1),1,0)</f>
        <v>0</v>
      </c>
    </row>
    <row r="1473" customFormat="false" ht="15" hidden="false" customHeight="false" outlineLevel="0" collapsed="false">
      <c r="A1473" s="22" t="s">
        <v>1780</v>
      </c>
      <c r="B1473" s="22" t="s">
        <v>208</v>
      </c>
      <c r="C1473" s="31" t="n">
        <v>46307</v>
      </c>
      <c r="D1473" s="22" t="s">
        <v>297</v>
      </c>
      <c r="E1473" s="22" t="s">
        <v>298</v>
      </c>
      <c r="F1473" s="29" t="str">
        <f aca="false">IF(COUNTIF(Referral_Data!$C$5:$C$1000,B1473)&gt;0,"Referred",IF(COUNTIF(Referral_Data!$B$5:$B$1000,B1473)&gt;0,"Referrer","Organic"))</f>
        <v>Referrer</v>
      </c>
      <c r="G1473" s="29" t="n">
        <f aca="false">IF(COUNTIFS($B$5:B1473,B1473,$C$5:C1473,C1473)=1,1,0)</f>
        <v>1</v>
      </c>
      <c r="H1473" s="29" t="n">
        <f aca="false">IF(AND(G1473=1,COUNTIFS($B$5:$B$1635,B1473,$C$5:$C$1635,"&lt;"&amp;C1473)&gt;0),1,0)</f>
        <v>1</v>
      </c>
      <c r="I1473" s="29" t="n">
        <f aca="false">IF(AND(D1473="Feature Use",COUNTIFS($B$5:B1473,B1473,$D$5:D1473,"Feature Use",$E$5:E1473,E1473)=1),1,0)</f>
        <v>0</v>
      </c>
      <c r="J1473" s="29" t="n">
        <f aca="false">IF(AND(D1473="Feature Use",COUNTIFS($B$5:B1473,B1473,$D$5:D1473,"Feature Use",$E$5:E1473,E1473)=2),1,0)</f>
        <v>0</v>
      </c>
      <c r="K1473" s="29" t="n">
        <f aca="false">IF(COUNTIF($B$5:B1473,B1473)=1,1,0)</f>
        <v>0</v>
      </c>
      <c r="L1473" s="29" t="n">
        <f aca="false">IF(AND(C1473&gt;=Settings!$B$5-Settings!$B$8+1,C1473&lt;=Settings!$B$5,COUNTIFS($B$5:B1473,B1473,$C$5:C1473,"&gt;="&amp;(Settings!$B$5-Settings!$B$8+1),$C$5:C1473,"&lt;="&amp;Settings!$B$5)=1),1,0)</f>
        <v>1</v>
      </c>
      <c r="M1473" s="29" t="n">
        <f aca="false">IF(AND(C1473&gt;=Settings!$B$5-Settings!$B$9+1,C1473&lt;=Settings!$B$5,COUNTIFS($B$5:B1473,B1473,$C$5:C1473,"&gt;="&amp;(Settings!$B$5-Settings!$B$9+1),$C$5:C1473,"&lt;="&amp;Settings!$B$5)=1),1,0)</f>
        <v>0</v>
      </c>
      <c r="N1473" s="29" t="n">
        <f aca="false">IF(AND(D1473="Feature Use",COUNTIFS($B$5:B1473,B1473,$D$5:D1473,"Feature Use")=1),1,0)</f>
        <v>0</v>
      </c>
    </row>
    <row r="1474" customFormat="false" ht="15" hidden="false" customHeight="false" outlineLevel="0" collapsed="false">
      <c r="A1474" s="22" t="s">
        <v>1781</v>
      </c>
      <c r="B1474" s="22" t="s">
        <v>208</v>
      </c>
      <c r="C1474" s="31" t="n">
        <v>46307</v>
      </c>
      <c r="D1474" s="22" t="s">
        <v>300</v>
      </c>
      <c r="E1474" s="22" t="s">
        <v>301</v>
      </c>
      <c r="F1474" s="29" t="str">
        <f aca="false">IF(COUNTIF(Referral_Data!$C$5:$C$1000,B1474)&gt;0,"Referred",IF(COUNTIF(Referral_Data!$B$5:$B$1000,B1474)&gt;0,"Referrer","Organic"))</f>
        <v>Referrer</v>
      </c>
      <c r="G1474" s="29" t="n">
        <f aca="false">IF(COUNTIFS($B$5:B1474,B1474,$C$5:C1474,C1474)=1,1,0)</f>
        <v>0</v>
      </c>
      <c r="H1474" s="29" t="n">
        <f aca="false">IF(AND(G1474=1,COUNTIFS($B$5:$B$1635,B1474,$C$5:$C$1635,"&lt;"&amp;C1474)&gt;0),1,0)</f>
        <v>0</v>
      </c>
      <c r="I1474" s="29" t="n">
        <f aca="false">IF(AND(D1474="Feature Use",COUNTIFS($B$5:B1474,B1474,$D$5:D1474,"Feature Use",$E$5:E1474,E1474)=1),1,0)</f>
        <v>0</v>
      </c>
      <c r="J1474" s="29" t="n">
        <f aca="false">IF(AND(D1474="Feature Use",COUNTIFS($B$5:B1474,B1474,$D$5:D1474,"Feature Use",$E$5:E1474,E1474)=2),1,0)</f>
        <v>0</v>
      </c>
      <c r="K1474" s="29" t="n">
        <f aca="false">IF(COUNTIF($B$5:B1474,B1474)=1,1,0)</f>
        <v>0</v>
      </c>
      <c r="L1474" s="29" t="n">
        <f aca="false">IF(AND(C1474&gt;=Settings!$B$5-Settings!$B$8+1,C1474&lt;=Settings!$B$5,COUNTIFS($B$5:B1474,B1474,$C$5:C1474,"&gt;="&amp;(Settings!$B$5-Settings!$B$8+1),$C$5:C1474,"&lt;="&amp;Settings!$B$5)=1),1,0)</f>
        <v>0</v>
      </c>
      <c r="M1474" s="29" t="n">
        <f aca="false">IF(AND(C1474&gt;=Settings!$B$5-Settings!$B$9+1,C1474&lt;=Settings!$B$5,COUNTIFS($B$5:B1474,B1474,$C$5:C1474,"&gt;="&amp;(Settings!$B$5-Settings!$B$9+1),$C$5:C1474,"&lt;="&amp;Settings!$B$5)=1),1,0)</f>
        <v>0</v>
      </c>
      <c r="N1474" s="29" t="n">
        <f aca="false">IF(AND(D1474="Feature Use",COUNTIFS($B$5:B1474,B1474,$D$5:D1474,"Feature Use")=1),1,0)</f>
        <v>0</v>
      </c>
    </row>
    <row r="1475" customFormat="false" ht="15" hidden="false" customHeight="false" outlineLevel="0" collapsed="false">
      <c r="A1475" s="22" t="s">
        <v>1782</v>
      </c>
      <c r="B1475" s="22" t="s">
        <v>178</v>
      </c>
      <c r="C1475" s="31" t="n">
        <v>46307</v>
      </c>
      <c r="D1475" s="22" t="s">
        <v>297</v>
      </c>
      <c r="E1475" s="22" t="s">
        <v>298</v>
      </c>
      <c r="F1475" s="29" t="str">
        <f aca="false">IF(COUNTIF(Referral_Data!$C$5:$C$1000,B1475)&gt;0,"Referred",IF(COUNTIF(Referral_Data!$B$5:$B$1000,B1475)&gt;0,"Referrer","Organic"))</f>
        <v>Referrer</v>
      </c>
      <c r="G1475" s="29" t="n">
        <f aca="false">IF(COUNTIFS($B$5:B1475,B1475,$C$5:C1475,C1475)=1,1,0)</f>
        <v>1</v>
      </c>
      <c r="H1475" s="29" t="n">
        <f aca="false">IF(AND(G1475=1,COUNTIFS($B$5:$B$1635,B1475,$C$5:$C$1635,"&lt;"&amp;C1475)&gt;0),1,0)</f>
        <v>1</v>
      </c>
      <c r="I1475" s="29" t="n">
        <f aca="false">IF(AND(D1475="Feature Use",COUNTIFS($B$5:B1475,B1475,$D$5:D1475,"Feature Use",$E$5:E1475,E1475)=1),1,0)</f>
        <v>0</v>
      </c>
      <c r="J1475" s="29" t="n">
        <f aca="false">IF(AND(D1475="Feature Use",COUNTIFS($B$5:B1475,B1475,$D$5:D1475,"Feature Use",$E$5:E1475,E1475)=2),1,0)</f>
        <v>0</v>
      </c>
      <c r="K1475" s="29" t="n">
        <f aca="false">IF(COUNTIF($B$5:B1475,B1475)=1,1,0)</f>
        <v>0</v>
      </c>
      <c r="L1475" s="29" t="n">
        <f aca="false">IF(AND(C1475&gt;=Settings!$B$5-Settings!$B$8+1,C1475&lt;=Settings!$B$5,COUNTIFS($B$5:B1475,B1475,$C$5:C1475,"&gt;="&amp;(Settings!$B$5-Settings!$B$8+1),$C$5:C1475,"&lt;="&amp;Settings!$B$5)=1),1,0)</f>
        <v>0</v>
      </c>
      <c r="M1475" s="29" t="n">
        <f aca="false">IF(AND(C1475&gt;=Settings!$B$5-Settings!$B$9+1,C1475&lt;=Settings!$B$5,COUNTIFS($B$5:B1475,B1475,$C$5:C1475,"&gt;="&amp;(Settings!$B$5-Settings!$B$9+1),$C$5:C1475,"&lt;="&amp;Settings!$B$5)=1),1,0)</f>
        <v>0</v>
      </c>
      <c r="N1475" s="29" t="n">
        <f aca="false">IF(AND(D1475="Feature Use",COUNTIFS($B$5:B1475,B1475,$D$5:D1475,"Feature Use")=1),1,0)</f>
        <v>0</v>
      </c>
    </row>
    <row r="1476" customFormat="false" ht="15" hidden="false" customHeight="false" outlineLevel="0" collapsed="false">
      <c r="A1476" s="22" t="s">
        <v>1783</v>
      </c>
      <c r="B1476" s="22" t="s">
        <v>178</v>
      </c>
      <c r="C1476" s="31" t="n">
        <v>46307</v>
      </c>
      <c r="D1476" s="22" t="s">
        <v>300</v>
      </c>
      <c r="E1476" s="22" t="s">
        <v>311</v>
      </c>
      <c r="F1476" s="29" t="str">
        <f aca="false">IF(COUNTIF(Referral_Data!$C$5:$C$1000,B1476)&gt;0,"Referred",IF(COUNTIF(Referral_Data!$B$5:$B$1000,B1476)&gt;0,"Referrer","Organic"))</f>
        <v>Referrer</v>
      </c>
      <c r="G1476" s="29" t="n">
        <f aca="false">IF(COUNTIFS($B$5:B1476,B1476,$C$5:C1476,C1476)=1,1,0)</f>
        <v>0</v>
      </c>
      <c r="H1476" s="29" t="n">
        <f aca="false">IF(AND(G1476=1,COUNTIFS($B$5:$B$1635,B1476,$C$5:$C$1635,"&lt;"&amp;C1476)&gt;0),1,0)</f>
        <v>0</v>
      </c>
      <c r="I1476" s="29" t="n">
        <f aca="false">IF(AND(D1476="Feature Use",COUNTIFS($B$5:B1476,B1476,$D$5:D1476,"Feature Use",$E$5:E1476,E1476)=1),1,0)</f>
        <v>0</v>
      </c>
      <c r="J1476" s="29" t="n">
        <f aca="false">IF(AND(D1476="Feature Use",COUNTIFS($B$5:B1476,B1476,$D$5:D1476,"Feature Use",$E$5:E1476,E1476)=2),1,0)</f>
        <v>0</v>
      </c>
      <c r="K1476" s="29" t="n">
        <f aca="false">IF(COUNTIF($B$5:B1476,B1476)=1,1,0)</f>
        <v>0</v>
      </c>
      <c r="L1476" s="29" t="n">
        <f aca="false">IF(AND(C1476&gt;=Settings!$B$5-Settings!$B$8+1,C1476&lt;=Settings!$B$5,COUNTIFS($B$5:B1476,B1476,$C$5:C1476,"&gt;="&amp;(Settings!$B$5-Settings!$B$8+1),$C$5:C1476,"&lt;="&amp;Settings!$B$5)=1),1,0)</f>
        <v>0</v>
      </c>
      <c r="M1476" s="29" t="n">
        <f aca="false">IF(AND(C1476&gt;=Settings!$B$5-Settings!$B$9+1,C1476&lt;=Settings!$B$5,COUNTIFS($B$5:B1476,B1476,$C$5:C1476,"&gt;="&amp;(Settings!$B$5-Settings!$B$9+1),$C$5:C1476,"&lt;="&amp;Settings!$B$5)=1),1,0)</f>
        <v>0</v>
      </c>
      <c r="N1476" s="29" t="n">
        <f aca="false">IF(AND(D1476="Feature Use",COUNTIFS($B$5:B1476,B1476,$D$5:D1476,"Feature Use")=1),1,0)</f>
        <v>0</v>
      </c>
    </row>
    <row r="1477" customFormat="false" ht="15" hidden="false" customHeight="false" outlineLevel="0" collapsed="false">
      <c r="A1477" s="22" t="s">
        <v>1784</v>
      </c>
      <c r="B1477" s="22" t="s">
        <v>178</v>
      </c>
      <c r="C1477" s="31" t="n">
        <v>46307</v>
      </c>
      <c r="D1477" s="22" t="s">
        <v>300</v>
      </c>
      <c r="E1477" s="22" t="s">
        <v>301</v>
      </c>
      <c r="F1477" s="29" t="str">
        <f aca="false">IF(COUNTIF(Referral_Data!$C$5:$C$1000,B1477)&gt;0,"Referred",IF(COUNTIF(Referral_Data!$B$5:$B$1000,B1477)&gt;0,"Referrer","Organic"))</f>
        <v>Referrer</v>
      </c>
      <c r="G1477" s="29" t="n">
        <f aca="false">IF(COUNTIFS($B$5:B1477,B1477,$C$5:C1477,C1477)=1,1,0)</f>
        <v>0</v>
      </c>
      <c r="H1477" s="29" t="n">
        <f aca="false">IF(AND(G1477=1,COUNTIFS($B$5:$B$1635,B1477,$C$5:$C$1635,"&lt;"&amp;C1477)&gt;0),1,0)</f>
        <v>0</v>
      </c>
      <c r="I1477" s="29" t="n">
        <f aca="false">IF(AND(D1477="Feature Use",COUNTIFS($B$5:B1477,B1477,$D$5:D1477,"Feature Use",$E$5:E1477,E1477)=1),1,0)</f>
        <v>0</v>
      </c>
      <c r="J1477" s="29" t="n">
        <f aca="false">IF(AND(D1477="Feature Use",COUNTIFS($B$5:B1477,B1477,$D$5:D1477,"Feature Use",$E$5:E1477,E1477)=2),1,0)</f>
        <v>0</v>
      </c>
      <c r="K1477" s="29" t="n">
        <f aca="false">IF(COUNTIF($B$5:B1477,B1477)=1,1,0)</f>
        <v>0</v>
      </c>
      <c r="L1477" s="29" t="n">
        <f aca="false">IF(AND(C1477&gt;=Settings!$B$5-Settings!$B$8+1,C1477&lt;=Settings!$B$5,COUNTIFS($B$5:B1477,B1477,$C$5:C1477,"&gt;="&amp;(Settings!$B$5-Settings!$B$8+1),$C$5:C1477,"&lt;="&amp;Settings!$B$5)=1),1,0)</f>
        <v>0</v>
      </c>
      <c r="M1477" s="29" t="n">
        <f aca="false">IF(AND(C1477&gt;=Settings!$B$5-Settings!$B$9+1,C1477&lt;=Settings!$B$5,COUNTIFS($B$5:B1477,B1477,$C$5:C1477,"&gt;="&amp;(Settings!$B$5-Settings!$B$9+1),$C$5:C1477,"&lt;="&amp;Settings!$B$5)=1),1,0)</f>
        <v>0</v>
      </c>
      <c r="N1477" s="29" t="n">
        <f aca="false">IF(AND(D1477="Feature Use",COUNTIFS($B$5:B1477,B1477,$D$5:D1477,"Feature Use")=1),1,0)</f>
        <v>0</v>
      </c>
    </row>
    <row r="1478" customFormat="false" ht="15" hidden="false" customHeight="false" outlineLevel="0" collapsed="false">
      <c r="A1478" s="22" t="s">
        <v>1785</v>
      </c>
      <c r="B1478" s="22" t="s">
        <v>170</v>
      </c>
      <c r="C1478" s="31" t="n">
        <v>46307</v>
      </c>
      <c r="D1478" s="22" t="s">
        <v>297</v>
      </c>
      <c r="E1478" s="22" t="s">
        <v>298</v>
      </c>
      <c r="F1478" s="29" t="str">
        <f aca="false">IF(COUNTIF(Referral_Data!$C$5:$C$1000,B1478)&gt;0,"Referred",IF(COUNTIF(Referral_Data!$B$5:$B$1000,B1478)&gt;0,"Referrer","Organic"))</f>
        <v>Referrer</v>
      </c>
      <c r="G1478" s="29" t="n">
        <f aca="false">IF(COUNTIFS($B$5:B1478,B1478,$C$5:C1478,C1478)=1,1,0)</f>
        <v>1</v>
      </c>
      <c r="H1478" s="29" t="n">
        <f aca="false">IF(AND(G1478=1,COUNTIFS($B$5:$B$1635,B1478,$C$5:$C$1635,"&lt;"&amp;C1478)&gt;0),1,0)</f>
        <v>1</v>
      </c>
      <c r="I1478" s="29" t="n">
        <f aca="false">IF(AND(D1478="Feature Use",COUNTIFS($B$5:B1478,B1478,$D$5:D1478,"Feature Use",$E$5:E1478,E1478)=1),1,0)</f>
        <v>0</v>
      </c>
      <c r="J1478" s="29" t="n">
        <f aca="false">IF(AND(D1478="Feature Use",COUNTIFS($B$5:B1478,B1478,$D$5:D1478,"Feature Use",$E$5:E1478,E1478)=2),1,0)</f>
        <v>0</v>
      </c>
      <c r="K1478" s="29" t="n">
        <f aca="false">IF(COUNTIF($B$5:B1478,B1478)=1,1,0)</f>
        <v>0</v>
      </c>
      <c r="L1478" s="29" t="n">
        <f aca="false">IF(AND(C1478&gt;=Settings!$B$5-Settings!$B$8+1,C1478&lt;=Settings!$B$5,COUNTIFS($B$5:B1478,B1478,$C$5:C1478,"&gt;="&amp;(Settings!$B$5-Settings!$B$8+1),$C$5:C1478,"&lt;="&amp;Settings!$B$5)=1),1,0)</f>
        <v>0</v>
      </c>
      <c r="M1478" s="29" t="n">
        <f aca="false">IF(AND(C1478&gt;=Settings!$B$5-Settings!$B$9+1,C1478&lt;=Settings!$B$5,COUNTIFS($B$5:B1478,B1478,$C$5:C1478,"&gt;="&amp;(Settings!$B$5-Settings!$B$9+1),$C$5:C1478,"&lt;="&amp;Settings!$B$5)=1),1,0)</f>
        <v>0</v>
      </c>
      <c r="N1478" s="29" t="n">
        <f aca="false">IF(AND(D1478="Feature Use",COUNTIFS($B$5:B1478,B1478,$D$5:D1478,"Feature Use")=1),1,0)</f>
        <v>0</v>
      </c>
    </row>
    <row r="1479" customFormat="false" ht="15" hidden="false" customHeight="false" outlineLevel="0" collapsed="false">
      <c r="A1479" s="22" t="s">
        <v>1786</v>
      </c>
      <c r="B1479" s="22" t="s">
        <v>170</v>
      </c>
      <c r="C1479" s="31" t="n">
        <v>46307</v>
      </c>
      <c r="D1479" s="22" t="s">
        <v>300</v>
      </c>
      <c r="E1479" s="22" t="s">
        <v>301</v>
      </c>
      <c r="F1479" s="29" t="str">
        <f aca="false">IF(COUNTIF(Referral_Data!$C$5:$C$1000,B1479)&gt;0,"Referred",IF(COUNTIF(Referral_Data!$B$5:$B$1000,B1479)&gt;0,"Referrer","Organic"))</f>
        <v>Referrer</v>
      </c>
      <c r="G1479" s="29" t="n">
        <f aca="false">IF(COUNTIFS($B$5:B1479,B1479,$C$5:C1479,C1479)=1,1,0)</f>
        <v>0</v>
      </c>
      <c r="H1479" s="29" t="n">
        <f aca="false">IF(AND(G1479=1,COUNTIFS($B$5:$B$1635,B1479,$C$5:$C$1635,"&lt;"&amp;C1479)&gt;0),1,0)</f>
        <v>0</v>
      </c>
      <c r="I1479" s="29" t="n">
        <f aca="false">IF(AND(D1479="Feature Use",COUNTIFS($B$5:B1479,B1479,$D$5:D1479,"Feature Use",$E$5:E1479,E1479)=1),1,0)</f>
        <v>0</v>
      </c>
      <c r="J1479" s="29" t="n">
        <f aca="false">IF(AND(D1479="Feature Use",COUNTIFS($B$5:B1479,B1479,$D$5:D1479,"Feature Use",$E$5:E1479,E1479)=2),1,0)</f>
        <v>0</v>
      </c>
      <c r="K1479" s="29" t="n">
        <f aca="false">IF(COUNTIF($B$5:B1479,B1479)=1,1,0)</f>
        <v>0</v>
      </c>
      <c r="L1479" s="29" t="n">
        <f aca="false">IF(AND(C1479&gt;=Settings!$B$5-Settings!$B$8+1,C1479&lt;=Settings!$B$5,COUNTIFS($B$5:B1479,B1479,$C$5:C1479,"&gt;="&amp;(Settings!$B$5-Settings!$B$8+1),$C$5:C1479,"&lt;="&amp;Settings!$B$5)=1),1,0)</f>
        <v>0</v>
      </c>
      <c r="M1479" s="29" t="n">
        <f aca="false">IF(AND(C1479&gt;=Settings!$B$5-Settings!$B$9+1,C1479&lt;=Settings!$B$5,COUNTIFS($B$5:B1479,B1479,$C$5:C1479,"&gt;="&amp;(Settings!$B$5-Settings!$B$9+1),$C$5:C1479,"&lt;="&amp;Settings!$B$5)=1),1,0)</f>
        <v>0</v>
      </c>
      <c r="N1479" s="29" t="n">
        <f aca="false">IF(AND(D1479="Feature Use",COUNTIFS($B$5:B1479,B1479,$D$5:D1479,"Feature Use")=1),1,0)</f>
        <v>0</v>
      </c>
    </row>
    <row r="1480" customFormat="false" ht="15" hidden="false" customHeight="false" outlineLevel="0" collapsed="false">
      <c r="A1480" s="22" t="s">
        <v>1787</v>
      </c>
      <c r="B1480" s="22" t="s">
        <v>170</v>
      </c>
      <c r="C1480" s="31" t="n">
        <v>46307</v>
      </c>
      <c r="D1480" s="22" t="s">
        <v>308</v>
      </c>
      <c r="E1480" s="22" t="s">
        <v>305</v>
      </c>
      <c r="F1480" s="29" t="str">
        <f aca="false">IF(COUNTIF(Referral_Data!$C$5:$C$1000,B1480)&gt;0,"Referred",IF(COUNTIF(Referral_Data!$B$5:$B$1000,B1480)&gt;0,"Referrer","Organic"))</f>
        <v>Referrer</v>
      </c>
      <c r="G1480" s="29" t="n">
        <f aca="false">IF(COUNTIFS($B$5:B1480,B1480,$C$5:C1480,C1480)=1,1,0)</f>
        <v>0</v>
      </c>
      <c r="H1480" s="29" t="n">
        <f aca="false">IF(AND(G1480=1,COUNTIFS($B$5:$B$1635,B1480,$C$5:$C$1635,"&lt;"&amp;C1480)&gt;0),1,0)</f>
        <v>0</v>
      </c>
      <c r="I1480" s="29" t="n">
        <f aca="false">IF(AND(D1480="Feature Use",COUNTIFS($B$5:B1480,B1480,$D$5:D1480,"Feature Use",$E$5:E1480,E1480)=1),1,0)</f>
        <v>0</v>
      </c>
      <c r="J1480" s="29" t="n">
        <f aca="false">IF(AND(D1480="Feature Use",COUNTIFS($B$5:B1480,B1480,$D$5:D1480,"Feature Use",$E$5:E1480,E1480)=2),1,0)</f>
        <v>0</v>
      </c>
      <c r="K1480" s="29" t="n">
        <f aca="false">IF(COUNTIF($B$5:B1480,B1480)=1,1,0)</f>
        <v>0</v>
      </c>
      <c r="L1480" s="29" t="n">
        <f aca="false">IF(AND(C1480&gt;=Settings!$B$5-Settings!$B$8+1,C1480&lt;=Settings!$B$5,COUNTIFS($B$5:B1480,B1480,$C$5:C1480,"&gt;="&amp;(Settings!$B$5-Settings!$B$8+1),$C$5:C1480,"&lt;="&amp;Settings!$B$5)=1),1,0)</f>
        <v>0</v>
      </c>
      <c r="M1480" s="29" t="n">
        <f aca="false">IF(AND(C1480&gt;=Settings!$B$5-Settings!$B$9+1,C1480&lt;=Settings!$B$5,COUNTIFS($B$5:B1480,B1480,$C$5:C1480,"&gt;="&amp;(Settings!$B$5-Settings!$B$9+1),$C$5:C1480,"&lt;="&amp;Settings!$B$5)=1),1,0)</f>
        <v>0</v>
      </c>
      <c r="N1480" s="29" t="n">
        <f aca="false">IF(AND(D1480="Feature Use",COUNTIFS($B$5:B1480,B1480,$D$5:D1480,"Feature Use")=1),1,0)</f>
        <v>0</v>
      </c>
    </row>
    <row r="1481" customFormat="false" ht="15" hidden="false" customHeight="false" outlineLevel="0" collapsed="false">
      <c r="A1481" s="22" t="s">
        <v>1788</v>
      </c>
      <c r="B1481" s="22" t="s">
        <v>190</v>
      </c>
      <c r="C1481" s="31" t="n">
        <v>46307</v>
      </c>
      <c r="D1481" s="22" t="s">
        <v>297</v>
      </c>
      <c r="E1481" s="22" t="s">
        <v>298</v>
      </c>
      <c r="F1481" s="29" t="str">
        <f aca="false">IF(COUNTIF(Referral_Data!$C$5:$C$1000,B1481)&gt;0,"Referred",IF(COUNTIF(Referral_Data!$B$5:$B$1000,B1481)&gt;0,"Referrer","Organic"))</f>
        <v>Referrer</v>
      </c>
      <c r="G1481" s="29" t="n">
        <f aca="false">IF(COUNTIFS($B$5:B1481,B1481,$C$5:C1481,C1481)=1,1,0)</f>
        <v>1</v>
      </c>
      <c r="H1481" s="29" t="n">
        <f aca="false">IF(AND(G1481=1,COUNTIFS($B$5:$B$1635,B1481,$C$5:$C$1635,"&lt;"&amp;C1481)&gt;0),1,0)</f>
        <v>1</v>
      </c>
      <c r="I1481" s="29" t="n">
        <f aca="false">IF(AND(D1481="Feature Use",COUNTIFS($B$5:B1481,B1481,$D$5:D1481,"Feature Use",$E$5:E1481,E1481)=1),1,0)</f>
        <v>0</v>
      </c>
      <c r="J1481" s="29" t="n">
        <f aca="false">IF(AND(D1481="Feature Use",COUNTIFS($B$5:B1481,B1481,$D$5:D1481,"Feature Use",$E$5:E1481,E1481)=2),1,0)</f>
        <v>0</v>
      </c>
      <c r="K1481" s="29" t="n">
        <f aca="false">IF(COUNTIF($B$5:B1481,B1481)=1,1,0)</f>
        <v>0</v>
      </c>
      <c r="L1481" s="29" t="n">
        <f aca="false">IF(AND(C1481&gt;=Settings!$B$5-Settings!$B$8+1,C1481&lt;=Settings!$B$5,COUNTIFS($B$5:B1481,B1481,$C$5:C1481,"&gt;="&amp;(Settings!$B$5-Settings!$B$8+1),$C$5:C1481,"&lt;="&amp;Settings!$B$5)=1),1,0)</f>
        <v>1</v>
      </c>
      <c r="M1481" s="29" t="n">
        <f aca="false">IF(AND(C1481&gt;=Settings!$B$5-Settings!$B$9+1,C1481&lt;=Settings!$B$5,COUNTIFS($B$5:B1481,B1481,$C$5:C1481,"&gt;="&amp;(Settings!$B$5-Settings!$B$9+1),$C$5:C1481,"&lt;="&amp;Settings!$B$5)=1),1,0)</f>
        <v>0</v>
      </c>
      <c r="N1481" s="29" t="n">
        <f aca="false">IF(AND(D1481="Feature Use",COUNTIFS($B$5:B1481,B1481,$D$5:D1481,"Feature Use")=1),1,0)</f>
        <v>0</v>
      </c>
    </row>
    <row r="1482" customFormat="false" ht="15" hidden="false" customHeight="false" outlineLevel="0" collapsed="false">
      <c r="A1482" s="22" t="s">
        <v>1789</v>
      </c>
      <c r="B1482" s="22" t="s">
        <v>190</v>
      </c>
      <c r="C1482" s="31" t="n">
        <v>46307</v>
      </c>
      <c r="D1482" s="22" t="s">
        <v>300</v>
      </c>
      <c r="E1482" s="22" t="s">
        <v>309</v>
      </c>
      <c r="F1482" s="29" t="str">
        <f aca="false">IF(COUNTIF(Referral_Data!$C$5:$C$1000,B1482)&gt;0,"Referred",IF(COUNTIF(Referral_Data!$B$5:$B$1000,B1482)&gt;0,"Referrer","Organic"))</f>
        <v>Referrer</v>
      </c>
      <c r="G1482" s="29" t="n">
        <f aca="false">IF(COUNTIFS($B$5:B1482,B1482,$C$5:C1482,C1482)=1,1,0)</f>
        <v>0</v>
      </c>
      <c r="H1482" s="29" t="n">
        <f aca="false">IF(AND(G1482=1,COUNTIFS($B$5:$B$1635,B1482,$C$5:$C$1635,"&lt;"&amp;C1482)&gt;0),1,0)</f>
        <v>0</v>
      </c>
      <c r="I1482" s="29" t="n">
        <f aca="false">IF(AND(D1482="Feature Use",COUNTIFS($B$5:B1482,B1482,$D$5:D1482,"Feature Use",$E$5:E1482,E1482)=1),1,0)</f>
        <v>1</v>
      </c>
      <c r="J1482" s="29" t="n">
        <f aca="false">IF(AND(D1482="Feature Use",COUNTIFS($B$5:B1482,B1482,$D$5:D1482,"Feature Use",$E$5:E1482,E1482)=2),1,0)</f>
        <v>0</v>
      </c>
      <c r="K1482" s="29" t="n">
        <f aca="false">IF(COUNTIF($B$5:B1482,B1482)=1,1,0)</f>
        <v>0</v>
      </c>
      <c r="L1482" s="29" t="n">
        <f aca="false">IF(AND(C1482&gt;=Settings!$B$5-Settings!$B$8+1,C1482&lt;=Settings!$B$5,COUNTIFS($B$5:B1482,B1482,$C$5:C1482,"&gt;="&amp;(Settings!$B$5-Settings!$B$8+1),$C$5:C1482,"&lt;="&amp;Settings!$B$5)=1),1,0)</f>
        <v>0</v>
      </c>
      <c r="M1482" s="29" t="n">
        <f aca="false">IF(AND(C1482&gt;=Settings!$B$5-Settings!$B$9+1,C1482&lt;=Settings!$B$5,COUNTIFS($B$5:B1482,B1482,$C$5:C1482,"&gt;="&amp;(Settings!$B$5-Settings!$B$9+1),$C$5:C1482,"&lt;="&amp;Settings!$B$5)=1),1,0)</f>
        <v>0</v>
      </c>
      <c r="N1482" s="29" t="n">
        <f aca="false">IF(AND(D1482="Feature Use",COUNTIFS($B$5:B1482,B1482,$D$5:D1482,"Feature Use")=1),1,0)</f>
        <v>0</v>
      </c>
    </row>
    <row r="1483" customFormat="false" ht="15" hidden="false" customHeight="false" outlineLevel="0" collapsed="false">
      <c r="A1483" s="22" t="s">
        <v>1790</v>
      </c>
      <c r="B1483" s="22" t="s">
        <v>190</v>
      </c>
      <c r="C1483" s="31" t="n">
        <v>46307</v>
      </c>
      <c r="D1483" s="22" t="s">
        <v>300</v>
      </c>
      <c r="E1483" s="22" t="s">
        <v>319</v>
      </c>
      <c r="F1483" s="29" t="str">
        <f aca="false">IF(COUNTIF(Referral_Data!$C$5:$C$1000,B1483)&gt;0,"Referred",IF(COUNTIF(Referral_Data!$B$5:$B$1000,B1483)&gt;0,"Referrer","Organic"))</f>
        <v>Referrer</v>
      </c>
      <c r="G1483" s="29" t="n">
        <f aca="false">IF(COUNTIFS($B$5:B1483,B1483,$C$5:C1483,C1483)=1,1,0)</f>
        <v>0</v>
      </c>
      <c r="H1483" s="29" t="n">
        <f aca="false">IF(AND(G1483=1,COUNTIFS($B$5:$B$1635,B1483,$C$5:$C$1635,"&lt;"&amp;C1483)&gt;0),1,0)</f>
        <v>0</v>
      </c>
      <c r="I1483" s="29" t="n">
        <f aca="false">IF(AND(D1483="Feature Use",COUNTIFS($B$5:B1483,B1483,$D$5:D1483,"Feature Use",$E$5:E1483,E1483)=1),1,0)</f>
        <v>0</v>
      </c>
      <c r="J1483" s="29" t="n">
        <f aca="false">IF(AND(D1483="Feature Use",COUNTIFS($B$5:B1483,B1483,$D$5:D1483,"Feature Use",$E$5:E1483,E1483)=2),1,0)</f>
        <v>0</v>
      </c>
      <c r="K1483" s="29" t="n">
        <f aca="false">IF(COUNTIF($B$5:B1483,B1483)=1,1,0)</f>
        <v>0</v>
      </c>
      <c r="L1483" s="29" t="n">
        <f aca="false">IF(AND(C1483&gt;=Settings!$B$5-Settings!$B$8+1,C1483&lt;=Settings!$B$5,COUNTIFS($B$5:B1483,B1483,$C$5:C1483,"&gt;="&amp;(Settings!$B$5-Settings!$B$8+1),$C$5:C1483,"&lt;="&amp;Settings!$B$5)=1),1,0)</f>
        <v>0</v>
      </c>
      <c r="M1483" s="29" t="n">
        <f aca="false">IF(AND(C1483&gt;=Settings!$B$5-Settings!$B$9+1,C1483&lt;=Settings!$B$5,COUNTIFS($B$5:B1483,B1483,$C$5:C1483,"&gt;="&amp;(Settings!$B$5-Settings!$B$9+1),$C$5:C1483,"&lt;="&amp;Settings!$B$5)=1),1,0)</f>
        <v>0</v>
      </c>
      <c r="N1483" s="29" t="n">
        <f aca="false">IF(AND(D1483="Feature Use",COUNTIFS($B$5:B1483,B1483,$D$5:D1483,"Feature Use")=1),1,0)</f>
        <v>0</v>
      </c>
    </row>
    <row r="1484" customFormat="false" ht="15" hidden="false" customHeight="false" outlineLevel="0" collapsed="false">
      <c r="A1484" s="22" t="s">
        <v>1791</v>
      </c>
      <c r="B1484" s="22" t="s">
        <v>183</v>
      </c>
      <c r="C1484" s="31" t="n">
        <v>46307</v>
      </c>
      <c r="D1484" s="22" t="s">
        <v>297</v>
      </c>
      <c r="E1484" s="22" t="s">
        <v>298</v>
      </c>
      <c r="F1484" s="29" t="str">
        <f aca="false">IF(COUNTIF(Referral_Data!$C$5:$C$1000,B1484)&gt;0,"Referred",IF(COUNTIF(Referral_Data!$B$5:$B$1000,B1484)&gt;0,"Referrer","Organic"))</f>
        <v>Referrer</v>
      </c>
      <c r="G1484" s="29" t="n">
        <f aca="false">IF(COUNTIFS($B$5:B1484,B1484,$C$5:C1484,C1484)=1,1,0)</f>
        <v>1</v>
      </c>
      <c r="H1484" s="29" t="n">
        <f aca="false">IF(AND(G1484=1,COUNTIFS($B$5:$B$1635,B1484,$C$5:$C$1635,"&lt;"&amp;C1484)&gt;0),1,0)</f>
        <v>1</v>
      </c>
      <c r="I1484" s="29" t="n">
        <f aca="false">IF(AND(D1484="Feature Use",COUNTIFS($B$5:B1484,B1484,$D$5:D1484,"Feature Use",$E$5:E1484,E1484)=1),1,0)</f>
        <v>0</v>
      </c>
      <c r="J1484" s="29" t="n">
        <f aca="false">IF(AND(D1484="Feature Use",COUNTIFS($B$5:B1484,B1484,$D$5:D1484,"Feature Use",$E$5:E1484,E1484)=2),1,0)</f>
        <v>0</v>
      </c>
      <c r="K1484" s="29" t="n">
        <f aca="false">IF(COUNTIF($B$5:B1484,B1484)=1,1,0)</f>
        <v>0</v>
      </c>
      <c r="L1484" s="29" t="n">
        <f aca="false">IF(AND(C1484&gt;=Settings!$B$5-Settings!$B$8+1,C1484&lt;=Settings!$B$5,COUNTIFS($B$5:B1484,B1484,$C$5:C1484,"&gt;="&amp;(Settings!$B$5-Settings!$B$8+1),$C$5:C1484,"&lt;="&amp;Settings!$B$5)=1),1,0)</f>
        <v>0</v>
      </c>
      <c r="M1484" s="29" t="n">
        <f aca="false">IF(AND(C1484&gt;=Settings!$B$5-Settings!$B$9+1,C1484&lt;=Settings!$B$5,COUNTIFS($B$5:B1484,B1484,$C$5:C1484,"&gt;="&amp;(Settings!$B$5-Settings!$B$9+1),$C$5:C1484,"&lt;="&amp;Settings!$B$5)=1),1,0)</f>
        <v>0</v>
      </c>
      <c r="N1484" s="29" t="n">
        <f aca="false">IF(AND(D1484="Feature Use",COUNTIFS($B$5:B1484,B1484,$D$5:D1484,"Feature Use")=1),1,0)</f>
        <v>0</v>
      </c>
    </row>
    <row r="1485" customFormat="false" ht="15" hidden="false" customHeight="false" outlineLevel="0" collapsed="false">
      <c r="A1485" s="22" t="s">
        <v>1792</v>
      </c>
      <c r="B1485" s="22" t="s">
        <v>183</v>
      </c>
      <c r="C1485" s="31" t="n">
        <v>46307</v>
      </c>
      <c r="D1485" s="22" t="s">
        <v>300</v>
      </c>
      <c r="E1485" s="22" t="s">
        <v>305</v>
      </c>
      <c r="F1485" s="29" t="str">
        <f aca="false">IF(COUNTIF(Referral_Data!$C$5:$C$1000,B1485)&gt;0,"Referred",IF(COUNTIF(Referral_Data!$B$5:$B$1000,B1485)&gt;0,"Referrer","Organic"))</f>
        <v>Referrer</v>
      </c>
      <c r="G1485" s="29" t="n">
        <f aca="false">IF(COUNTIFS($B$5:B1485,B1485,$C$5:C1485,C1485)=1,1,0)</f>
        <v>0</v>
      </c>
      <c r="H1485" s="29" t="n">
        <f aca="false">IF(AND(G1485=1,COUNTIFS($B$5:$B$1635,B1485,$C$5:$C$1635,"&lt;"&amp;C1485)&gt;0),1,0)</f>
        <v>0</v>
      </c>
      <c r="I1485" s="29" t="n">
        <f aca="false">IF(AND(D1485="Feature Use",COUNTIFS($B$5:B1485,B1485,$D$5:D1485,"Feature Use",$E$5:E1485,E1485)=1),1,0)</f>
        <v>0</v>
      </c>
      <c r="J1485" s="29" t="n">
        <f aca="false">IF(AND(D1485="Feature Use",COUNTIFS($B$5:B1485,B1485,$D$5:D1485,"Feature Use",$E$5:E1485,E1485)=2),1,0)</f>
        <v>0</v>
      </c>
      <c r="K1485" s="29" t="n">
        <f aca="false">IF(COUNTIF($B$5:B1485,B1485)=1,1,0)</f>
        <v>0</v>
      </c>
      <c r="L1485" s="29" t="n">
        <f aca="false">IF(AND(C1485&gt;=Settings!$B$5-Settings!$B$8+1,C1485&lt;=Settings!$B$5,COUNTIFS($B$5:B1485,B1485,$C$5:C1485,"&gt;="&amp;(Settings!$B$5-Settings!$B$8+1),$C$5:C1485,"&lt;="&amp;Settings!$B$5)=1),1,0)</f>
        <v>0</v>
      </c>
      <c r="M1485" s="29" t="n">
        <f aca="false">IF(AND(C1485&gt;=Settings!$B$5-Settings!$B$9+1,C1485&lt;=Settings!$B$5,COUNTIFS($B$5:B1485,B1485,$C$5:C1485,"&gt;="&amp;(Settings!$B$5-Settings!$B$9+1),$C$5:C1485,"&lt;="&amp;Settings!$B$5)=1),1,0)</f>
        <v>0</v>
      </c>
      <c r="N1485" s="29" t="n">
        <f aca="false">IF(AND(D1485="Feature Use",COUNTIFS($B$5:B1485,B1485,$D$5:D1485,"Feature Use")=1),1,0)</f>
        <v>0</v>
      </c>
    </row>
    <row r="1486" customFormat="false" ht="15" hidden="false" customHeight="false" outlineLevel="0" collapsed="false">
      <c r="A1486" s="22" t="s">
        <v>1793</v>
      </c>
      <c r="B1486" s="22" t="s">
        <v>183</v>
      </c>
      <c r="C1486" s="31" t="n">
        <v>46307</v>
      </c>
      <c r="D1486" s="22" t="s">
        <v>300</v>
      </c>
      <c r="E1486" s="22" t="s">
        <v>311</v>
      </c>
      <c r="F1486" s="29" t="str">
        <f aca="false">IF(COUNTIF(Referral_Data!$C$5:$C$1000,B1486)&gt;0,"Referred",IF(COUNTIF(Referral_Data!$B$5:$B$1000,B1486)&gt;0,"Referrer","Organic"))</f>
        <v>Referrer</v>
      </c>
      <c r="G1486" s="29" t="n">
        <f aca="false">IF(COUNTIFS($B$5:B1486,B1486,$C$5:C1486,C1486)=1,1,0)</f>
        <v>0</v>
      </c>
      <c r="H1486" s="29" t="n">
        <f aca="false">IF(AND(G1486=1,COUNTIFS($B$5:$B$1635,B1486,$C$5:$C$1635,"&lt;"&amp;C1486)&gt;0),1,0)</f>
        <v>0</v>
      </c>
      <c r="I1486" s="29" t="n">
        <f aca="false">IF(AND(D1486="Feature Use",COUNTIFS($B$5:B1486,B1486,$D$5:D1486,"Feature Use",$E$5:E1486,E1486)=1),1,0)</f>
        <v>0</v>
      </c>
      <c r="J1486" s="29" t="n">
        <f aca="false">IF(AND(D1486="Feature Use",COUNTIFS($B$5:B1486,B1486,$D$5:D1486,"Feature Use",$E$5:E1486,E1486)=2),1,0)</f>
        <v>1</v>
      </c>
      <c r="K1486" s="29" t="n">
        <f aca="false">IF(COUNTIF($B$5:B1486,B1486)=1,1,0)</f>
        <v>0</v>
      </c>
      <c r="L1486" s="29" t="n">
        <f aca="false">IF(AND(C1486&gt;=Settings!$B$5-Settings!$B$8+1,C1486&lt;=Settings!$B$5,COUNTIFS($B$5:B1486,B1486,$C$5:C1486,"&gt;="&amp;(Settings!$B$5-Settings!$B$8+1),$C$5:C1486,"&lt;="&amp;Settings!$B$5)=1),1,0)</f>
        <v>0</v>
      </c>
      <c r="M1486" s="29" t="n">
        <f aca="false">IF(AND(C1486&gt;=Settings!$B$5-Settings!$B$9+1,C1486&lt;=Settings!$B$5,COUNTIFS($B$5:B1486,B1486,$C$5:C1486,"&gt;="&amp;(Settings!$B$5-Settings!$B$9+1),$C$5:C1486,"&lt;="&amp;Settings!$B$5)=1),1,0)</f>
        <v>0</v>
      </c>
      <c r="N1486" s="29" t="n">
        <f aca="false">IF(AND(D1486="Feature Use",COUNTIFS($B$5:B1486,B1486,$D$5:D1486,"Feature Use")=1),1,0)</f>
        <v>0</v>
      </c>
    </row>
    <row r="1487" customFormat="false" ht="15" hidden="false" customHeight="false" outlineLevel="0" collapsed="false">
      <c r="A1487" s="22" t="s">
        <v>1794</v>
      </c>
      <c r="B1487" s="22" t="s">
        <v>175</v>
      </c>
      <c r="C1487" s="31" t="n">
        <v>46307</v>
      </c>
      <c r="D1487" s="22" t="s">
        <v>297</v>
      </c>
      <c r="E1487" s="22" t="s">
        <v>298</v>
      </c>
      <c r="F1487" s="29" t="str">
        <f aca="false">IF(COUNTIF(Referral_Data!$C$5:$C$1000,B1487)&gt;0,"Referred",IF(COUNTIF(Referral_Data!$B$5:$B$1000,B1487)&gt;0,"Referrer","Organic"))</f>
        <v>Referrer</v>
      </c>
      <c r="G1487" s="29" t="n">
        <f aca="false">IF(COUNTIFS($B$5:B1487,B1487,$C$5:C1487,C1487)=1,1,0)</f>
        <v>1</v>
      </c>
      <c r="H1487" s="29" t="n">
        <f aca="false">IF(AND(G1487=1,COUNTIFS($B$5:$B$1635,B1487,$C$5:$C$1635,"&lt;"&amp;C1487)&gt;0),1,0)</f>
        <v>1</v>
      </c>
      <c r="I1487" s="29" t="n">
        <f aca="false">IF(AND(D1487="Feature Use",COUNTIFS($B$5:B1487,B1487,$D$5:D1487,"Feature Use",$E$5:E1487,E1487)=1),1,0)</f>
        <v>0</v>
      </c>
      <c r="J1487" s="29" t="n">
        <f aca="false">IF(AND(D1487="Feature Use",COUNTIFS($B$5:B1487,B1487,$D$5:D1487,"Feature Use",$E$5:E1487,E1487)=2),1,0)</f>
        <v>0</v>
      </c>
      <c r="K1487" s="29" t="n">
        <f aca="false">IF(COUNTIF($B$5:B1487,B1487)=1,1,0)</f>
        <v>0</v>
      </c>
      <c r="L1487" s="29" t="n">
        <f aca="false">IF(AND(C1487&gt;=Settings!$B$5-Settings!$B$8+1,C1487&lt;=Settings!$B$5,COUNTIFS($B$5:B1487,B1487,$C$5:C1487,"&gt;="&amp;(Settings!$B$5-Settings!$B$8+1),$C$5:C1487,"&lt;="&amp;Settings!$B$5)=1),1,0)</f>
        <v>1</v>
      </c>
      <c r="M1487" s="29" t="n">
        <f aca="false">IF(AND(C1487&gt;=Settings!$B$5-Settings!$B$9+1,C1487&lt;=Settings!$B$5,COUNTIFS($B$5:B1487,B1487,$C$5:C1487,"&gt;="&amp;(Settings!$B$5-Settings!$B$9+1),$C$5:C1487,"&lt;="&amp;Settings!$B$5)=1),1,0)</f>
        <v>0</v>
      </c>
      <c r="N1487" s="29" t="n">
        <f aca="false">IF(AND(D1487="Feature Use",COUNTIFS($B$5:B1487,B1487,$D$5:D1487,"Feature Use")=1),1,0)</f>
        <v>0</v>
      </c>
    </row>
    <row r="1488" customFormat="false" ht="15" hidden="false" customHeight="false" outlineLevel="0" collapsed="false">
      <c r="A1488" s="22" t="s">
        <v>1795</v>
      </c>
      <c r="B1488" s="22" t="s">
        <v>175</v>
      </c>
      <c r="C1488" s="31" t="n">
        <v>46307</v>
      </c>
      <c r="D1488" s="22" t="s">
        <v>300</v>
      </c>
      <c r="E1488" s="22" t="s">
        <v>305</v>
      </c>
      <c r="F1488" s="29" t="str">
        <f aca="false">IF(COUNTIF(Referral_Data!$C$5:$C$1000,B1488)&gt;0,"Referred",IF(COUNTIF(Referral_Data!$B$5:$B$1000,B1488)&gt;0,"Referrer","Organic"))</f>
        <v>Referrer</v>
      </c>
      <c r="G1488" s="29" t="n">
        <f aca="false">IF(COUNTIFS($B$5:B1488,B1488,$C$5:C1488,C1488)=1,1,0)</f>
        <v>0</v>
      </c>
      <c r="H1488" s="29" t="n">
        <f aca="false">IF(AND(G1488=1,COUNTIFS($B$5:$B$1635,B1488,$C$5:$C$1635,"&lt;"&amp;C1488)&gt;0),1,0)</f>
        <v>0</v>
      </c>
      <c r="I1488" s="29" t="n">
        <f aca="false">IF(AND(D1488="Feature Use",COUNTIFS($B$5:B1488,B1488,$D$5:D1488,"Feature Use",$E$5:E1488,E1488)=1),1,0)</f>
        <v>0</v>
      </c>
      <c r="J1488" s="29" t="n">
        <f aca="false">IF(AND(D1488="Feature Use",COUNTIFS($B$5:B1488,B1488,$D$5:D1488,"Feature Use",$E$5:E1488,E1488)=2),1,0)</f>
        <v>0</v>
      </c>
      <c r="K1488" s="29" t="n">
        <f aca="false">IF(COUNTIF($B$5:B1488,B1488)=1,1,0)</f>
        <v>0</v>
      </c>
      <c r="L1488" s="29" t="n">
        <f aca="false">IF(AND(C1488&gt;=Settings!$B$5-Settings!$B$8+1,C1488&lt;=Settings!$B$5,COUNTIFS($B$5:B1488,B1488,$C$5:C1488,"&gt;="&amp;(Settings!$B$5-Settings!$B$8+1),$C$5:C1488,"&lt;="&amp;Settings!$B$5)=1),1,0)</f>
        <v>0</v>
      </c>
      <c r="M1488" s="29" t="n">
        <f aca="false">IF(AND(C1488&gt;=Settings!$B$5-Settings!$B$9+1,C1488&lt;=Settings!$B$5,COUNTIFS($B$5:B1488,B1488,$C$5:C1488,"&gt;="&amp;(Settings!$B$5-Settings!$B$9+1),$C$5:C1488,"&lt;="&amp;Settings!$B$5)=1),1,0)</f>
        <v>0</v>
      </c>
      <c r="N1488" s="29" t="n">
        <f aca="false">IF(AND(D1488="Feature Use",COUNTIFS($B$5:B1488,B1488,$D$5:D1488,"Feature Use")=1),1,0)</f>
        <v>0</v>
      </c>
    </row>
    <row r="1489" customFormat="false" ht="15" hidden="false" customHeight="false" outlineLevel="0" collapsed="false">
      <c r="A1489" s="22" t="s">
        <v>1796</v>
      </c>
      <c r="B1489" s="22" t="s">
        <v>296</v>
      </c>
      <c r="C1489" s="31" t="n">
        <v>46308</v>
      </c>
      <c r="D1489" s="22" t="s">
        <v>297</v>
      </c>
      <c r="E1489" s="22" t="s">
        <v>298</v>
      </c>
      <c r="F1489" s="29" t="str">
        <f aca="false">IF(COUNTIF(Referral_Data!$C$5:$C$1000,B1489)&gt;0,"Referred",IF(COUNTIF(Referral_Data!$B$5:$B$1000,B1489)&gt;0,"Referrer","Organic"))</f>
        <v>Organic</v>
      </c>
      <c r="G1489" s="29" t="n">
        <f aca="false">IF(COUNTIFS($B$5:B1489,B1489,$C$5:C1489,C1489)=1,1,0)</f>
        <v>1</v>
      </c>
      <c r="H1489" s="29" t="n">
        <f aca="false">IF(AND(G1489=1,COUNTIFS($B$5:$B$1635,B1489,$C$5:$C$1635,"&lt;"&amp;C1489)&gt;0),1,0)</f>
        <v>1</v>
      </c>
      <c r="I1489" s="29" t="n">
        <f aca="false">IF(AND(D1489="Feature Use",COUNTIFS($B$5:B1489,B1489,$D$5:D1489,"Feature Use",$E$5:E1489,E1489)=1),1,0)</f>
        <v>0</v>
      </c>
      <c r="J1489" s="29" t="n">
        <f aca="false">IF(AND(D1489="Feature Use",COUNTIFS($B$5:B1489,B1489,$D$5:D1489,"Feature Use",$E$5:E1489,E1489)=2),1,0)</f>
        <v>0</v>
      </c>
      <c r="K1489" s="29" t="n">
        <f aca="false">IF(COUNTIF($B$5:B1489,B1489)=1,1,0)</f>
        <v>0</v>
      </c>
      <c r="L1489" s="29" t="n">
        <f aca="false">IF(AND(C1489&gt;=Settings!$B$5-Settings!$B$8+1,C1489&lt;=Settings!$B$5,COUNTIFS($B$5:B1489,B1489,$C$5:C1489,"&gt;="&amp;(Settings!$B$5-Settings!$B$8+1),$C$5:C1489,"&lt;="&amp;Settings!$B$5)=1),1,0)</f>
        <v>0</v>
      </c>
      <c r="M1489" s="29" t="n">
        <f aca="false">IF(AND(C1489&gt;=Settings!$B$5-Settings!$B$9+1,C1489&lt;=Settings!$B$5,COUNTIFS($B$5:B1489,B1489,$C$5:C1489,"&gt;="&amp;(Settings!$B$5-Settings!$B$9+1),$C$5:C1489,"&lt;="&amp;Settings!$B$5)=1),1,0)</f>
        <v>0</v>
      </c>
      <c r="N1489" s="29" t="n">
        <f aca="false">IF(AND(D1489="Feature Use",COUNTIFS($B$5:B1489,B1489,$D$5:D1489,"Feature Use")=1),1,0)</f>
        <v>0</v>
      </c>
    </row>
    <row r="1490" customFormat="false" ht="15" hidden="false" customHeight="false" outlineLevel="0" collapsed="false">
      <c r="A1490" s="22" t="s">
        <v>1797</v>
      </c>
      <c r="B1490" s="22" t="s">
        <v>296</v>
      </c>
      <c r="C1490" s="31" t="n">
        <v>46308</v>
      </c>
      <c r="D1490" s="22" t="s">
        <v>300</v>
      </c>
      <c r="E1490" s="22" t="s">
        <v>311</v>
      </c>
      <c r="F1490" s="29" t="str">
        <f aca="false">IF(COUNTIF(Referral_Data!$C$5:$C$1000,B1490)&gt;0,"Referred",IF(COUNTIF(Referral_Data!$B$5:$B$1000,B1490)&gt;0,"Referrer","Organic"))</f>
        <v>Organic</v>
      </c>
      <c r="G1490" s="29" t="n">
        <f aca="false">IF(COUNTIFS($B$5:B1490,B1490,$C$5:C1490,C1490)=1,1,0)</f>
        <v>0</v>
      </c>
      <c r="H1490" s="29" t="n">
        <f aca="false">IF(AND(G1490=1,COUNTIFS($B$5:$B$1635,B1490,$C$5:$C$1635,"&lt;"&amp;C1490)&gt;0),1,0)</f>
        <v>0</v>
      </c>
      <c r="I1490" s="29" t="n">
        <f aca="false">IF(AND(D1490="Feature Use",COUNTIFS($B$5:B1490,B1490,$D$5:D1490,"Feature Use",$E$5:E1490,E1490)=1),1,0)</f>
        <v>0</v>
      </c>
      <c r="J1490" s="29" t="n">
        <f aca="false">IF(AND(D1490="Feature Use",COUNTIFS($B$5:B1490,B1490,$D$5:D1490,"Feature Use",$E$5:E1490,E1490)=2),1,0)</f>
        <v>0</v>
      </c>
      <c r="K1490" s="29" t="n">
        <f aca="false">IF(COUNTIF($B$5:B1490,B1490)=1,1,0)</f>
        <v>0</v>
      </c>
      <c r="L1490" s="29" t="n">
        <f aca="false">IF(AND(C1490&gt;=Settings!$B$5-Settings!$B$8+1,C1490&lt;=Settings!$B$5,COUNTIFS($B$5:B1490,B1490,$C$5:C1490,"&gt;="&amp;(Settings!$B$5-Settings!$B$8+1),$C$5:C1490,"&lt;="&amp;Settings!$B$5)=1),1,0)</f>
        <v>0</v>
      </c>
      <c r="M1490" s="29" t="n">
        <f aca="false">IF(AND(C1490&gt;=Settings!$B$5-Settings!$B$9+1,C1490&lt;=Settings!$B$5,COUNTIFS($B$5:B1490,B1490,$C$5:C1490,"&gt;="&amp;(Settings!$B$5-Settings!$B$9+1),$C$5:C1490,"&lt;="&amp;Settings!$B$5)=1),1,0)</f>
        <v>0</v>
      </c>
      <c r="N1490" s="29" t="n">
        <f aca="false">IF(AND(D1490="Feature Use",COUNTIFS($B$5:B1490,B1490,$D$5:D1490,"Feature Use")=1),1,0)</f>
        <v>0</v>
      </c>
    </row>
    <row r="1491" customFormat="false" ht="15" hidden="false" customHeight="false" outlineLevel="0" collapsed="false">
      <c r="A1491" s="22" t="s">
        <v>1798</v>
      </c>
      <c r="B1491" s="22" t="s">
        <v>333</v>
      </c>
      <c r="C1491" s="31" t="n">
        <v>46308</v>
      </c>
      <c r="D1491" s="22" t="s">
        <v>297</v>
      </c>
      <c r="E1491" s="22" t="s">
        <v>298</v>
      </c>
      <c r="F1491" s="29" t="str">
        <f aca="false">IF(COUNTIF(Referral_Data!$C$5:$C$1000,B1491)&gt;0,"Referred",IF(COUNTIF(Referral_Data!$B$5:$B$1000,B1491)&gt;0,"Referrer","Organic"))</f>
        <v>Organic</v>
      </c>
      <c r="G1491" s="29" t="n">
        <f aca="false">IF(COUNTIFS($B$5:B1491,B1491,$C$5:C1491,C1491)=1,1,0)</f>
        <v>1</v>
      </c>
      <c r="H1491" s="29" t="n">
        <f aca="false">IF(AND(G1491=1,COUNTIFS($B$5:$B$1635,B1491,$C$5:$C$1635,"&lt;"&amp;C1491)&gt;0),1,0)</f>
        <v>1</v>
      </c>
      <c r="I1491" s="29" t="n">
        <f aca="false">IF(AND(D1491="Feature Use",COUNTIFS($B$5:B1491,B1491,$D$5:D1491,"Feature Use",$E$5:E1491,E1491)=1),1,0)</f>
        <v>0</v>
      </c>
      <c r="J1491" s="29" t="n">
        <f aca="false">IF(AND(D1491="Feature Use",COUNTIFS($B$5:B1491,B1491,$D$5:D1491,"Feature Use",$E$5:E1491,E1491)=2),1,0)</f>
        <v>0</v>
      </c>
      <c r="K1491" s="29" t="n">
        <f aca="false">IF(COUNTIF($B$5:B1491,B1491)=1,1,0)</f>
        <v>0</v>
      </c>
      <c r="L1491" s="29" t="n">
        <f aca="false">IF(AND(C1491&gt;=Settings!$B$5-Settings!$B$8+1,C1491&lt;=Settings!$B$5,COUNTIFS($B$5:B1491,B1491,$C$5:C1491,"&gt;="&amp;(Settings!$B$5-Settings!$B$8+1),$C$5:C1491,"&lt;="&amp;Settings!$B$5)=1),1,0)</f>
        <v>1</v>
      </c>
      <c r="M1491" s="29" t="n">
        <f aca="false">IF(AND(C1491&gt;=Settings!$B$5-Settings!$B$9+1,C1491&lt;=Settings!$B$5,COUNTIFS($B$5:B1491,B1491,$C$5:C1491,"&gt;="&amp;(Settings!$B$5-Settings!$B$9+1),$C$5:C1491,"&lt;="&amp;Settings!$B$5)=1),1,0)</f>
        <v>0</v>
      </c>
      <c r="N1491" s="29" t="n">
        <f aca="false">IF(AND(D1491="Feature Use",COUNTIFS($B$5:B1491,B1491,$D$5:D1491,"Feature Use")=1),1,0)</f>
        <v>0</v>
      </c>
    </row>
    <row r="1492" customFormat="false" ht="15" hidden="false" customHeight="false" outlineLevel="0" collapsed="false">
      <c r="A1492" s="22" t="s">
        <v>1799</v>
      </c>
      <c r="B1492" s="22" t="s">
        <v>333</v>
      </c>
      <c r="C1492" s="31" t="n">
        <v>46308</v>
      </c>
      <c r="D1492" s="22" t="s">
        <v>300</v>
      </c>
      <c r="E1492" s="22" t="s">
        <v>311</v>
      </c>
      <c r="F1492" s="29" t="str">
        <f aca="false">IF(COUNTIF(Referral_Data!$C$5:$C$1000,B1492)&gt;0,"Referred",IF(COUNTIF(Referral_Data!$B$5:$B$1000,B1492)&gt;0,"Referrer","Organic"))</f>
        <v>Organic</v>
      </c>
      <c r="G1492" s="29" t="n">
        <f aca="false">IF(COUNTIFS($B$5:B1492,B1492,$C$5:C1492,C1492)=1,1,0)</f>
        <v>0</v>
      </c>
      <c r="H1492" s="29" t="n">
        <f aca="false">IF(AND(G1492=1,COUNTIFS($B$5:$B$1635,B1492,$C$5:$C$1635,"&lt;"&amp;C1492)&gt;0),1,0)</f>
        <v>0</v>
      </c>
      <c r="I1492" s="29" t="n">
        <f aca="false">IF(AND(D1492="Feature Use",COUNTIFS($B$5:B1492,B1492,$D$5:D1492,"Feature Use",$E$5:E1492,E1492)=1),1,0)</f>
        <v>0</v>
      </c>
      <c r="J1492" s="29" t="n">
        <f aca="false">IF(AND(D1492="Feature Use",COUNTIFS($B$5:B1492,B1492,$D$5:D1492,"Feature Use",$E$5:E1492,E1492)=2),1,0)</f>
        <v>0</v>
      </c>
      <c r="K1492" s="29" t="n">
        <f aca="false">IF(COUNTIF($B$5:B1492,B1492)=1,1,0)</f>
        <v>0</v>
      </c>
      <c r="L1492" s="29" t="n">
        <f aca="false">IF(AND(C1492&gt;=Settings!$B$5-Settings!$B$8+1,C1492&lt;=Settings!$B$5,COUNTIFS($B$5:B1492,B1492,$C$5:C1492,"&gt;="&amp;(Settings!$B$5-Settings!$B$8+1),$C$5:C1492,"&lt;="&amp;Settings!$B$5)=1),1,0)</f>
        <v>0</v>
      </c>
      <c r="M1492" s="29" t="n">
        <f aca="false">IF(AND(C1492&gt;=Settings!$B$5-Settings!$B$9+1,C1492&lt;=Settings!$B$5,COUNTIFS($B$5:B1492,B1492,$C$5:C1492,"&gt;="&amp;(Settings!$B$5-Settings!$B$9+1),$C$5:C1492,"&lt;="&amp;Settings!$B$5)=1),1,0)</f>
        <v>0</v>
      </c>
      <c r="N1492" s="29" t="n">
        <f aca="false">IF(AND(D1492="Feature Use",COUNTIFS($B$5:B1492,B1492,$D$5:D1492,"Feature Use")=1),1,0)</f>
        <v>0</v>
      </c>
    </row>
    <row r="1493" customFormat="false" ht="15" hidden="false" customHeight="false" outlineLevel="0" collapsed="false">
      <c r="A1493" s="22" t="s">
        <v>1800</v>
      </c>
      <c r="B1493" s="22" t="s">
        <v>333</v>
      </c>
      <c r="C1493" s="31" t="n">
        <v>46308</v>
      </c>
      <c r="D1493" s="22" t="s">
        <v>300</v>
      </c>
      <c r="E1493" s="22" t="s">
        <v>319</v>
      </c>
      <c r="F1493" s="29" t="str">
        <f aca="false">IF(COUNTIF(Referral_Data!$C$5:$C$1000,B1493)&gt;0,"Referred",IF(COUNTIF(Referral_Data!$B$5:$B$1000,B1493)&gt;0,"Referrer","Organic"))</f>
        <v>Organic</v>
      </c>
      <c r="G1493" s="29" t="n">
        <f aca="false">IF(COUNTIFS($B$5:B1493,B1493,$C$5:C1493,C1493)=1,1,0)</f>
        <v>0</v>
      </c>
      <c r="H1493" s="29" t="n">
        <f aca="false">IF(AND(G1493=1,COUNTIFS($B$5:$B$1635,B1493,$C$5:$C$1635,"&lt;"&amp;C1493)&gt;0),1,0)</f>
        <v>0</v>
      </c>
      <c r="I1493" s="29" t="n">
        <f aca="false">IF(AND(D1493="Feature Use",COUNTIFS($B$5:B1493,B1493,$D$5:D1493,"Feature Use",$E$5:E1493,E1493)=1),1,0)</f>
        <v>0</v>
      </c>
      <c r="J1493" s="29" t="n">
        <f aca="false">IF(AND(D1493="Feature Use",COUNTIFS($B$5:B1493,B1493,$D$5:D1493,"Feature Use",$E$5:E1493,E1493)=2),1,0)</f>
        <v>0</v>
      </c>
      <c r="K1493" s="29" t="n">
        <f aca="false">IF(COUNTIF($B$5:B1493,B1493)=1,1,0)</f>
        <v>0</v>
      </c>
      <c r="L1493" s="29" t="n">
        <f aca="false">IF(AND(C1493&gt;=Settings!$B$5-Settings!$B$8+1,C1493&lt;=Settings!$B$5,COUNTIFS($B$5:B1493,B1493,$C$5:C1493,"&gt;="&amp;(Settings!$B$5-Settings!$B$8+1),$C$5:C1493,"&lt;="&amp;Settings!$B$5)=1),1,0)</f>
        <v>0</v>
      </c>
      <c r="M1493" s="29" t="n">
        <f aca="false">IF(AND(C1493&gt;=Settings!$B$5-Settings!$B$9+1,C1493&lt;=Settings!$B$5,COUNTIFS($B$5:B1493,B1493,$C$5:C1493,"&gt;="&amp;(Settings!$B$5-Settings!$B$9+1),$C$5:C1493,"&lt;="&amp;Settings!$B$5)=1),1,0)</f>
        <v>0</v>
      </c>
      <c r="N1493" s="29" t="n">
        <f aca="false">IF(AND(D1493="Feature Use",COUNTIFS($B$5:B1493,B1493,$D$5:D1493,"Feature Use")=1),1,0)</f>
        <v>0</v>
      </c>
    </row>
    <row r="1494" customFormat="false" ht="15" hidden="false" customHeight="false" outlineLevel="0" collapsed="false">
      <c r="A1494" s="22" t="s">
        <v>1801</v>
      </c>
      <c r="B1494" s="22" t="s">
        <v>176</v>
      </c>
      <c r="C1494" s="31" t="n">
        <v>46308</v>
      </c>
      <c r="D1494" s="22" t="s">
        <v>297</v>
      </c>
      <c r="E1494" s="22" t="s">
        <v>298</v>
      </c>
      <c r="F1494" s="29" t="str">
        <f aca="false">IF(COUNTIF(Referral_Data!$C$5:$C$1000,B1494)&gt;0,"Referred",IF(COUNTIF(Referral_Data!$B$5:$B$1000,B1494)&gt;0,"Referrer","Organic"))</f>
        <v>Referred</v>
      </c>
      <c r="G1494" s="29" t="n">
        <f aca="false">IF(COUNTIFS($B$5:B1494,B1494,$C$5:C1494,C1494)=1,1,0)</f>
        <v>1</v>
      </c>
      <c r="H1494" s="29" t="n">
        <f aca="false">IF(AND(G1494=1,COUNTIFS($B$5:$B$1635,B1494,$C$5:$C$1635,"&lt;"&amp;C1494)&gt;0),1,0)</f>
        <v>1</v>
      </c>
      <c r="I1494" s="29" t="n">
        <f aca="false">IF(AND(D1494="Feature Use",COUNTIFS($B$5:B1494,B1494,$D$5:D1494,"Feature Use",$E$5:E1494,E1494)=1),1,0)</f>
        <v>0</v>
      </c>
      <c r="J1494" s="29" t="n">
        <f aca="false">IF(AND(D1494="Feature Use",COUNTIFS($B$5:B1494,B1494,$D$5:D1494,"Feature Use",$E$5:E1494,E1494)=2),1,0)</f>
        <v>0</v>
      </c>
      <c r="K1494" s="29" t="n">
        <f aca="false">IF(COUNTIF($B$5:B1494,B1494)=1,1,0)</f>
        <v>0</v>
      </c>
      <c r="L1494" s="29" t="n">
        <f aca="false">IF(AND(C1494&gt;=Settings!$B$5-Settings!$B$8+1,C1494&lt;=Settings!$B$5,COUNTIFS($B$5:B1494,B1494,$C$5:C1494,"&gt;="&amp;(Settings!$B$5-Settings!$B$8+1),$C$5:C1494,"&lt;="&amp;Settings!$B$5)=1),1,0)</f>
        <v>0</v>
      </c>
      <c r="M1494" s="29" t="n">
        <f aca="false">IF(AND(C1494&gt;=Settings!$B$5-Settings!$B$9+1,C1494&lt;=Settings!$B$5,COUNTIFS($B$5:B1494,B1494,$C$5:C1494,"&gt;="&amp;(Settings!$B$5-Settings!$B$9+1),$C$5:C1494,"&lt;="&amp;Settings!$B$5)=1),1,0)</f>
        <v>0</v>
      </c>
      <c r="N1494" s="29" t="n">
        <f aca="false">IF(AND(D1494="Feature Use",COUNTIFS($B$5:B1494,B1494,$D$5:D1494,"Feature Use")=1),1,0)</f>
        <v>0</v>
      </c>
    </row>
    <row r="1495" customFormat="false" ht="15" hidden="false" customHeight="false" outlineLevel="0" collapsed="false">
      <c r="A1495" s="22" t="s">
        <v>1802</v>
      </c>
      <c r="B1495" s="22" t="s">
        <v>176</v>
      </c>
      <c r="C1495" s="31" t="n">
        <v>46308</v>
      </c>
      <c r="D1495" s="22" t="s">
        <v>300</v>
      </c>
      <c r="E1495" s="22" t="s">
        <v>305</v>
      </c>
      <c r="F1495" s="29" t="str">
        <f aca="false">IF(COUNTIF(Referral_Data!$C$5:$C$1000,B1495)&gt;0,"Referred",IF(COUNTIF(Referral_Data!$B$5:$B$1000,B1495)&gt;0,"Referrer","Organic"))</f>
        <v>Referred</v>
      </c>
      <c r="G1495" s="29" t="n">
        <f aca="false">IF(COUNTIFS($B$5:B1495,B1495,$C$5:C1495,C1495)=1,1,0)</f>
        <v>0</v>
      </c>
      <c r="H1495" s="29" t="n">
        <f aca="false">IF(AND(G1495=1,COUNTIFS($B$5:$B$1635,B1495,$C$5:$C$1635,"&lt;"&amp;C1495)&gt;0),1,0)</f>
        <v>0</v>
      </c>
      <c r="I1495" s="29" t="n">
        <f aca="false">IF(AND(D1495="Feature Use",COUNTIFS($B$5:B1495,B1495,$D$5:D1495,"Feature Use",$E$5:E1495,E1495)=1),1,0)</f>
        <v>0</v>
      </c>
      <c r="J1495" s="29" t="n">
        <f aca="false">IF(AND(D1495="Feature Use",COUNTIFS($B$5:B1495,B1495,$D$5:D1495,"Feature Use",$E$5:E1495,E1495)=2),1,0)</f>
        <v>0</v>
      </c>
      <c r="K1495" s="29" t="n">
        <f aca="false">IF(COUNTIF($B$5:B1495,B1495)=1,1,0)</f>
        <v>0</v>
      </c>
      <c r="L1495" s="29" t="n">
        <f aca="false">IF(AND(C1495&gt;=Settings!$B$5-Settings!$B$8+1,C1495&lt;=Settings!$B$5,COUNTIFS($B$5:B1495,B1495,$C$5:C1495,"&gt;="&amp;(Settings!$B$5-Settings!$B$8+1),$C$5:C1495,"&lt;="&amp;Settings!$B$5)=1),1,0)</f>
        <v>0</v>
      </c>
      <c r="M1495" s="29" t="n">
        <f aca="false">IF(AND(C1495&gt;=Settings!$B$5-Settings!$B$9+1,C1495&lt;=Settings!$B$5,COUNTIFS($B$5:B1495,B1495,$C$5:C1495,"&gt;="&amp;(Settings!$B$5-Settings!$B$9+1),$C$5:C1495,"&lt;="&amp;Settings!$B$5)=1),1,0)</f>
        <v>0</v>
      </c>
      <c r="N1495" s="29" t="n">
        <f aca="false">IF(AND(D1495="Feature Use",COUNTIFS($B$5:B1495,B1495,$D$5:D1495,"Feature Use")=1),1,0)</f>
        <v>0</v>
      </c>
    </row>
    <row r="1496" customFormat="false" ht="15" hidden="false" customHeight="false" outlineLevel="0" collapsed="false">
      <c r="A1496" s="22" t="s">
        <v>1803</v>
      </c>
      <c r="B1496" s="22" t="s">
        <v>176</v>
      </c>
      <c r="C1496" s="31" t="n">
        <v>46308</v>
      </c>
      <c r="D1496" s="22" t="s">
        <v>308</v>
      </c>
      <c r="E1496" s="22" t="s">
        <v>305</v>
      </c>
      <c r="F1496" s="29" t="str">
        <f aca="false">IF(COUNTIF(Referral_Data!$C$5:$C$1000,B1496)&gt;0,"Referred",IF(COUNTIF(Referral_Data!$B$5:$B$1000,B1496)&gt;0,"Referrer","Organic"))</f>
        <v>Referred</v>
      </c>
      <c r="G1496" s="29" t="n">
        <f aca="false">IF(COUNTIFS($B$5:B1496,B1496,$C$5:C1496,C1496)=1,1,0)</f>
        <v>0</v>
      </c>
      <c r="H1496" s="29" t="n">
        <f aca="false">IF(AND(G1496=1,COUNTIFS($B$5:$B$1635,B1496,$C$5:$C$1635,"&lt;"&amp;C1496)&gt;0),1,0)</f>
        <v>0</v>
      </c>
      <c r="I1496" s="29" t="n">
        <f aca="false">IF(AND(D1496="Feature Use",COUNTIFS($B$5:B1496,B1496,$D$5:D1496,"Feature Use",$E$5:E1496,E1496)=1),1,0)</f>
        <v>0</v>
      </c>
      <c r="J1496" s="29" t="n">
        <f aca="false">IF(AND(D1496="Feature Use",COUNTIFS($B$5:B1496,B1496,$D$5:D1496,"Feature Use",$E$5:E1496,E1496)=2),1,0)</f>
        <v>0</v>
      </c>
      <c r="K1496" s="29" t="n">
        <f aca="false">IF(COUNTIF($B$5:B1496,B1496)=1,1,0)</f>
        <v>0</v>
      </c>
      <c r="L1496" s="29" t="n">
        <f aca="false">IF(AND(C1496&gt;=Settings!$B$5-Settings!$B$8+1,C1496&lt;=Settings!$B$5,COUNTIFS($B$5:B1496,B1496,$C$5:C1496,"&gt;="&amp;(Settings!$B$5-Settings!$B$8+1),$C$5:C1496,"&lt;="&amp;Settings!$B$5)=1),1,0)</f>
        <v>0</v>
      </c>
      <c r="M1496" s="29" t="n">
        <f aca="false">IF(AND(C1496&gt;=Settings!$B$5-Settings!$B$9+1,C1496&lt;=Settings!$B$5,COUNTIFS($B$5:B1496,B1496,$C$5:C1496,"&gt;="&amp;(Settings!$B$5-Settings!$B$9+1),$C$5:C1496,"&lt;="&amp;Settings!$B$5)=1),1,0)</f>
        <v>0</v>
      </c>
      <c r="N1496" s="29" t="n">
        <f aca="false">IF(AND(D1496="Feature Use",COUNTIFS($B$5:B1496,B1496,$D$5:D1496,"Feature Use")=1),1,0)</f>
        <v>0</v>
      </c>
    </row>
    <row r="1497" customFormat="false" ht="15" hidden="false" customHeight="false" outlineLevel="0" collapsed="false">
      <c r="A1497" s="22" t="s">
        <v>1804</v>
      </c>
      <c r="B1497" s="22" t="s">
        <v>181</v>
      </c>
      <c r="C1497" s="31" t="n">
        <v>46308</v>
      </c>
      <c r="D1497" s="22" t="s">
        <v>297</v>
      </c>
      <c r="E1497" s="22" t="s">
        <v>298</v>
      </c>
      <c r="F1497" s="29" t="str">
        <f aca="false">IF(COUNTIF(Referral_Data!$C$5:$C$1000,B1497)&gt;0,"Referred",IF(COUNTIF(Referral_Data!$B$5:$B$1000,B1497)&gt;0,"Referrer","Organic"))</f>
        <v>Referred</v>
      </c>
      <c r="G1497" s="29" t="n">
        <f aca="false">IF(COUNTIFS($B$5:B1497,B1497,$C$5:C1497,C1497)=1,1,0)</f>
        <v>1</v>
      </c>
      <c r="H1497" s="29" t="n">
        <f aca="false">IF(AND(G1497=1,COUNTIFS($B$5:$B$1635,B1497,$C$5:$C$1635,"&lt;"&amp;C1497)&gt;0),1,0)</f>
        <v>1</v>
      </c>
      <c r="I1497" s="29" t="n">
        <f aca="false">IF(AND(D1497="Feature Use",COUNTIFS($B$5:B1497,B1497,$D$5:D1497,"Feature Use",$E$5:E1497,E1497)=1),1,0)</f>
        <v>0</v>
      </c>
      <c r="J1497" s="29" t="n">
        <f aca="false">IF(AND(D1497="Feature Use",COUNTIFS($B$5:B1497,B1497,$D$5:D1497,"Feature Use",$E$5:E1497,E1497)=2),1,0)</f>
        <v>0</v>
      </c>
      <c r="K1497" s="29" t="n">
        <f aca="false">IF(COUNTIF($B$5:B1497,B1497)=1,1,0)</f>
        <v>0</v>
      </c>
      <c r="L1497" s="29" t="n">
        <f aca="false">IF(AND(C1497&gt;=Settings!$B$5-Settings!$B$8+1,C1497&lt;=Settings!$B$5,COUNTIFS($B$5:B1497,B1497,$C$5:C1497,"&gt;="&amp;(Settings!$B$5-Settings!$B$8+1),$C$5:C1497,"&lt;="&amp;Settings!$B$5)=1),1,0)</f>
        <v>0</v>
      </c>
      <c r="M1497" s="29" t="n">
        <f aca="false">IF(AND(C1497&gt;=Settings!$B$5-Settings!$B$9+1,C1497&lt;=Settings!$B$5,COUNTIFS($B$5:B1497,B1497,$C$5:C1497,"&gt;="&amp;(Settings!$B$5-Settings!$B$9+1),$C$5:C1497,"&lt;="&amp;Settings!$B$5)=1),1,0)</f>
        <v>0</v>
      </c>
      <c r="N1497" s="29" t="n">
        <f aca="false">IF(AND(D1497="Feature Use",COUNTIFS($B$5:B1497,B1497,$D$5:D1497,"Feature Use")=1),1,0)</f>
        <v>0</v>
      </c>
    </row>
    <row r="1498" customFormat="false" ht="15" hidden="false" customHeight="false" outlineLevel="0" collapsed="false">
      <c r="A1498" s="22" t="s">
        <v>1805</v>
      </c>
      <c r="B1498" s="22" t="s">
        <v>181</v>
      </c>
      <c r="C1498" s="31" t="n">
        <v>46308</v>
      </c>
      <c r="D1498" s="22" t="s">
        <v>300</v>
      </c>
      <c r="E1498" s="22" t="s">
        <v>305</v>
      </c>
      <c r="F1498" s="29" t="str">
        <f aca="false">IF(COUNTIF(Referral_Data!$C$5:$C$1000,B1498)&gt;0,"Referred",IF(COUNTIF(Referral_Data!$B$5:$B$1000,B1498)&gt;0,"Referrer","Organic"))</f>
        <v>Referred</v>
      </c>
      <c r="G1498" s="29" t="n">
        <f aca="false">IF(COUNTIFS($B$5:B1498,B1498,$C$5:C1498,C1498)=1,1,0)</f>
        <v>0</v>
      </c>
      <c r="H1498" s="29" t="n">
        <f aca="false">IF(AND(G1498=1,COUNTIFS($B$5:$B$1635,B1498,$C$5:$C$1635,"&lt;"&amp;C1498)&gt;0),1,0)</f>
        <v>0</v>
      </c>
      <c r="I1498" s="29" t="n">
        <f aca="false">IF(AND(D1498="Feature Use",COUNTIFS($B$5:B1498,B1498,$D$5:D1498,"Feature Use",$E$5:E1498,E1498)=1),1,0)</f>
        <v>0</v>
      </c>
      <c r="J1498" s="29" t="n">
        <f aca="false">IF(AND(D1498="Feature Use",COUNTIFS($B$5:B1498,B1498,$D$5:D1498,"Feature Use",$E$5:E1498,E1498)=2),1,0)</f>
        <v>0</v>
      </c>
      <c r="K1498" s="29" t="n">
        <f aca="false">IF(COUNTIF($B$5:B1498,B1498)=1,1,0)</f>
        <v>0</v>
      </c>
      <c r="L1498" s="29" t="n">
        <f aca="false">IF(AND(C1498&gt;=Settings!$B$5-Settings!$B$8+1,C1498&lt;=Settings!$B$5,COUNTIFS($B$5:B1498,B1498,$C$5:C1498,"&gt;="&amp;(Settings!$B$5-Settings!$B$8+1),$C$5:C1498,"&lt;="&amp;Settings!$B$5)=1),1,0)</f>
        <v>0</v>
      </c>
      <c r="M1498" s="29" t="n">
        <f aca="false">IF(AND(C1498&gt;=Settings!$B$5-Settings!$B$9+1,C1498&lt;=Settings!$B$5,COUNTIFS($B$5:B1498,B1498,$C$5:C1498,"&gt;="&amp;(Settings!$B$5-Settings!$B$9+1),$C$5:C1498,"&lt;="&amp;Settings!$B$5)=1),1,0)</f>
        <v>0</v>
      </c>
      <c r="N1498" s="29" t="n">
        <f aca="false">IF(AND(D1498="Feature Use",COUNTIFS($B$5:B1498,B1498,$D$5:D1498,"Feature Use")=1),1,0)</f>
        <v>0</v>
      </c>
    </row>
    <row r="1499" customFormat="false" ht="15" hidden="false" customHeight="false" outlineLevel="0" collapsed="false">
      <c r="A1499" s="22" t="s">
        <v>1806</v>
      </c>
      <c r="B1499" s="22" t="s">
        <v>181</v>
      </c>
      <c r="C1499" s="31" t="n">
        <v>46308</v>
      </c>
      <c r="D1499" s="22" t="s">
        <v>308</v>
      </c>
      <c r="E1499" s="22" t="s">
        <v>305</v>
      </c>
      <c r="F1499" s="29" t="str">
        <f aca="false">IF(COUNTIF(Referral_Data!$C$5:$C$1000,B1499)&gt;0,"Referred",IF(COUNTIF(Referral_Data!$B$5:$B$1000,B1499)&gt;0,"Referrer","Organic"))</f>
        <v>Referred</v>
      </c>
      <c r="G1499" s="29" t="n">
        <f aca="false">IF(COUNTIFS($B$5:B1499,B1499,$C$5:C1499,C1499)=1,1,0)</f>
        <v>0</v>
      </c>
      <c r="H1499" s="29" t="n">
        <f aca="false">IF(AND(G1499=1,COUNTIFS($B$5:$B$1635,B1499,$C$5:$C$1635,"&lt;"&amp;C1499)&gt;0),1,0)</f>
        <v>0</v>
      </c>
      <c r="I1499" s="29" t="n">
        <f aca="false">IF(AND(D1499="Feature Use",COUNTIFS($B$5:B1499,B1499,$D$5:D1499,"Feature Use",$E$5:E1499,E1499)=1),1,0)</f>
        <v>0</v>
      </c>
      <c r="J1499" s="29" t="n">
        <f aca="false">IF(AND(D1499="Feature Use",COUNTIFS($B$5:B1499,B1499,$D$5:D1499,"Feature Use",$E$5:E1499,E1499)=2),1,0)</f>
        <v>0</v>
      </c>
      <c r="K1499" s="29" t="n">
        <f aca="false">IF(COUNTIF($B$5:B1499,B1499)=1,1,0)</f>
        <v>0</v>
      </c>
      <c r="L1499" s="29" t="n">
        <f aca="false">IF(AND(C1499&gt;=Settings!$B$5-Settings!$B$8+1,C1499&lt;=Settings!$B$5,COUNTIFS($B$5:B1499,B1499,$C$5:C1499,"&gt;="&amp;(Settings!$B$5-Settings!$B$8+1),$C$5:C1499,"&lt;="&amp;Settings!$B$5)=1),1,0)</f>
        <v>0</v>
      </c>
      <c r="M1499" s="29" t="n">
        <f aca="false">IF(AND(C1499&gt;=Settings!$B$5-Settings!$B$9+1,C1499&lt;=Settings!$B$5,COUNTIFS($B$5:B1499,B1499,$C$5:C1499,"&gt;="&amp;(Settings!$B$5-Settings!$B$9+1),$C$5:C1499,"&lt;="&amp;Settings!$B$5)=1),1,0)</f>
        <v>0</v>
      </c>
      <c r="N1499" s="29" t="n">
        <f aca="false">IF(AND(D1499="Feature Use",COUNTIFS($B$5:B1499,B1499,$D$5:D1499,"Feature Use")=1),1,0)</f>
        <v>0</v>
      </c>
    </row>
    <row r="1500" customFormat="false" ht="15" hidden="false" customHeight="false" outlineLevel="0" collapsed="false">
      <c r="A1500" s="22" t="s">
        <v>1807</v>
      </c>
      <c r="B1500" s="22" t="s">
        <v>192</v>
      </c>
      <c r="C1500" s="31" t="n">
        <v>46308</v>
      </c>
      <c r="D1500" s="22" t="s">
        <v>297</v>
      </c>
      <c r="E1500" s="22" t="s">
        <v>298</v>
      </c>
      <c r="F1500" s="29" t="str">
        <f aca="false">IF(COUNTIF(Referral_Data!$C$5:$C$1000,B1500)&gt;0,"Referred",IF(COUNTIF(Referral_Data!$B$5:$B$1000,B1500)&gt;0,"Referrer","Organic"))</f>
        <v>Referred</v>
      </c>
      <c r="G1500" s="29" t="n">
        <f aca="false">IF(COUNTIFS($B$5:B1500,B1500,$C$5:C1500,C1500)=1,1,0)</f>
        <v>1</v>
      </c>
      <c r="H1500" s="29" t="n">
        <f aca="false">IF(AND(G1500=1,COUNTIFS($B$5:$B$1635,B1500,$C$5:$C$1635,"&lt;"&amp;C1500)&gt;0),1,0)</f>
        <v>1</v>
      </c>
      <c r="I1500" s="29" t="n">
        <f aca="false">IF(AND(D1500="Feature Use",COUNTIFS($B$5:B1500,B1500,$D$5:D1500,"Feature Use",$E$5:E1500,E1500)=1),1,0)</f>
        <v>0</v>
      </c>
      <c r="J1500" s="29" t="n">
        <f aca="false">IF(AND(D1500="Feature Use",COUNTIFS($B$5:B1500,B1500,$D$5:D1500,"Feature Use",$E$5:E1500,E1500)=2),1,0)</f>
        <v>0</v>
      </c>
      <c r="K1500" s="29" t="n">
        <f aca="false">IF(COUNTIF($B$5:B1500,B1500)=1,1,0)</f>
        <v>0</v>
      </c>
      <c r="L1500" s="29" t="n">
        <f aca="false">IF(AND(C1500&gt;=Settings!$B$5-Settings!$B$8+1,C1500&lt;=Settings!$B$5,COUNTIFS($B$5:B1500,B1500,$C$5:C1500,"&gt;="&amp;(Settings!$B$5-Settings!$B$8+1),$C$5:C1500,"&lt;="&amp;Settings!$B$5)=1),1,0)</f>
        <v>1</v>
      </c>
      <c r="M1500" s="29" t="n">
        <f aca="false">IF(AND(C1500&gt;=Settings!$B$5-Settings!$B$9+1,C1500&lt;=Settings!$B$5,COUNTIFS($B$5:B1500,B1500,$C$5:C1500,"&gt;="&amp;(Settings!$B$5-Settings!$B$9+1),$C$5:C1500,"&lt;="&amp;Settings!$B$5)=1),1,0)</f>
        <v>0</v>
      </c>
      <c r="N1500" s="29" t="n">
        <f aca="false">IF(AND(D1500="Feature Use",COUNTIFS($B$5:B1500,B1500,$D$5:D1500,"Feature Use")=1),1,0)</f>
        <v>0</v>
      </c>
    </row>
    <row r="1501" customFormat="false" ht="15" hidden="false" customHeight="false" outlineLevel="0" collapsed="false">
      <c r="A1501" s="22" t="s">
        <v>1808</v>
      </c>
      <c r="B1501" s="22" t="s">
        <v>192</v>
      </c>
      <c r="C1501" s="31" t="n">
        <v>46308</v>
      </c>
      <c r="D1501" s="22" t="s">
        <v>300</v>
      </c>
      <c r="E1501" s="22" t="s">
        <v>305</v>
      </c>
      <c r="F1501" s="29" t="str">
        <f aca="false">IF(COUNTIF(Referral_Data!$C$5:$C$1000,B1501)&gt;0,"Referred",IF(COUNTIF(Referral_Data!$B$5:$B$1000,B1501)&gt;0,"Referrer","Organic"))</f>
        <v>Referred</v>
      </c>
      <c r="G1501" s="29" t="n">
        <f aca="false">IF(COUNTIFS($B$5:B1501,B1501,$C$5:C1501,C1501)=1,1,0)</f>
        <v>0</v>
      </c>
      <c r="H1501" s="29" t="n">
        <f aca="false">IF(AND(G1501=1,COUNTIFS($B$5:$B$1635,B1501,$C$5:$C$1635,"&lt;"&amp;C1501)&gt;0),1,0)</f>
        <v>0</v>
      </c>
      <c r="I1501" s="29" t="n">
        <f aca="false">IF(AND(D1501="Feature Use",COUNTIFS($B$5:B1501,B1501,$D$5:D1501,"Feature Use",$E$5:E1501,E1501)=1),1,0)</f>
        <v>0</v>
      </c>
      <c r="J1501" s="29" t="n">
        <f aca="false">IF(AND(D1501="Feature Use",COUNTIFS($B$5:B1501,B1501,$D$5:D1501,"Feature Use",$E$5:E1501,E1501)=2),1,0)</f>
        <v>0</v>
      </c>
      <c r="K1501" s="29" t="n">
        <f aca="false">IF(COUNTIF($B$5:B1501,B1501)=1,1,0)</f>
        <v>0</v>
      </c>
      <c r="L1501" s="29" t="n">
        <f aca="false">IF(AND(C1501&gt;=Settings!$B$5-Settings!$B$8+1,C1501&lt;=Settings!$B$5,COUNTIFS($B$5:B1501,B1501,$C$5:C1501,"&gt;="&amp;(Settings!$B$5-Settings!$B$8+1),$C$5:C1501,"&lt;="&amp;Settings!$B$5)=1),1,0)</f>
        <v>0</v>
      </c>
      <c r="M1501" s="29" t="n">
        <f aca="false">IF(AND(C1501&gt;=Settings!$B$5-Settings!$B$9+1,C1501&lt;=Settings!$B$5,COUNTIFS($B$5:B1501,B1501,$C$5:C1501,"&gt;="&amp;(Settings!$B$5-Settings!$B$9+1),$C$5:C1501,"&lt;="&amp;Settings!$B$5)=1),1,0)</f>
        <v>0</v>
      </c>
      <c r="N1501" s="29" t="n">
        <f aca="false">IF(AND(D1501="Feature Use",COUNTIFS($B$5:B1501,B1501,$D$5:D1501,"Feature Use")=1),1,0)</f>
        <v>0</v>
      </c>
    </row>
    <row r="1502" customFormat="false" ht="15" hidden="false" customHeight="false" outlineLevel="0" collapsed="false">
      <c r="A1502" s="22" t="s">
        <v>1809</v>
      </c>
      <c r="B1502" s="22" t="s">
        <v>192</v>
      </c>
      <c r="C1502" s="31" t="n">
        <v>46308</v>
      </c>
      <c r="D1502" s="22" t="s">
        <v>300</v>
      </c>
      <c r="E1502" s="22" t="s">
        <v>305</v>
      </c>
      <c r="F1502" s="29" t="str">
        <f aca="false">IF(COUNTIF(Referral_Data!$C$5:$C$1000,B1502)&gt;0,"Referred",IF(COUNTIF(Referral_Data!$B$5:$B$1000,B1502)&gt;0,"Referrer","Organic"))</f>
        <v>Referred</v>
      </c>
      <c r="G1502" s="29" t="n">
        <f aca="false">IF(COUNTIFS($B$5:B1502,B1502,$C$5:C1502,C1502)=1,1,0)</f>
        <v>0</v>
      </c>
      <c r="H1502" s="29" t="n">
        <f aca="false">IF(AND(G1502=1,COUNTIFS($B$5:$B$1635,B1502,$C$5:$C$1635,"&lt;"&amp;C1502)&gt;0),1,0)</f>
        <v>0</v>
      </c>
      <c r="I1502" s="29" t="n">
        <f aca="false">IF(AND(D1502="Feature Use",COUNTIFS($B$5:B1502,B1502,$D$5:D1502,"Feature Use",$E$5:E1502,E1502)=1),1,0)</f>
        <v>0</v>
      </c>
      <c r="J1502" s="29" t="n">
        <f aca="false">IF(AND(D1502="Feature Use",COUNTIFS($B$5:B1502,B1502,$D$5:D1502,"Feature Use",$E$5:E1502,E1502)=2),1,0)</f>
        <v>0</v>
      </c>
      <c r="K1502" s="29" t="n">
        <f aca="false">IF(COUNTIF($B$5:B1502,B1502)=1,1,0)</f>
        <v>0</v>
      </c>
      <c r="L1502" s="29" t="n">
        <f aca="false">IF(AND(C1502&gt;=Settings!$B$5-Settings!$B$8+1,C1502&lt;=Settings!$B$5,COUNTIFS($B$5:B1502,B1502,$C$5:C1502,"&gt;="&amp;(Settings!$B$5-Settings!$B$8+1),$C$5:C1502,"&lt;="&amp;Settings!$B$5)=1),1,0)</f>
        <v>0</v>
      </c>
      <c r="M1502" s="29" t="n">
        <f aca="false">IF(AND(C1502&gt;=Settings!$B$5-Settings!$B$9+1,C1502&lt;=Settings!$B$5,COUNTIFS($B$5:B1502,B1502,$C$5:C1502,"&gt;="&amp;(Settings!$B$5-Settings!$B$9+1),$C$5:C1502,"&lt;="&amp;Settings!$B$5)=1),1,0)</f>
        <v>0</v>
      </c>
      <c r="N1502" s="29" t="n">
        <f aca="false">IF(AND(D1502="Feature Use",COUNTIFS($B$5:B1502,B1502,$D$5:D1502,"Feature Use")=1),1,0)</f>
        <v>0</v>
      </c>
    </row>
    <row r="1503" customFormat="false" ht="15" hidden="false" customHeight="false" outlineLevel="0" collapsed="false">
      <c r="A1503" s="22" t="s">
        <v>1810</v>
      </c>
      <c r="B1503" s="22" t="s">
        <v>194</v>
      </c>
      <c r="C1503" s="31" t="n">
        <v>46308</v>
      </c>
      <c r="D1503" s="22" t="s">
        <v>297</v>
      </c>
      <c r="E1503" s="22" t="s">
        <v>298</v>
      </c>
      <c r="F1503" s="29" t="str">
        <f aca="false">IF(COUNTIF(Referral_Data!$C$5:$C$1000,B1503)&gt;0,"Referred",IF(COUNTIF(Referral_Data!$B$5:$B$1000,B1503)&gt;0,"Referrer","Organic"))</f>
        <v>Referred</v>
      </c>
      <c r="G1503" s="29" t="n">
        <f aca="false">IF(COUNTIFS($B$5:B1503,B1503,$C$5:C1503,C1503)=1,1,0)</f>
        <v>1</v>
      </c>
      <c r="H1503" s="29" t="n">
        <f aca="false">IF(AND(G1503=1,COUNTIFS($B$5:$B$1635,B1503,$C$5:$C$1635,"&lt;"&amp;C1503)&gt;0),1,0)</f>
        <v>1</v>
      </c>
      <c r="I1503" s="29" t="n">
        <f aca="false">IF(AND(D1503="Feature Use",COUNTIFS($B$5:B1503,B1503,$D$5:D1503,"Feature Use",$E$5:E1503,E1503)=1),1,0)</f>
        <v>0</v>
      </c>
      <c r="J1503" s="29" t="n">
        <f aca="false">IF(AND(D1503="Feature Use",COUNTIFS($B$5:B1503,B1503,$D$5:D1503,"Feature Use",$E$5:E1503,E1503)=2),1,0)</f>
        <v>0</v>
      </c>
      <c r="K1503" s="29" t="n">
        <f aca="false">IF(COUNTIF($B$5:B1503,B1503)=1,1,0)</f>
        <v>0</v>
      </c>
      <c r="L1503" s="29" t="n">
        <f aca="false">IF(AND(C1503&gt;=Settings!$B$5-Settings!$B$8+1,C1503&lt;=Settings!$B$5,COUNTIFS($B$5:B1503,B1503,$C$5:C1503,"&gt;="&amp;(Settings!$B$5-Settings!$B$8+1),$C$5:C1503,"&lt;="&amp;Settings!$B$5)=1),1,0)</f>
        <v>0</v>
      </c>
      <c r="M1503" s="29" t="n">
        <f aca="false">IF(AND(C1503&gt;=Settings!$B$5-Settings!$B$9+1,C1503&lt;=Settings!$B$5,COUNTIFS($B$5:B1503,B1503,$C$5:C1503,"&gt;="&amp;(Settings!$B$5-Settings!$B$9+1),$C$5:C1503,"&lt;="&amp;Settings!$B$5)=1),1,0)</f>
        <v>0</v>
      </c>
      <c r="N1503" s="29" t="n">
        <f aca="false">IF(AND(D1503="Feature Use",COUNTIFS($B$5:B1503,B1503,$D$5:D1503,"Feature Use")=1),1,0)</f>
        <v>0</v>
      </c>
    </row>
    <row r="1504" customFormat="false" ht="15" hidden="false" customHeight="false" outlineLevel="0" collapsed="false">
      <c r="A1504" s="22" t="s">
        <v>1811</v>
      </c>
      <c r="B1504" s="22" t="s">
        <v>194</v>
      </c>
      <c r="C1504" s="31" t="n">
        <v>46308</v>
      </c>
      <c r="D1504" s="22" t="s">
        <v>300</v>
      </c>
      <c r="E1504" s="22" t="s">
        <v>319</v>
      </c>
      <c r="F1504" s="29" t="str">
        <f aca="false">IF(COUNTIF(Referral_Data!$C$5:$C$1000,B1504)&gt;0,"Referred",IF(COUNTIF(Referral_Data!$B$5:$B$1000,B1504)&gt;0,"Referrer","Organic"))</f>
        <v>Referred</v>
      </c>
      <c r="G1504" s="29" t="n">
        <f aca="false">IF(COUNTIFS($B$5:B1504,B1504,$C$5:C1504,C1504)=1,1,0)</f>
        <v>0</v>
      </c>
      <c r="H1504" s="29" t="n">
        <f aca="false">IF(AND(G1504=1,COUNTIFS($B$5:$B$1635,B1504,$C$5:$C$1635,"&lt;"&amp;C1504)&gt;0),1,0)</f>
        <v>0</v>
      </c>
      <c r="I1504" s="29" t="n">
        <f aca="false">IF(AND(D1504="Feature Use",COUNTIFS($B$5:B1504,B1504,$D$5:D1504,"Feature Use",$E$5:E1504,E1504)=1),1,0)</f>
        <v>0</v>
      </c>
      <c r="J1504" s="29" t="n">
        <f aca="false">IF(AND(D1504="Feature Use",COUNTIFS($B$5:B1504,B1504,$D$5:D1504,"Feature Use",$E$5:E1504,E1504)=2),1,0)</f>
        <v>0</v>
      </c>
      <c r="K1504" s="29" t="n">
        <f aca="false">IF(COUNTIF($B$5:B1504,B1504)=1,1,0)</f>
        <v>0</v>
      </c>
      <c r="L1504" s="29" t="n">
        <f aca="false">IF(AND(C1504&gt;=Settings!$B$5-Settings!$B$8+1,C1504&lt;=Settings!$B$5,COUNTIFS($B$5:B1504,B1504,$C$5:C1504,"&gt;="&amp;(Settings!$B$5-Settings!$B$8+1),$C$5:C1504,"&lt;="&amp;Settings!$B$5)=1),1,0)</f>
        <v>0</v>
      </c>
      <c r="M1504" s="29" t="n">
        <f aca="false">IF(AND(C1504&gt;=Settings!$B$5-Settings!$B$9+1,C1504&lt;=Settings!$B$5,COUNTIFS($B$5:B1504,B1504,$C$5:C1504,"&gt;="&amp;(Settings!$B$5-Settings!$B$9+1),$C$5:C1504,"&lt;="&amp;Settings!$B$5)=1),1,0)</f>
        <v>0</v>
      </c>
      <c r="N1504" s="29" t="n">
        <f aca="false">IF(AND(D1504="Feature Use",COUNTIFS($B$5:B1504,B1504,$D$5:D1504,"Feature Use")=1),1,0)</f>
        <v>0</v>
      </c>
    </row>
    <row r="1505" customFormat="false" ht="15" hidden="false" customHeight="false" outlineLevel="0" collapsed="false">
      <c r="A1505" s="22" t="s">
        <v>1812</v>
      </c>
      <c r="B1505" s="22" t="s">
        <v>204</v>
      </c>
      <c r="C1505" s="31" t="n">
        <v>46308</v>
      </c>
      <c r="D1505" s="22" t="s">
        <v>297</v>
      </c>
      <c r="E1505" s="22" t="s">
        <v>298</v>
      </c>
      <c r="F1505" s="29" t="str">
        <f aca="false">IF(COUNTIF(Referral_Data!$C$5:$C$1000,B1505)&gt;0,"Referred",IF(COUNTIF(Referral_Data!$B$5:$B$1000,B1505)&gt;0,"Referrer","Organic"))</f>
        <v>Referred</v>
      </c>
      <c r="G1505" s="29" t="n">
        <f aca="false">IF(COUNTIFS($B$5:B1505,B1505,$C$5:C1505,C1505)=1,1,0)</f>
        <v>1</v>
      </c>
      <c r="H1505" s="29" t="n">
        <f aca="false">IF(AND(G1505=1,COUNTIFS($B$5:$B$1635,B1505,$C$5:$C$1635,"&lt;"&amp;C1505)&gt;0),1,0)</f>
        <v>1</v>
      </c>
      <c r="I1505" s="29" t="n">
        <f aca="false">IF(AND(D1505="Feature Use",COUNTIFS($B$5:B1505,B1505,$D$5:D1505,"Feature Use",$E$5:E1505,E1505)=1),1,0)</f>
        <v>0</v>
      </c>
      <c r="J1505" s="29" t="n">
        <f aca="false">IF(AND(D1505="Feature Use",COUNTIFS($B$5:B1505,B1505,$D$5:D1505,"Feature Use",$E$5:E1505,E1505)=2),1,0)</f>
        <v>0</v>
      </c>
      <c r="K1505" s="29" t="n">
        <f aca="false">IF(COUNTIF($B$5:B1505,B1505)=1,1,0)</f>
        <v>0</v>
      </c>
      <c r="L1505" s="29" t="n">
        <f aca="false">IF(AND(C1505&gt;=Settings!$B$5-Settings!$B$8+1,C1505&lt;=Settings!$B$5,COUNTIFS($B$5:B1505,B1505,$C$5:C1505,"&gt;="&amp;(Settings!$B$5-Settings!$B$8+1),$C$5:C1505,"&lt;="&amp;Settings!$B$5)=1),1,0)</f>
        <v>0</v>
      </c>
      <c r="M1505" s="29" t="n">
        <f aca="false">IF(AND(C1505&gt;=Settings!$B$5-Settings!$B$9+1,C1505&lt;=Settings!$B$5,COUNTIFS($B$5:B1505,B1505,$C$5:C1505,"&gt;="&amp;(Settings!$B$5-Settings!$B$9+1),$C$5:C1505,"&lt;="&amp;Settings!$B$5)=1),1,0)</f>
        <v>0</v>
      </c>
      <c r="N1505" s="29" t="n">
        <f aca="false">IF(AND(D1505="Feature Use",COUNTIFS($B$5:B1505,B1505,$D$5:D1505,"Feature Use")=1),1,0)</f>
        <v>0</v>
      </c>
    </row>
    <row r="1506" customFormat="false" ht="15" hidden="false" customHeight="false" outlineLevel="0" collapsed="false">
      <c r="A1506" s="22" t="s">
        <v>1813</v>
      </c>
      <c r="B1506" s="22" t="s">
        <v>204</v>
      </c>
      <c r="C1506" s="31" t="n">
        <v>46308</v>
      </c>
      <c r="D1506" s="22" t="s">
        <v>300</v>
      </c>
      <c r="E1506" s="22" t="s">
        <v>301</v>
      </c>
      <c r="F1506" s="29" t="str">
        <f aca="false">IF(COUNTIF(Referral_Data!$C$5:$C$1000,B1506)&gt;0,"Referred",IF(COUNTIF(Referral_Data!$B$5:$B$1000,B1506)&gt;0,"Referrer","Organic"))</f>
        <v>Referred</v>
      </c>
      <c r="G1506" s="29" t="n">
        <f aca="false">IF(COUNTIFS($B$5:B1506,B1506,$C$5:C1506,C1506)=1,1,0)</f>
        <v>0</v>
      </c>
      <c r="H1506" s="29" t="n">
        <f aca="false">IF(AND(G1506=1,COUNTIFS($B$5:$B$1635,B1506,$C$5:$C$1635,"&lt;"&amp;C1506)&gt;0),1,0)</f>
        <v>0</v>
      </c>
      <c r="I1506" s="29" t="n">
        <f aca="false">IF(AND(D1506="Feature Use",COUNTIFS($B$5:B1506,B1506,$D$5:D1506,"Feature Use",$E$5:E1506,E1506)=1),1,0)</f>
        <v>0</v>
      </c>
      <c r="J1506" s="29" t="n">
        <f aca="false">IF(AND(D1506="Feature Use",COUNTIFS($B$5:B1506,B1506,$D$5:D1506,"Feature Use",$E$5:E1506,E1506)=2),1,0)</f>
        <v>0</v>
      </c>
      <c r="K1506" s="29" t="n">
        <f aca="false">IF(COUNTIF($B$5:B1506,B1506)=1,1,0)</f>
        <v>0</v>
      </c>
      <c r="L1506" s="29" t="n">
        <f aca="false">IF(AND(C1506&gt;=Settings!$B$5-Settings!$B$8+1,C1506&lt;=Settings!$B$5,COUNTIFS($B$5:B1506,B1506,$C$5:C1506,"&gt;="&amp;(Settings!$B$5-Settings!$B$8+1),$C$5:C1506,"&lt;="&amp;Settings!$B$5)=1),1,0)</f>
        <v>0</v>
      </c>
      <c r="M1506" s="29" t="n">
        <f aca="false">IF(AND(C1506&gt;=Settings!$B$5-Settings!$B$9+1,C1506&lt;=Settings!$B$5,COUNTIFS($B$5:B1506,B1506,$C$5:C1506,"&gt;="&amp;(Settings!$B$5-Settings!$B$9+1),$C$5:C1506,"&lt;="&amp;Settings!$B$5)=1),1,0)</f>
        <v>0</v>
      </c>
      <c r="N1506" s="29" t="n">
        <f aca="false">IF(AND(D1506="Feature Use",COUNTIFS($B$5:B1506,B1506,$D$5:D1506,"Feature Use")=1),1,0)</f>
        <v>0</v>
      </c>
    </row>
    <row r="1507" customFormat="false" ht="15" hidden="false" customHeight="false" outlineLevel="0" collapsed="false">
      <c r="A1507" s="22" t="s">
        <v>1814</v>
      </c>
      <c r="B1507" s="22" t="s">
        <v>204</v>
      </c>
      <c r="C1507" s="31" t="n">
        <v>46308</v>
      </c>
      <c r="D1507" s="22" t="s">
        <v>308</v>
      </c>
      <c r="E1507" s="22" t="s">
        <v>301</v>
      </c>
      <c r="F1507" s="29" t="str">
        <f aca="false">IF(COUNTIF(Referral_Data!$C$5:$C$1000,B1507)&gt;0,"Referred",IF(COUNTIF(Referral_Data!$B$5:$B$1000,B1507)&gt;0,"Referrer","Organic"))</f>
        <v>Referred</v>
      </c>
      <c r="G1507" s="29" t="n">
        <f aca="false">IF(COUNTIFS($B$5:B1507,B1507,$C$5:C1507,C1507)=1,1,0)</f>
        <v>0</v>
      </c>
      <c r="H1507" s="29" t="n">
        <f aca="false">IF(AND(G1507=1,COUNTIFS($B$5:$B$1635,B1507,$C$5:$C$1635,"&lt;"&amp;C1507)&gt;0),1,0)</f>
        <v>0</v>
      </c>
      <c r="I1507" s="29" t="n">
        <f aca="false">IF(AND(D1507="Feature Use",COUNTIFS($B$5:B1507,B1507,$D$5:D1507,"Feature Use",$E$5:E1507,E1507)=1),1,0)</f>
        <v>0</v>
      </c>
      <c r="J1507" s="29" t="n">
        <f aca="false">IF(AND(D1507="Feature Use",COUNTIFS($B$5:B1507,B1507,$D$5:D1507,"Feature Use",$E$5:E1507,E1507)=2),1,0)</f>
        <v>0</v>
      </c>
      <c r="K1507" s="29" t="n">
        <f aca="false">IF(COUNTIF($B$5:B1507,B1507)=1,1,0)</f>
        <v>0</v>
      </c>
      <c r="L1507" s="29" t="n">
        <f aca="false">IF(AND(C1507&gt;=Settings!$B$5-Settings!$B$8+1,C1507&lt;=Settings!$B$5,COUNTIFS($B$5:B1507,B1507,$C$5:C1507,"&gt;="&amp;(Settings!$B$5-Settings!$B$8+1),$C$5:C1507,"&lt;="&amp;Settings!$B$5)=1),1,0)</f>
        <v>0</v>
      </c>
      <c r="M1507" s="29" t="n">
        <f aca="false">IF(AND(C1507&gt;=Settings!$B$5-Settings!$B$9+1,C1507&lt;=Settings!$B$5,COUNTIFS($B$5:B1507,B1507,$C$5:C1507,"&gt;="&amp;(Settings!$B$5-Settings!$B$9+1),$C$5:C1507,"&lt;="&amp;Settings!$B$5)=1),1,0)</f>
        <v>0</v>
      </c>
      <c r="N1507" s="29" t="n">
        <f aca="false">IF(AND(D1507="Feature Use",COUNTIFS($B$5:B1507,B1507,$D$5:D1507,"Feature Use")=1),1,0)</f>
        <v>0</v>
      </c>
    </row>
    <row r="1508" customFormat="false" ht="15" hidden="false" customHeight="false" outlineLevel="0" collapsed="false">
      <c r="A1508" s="22" t="s">
        <v>1815</v>
      </c>
      <c r="B1508" s="22" t="s">
        <v>234</v>
      </c>
      <c r="C1508" s="31" t="n">
        <v>46308</v>
      </c>
      <c r="D1508" s="22" t="s">
        <v>297</v>
      </c>
      <c r="E1508" s="22" t="s">
        <v>298</v>
      </c>
      <c r="F1508" s="29" t="str">
        <f aca="false">IF(COUNTIF(Referral_Data!$C$5:$C$1000,B1508)&gt;0,"Referred",IF(COUNTIF(Referral_Data!$B$5:$B$1000,B1508)&gt;0,"Referrer","Organic"))</f>
        <v>Referred</v>
      </c>
      <c r="G1508" s="29" t="n">
        <f aca="false">IF(COUNTIFS($B$5:B1508,B1508,$C$5:C1508,C1508)=1,1,0)</f>
        <v>1</v>
      </c>
      <c r="H1508" s="29" t="n">
        <f aca="false">IF(AND(G1508=1,COUNTIFS($B$5:$B$1635,B1508,$C$5:$C$1635,"&lt;"&amp;C1508)&gt;0),1,0)</f>
        <v>1</v>
      </c>
      <c r="I1508" s="29" t="n">
        <f aca="false">IF(AND(D1508="Feature Use",COUNTIFS($B$5:B1508,B1508,$D$5:D1508,"Feature Use",$E$5:E1508,E1508)=1),1,0)</f>
        <v>0</v>
      </c>
      <c r="J1508" s="29" t="n">
        <f aca="false">IF(AND(D1508="Feature Use",COUNTIFS($B$5:B1508,B1508,$D$5:D1508,"Feature Use",$E$5:E1508,E1508)=2),1,0)</f>
        <v>0</v>
      </c>
      <c r="K1508" s="29" t="n">
        <f aca="false">IF(COUNTIF($B$5:B1508,B1508)=1,1,0)</f>
        <v>0</v>
      </c>
      <c r="L1508" s="29" t="n">
        <f aca="false">IF(AND(C1508&gt;=Settings!$B$5-Settings!$B$8+1,C1508&lt;=Settings!$B$5,COUNTIFS($B$5:B1508,B1508,$C$5:C1508,"&gt;="&amp;(Settings!$B$5-Settings!$B$8+1),$C$5:C1508,"&lt;="&amp;Settings!$B$5)=1),1,0)</f>
        <v>0</v>
      </c>
      <c r="M1508" s="29" t="n">
        <f aca="false">IF(AND(C1508&gt;=Settings!$B$5-Settings!$B$9+1,C1508&lt;=Settings!$B$5,COUNTIFS($B$5:B1508,B1508,$C$5:C1508,"&gt;="&amp;(Settings!$B$5-Settings!$B$9+1),$C$5:C1508,"&lt;="&amp;Settings!$B$5)=1),1,0)</f>
        <v>0</v>
      </c>
      <c r="N1508" s="29" t="n">
        <f aca="false">IF(AND(D1508="Feature Use",COUNTIFS($B$5:B1508,B1508,$D$5:D1508,"Feature Use")=1),1,0)</f>
        <v>0</v>
      </c>
    </row>
    <row r="1509" customFormat="false" ht="15" hidden="false" customHeight="false" outlineLevel="0" collapsed="false">
      <c r="A1509" s="22" t="s">
        <v>1816</v>
      </c>
      <c r="B1509" s="22" t="s">
        <v>234</v>
      </c>
      <c r="C1509" s="31" t="n">
        <v>46308</v>
      </c>
      <c r="D1509" s="22" t="s">
        <v>300</v>
      </c>
      <c r="E1509" s="22" t="s">
        <v>309</v>
      </c>
      <c r="F1509" s="29" t="str">
        <f aca="false">IF(COUNTIF(Referral_Data!$C$5:$C$1000,B1509)&gt;0,"Referred",IF(COUNTIF(Referral_Data!$B$5:$B$1000,B1509)&gt;0,"Referrer","Organic"))</f>
        <v>Referred</v>
      </c>
      <c r="G1509" s="29" t="n">
        <f aca="false">IF(COUNTIFS($B$5:B1509,B1509,$C$5:C1509,C1509)=1,1,0)</f>
        <v>0</v>
      </c>
      <c r="H1509" s="29" t="n">
        <f aca="false">IF(AND(G1509=1,COUNTIFS($B$5:$B$1635,B1509,$C$5:$C$1635,"&lt;"&amp;C1509)&gt;0),1,0)</f>
        <v>0</v>
      </c>
      <c r="I1509" s="29" t="n">
        <f aca="false">IF(AND(D1509="Feature Use",COUNTIFS($B$5:B1509,B1509,$D$5:D1509,"Feature Use",$E$5:E1509,E1509)=1),1,0)</f>
        <v>0</v>
      </c>
      <c r="J1509" s="29" t="n">
        <f aca="false">IF(AND(D1509="Feature Use",COUNTIFS($B$5:B1509,B1509,$D$5:D1509,"Feature Use",$E$5:E1509,E1509)=2),1,0)</f>
        <v>0</v>
      </c>
      <c r="K1509" s="29" t="n">
        <f aca="false">IF(COUNTIF($B$5:B1509,B1509)=1,1,0)</f>
        <v>0</v>
      </c>
      <c r="L1509" s="29" t="n">
        <f aca="false">IF(AND(C1509&gt;=Settings!$B$5-Settings!$B$8+1,C1509&lt;=Settings!$B$5,COUNTIFS($B$5:B1509,B1509,$C$5:C1509,"&gt;="&amp;(Settings!$B$5-Settings!$B$8+1),$C$5:C1509,"&lt;="&amp;Settings!$B$5)=1),1,0)</f>
        <v>0</v>
      </c>
      <c r="M1509" s="29" t="n">
        <f aca="false">IF(AND(C1509&gt;=Settings!$B$5-Settings!$B$9+1,C1509&lt;=Settings!$B$5,COUNTIFS($B$5:B1509,B1509,$C$5:C1509,"&gt;="&amp;(Settings!$B$5-Settings!$B$9+1),$C$5:C1509,"&lt;="&amp;Settings!$B$5)=1),1,0)</f>
        <v>0</v>
      </c>
      <c r="N1509" s="29" t="n">
        <f aca="false">IF(AND(D1509="Feature Use",COUNTIFS($B$5:B1509,B1509,$D$5:D1509,"Feature Use")=1),1,0)</f>
        <v>0</v>
      </c>
    </row>
    <row r="1510" customFormat="false" ht="15" hidden="false" customHeight="false" outlineLevel="0" collapsed="false">
      <c r="A1510" s="22" t="s">
        <v>1817</v>
      </c>
      <c r="B1510" s="22" t="s">
        <v>234</v>
      </c>
      <c r="C1510" s="31" t="n">
        <v>46308</v>
      </c>
      <c r="D1510" s="22" t="s">
        <v>308</v>
      </c>
      <c r="E1510" s="22" t="s">
        <v>301</v>
      </c>
      <c r="F1510" s="29" t="str">
        <f aca="false">IF(COUNTIF(Referral_Data!$C$5:$C$1000,B1510)&gt;0,"Referred",IF(COUNTIF(Referral_Data!$B$5:$B$1000,B1510)&gt;0,"Referrer","Organic"))</f>
        <v>Referred</v>
      </c>
      <c r="G1510" s="29" t="n">
        <f aca="false">IF(COUNTIFS($B$5:B1510,B1510,$C$5:C1510,C1510)=1,1,0)</f>
        <v>0</v>
      </c>
      <c r="H1510" s="29" t="n">
        <f aca="false">IF(AND(G1510=1,COUNTIFS($B$5:$B$1635,B1510,$C$5:$C$1635,"&lt;"&amp;C1510)&gt;0),1,0)</f>
        <v>0</v>
      </c>
      <c r="I1510" s="29" t="n">
        <f aca="false">IF(AND(D1510="Feature Use",COUNTIFS($B$5:B1510,B1510,$D$5:D1510,"Feature Use",$E$5:E1510,E1510)=1),1,0)</f>
        <v>0</v>
      </c>
      <c r="J1510" s="29" t="n">
        <f aca="false">IF(AND(D1510="Feature Use",COUNTIFS($B$5:B1510,B1510,$D$5:D1510,"Feature Use",$E$5:E1510,E1510)=2),1,0)</f>
        <v>0</v>
      </c>
      <c r="K1510" s="29" t="n">
        <f aca="false">IF(COUNTIF($B$5:B1510,B1510)=1,1,0)</f>
        <v>0</v>
      </c>
      <c r="L1510" s="29" t="n">
        <f aca="false">IF(AND(C1510&gt;=Settings!$B$5-Settings!$B$8+1,C1510&lt;=Settings!$B$5,COUNTIFS($B$5:B1510,B1510,$C$5:C1510,"&gt;="&amp;(Settings!$B$5-Settings!$B$8+1),$C$5:C1510,"&lt;="&amp;Settings!$B$5)=1),1,0)</f>
        <v>0</v>
      </c>
      <c r="M1510" s="29" t="n">
        <f aca="false">IF(AND(C1510&gt;=Settings!$B$5-Settings!$B$9+1,C1510&lt;=Settings!$B$5,COUNTIFS($B$5:B1510,B1510,$C$5:C1510,"&gt;="&amp;(Settings!$B$5-Settings!$B$9+1),$C$5:C1510,"&lt;="&amp;Settings!$B$5)=1),1,0)</f>
        <v>0</v>
      </c>
      <c r="N1510" s="29" t="n">
        <f aca="false">IF(AND(D1510="Feature Use",COUNTIFS($B$5:B1510,B1510,$D$5:D1510,"Feature Use")=1),1,0)</f>
        <v>0</v>
      </c>
    </row>
    <row r="1511" customFormat="false" ht="15" hidden="false" customHeight="false" outlineLevel="0" collapsed="false">
      <c r="A1511" s="22" t="s">
        <v>1818</v>
      </c>
      <c r="B1511" s="22" t="s">
        <v>234</v>
      </c>
      <c r="C1511" s="31" t="n">
        <v>46308</v>
      </c>
      <c r="D1511" s="22" t="s">
        <v>308</v>
      </c>
      <c r="E1511" s="22" t="s">
        <v>305</v>
      </c>
      <c r="F1511" s="29" t="str">
        <f aca="false">IF(COUNTIF(Referral_Data!$C$5:$C$1000,B1511)&gt;0,"Referred",IF(COUNTIF(Referral_Data!$B$5:$B$1000,B1511)&gt;0,"Referrer","Organic"))</f>
        <v>Referred</v>
      </c>
      <c r="G1511" s="29" t="n">
        <f aca="false">IF(COUNTIFS($B$5:B1511,B1511,$C$5:C1511,C1511)=1,1,0)</f>
        <v>0</v>
      </c>
      <c r="H1511" s="29" t="n">
        <f aca="false">IF(AND(G1511=1,COUNTIFS($B$5:$B$1635,B1511,$C$5:$C$1635,"&lt;"&amp;C1511)&gt;0),1,0)</f>
        <v>0</v>
      </c>
      <c r="I1511" s="29" t="n">
        <f aca="false">IF(AND(D1511="Feature Use",COUNTIFS($B$5:B1511,B1511,$D$5:D1511,"Feature Use",$E$5:E1511,E1511)=1),1,0)</f>
        <v>0</v>
      </c>
      <c r="J1511" s="29" t="n">
        <f aca="false">IF(AND(D1511="Feature Use",COUNTIFS($B$5:B1511,B1511,$D$5:D1511,"Feature Use",$E$5:E1511,E1511)=2),1,0)</f>
        <v>0</v>
      </c>
      <c r="K1511" s="29" t="n">
        <f aca="false">IF(COUNTIF($B$5:B1511,B1511)=1,1,0)</f>
        <v>0</v>
      </c>
      <c r="L1511" s="29" t="n">
        <f aca="false">IF(AND(C1511&gt;=Settings!$B$5-Settings!$B$8+1,C1511&lt;=Settings!$B$5,COUNTIFS($B$5:B1511,B1511,$C$5:C1511,"&gt;="&amp;(Settings!$B$5-Settings!$B$8+1),$C$5:C1511,"&lt;="&amp;Settings!$B$5)=1),1,0)</f>
        <v>0</v>
      </c>
      <c r="M1511" s="29" t="n">
        <f aca="false">IF(AND(C1511&gt;=Settings!$B$5-Settings!$B$9+1,C1511&lt;=Settings!$B$5,COUNTIFS($B$5:B1511,B1511,$C$5:C1511,"&gt;="&amp;(Settings!$B$5-Settings!$B$9+1),$C$5:C1511,"&lt;="&amp;Settings!$B$5)=1),1,0)</f>
        <v>0</v>
      </c>
      <c r="N1511" s="29" t="n">
        <f aca="false">IF(AND(D1511="Feature Use",COUNTIFS($B$5:B1511,B1511,$D$5:D1511,"Feature Use")=1),1,0)</f>
        <v>0</v>
      </c>
    </row>
    <row r="1512" customFormat="false" ht="15" hidden="false" customHeight="false" outlineLevel="0" collapsed="false">
      <c r="A1512" s="22" t="s">
        <v>1819</v>
      </c>
      <c r="B1512" s="22" t="s">
        <v>256</v>
      </c>
      <c r="C1512" s="31" t="n">
        <v>46308</v>
      </c>
      <c r="D1512" s="22" t="s">
        <v>297</v>
      </c>
      <c r="E1512" s="22" t="s">
        <v>298</v>
      </c>
      <c r="F1512" s="29" t="str">
        <f aca="false">IF(COUNTIF(Referral_Data!$C$5:$C$1000,B1512)&gt;0,"Referred",IF(COUNTIF(Referral_Data!$B$5:$B$1000,B1512)&gt;0,"Referrer","Organic"))</f>
        <v>Referred</v>
      </c>
      <c r="G1512" s="29" t="n">
        <f aca="false">IF(COUNTIFS($B$5:B1512,B1512,$C$5:C1512,C1512)=1,1,0)</f>
        <v>1</v>
      </c>
      <c r="H1512" s="29" t="n">
        <f aca="false">IF(AND(G1512=1,COUNTIFS($B$5:$B$1635,B1512,$C$5:$C$1635,"&lt;"&amp;C1512)&gt;0),1,0)</f>
        <v>1</v>
      </c>
      <c r="I1512" s="29" t="n">
        <f aca="false">IF(AND(D1512="Feature Use",COUNTIFS($B$5:B1512,B1512,$D$5:D1512,"Feature Use",$E$5:E1512,E1512)=1),1,0)</f>
        <v>0</v>
      </c>
      <c r="J1512" s="29" t="n">
        <f aca="false">IF(AND(D1512="Feature Use",COUNTIFS($B$5:B1512,B1512,$D$5:D1512,"Feature Use",$E$5:E1512,E1512)=2),1,0)</f>
        <v>0</v>
      </c>
      <c r="K1512" s="29" t="n">
        <f aca="false">IF(COUNTIF($B$5:B1512,B1512)=1,1,0)</f>
        <v>0</v>
      </c>
      <c r="L1512" s="29" t="n">
        <f aca="false">IF(AND(C1512&gt;=Settings!$B$5-Settings!$B$8+1,C1512&lt;=Settings!$B$5,COUNTIFS($B$5:B1512,B1512,$C$5:C1512,"&gt;="&amp;(Settings!$B$5-Settings!$B$8+1),$C$5:C1512,"&lt;="&amp;Settings!$B$5)=1),1,0)</f>
        <v>0</v>
      </c>
      <c r="M1512" s="29" t="n">
        <f aca="false">IF(AND(C1512&gt;=Settings!$B$5-Settings!$B$9+1,C1512&lt;=Settings!$B$5,COUNTIFS($B$5:B1512,B1512,$C$5:C1512,"&gt;="&amp;(Settings!$B$5-Settings!$B$9+1),$C$5:C1512,"&lt;="&amp;Settings!$B$5)=1),1,0)</f>
        <v>0</v>
      </c>
      <c r="N1512" s="29" t="n">
        <f aca="false">IF(AND(D1512="Feature Use",COUNTIFS($B$5:B1512,B1512,$D$5:D1512,"Feature Use")=1),1,0)</f>
        <v>0</v>
      </c>
    </row>
    <row r="1513" customFormat="false" ht="15" hidden="false" customHeight="false" outlineLevel="0" collapsed="false">
      <c r="A1513" s="22" t="s">
        <v>1820</v>
      </c>
      <c r="B1513" s="22" t="s">
        <v>256</v>
      </c>
      <c r="C1513" s="31" t="n">
        <v>46308</v>
      </c>
      <c r="D1513" s="22" t="s">
        <v>300</v>
      </c>
      <c r="E1513" s="22" t="s">
        <v>309</v>
      </c>
      <c r="F1513" s="29" t="str">
        <f aca="false">IF(COUNTIF(Referral_Data!$C$5:$C$1000,B1513)&gt;0,"Referred",IF(COUNTIF(Referral_Data!$B$5:$B$1000,B1513)&gt;0,"Referrer","Organic"))</f>
        <v>Referred</v>
      </c>
      <c r="G1513" s="29" t="n">
        <f aca="false">IF(COUNTIFS($B$5:B1513,B1513,$C$5:C1513,C1513)=1,1,0)</f>
        <v>0</v>
      </c>
      <c r="H1513" s="29" t="n">
        <f aca="false">IF(AND(G1513=1,COUNTIFS($B$5:$B$1635,B1513,$C$5:$C$1635,"&lt;"&amp;C1513)&gt;0),1,0)</f>
        <v>0</v>
      </c>
      <c r="I1513" s="29" t="n">
        <f aca="false">IF(AND(D1513="Feature Use",COUNTIFS($B$5:B1513,B1513,$D$5:D1513,"Feature Use",$E$5:E1513,E1513)=1),1,0)</f>
        <v>1</v>
      </c>
      <c r="J1513" s="29" t="n">
        <f aca="false">IF(AND(D1513="Feature Use",COUNTIFS($B$5:B1513,B1513,$D$5:D1513,"Feature Use",$E$5:E1513,E1513)=2),1,0)</f>
        <v>0</v>
      </c>
      <c r="K1513" s="29" t="n">
        <f aca="false">IF(COUNTIF($B$5:B1513,B1513)=1,1,0)</f>
        <v>0</v>
      </c>
      <c r="L1513" s="29" t="n">
        <f aca="false">IF(AND(C1513&gt;=Settings!$B$5-Settings!$B$8+1,C1513&lt;=Settings!$B$5,COUNTIFS($B$5:B1513,B1513,$C$5:C1513,"&gt;="&amp;(Settings!$B$5-Settings!$B$8+1),$C$5:C1513,"&lt;="&amp;Settings!$B$5)=1),1,0)</f>
        <v>0</v>
      </c>
      <c r="M1513" s="29" t="n">
        <f aca="false">IF(AND(C1513&gt;=Settings!$B$5-Settings!$B$9+1,C1513&lt;=Settings!$B$5,COUNTIFS($B$5:B1513,B1513,$C$5:C1513,"&gt;="&amp;(Settings!$B$5-Settings!$B$9+1),$C$5:C1513,"&lt;="&amp;Settings!$B$5)=1),1,0)</f>
        <v>0</v>
      </c>
      <c r="N1513" s="29" t="n">
        <f aca="false">IF(AND(D1513="Feature Use",COUNTIFS($B$5:B1513,B1513,$D$5:D1513,"Feature Use")=1),1,0)</f>
        <v>0</v>
      </c>
    </row>
    <row r="1514" customFormat="false" ht="15" hidden="false" customHeight="false" outlineLevel="0" collapsed="false">
      <c r="A1514" s="22" t="s">
        <v>1821</v>
      </c>
      <c r="B1514" s="22" t="s">
        <v>263</v>
      </c>
      <c r="C1514" s="31" t="n">
        <v>46308</v>
      </c>
      <c r="D1514" s="22" t="s">
        <v>297</v>
      </c>
      <c r="E1514" s="22" t="s">
        <v>298</v>
      </c>
      <c r="F1514" s="29" t="str">
        <f aca="false">IF(COUNTIF(Referral_Data!$C$5:$C$1000,B1514)&gt;0,"Referred",IF(COUNTIF(Referral_Data!$B$5:$B$1000,B1514)&gt;0,"Referrer","Organic"))</f>
        <v>Referred</v>
      </c>
      <c r="G1514" s="29" t="n">
        <f aca="false">IF(COUNTIFS($B$5:B1514,B1514,$C$5:C1514,C1514)=1,1,0)</f>
        <v>1</v>
      </c>
      <c r="H1514" s="29" t="n">
        <f aca="false">IF(AND(G1514=1,COUNTIFS($B$5:$B$1635,B1514,$C$5:$C$1635,"&lt;"&amp;C1514)&gt;0),1,0)</f>
        <v>1</v>
      </c>
      <c r="I1514" s="29" t="n">
        <f aca="false">IF(AND(D1514="Feature Use",COUNTIFS($B$5:B1514,B1514,$D$5:D1514,"Feature Use",$E$5:E1514,E1514)=1),1,0)</f>
        <v>0</v>
      </c>
      <c r="J1514" s="29" t="n">
        <f aca="false">IF(AND(D1514="Feature Use",COUNTIFS($B$5:B1514,B1514,$D$5:D1514,"Feature Use",$E$5:E1514,E1514)=2),1,0)</f>
        <v>0</v>
      </c>
      <c r="K1514" s="29" t="n">
        <f aca="false">IF(COUNTIF($B$5:B1514,B1514)=1,1,0)</f>
        <v>0</v>
      </c>
      <c r="L1514" s="29" t="n">
        <f aca="false">IF(AND(C1514&gt;=Settings!$B$5-Settings!$B$8+1,C1514&lt;=Settings!$B$5,COUNTIFS($B$5:B1514,B1514,$C$5:C1514,"&gt;="&amp;(Settings!$B$5-Settings!$B$8+1),$C$5:C1514,"&lt;="&amp;Settings!$B$5)=1),1,0)</f>
        <v>0</v>
      </c>
      <c r="M1514" s="29" t="n">
        <f aca="false">IF(AND(C1514&gt;=Settings!$B$5-Settings!$B$9+1,C1514&lt;=Settings!$B$5,COUNTIFS($B$5:B1514,B1514,$C$5:C1514,"&gt;="&amp;(Settings!$B$5-Settings!$B$9+1),$C$5:C1514,"&lt;="&amp;Settings!$B$5)=1),1,0)</f>
        <v>0</v>
      </c>
      <c r="N1514" s="29" t="n">
        <f aca="false">IF(AND(D1514="Feature Use",COUNTIFS($B$5:B1514,B1514,$D$5:D1514,"Feature Use")=1),1,0)</f>
        <v>0</v>
      </c>
    </row>
    <row r="1515" customFormat="false" ht="15" hidden="false" customHeight="false" outlineLevel="0" collapsed="false">
      <c r="A1515" s="22" t="s">
        <v>1822</v>
      </c>
      <c r="B1515" s="22" t="s">
        <v>263</v>
      </c>
      <c r="C1515" s="31" t="n">
        <v>46308</v>
      </c>
      <c r="D1515" s="22" t="s">
        <v>300</v>
      </c>
      <c r="E1515" s="22" t="s">
        <v>305</v>
      </c>
      <c r="F1515" s="29" t="str">
        <f aca="false">IF(COUNTIF(Referral_Data!$C$5:$C$1000,B1515)&gt;0,"Referred",IF(COUNTIF(Referral_Data!$B$5:$B$1000,B1515)&gt;0,"Referrer","Organic"))</f>
        <v>Referred</v>
      </c>
      <c r="G1515" s="29" t="n">
        <f aca="false">IF(COUNTIFS($B$5:B1515,B1515,$C$5:C1515,C1515)=1,1,0)</f>
        <v>0</v>
      </c>
      <c r="H1515" s="29" t="n">
        <f aca="false">IF(AND(G1515=1,COUNTIFS($B$5:$B$1635,B1515,$C$5:$C$1635,"&lt;"&amp;C1515)&gt;0),1,0)</f>
        <v>0</v>
      </c>
      <c r="I1515" s="29" t="n">
        <f aca="false">IF(AND(D1515="Feature Use",COUNTIFS($B$5:B1515,B1515,$D$5:D1515,"Feature Use",$E$5:E1515,E1515)=1),1,0)</f>
        <v>0</v>
      </c>
      <c r="J1515" s="29" t="n">
        <f aca="false">IF(AND(D1515="Feature Use",COUNTIFS($B$5:B1515,B1515,$D$5:D1515,"Feature Use",$E$5:E1515,E1515)=2),1,0)</f>
        <v>0</v>
      </c>
      <c r="K1515" s="29" t="n">
        <f aca="false">IF(COUNTIF($B$5:B1515,B1515)=1,1,0)</f>
        <v>0</v>
      </c>
      <c r="L1515" s="29" t="n">
        <f aca="false">IF(AND(C1515&gt;=Settings!$B$5-Settings!$B$8+1,C1515&lt;=Settings!$B$5,COUNTIFS($B$5:B1515,B1515,$C$5:C1515,"&gt;="&amp;(Settings!$B$5-Settings!$B$8+1),$C$5:C1515,"&lt;="&amp;Settings!$B$5)=1),1,0)</f>
        <v>0</v>
      </c>
      <c r="M1515" s="29" t="n">
        <f aca="false">IF(AND(C1515&gt;=Settings!$B$5-Settings!$B$9+1,C1515&lt;=Settings!$B$5,COUNTIFS($B$5:B1515,B1515,$C$5:C1515,"&gt;="&amp;(Settings!$B$5-Settings!$B$9+1),$C$5:C1515,"&lt;="&amp;Settings!$B$5)=1),1,0)</f>
        <v>0</v>
      </c>
      <c r="N1515" s="29" t="n">
        <f aca="false">IF(AND(D1515="Feature Use",COUNTIFS($B$5:B1515,B1515,$D$5:D1515,"Feature Use")=1),1,0)</f>
        <v>0</v>
      </c>
    </row>
    <row r="1516" customFormat="false" ht="15" hidden="false" customHeight="false" outlineLevel="0" collapsed="false">
      <c r="A1516" s="22" t="s">
        <v>1823</v>
      </c>
      <c r="B1516" s="22" t="s">
        <v>263</v>
      </c>
      <c r="C1516" s="31" t="n">
        <v>46308</v>
      </c>
      <c r="D1516" s="22" t="s">
        <v>308</v>
      </c>
      <c r="E1516" s="22" t="s">
        <v>311</v>
      </c>
      <c r="F1516" s="29" t="str">
        <f aca="false">IF(COUNTIF(Referral_Data!$C$5:$C$1000,B1516)&gt;0,"Referred",IF(COUNTIF(Referral_Data!$B$5:$B$1000,B1516)&gt;0,"Referrer","Organic"))</f>
        <v>Referred</v>
      </c>
      <c r="G1516" s="29" t="n">
        <f aca="false">IF(COUNTIFS($B$5:B1516,B1516,$C$5:C1516,C1516)=1,1,0)</f>
        <v>0</v>
      </c>
      <c r="H1516" s="29" t="n">
        <f aca="false">IF(AND(G1516=1,COUNTIFS($B$5:$B$1635,B1516,$C$5:$C$1635,"&lt;"&amp;C1516)&gt;0),1,0)</f>
        <v>0</v>
      </c>
      <c r="I1516" s="29" t="n">
        <f aca="false">IF(AND(D1516="Feature Use",COUNTIFS($B$5:B1516,B1516,$D$5:D1516,"Feature Use",$E$5:E1516,E1516)=1),1,0)</f>
        <v>0</v>
      </c>
      <c r="J1516" s="29" t="n">
        <f aca="false">IF(AND(D1516="Feature Use",COUNTIFS($B$5:B1516,B1516,$D$5:D1516,"Feature Use",$E$5:E1516,E1516)=2),1,0)</f>
        <v>0</v>
      </c>
      <c r="K1516" s="29" t="n">
        <f aca="false">IF(COUNTIF($B$5:B1516,B1516)=1,1,0)</f>
        <v>0</v>
      </c>
      <c r="L1516" s="29" t="n">
        <f aca="false">IF(AND(C1516&gt;=Settings!$B$5-Settings!$B$8+1,C1516&lt;=Settings!$B$5,COUNTIFS($B$5:B1516,B1516,$C$5:C1516,"&gt;="&amp;(Settings!$B$5-Settings!$B$8+1),$C$5:C1516,"&lt;="&amp;Settings!$B$5)=1),1,0)</f>
        <v>0</v>
      </c>
      <c r="M1516" s="29" t="n">
        <f aca="false">IF(AND(C1516&gt;=Settings!$B$5-Settings!$B$9+1,C1516&lt;=Settings!$B$5,COUNTIFS($B$5:B1516,B1516,$C$5:C1516,"&gt;="&amp;(Settings!$B$5-Settings!$B$9+1),$C$5:C1516,"&lt;="&amp;Settings!$B$5)=1),1,0)</f>
        <v>0</v>
      </c>
      <c r="N1516" s="29" t="n">
        <f aca="false">IF(AND(D1516="Feature Use",COUNTIFS($B$5:B1516,B1516,$D$5:D1516,"Feature Use")=1),1,0)</f>
        <v>0</v>
      </c>
    </row>
    <row r="1517" customFormat="false" ht="15" hidden="false" customHeight="false" outlineLevel="0" collapsed="false">
      <c r="A1517" s="22" t="s">
        <v>1824</v>
      </c>
      <c r="B1517" s="22" t="s">
        <v>265</v>
      </c>
      <c r="C1517" s="31" t="n">
        <v>46308</v>
      </c>
      <c r="D1517" s="22" t="s">
        <v>297</v>
      </c>
      <c r="E1517" s="22" t="s">
        <v>298</v>
      </c>
      <c r="F1517" s="29" t="str">
        <f aca="false">IF(COUNTIF(Referral_Data!$C$5:$C$1000,B1517)&gt;0,"Referred",IF(COUNTIF(Referral_Data!$B$5:$B$1000,B1517)&gt;0,"Referrer","Organic"))</f>
        <v>Referred</v>
      </c>
      <c r="G1517" s="29" t="n">
        <f aca="false">IF(COUNTIFS($B$5:B1517,B1517,$C$5:C1517,C1517)=1,1,0)</f>
        <v>1</v>
      </c>
      <c r="H1517" s="29" t="n">
        <f aca="false">IF(AND(G1517=1,COUNTIFS($B$5:$B$1635,B1517,$C$5:$C$1635,"&lt;"&amp;C1517)&gt;0),1,0)</f>
        <v>1</v>
      </c>
      <c r="I1517" s="29" t="n">
        <f aca="false">IF(AND(D1517="Feature Use",COUNTIFS($B$5:B1517,B1517,$D$5:D1517,"Feature Use",$E$5:E1517,E1517)=1),1,0)</f>
        <v>0</v>
      </c>
      <c r="J1517" s="29" t="n">
        <f aca="false">IF(AND(D1517="Feature Use",COUNTIFS($B$5:B1517,B1517,$D$5:D1517,"Feature Use",$E$5:E1517,E1517)=2),1,0)</f>
        <v>0</v>
      </c>
      <c r="K1517" s="29" t="n">
        <f aca="false">IF(COUNTIF($B$5:B1517,B1517)=1,1,0)</f>
        <v>0</v>
      </c>
      <c r="L1517" s="29" t="n">
        <f aca="false">IF(AND(C1517&gt;=Settings!$B$5-Settings!$B$8+1,C1517&lt;=Settings!$B$5,COUNTIFS($B$5:B1517,B1517,$C$5:C1517,"&gt;="&amp;(Settings!$B$5-Settings!$B$8+1),$C$5:C1517,"&lt;="&amp;Settings!$B$5)=1),1,0)</f>
        <v>0</v>
      </c>
      <c r="M1517" s="29" t="n">
        <f aca="false">IF(AND(C1517&gt;=Settings!$B$5-Settings!$B$9+1,C1517&lt;=Settings!$B$5,COUNTIFS($B$5:B1517,B1517,$C$5:C1517,"&gt;="&amp;(Settings!$B$5-Settings!$B$9+1),$C$5:C1517,"&lt;="&amp;Settings!$B$5)=1),1,0)</f>
        <v>0</v>
      </c>
      <c r="N1517" s="29" t="n">
        <f aca="false">IF(AND(D1517="Feature Use",COUNTIFS($B$5:B1517,B1517,$D$5:D1517,"Feature Use")=1),1,0)</f>
        <v>0</v>
      </c>
    </row>
    <row r="1518" customFormat="false" ht="15" hidden="false" customHeight="false" outlineLevel="0" collapsed="false">
      <c r="A1518" s="22" t="s">
        <v>1825</v>
      </c>
      <c r="B1518" s="22" t="s">
        <v>265</v>
      </c>
      <c r="C1518" s="31" t="n">
        <v>46308</v>
      </c>
      <c r="D1518" s="22" t="s">
        <v>300</v>
      </c>
      <c r="E1518" s="22" t="s">
        <v>319</v>
      </c>
      <c r="F1518" s="29" t="str">
        <f aca="false">IF(COUNTIF(Referral_Data!$C$5:$C$1000,B1518)&gt;0,"Referred",IF(COUNTIF(Referral_Data!$B$5:$B$1000,B1518)&gt;0,"Referrer","Organic"))</f>
        <v>Referred</v>
      </c>
      <c r="G1518" s="29" t="n">
        <f aca="false">IF(COUNTIFS($B$5:B1518,B1518,$C$5:C1518,C1518)=1,1,0)</f>
        <v>0</v>
      </c>
      <c r="H1518" s="29" t="n">
        <f aca="false">IF(AND(G1518=1,COUNTIFS($B$5:$B$1635,B1518,$C$5:$C$1635,"&lt;"&amp;C1518)&gt;0),1,0)</f>
        <v>0</v>
      </c>
      <c r="I1518" s="29" t="n">
        <f aca="false">IF(AND(D1518="Feature Use",COUNTIFS($B$5:B1518,B1518,$D$5:D1518,"Feature Use",$E$5:E1518,E1518)=1),1,0)</f>
        <v>1</v>
      </c>
      <c r="J1518" s="29" t="n">
        <f aca="false">IF(AND(D1518="Feature Use",COUNTIFS($B$5:B1518,B1518,$D$5:D1518,"Feature Use",$E$5:E1518,E1518)=2),1,0)</f>
        <v>0</v>
      </c>
      <c r="K1518" s="29" t="n">
        <f aca="false">IF(COUNTIF($B$5:B1518,B1518)=1,1,0)</f>
        <v>0</v>
      </c>
      <c r="L1518" s="29" t="n">
        <f aca="false">IF(AND(C1518&gt;=Settings!$B$5-Settings!$B$8+1,C1518&lt;=Settings!$B$5,COUNTIFS($B$5:B1518,B1518,$C$5:C1518,"&gt;="&amp;(Settings!$B$5-Settings!$B$8+1),$C$5:C1518,"&lt;="&amp;Settings!$B$5)=1),1,0)</f>
        <v>0</v>
      </c>
      <c r="M1518" s="29" t="n">
        <f aca="false">IF(AND(C1518&gt;=Settings!$B$5-Settings!$B$9+1,C1518&lt;=Settings!$B$5,COUNTIFS($B$5:B1518,B1518,$C$5:C1518,"&gt;="&amp;(Settings!$B$5-Settings!$B$9+1),$C$5:C1518,"&lt;="&amp;Settings!$B$5)=1),1,0)</f>
        <v>0</v>
      </c>
      <c r="N1518" s="29" t="n">
        <f aca="false">IF(AND(D1518="Feature Use",COUNTIFS($B$5:B1518,B1518,$D$5:D1518,"Feature Use")=1),1,0)</f>
        <v>0</v>
      </c>
    </row>
    <row r="1519" customFormat="false" ht="15" hidden="false" customHeight="false" outlineLevel="0" collapsed="false">
      <c r="A1519" s="22" t="s">
        <v>1826</v>
      </c>
      <c r="B1519" s="22" t="s">
        <v>265</v>
      </c>
      <c r="C1519" s="31" t="n">
        <v>46308</v>
      </c>
      <c r="D1519" s="22" t="s">
        <v>300</v>
      </c>
      <c r="E1519" s="22" t="s">
        <v>311</v>
      </c>
      <c r="F1519" s="29" t="str">
        <f aca="false">IF(COUNTIF(Referral_Data!$C$5:$C$1000,B1519)&gt;0,"Referred",IF(COUNTIF(Referral_Data!$B$5:$B$1000,B1519)&gt;0,"Referrer","Organic"))</f>
        <v>Referred</v>
      </c>
      <c r="G1519" s="29" t="n">
        <f aca="false">IF(COUNTIFS($B$5:B1519,B1519,$C$5:C1519,C1519)=1,1,0)</f>
        <v>0</v>
      </c>
      <c r="H1519" s="29" t="n">
        <f aca="false">IF(AND(G1519=1,COUNTIFS($B$5:$B$1635,B1519,$C$5:$C$1635,"&lt;"&amp;C1519)&gt;0),1,0)</f>
        <v>0</v>
      </c>
      <c r="I1519" s="29" t="n">
        <f aca="false">IF(AND(D1519="Feature Use",COUNTIFS($B$5:B1519,B1519,$D$5:D1519,"Feature Use",$E$5:E1519,E1519)=1),1,0)</f>
        <v>0</v>
      </c>
      <c r="J1519" s="29" t="n">
        <f aca="false">IF(AND(D1519="Feature Use",COUNTIFS($B$5:B1519,B1519,$D$5:D1519,"Feature Use",$E$5:E1519,E1519)=2),1,0)</f>
        <v>0</v>
      </c>
      <c r="K1519" s="29" t="n">
        <f aca="false">IF(COUNTIF($B$5:B1519,B1519)=1,1,0)</f>
        <v>0</v>
      </c>
      <c r="L1519" s="29" t="n">
        <f aca="false">IF(AND(C1519&gt;=Settings!$B$5-Settings!$B$8+1,C1519&lt;=Settings!$B$5,COUNTIFS($B$5:B1519,B1519,$C$5:C1519,"&gt;="&amp;(Settings!$B$5-Settings!$B$8+1),$C$5:C1519,"&lt;="&amp;Settings!$B$5)=1),1,0)</f>
        <v>0</v>
      </c>
      <c r="M1519" s="29" t="n">
        <f aca="false">IF(AND(C1519&gt;=Settings!$B$5-Settings!$B$9+1,C1519&lt;=Settings!$B$5,COUNTIFS($B$5:B1519,B1519,$C$5:C1519,"&gt;="&amp;(Settings!$B$5-Settings!$B$9+1),$C$5:C1519,"&lt;="&amp;Settings!$B$5)=1),1,0)</f>
        <v>0</v>
      </c>
      <c r="N1519" s="29" t="n">
        <f aca="false">IF(AND(D1519="Feature Use",COUNTIFS($B$5:B1519,B1519,$D$5:D1519,"Feature Use")=1),1,0)</f>
        <v>0</v>
      </c>
    </row>
    <row r="1520" customFormat="false" ht="15" hidden="false" customHeight="false" outlineLevel="0" collapsed="false">
      <c r="A1520" s="22" t="s">
        <v>1827</v>
      </c>
      <c r="B1520" s="22" t="s">
        <v>265</v>
      </c>
      <c r="C1520" s="31" t="n">
        <v>46308</v>
      </c>
      <c r="D1520" s="22" t="s">
        <v>308</v>
      </c>
      <c r="E1520" s="22" t="s">
        <v>305</v>
      </c>
      <c r="F1520" s="29" t="str">
        <f aca="false">IF(COUNTIF(Referral_Data!$C$5:$C$1000,B1520)&gt;0,"Referred",IF(COUNTIF(Referral_Data!$B$5:$B$1000,B1520)&gt;0,"Referrer","Organic"))</f>
        <v>Referred</v>
      </c>
      <c r="G1520" s="29" t="n">
        <f aca="false">IF(COUNTIFS($B$5:B1520,B1520,$C$5:C1520,C1520)=1,1,0)</f>
        <v>0</v>
      </c>
      <c r="H1520" s="29" t="n">
        <f aca="false">IF(AND(G1520=1,COUNTIFS($B$5:$B$1635,B1520,$C$5:$C$1635,"&lt;"&amp;C1520)&gt;0),1,0)</f>
        <v>0</v>
      </c>
      <c r="I1520" s="29" t="n">
        <f aca="false">IF(AND(D1520="Feature Use",COUNTIFS($B$5:B1520,B1520,$D$5:D1520,"Feature Use",$E$5:E1520,E1520)=1),1,0)</f>
        <v>0</v>
      </c>
      <c r="J1520" s="29" t="n">
        <f aca="false">IF(AND(D1520="Feature Use",COUNTIFS($B$5:B1520,B1520,$D$5:D1520,"Feature Use",$E$5:E1520,E1520)=2),1,0)</f>
        <v>0</v>
      </c>
      <c r="K1520" s="29" t="n">
        <f aca="false">IF(COUNTIF($B$5:B1520,B1520)=1,1,0)</f>
        <v>0</v>
      </c>
      <c r="L1520" s="29" t="n">
        <f aca="false">IF(AND(C1520&gt;=Settings!$B$5-Settings!$B$8+1,C1520&lt;=Settings!$B$5,COUNTIFS($B$5:B1520,B1520,$C$5:C1520,"&gt;="&amp;(Settings!$B$5-Settings!$B$8+1),$C$5:C1520,"&lt;="&amp;Settings!$B$5)=1),1,0)</f>
        <v>0</v>
      </c>
      <c r="M1520" s="29" t="n">
        <f aca="false">IF(AND(C1520&gt;=Settings!$B$5-Settings!$B$9+1,C1520&lt;=Settings!$B$5,COUNTIFS($B$5:B1520,B1520,$C$5:C1520,"&gt;="&amp;(Settings!$B$5-Settings!$B$9+1),$C$5:C1520,"&lt;="&amp;Settings!$B$5)=1),1,0)</f>
        <v>0</v>
      </c>
      <c r="N1520" s="29" t="n">
        <f aca="false">IF(AND(D1520="Feature Use",COUNTIFS($B$5:B1520,B1520,$D$5:D1520,"Feature Use")=1),1,0)</f>
        <v>0</v>
      </c>
    </row>
    <row r="1521" customFormat="false" ht="15" hidden="false" customHeight="false" outlineLevel="0" collapsed="false">
      <c r="A1521" s="22" t="s">
        <v>1828</v>
      </c>
      <c r="B1521" s="22" t="s">
        <v>267</v>
      </c>
      <c r="C1521" s="31" t="n">
        <v>46308</v>
      </c>
      <c r="D1521" s="22" t="s">
        <v>297</v>
      </c>
      <c r="E1521" s="22" t="s">
        <v>298</v>
      </c>
      <c r="F1521" s="29" t="str">
        <f aca="false">IF(COUNTIF(Referral_Data!$C$5:$C$1000,B1521)&gt;0,"Referred",IF(COUNTIF(Referral_Data!$B$5:$B$1000,B1521)&gt;0,"Referrer","Organic"))</f>
        <v>Referred</v>
      </c>
      <c r="G1521" s="29" t="n">
        <f aca="false">IF(COUNTIFS($B$5:B1521,B1521,$C$5:C1521,C1521)=1,1,0)</f>
        <v>1</v>
      </c>
      <c r="H1521" s="29" t="n">
        <f aca="false">IF(AND(G1521=1,COUNTIFS($B$5:$B$1635,B1521,$C$5:$C$1635,"&lt;"&amp;C1521)&gt;0),1,0)</f>
        <v>1</v>
      </c>
      <c r="I1521" s="29" t="n">
        <f aca="false">IF(AND(D1521="Feature Use",COUNTIFS($B$5:B1521,B1521,$D$5:D1521,"Feature Use",$E$5:E1521,E1521)=1),1,0)</f>
        <v>0</v>
      </c>
      <c r="J1521" s="29" t="n">
        <f aca="false">IF(AND(D1521="Feature Use",COUNTIFS($B$5:B1521,B1521,$D$5:D1521,"Feature Use",$E$5:E1521,E1521)=2),1,0)</f>
        <v>0</v>
      </c>
      <c r="K1521" s="29" t="n">
        <f aca="false">IF(COUNTIF($B$5:B1521,B1521)=1,1,0)</f>
        <v>0</v>
      </c>
      <c r="L1521" s="29" t="n">
        <f aca="false">IF(AND(C1521&gt;=Settings!$B$5-Settings!$B$8+1,C1521&lt;=Settings!$B$5,COUNTIFS($B$5:B1521,B1521,$C$5:C1521,"&gt;="&amp;(Settings!$B$5-Settings!$B$8+1),$C$5:C1521,"&lt;="&amp;Settings!$B$5)=1),1,0)</f>
        <v>0</v>
      </c>
      <c r="M1521" s="29" t="n">
        <f aca="false">IF(AND(C1521&gt;=Settings!$B$5-Settings!$B$9+1,C1521&lt;=Settings!$B$5,COUNTIFS($B$5:B1521,B1521,$C$5:C1521,"&gt;="&amp;(Settings!$B$5-Settings!$B$9+1),$C$5:C1521,"&lt;="&amp;Settings!$B$5)=1),1,0)</f>
        <v>0</v>
      </c>
      <c r="N1521" s="29" t="n">
        <f aca="false">IF(AND(D1521="Feature Use",COUNTIFS($B$5:B1521,B1521,$D$5:D1521,"Feature Use")=1),1,0)</f>
        <v>0</v>
      </c>
    </row>
    <row r="1522" customFormat="false" ht="15" hidden="false" customHeight="false" outlineLevel="0" collapsed="false">
      <c r="A1522" s="22" t="s">
        <v>1829</v>
      </c>
      <c r="B1522" s="22" t="s">
        <v>267</v>
      </c>
      <c r="C1522" s="31" t="n">
        <v>46308</v>
      </c>
      <c r="D1522" s="22" t="s">
        <v>300</v>
      </c>
      <c r="E1522" s="22" t="s">
        <v>311</v>
      </c>
      <c r="F1522" s="29" t="str">
        <f aca="false">IF(COUNTIF(Referral_Data!$C$5:$C$1000,B1522)&gt;0,"Referred",IF(COUNTIF(Referral_Data!$B$5:$B$1000,B1522)&gt;0,"Referrer","Organic"))</f>
        <v>Referred</v>
      </c>
      <c r="G1522" s="29" t="n">
        <f aca="false">IF(COUNTIFS($B$5:B1522,B1522,$C$5:C1522,C1522)=1,1,0)</f>
        <v>0</v>
      </c>
      <c r="H1522" s="29" t="n">
        <f aca="false">IF(AND(G1522=1,COUNTIFS($B$5:$B$1635,B1522,$C$5:$C$1635,"&lt;"&amp;C1522)&gt;0),1,0)</f>
        <v>0</v>
      </c>
      <c r="I1522" s="29" t="n">
        <f aca="false">IF(AND(D1522="Feature Use",COUNTIFS($B$5:B1522,B1522,$D$5:D1522,"Feature Use",$E$5:E1522,E1522)=1),1,0)</f>
        <v>0</v>
      </c>
      <c r="J1522" s="29" t="n">
        <f aca="false">IF(AND(D1522="Feature Use",COUNTIFS($B$5:B1522,B1522,$D$5:D1522,"Feature Use",$E$5:E1522,E1522)=2),1,0)</f>
        <v>1</v>
      </c>
      <c r="K1522" s="29" t="n">
        <f aca="false">IF(COUNTIF($B$5:B1522,B1522)=1,1,0)</f>
        <v>0</v>
      </c>
      <c r="L1522" s="29" t="n">
        <f aca="false">IF(AND(C1522&gt;=Settings!$B$5-Settings!$B$8+1,C1522&lt;=Settings!$B$5,COUNTIFS($B$5:B1522,B1522,$C$5:C1522,"&gt;="&amp;(Settings!$B$5-Settings!$B$8+1),$C$5:C1522,"&lt;="&amp;Settings!$B$5)=1),1,0)</f>
        <v>0</v>
      </c>
      <c r="M1522" s="29" t="n">
        <f aca="false">IF(AND(C1522&gt;=Settings!$B$5-Settings!$B$9+1,C1522&lt;=Settings!$B$5,COUNTIFS($B$5:B1522,B1522,$C$5:C1522,"&gt;="&amp;(Settings!$B$5-Settings!$B$9+1),$C$5:C1522,"&lt;="&amp;Settings!$B$5)=1),1,0)</f>
        <v>0</v>
      </c>
      <c r="N1522" s="29" t="n">
        <f aca="false">IF(AND(D1522="Feature Use",COUNTIFS($B$5:B1522,B1522,$D$5:D1522,"Feature Use")=1),1,0)</f>
        <v>0</v>
      </c>
    </row>
    <row r="1523" customFormat="false" ht="15" hidden="false" customHeight="false" outlineLevel="0" collapsed="false">
      <c r="A1523" s="22" t="s">
        <v>1830</v>
      </c>
      <c r="B1523" s="22" t="s">
        <v>267</v>
      </c>
      <c r="C1523" s="31" t="n">
        <v>46308</v>
      </c>
      <c r="D1523" s="22" t="s">
        <v>300</v>
      </c>
      <c r="E1523" s="22" t="s">
        <v>311</v>
      </c>
      <c r="F1523" s="29" t="str">
        <f aca="false">IF(COUNTIF(Referral_Data!$C$5:$C$1000,B1523)&gt;0,"Referred",IF(COUNTIF(Referral_Data!$B$5:$B$1000,B1523)&gt;0,"Referrer","Organic"))</f>
        <v>Referred</v>
      </c>
      <c r="G1523" s="29" t="n">
        <f aca="false">IF(COUNTIFS($B$5:B1523,B1523,$C$5:C1523,C1523)=1,1,0)</f>
        <v>0</v>
      </c>
      <c r="H1523" s="29" t="n">
        <f aca="false">IF(AND(G1523=1,COUNTIFS($B$5:$B$1635,B1523,$C$5:$C$1635,"&lt;"&amp;C1523)&gt;0),1,0)</f>
        <v>0</v>
      </c>
      <c r="I1523" s="29" t="n">
        <f aca="false">IF(AND(D1523="Feature Use",COUNTIFS($B$5:B1523,B1523,$D$5:D1523,"Feature Use",$E$5:E1523,E1523)=1),1,0)</f>
        <v>0</v>
      </c>
      <c r="J1523" s="29" t="n">
        <f aca="false">IF(AND(D1523="Feature Use",COUNTIFS($B$5:B1523,B1523,$D$5:D1523,"Feature Use",$E$5:E1523,E1523)=2),1,0)</f>
        <v>0</v>
      </c>
      <c r="K1523" s="29" t="n">
        <f aca="false">IF(COUNTIF($B$5:B1523,B1523)=1,1,0)</f>
        <v>0</v>
      </c>
      <c r="L1523" s="29" t="n">
        <f aca="false">IF(AND(C1523&gt;=Settings!$B$5-Settings!$B$8+1,C1523&lt;=Settings!$B$5,COUNTIFS($B$5:B1523,B1523,$C$5:C1523,"&gt;="&amp;(Settings!$B$5-Settings!$B$8+1),$C$5:C1523,"&lt;="&amp;Settings!$B$5)=1),1,0)</f>
        <v>0</v>
      </c>
      <c r="M1523" s="29" t="n">
        <f aca="false">IF(AND(C1523&gt;=Settings!$B$5-Settings!$B$9+1,C1523&lt;=Settings!$B$5,COUNTIFS($B$5:B1523,B1523,$C$5:C1523,"&gt;="&amp;(Settings!$B$5-Settings!$B$9+1),$C$5:C1523,"&lt;="&amp;Settings!$B$5)=1),1,0)</f>
        <v>0</v>
      </c>
      <c r="N1523" s="29" t="n">
        <f aca="false">IF(AND(D1523="Feature Use",COUNTIFS($B$5:B1523,B1523,$D$5:D1523,"Feature Use")=1),1,0)</f>
        <v>0</v>
      </c>
    </row>
    <row r="1524" customFormat="false" ht="15" hidden="false" customHeight="false" outlineLevel="0" collapsed="false">
      <c r="A1524" s="22" t="s">
        <v>1831</v>
      </c>
      <c r="B1524" s="22" t="s">
        <v>278</v>
      </c>
      <c r="C1524" s="31" t="n">
        <v>46308</v>
      </c>
      <c r="D1524" s="22" t="s">
        <v>297</v>
      </c>
      <c r="E1524" s="22" t="s">
        <v>298</v>
      </c>
      <c r="F1524" s="29" t="str">
        <f aca="false">IF(COUNTIF(Referral_Data!$C$5:$C$1000,B1524)&gt;0,"Referred",IF(COUNTIF(Referral_Data!$B$5:$B$1000,B1524)&gt;0,"Referrer","Organic"))</f>
        <v>Referred</v>
      </c>
      <c r="G1524" s="29" t="n">
        <f aca="false">IF(COUNTIFS($B$5:B1524,B1524,$C$5:C1524,C1524)=1,1,0)</f>
        <v>1</v>
      </c>
      <c r="H1524" s="29" t="n">
        <f aca="false">IF(AND(G1524=1,COUNTIFS($B$5:$B$1635,B1524,$C$5:$C$1635,"&lt;"&amp;C1524)&gt;0),1,0)</f>
        <v>0</v>
      </c>
      <c r="I1524" s="29" t="n">
        <f aca="false">IF(AND(D1524="Feature Use",COUNTIFS($B$5:B1524,B1524,$D$5:D1524,"Feature Use",$E$5:E1524,E1524)=1),1,0)</f>
        <v>0</v>
      </c>
      <c r="J1524" s="29" t="n">
        <f aca="false">IF(AND(D1524="Feature Use",COUNTIFS($B$5:B1524,B1524,$D$5:D1524,"Feature Use",$E$5:E1524,E1524)=2),1,0)</f>
        <v>0</v>
      </c>
      <c r="K1524" s="29" t="n">
        <f aca="false">IF(COUNTIF($B$5:B1524,B1524)=1,1,0)</f>
        <v>1</v>
      </c>
      <c r="L1524" s="29" t="n">
        <f aca="false">IF(AND(C1524&gt;=Settings!$B$5-Settings!$B$8+1,C1524&lt;=Settings!$B$5,COUNTIFS($B$5:B1524,B1524,$C$5:C1524,"&gt;="&amp;(Settings!$B$5-Settings!$B$8+1),$C$5:C1524,"&lt;="&amp;Settings!$B$5)=1),1,0)</f>
        <v>1</v>
      </c>
      <c r="M1524" s="29" t="n">
        <f aca="false">IF(AND(C1524&gt;=Settings!$B$5-Settings!$B$9+1,C1524&lt;=Settings!$B$5,COUNTIFS($B$5:B1524,B1524,$C$5:C1524,"&gt;="&amp;(Settings!$B$5-Settings!$B$9+1),$C$5:C1524,"&lt;="&amp;Settings!$B$5)=1),1,0)</f>
        <v>1</v>
      </c>
      <c r="N1524" s="29" t="n">
        <f aca="false">IF(AND(D1524="Feature Use",COUNTIFS($B$5:B1524,B1524,$D$5:D1524,"Feature Use")=1),1,0)</f>
        <v>0</v>
      </c>
    </row>
    <row r="1525" customFormat="false" ht="15" hidden="false" customHeight="false" outlineLevel="0" collapsed="false">
      <c r="A1525" s="22" t="s">
        <v>1832</v>
      </c>
      <c r="B1525" s="22" t="s">
        <v>278</v>
      </c>
      <c r="C1525" s="31" t="n">
        <v>46308</v>
      </c>
      <c r="D1525" s="22" t="s">
        <v>300</v>
      </c>
      <c r="E1525" s="22" t="s">
        <v>319</v>
      </c>
      <c r="F1525" s="29" t="str">
        <f aca="false">IF(COUNTIF(Referral_Data!$C$5:$C$1000,B1525)&gt;0,"Referred",IF(COUNTIF(Referral_Data!$B$5:$B$1000,B1525)&gt;0,"Referrer","Organic"))</f>
        <v>Referred</v>
      </c>
      <c r="G1525" s="29" t="n">
        <f aca="false">IF(COUNTIFS($B$5:B1525,B1525,$C$5:C1525,C1525)=1,1,0)</f>
        <v>0</v>
      </c>
      <c r="H1525" s="29" t="n">
        <f aca="false">IF(AND(G1525=1,COUNTIFS($B$5:$B$1635,B1525,$C$5:$C$1635,"&lt;"&amp;C1525)&gt;0),1,0)</f>
        <v>0</v>
      </c>
      <c r="I1525" s="29" t="n">
        <f aca="false">IF(AND(D1525="Feature Use",COUNTIFS($B$5:B1525,B1525,$D$5:D1525,"Feature Use",$E$5:E1525,E1525)=1),1,0)</f>
        <v>1</v>
      </c>
      <c r="J1525" s="29" t="n">
        <f aca="false">IF(AND(D1525="Feature Use",COUNTIFS($B$5:B1525,B1525,$D$5:D1525,"Feature Use",$E$5:E1525,E1525)=2),1,0)</f>
        <v>0</v>
      </c>
      <c r="K1525" s="29" t="n">
        <f aca="false">IF(COUNTIF($B$5:B1525,B1525)=1,1,0)</f>
        <v>0</v>
      </c>
      <c r="L1525" s="29" t="n">
        <f aca="false">IF(AND(C1525&gt;=Settings!$B$5-Settings!$B$8+1,C1525&lt;=Settings!$B$5,COUNTIFS($B$5:B1525,B1525,$C$5:C1525,"&gt;="&amp;(Settings!$B$5-Settings!$B$8+1),$C$5:C1525,"&lt;="&amp;Settings!$B$5)=1),1,0)</f>
        <v>0</v>
      </c>
      <c r="M1525" s="29" t="n">
        <f aca="false">IF(AND(C1525&gt;=Settings!$B$5-Settings!$B$9+1,C1525&lt;=Settings!$B$5,COUNTIFS($B$5:B1525,B1525,$C$5:C1525,"&gt;="&amp;(Settings!$B$5-Settings!$B$9+1),$C$5:C1525,"&lt;="&amp;Settings!$B$5)=1),1,0)</f>
        <v>0</v>
      </c>
      <c r="N1525" s="29" t="n">
        <f aca="false">IF(AND(D1525="Feature Use",COUNTIFS($B$5:B1525,B1525,$D$5:D1525,"Feature Use")=1),1,0)</f>
        <v>1</v>
      </c>
    </row>
    <row r="1526" customFormat="false" ht="15" hidden="false" customHeight="false" outlineLevel="0" collapsed="false">
      <c r="A1526" s="22" t="s">
        <v>1833</v>
      </c>
      <c r="B1526" s="22" t="s">
        <v>278</v>
      </c>
      <c r="C1526" s="31" t="n">
        <v>46308</v>
      </c>
      <c r="D1526" s="22" t="s">
        <v>300</v>
      </c>
      <c r="E1526" s="22" t="s">
        <v>301</v>
      </c>
      <c r="F1526" s="29" t="str">
        <f aca="false">IF(COUNTIF(Referral_Data!$C$5:$C$1000,B1526)&gt;0,"Referred",IF(COUNTIF(Referral_Data!$B$5:$B$1000,B1526)&gt;0,"Referrer","Organic"))</f>
        <v>Referred</v>
      </c>
      <c r="G1526" s="29" t="n">
        <f aca="false">IF(COUNTIFS($B$5:B1526,B1526,$C$5:C1526,C1526)=1,1,0)</f>
        <v>0</v>
      </c>
      <c r="H1526" s="29" t="n">
        <f aca="false">IF(AND(G1526=1,COUNTIFS($B$5:$B$1635,B1526,$C$5:$C$1635,"&lt;"&amp;C1526)&gt;0),1,0)</f>
        <v>0</v>
      </c>
      <c r="I1526" s="29" t="n">
        <f aca="false">IF(AND(D1526="Feature Use",COUNTIFS($B$5:B1526,B1526,$D$5:D1526,"Feature Use",$E$5:E1526,E1526)=1),1,0)</f>
        <v>1</v>
      </c>
      <c r="J1526" s="29" t="n">
        <f aca="false">IF(AND(D1526="Feature Use",COUNTIFS($B$5:B1526,B1526,$D$5:D1526,"Feature Use",$E$5:E1526,E1526)=2),1,0)</f>
        <v>0</v>
      </c>
      <c r="K1526" s="29" t="n">
        <f aca="false">IF(COUNTIF($B$5:B1526,B1526)=1,1,0)</f>
        <v>0</v>
      </c>
      <c r="L1526" s="29" t="n">
        <f aca="false">IF(AND(C1526&gt;=Settings!$B$5-Settings!$B$8+1,C1526&lt;=Settings!$B$5,COUNTIFS($B$5:B1526,B1526,$C$5:C1526,"&gt;="&amp;(Settings!$B$5-Settings!$B$8+1),$C$5:C1526,"&lt;="&amp;Settings!$B$5)=1),1,0)</f>
        <v>0</v>
      </c>
      <c r="M1526" s="29" t="n">
        <f aca="false">IF(AND(C1526&gt;=Settings!$B$5-Settings!$B$9+1,C1526&lt;=Settings!$B$5,COUNTIFS($B$5:B1526,B1526,$C$5:C1526,"&gt;="&amp;(Settings!$B$5-Settings!$B$9+1),$C$5:C1526,"&lt;="&amp;Settings!$B$5)=1),1,0)</f>
        <v>0</v>
      </c>
      <c r="N1526" s="29" t="n">
        <f aca="false">IF(AND(D1526="Feature Use",COUNTIFS($B$5:B1526,B1526,$D$5:D1526,"Feature Use")=1),1,0)</f>
        <v>0</v>
      </c>
    </row>
    <row r="1527" customFormat="false" ht="15" hidden="false" customHeight="false" outlineLevel="0" collapsed="false">
      <c r="A1527" s="22" t="s">
        <v>1834</v>
      </c>
      <c r="B1527" s="22" t="s">
        <v>190</v>
      </c>
      <c r="C1527" s="31" t="n">
        <v>46308</v>
      </c>
      <c r="D1527" s="22" t="s">
        <v>297</v>
      </c>
      <c r="E1527" s="22" t="s">
        <v>298</v>
      </c>
      <c r="F1527" s="29" t="str">
        <f aca="false">IF(COUNTIF(Referral_Data!$C$5:$C$1000,B1527)&gt;0,"Referred",IF(COUNTIF(Referral_Data!$B$5:$B$1000,B1527)&gt;0,"Referrer","Organic"))</f>
        <v>Referrer</v>
      </c>
      <c r="G1527" s="29" t="n">
        <f aca="false">IF(COUNTIFS($B$5:B1527,B1527,$C$5:C1527,C1527)=1,1,0)</f>
        <v>1</v>
      </c>
      <c r="H1527" s="29" t="n">
        <f aca="false">IF(AND(G1527=1,COUNTIFS($B$5:$B$1635,B1527,$C$5:$C$1635,"&lt;"&amp;C1527)&gt;0),1,0)</f>
        <v>1</v>
      </c>
      <c r="I1527" s="29" t="n">
        <f aca="false">IF(AND(D1527="Feature Use",COUNTIFS($B$5:B1527,B1527,$D$5:D1527,"Feature Use",$E$5:E1527,E1527)=1),1,0)</f>
        <v>0</v>
      </c>
      <c r="J1527" s="29" t="n">
        <f aca="false">IF(AND(D1527="Feature Use",COUNTIFS($B$5:B1527,B1527,$D$5:D1527,"Feature Use",$E$5:E1527,E1527)=2),1,0)</f>
        <v>0</v>
      </c>
      <c r="K1527" s="29" t="n">
        <f aca="false">IF(COUNTIF($B$5:B1527,B1527)=1,1,0)</f>
        <v>0</v>
      </c>
      <c r="L1527" s="29" t="n">
        <f aca="false">IF(AND(C1527&gt;=Settings!$B$5-Settings!$B$8+1,C1527&lt;=Settings!$B$5,COUNTIFS($B$5:B1527,B1527,$C$5:C1527,"&gt;="&amp;(Settings!$B$5-Settings!$B$8+1),$C$5:C1527,"&lt;="&amp;Settings!$B$5)=1),1,0)</f>
        <v>0</v>
      </c>
      <c r="M1527" s="29" t="n">
        <f aca="false">IF(AND(C1527&gt;=Settings!$B$5-Settings!$B$9+1,C1527&lt;=Settings!$B$5,COUNTIFS($B$5:B1527,B1527,$C$5:C1527,"&gt;="&amp;(Settings!$B$5-Settings!$B$9+1),$C$5:C1527,"&lt;="&amp;Settings!$B$5)=1),1,0)</f>
        <v>0</v>
      </c>
      <c r="N1527" s="29" t="n">
        <f aca="false">IF(AND(D1527="Feature Use",COUNTIFS($B$5:B1527,B1527,$D$5:D1527,"Feature Use")=1),1,0)</f>
        <v>0</v>
      </c>
    </row>
    <row r="1528" customFormat="false" ht="15" hidden="false" customHeight="false" outlineLevel="0" collapsed="false">
      <c r="A1528" s="22" t="s">
        <v>1835</v>
      </c>
      <c r="B1528" s="22" t="s">
        <v>190</v>
      </c>
      <c r="C1528" s="31" t="n">
        <v>46308</v>
      </c>
      <c r="D1528" s="22" t="s">
        <v>300</v>
      </c>
      <c r="E1528" s="22" t="s">
        <v>319</v>
      </c>
      <c r="F1528" s="29" t="str">
        <f aca="false">IF(COUNTIF(Referral_Data!$C$5:$C$1000,B1528)&gt;0,"Referred",IF(COUNTIF(Referral_Data!$B$5:$B$1000,B1528)&gt;0,"Referrer","Organic"))</f>
        <v>Referrer</v>
      </c>
      <c r="G1528" s="29" t="n">
        <f aca="false">IF(COUNTIFS($B$5:B1528,B1528,$C$5:C1528,C1528)=1,1,0)</f>
        <v>0</v>
      </c>
      <c r="H1528" s="29" t="n">
        <f aca="false">IF(AND(G1528=1,COUNTIFS($B$5:$B$1635,B1528,$C$5:$C$1635,"&lt;"&amp;C1528)&gt;0),1,0)</f>
        <v>0</v>
      </c>
      <c r="I1528" s="29" t="n">
        <f aca="false">IF(AND(D1528="Feature Use",COUNTIFS($B$5:B1528,B1528,$D$5:D1528,"Feature Use",$E$5:E1528,E1528)=1),1,0)</f>
        <v>0</v>
      </c>
      <c r="J1528" s="29" t="n">
        <f aca="false">IF(AND(D1528="Feature Use",COUNTIFS($B$5:B1528,B1528,$D$5:D1528,"Feature Use",$E$5:E1528,E1528)=2),1,0)</f>
        <v>0</v>
      </c>
      <c r="K1528" s="29" t="n">
        <f aca="false">IF(COUNTIF($B$5:B1528,B1528)=1,1,0)</f>
        <v>0</v>
      </c>
      <c r="L1528" s="29" t="n">
        <f aca="false">IF(AND(C1528&gt;=Settings!$B$5-Settings!$B$8+1,C1528&lt;=Settings!$B$5,COUNTIFS($B$5:B1528,B1528,$C$5:C1528,"&gt;="&amp;(Settings!$B$5-Settings!$B$8+1),$C$5:C1528,"&lt;="&amp;Settings!$B$5)=1),1,0)</f>
        <v>0</v>
      </c>
      <c r="M1528" s="29" t="n">
        <f aca="false">IF(AND(C1528&gt;=Settings!$B$5-Settings!$B$9+1,C1528&lt;=Settings!$B$5,COUNTIFS($B$5:B1528,B1528,$C$5:C1528,"&gt;="&amp;(Settings!$B$5-Settings!$B$9+1),$C$5:C1528,"&lt;="&amp;Settings!$B$5)=1),1,0)</f>
        <v>0</v>
      </c>
      <c r="N1528" s="29" t="n">
        <f aca="false">IF(AND(D1528="Feature Use",COUNTIFS($B$5:B1528,B1528,$D$5:D1528,"Feature Use")=1),1,0)</f>
        <v>0</v>
      </c>
    </row>
    <row r="1529" customFormat="false" ht="15" hidden="false" customHeight="false" outlineLevel="0" collapsed="false">
      <c r="A1529" s="22" t="s">
        <v>1836</v>
      </c>
      <c r="B1529" s="22" t="s">
        <v>183</v>
      </c>
      <c r="C1529" s="31" t="n">
        <v>46308</v>
      </c>
      <c r="D1529" s="22" t="s">
        <v>297</v>
      </c>
      <c r="E1529" s="22" t="s">
        <v>298</v>
      </c>
      <c r="F1529" s="29" t="str">
        <f aca="false">IF(COUNTIF(Referral_Data!$C$5:$C$1000,B1529)&gt;0,"Referred",IF(COUNTIF(Referral_Data!$B$5:$B$1000,B1529)&gt;0,"Referrer","Organic"))</f>
        <v>Referrer</v>
      </c>
      <c r="G1529" s="29" t="n">
        <f aca="false">IF(COUNTIFS($B$5:B1529,B1529,$C$5:C1529,C1529)=1,1,0)</f>
        <v>1</v>
      </c>
      <c r="H1529" s="29" t="n">
        <f aca="false">IF(AND(G1529=1,COUNTIFS($B$5:$B$1635,B1529,$C$5:$C$1635,"&lt;"&amp;C1529)&gt;0),1,0)</f>
        <v>1</v>
      </c>
      <c r="I1529" s="29" t="n">
        <f aca="false">IF(AND(D1529="Feature Use",COUNTIFS($B$5:B1529,B1529,$D$5:D1529,"Feature Use",$E$5:E1529,E1529)=1),1,0)</f>
        <v>0</v>
      </c>
      <c r="J1529" s="29" t="n">
        <f aca="false">IF(AND(D1529="Feature Use",COUNTIFS($B$5:B1529,B1529,$D$5:D1529,"Feature Use",$E$5:E1529,E1529)=2),1,0)</f>
        <v>0</v>
      </c>
      <c r="K1529" s="29" t="n">
        <f aca="false">IF(COUNTIF($B$5:B1529,B1529)=1,1,0)</f>
        <v>0</v>
      </c>
      <c r="L1529" s="29" t="n">
        <f aca="false">IF(AND(C1529&gt;=Settings!$B$5-Settings!$B$8+1,C1529&lt;=Settings!$B$5,COUNTIFS($B$5:B1529,B1529,$C$5:C1529,"&gt;="&amp;(Settings!$B$5-Settings!$B$8+1),$C$5:C1529,"&lt;="&amp;Settings!$B$5)=1),1,0)</f>
        <v>0</v>
      </c>
      <c r="M1529" s="29" t="n">
        <f aca="false">IF(AND(C1529&gt;=Settings!$B$5-Settings!$B$9+1,C1529&lt;=Settings!$B$5,COUNTIFS($B$5:B1529,B1529,$C$5:C1529,"&gt;="&amp;(Settings!$B$5-Settings!$B$9+1),$C$5:C1529,"&lt;="&amp;Settings!$B$5)=1),1,0)</f>
        <v>0</v>
      </c>
      <c r="N1529" s="29" t="n">
        <f aca="false">IF(AND(D1529="Feature Use",COUNTIFS($B$5:B1529,B1529,$D$5:D1529,"Feature Use")=1),1,0)</f>
        <v>0</v>
      </c>
    </row>
    <row r="1530" customFormat="false" ht="15" hidden="false" customHeight="false" outlineLevel="0" collapsed="false">
      <c r="A1530" s="22" t="s">
        <v>1837</v>
      </c>
      <c r="B1530" s="22" t="s">
        <v>183</v>
      </c>
      <c r="C1530" s="31" t="n">
        <v>46308</v>
      </c>
      <c r="D1530" s="22" t="s">
        <v>300</v>
      </c>
      <c r="E1530" s="22" t="s">
        <v>319</v>
      </c>
      <c r="F1530" s="29" t="str">
        <f aca="false">IF(COUNTIF(Referral_Data!$C$5:$C$1000,B1530)&gt;0,"Referred",IF(COUNTIF(Referral_Data!$B$5:$B$1000,B1530)&gt;0,"Referrer","Organic"))</f>
        <v>Referrer</v>
      </c>
      <c r="G1530" s="29" t="n">
        <f aca="false">IF(COUNTIFS($B$5:B1530,B1530,$C$5:C1530,C1530)=1,1,0)</f>
        <v>0</v>
      </c>
      <c r="H1530" s="29" t="n">
        <f aca="false">IF(AND(G1530=1,COUNTIFS($B$5:$B$1635,B1530,$C$5:$C$1635,"&lt;"&amp;C1530)&gt;0),1,0)</f>
        <v>0</v>
      </c>
      <c r="I1530" s="29" t="n">
        <f aca="false">IF(AND(D1530="Feature Use",COUNTIFS($B$5:B1530,B1530,$D$5:D1530,"Feature Use",$E$5:E1530,E1530)=1),1,0)</f>
        <v>0</v>
      </c>
      <c r="J1530" s="29" t="n">
        <f aca="false">IF(AND(D1530="Feature Use",COUNTIFS($B$5:B1530,B1530,$D$5:D1530,"Feature Use",$E$5:E1530,E1530)=2),1,0)</f>
        <v>0</v>
      </c>
      <c r="K1530" s="29" t="n">
        <f aca="false">IF(COUNTIF($B$5:B1530,B1530)=1,1,0)</f>
        <v>0</v>
      </c>
      <c r="L1530" s="29" t="n">
        <f aca="false">IF(AND(C1530&gt;=Settings!$B$5-Settings!$B$8+1,C1530&lt;=Settings!$B$5,COUNTIFS($B$5:B1530,B1530,$C$5:C1530,"&gt;="&amp;(Settings!$B$5-Settings!$B$8+1),$C$5:C1530,"&lt;="&amp;Settings!$B$5)=1),1,0)</f>
        <v>0</v>
      </c>
      <c r="M1530" s="29" t="n">
        <f aca="false">IF(AND(C1530&gt;=Settings!$B$5-Settings!$B$9+1,C1530&lt;=Settings!$B$5,COUNTIFS($B$5:B1530,B1530,$C$5:C1530,"&gt;="&amp;(Settings!$B$5-Settings!$B$9+1),$C$5:C1530,"&lt;="&amp;Settings!$B$5)=1),1,0)</f>
        <v>0</v>
      </c>
      <c r="N1530" s="29" t="n">
        <f aca="false">IF(AND(D1530="Feature Use",COUNTIFS($B$5:B1530,B1530,$D$5:D1530,"Feature Use")=1),1,0)</f>
        <v>0</v>
      </c>
    </row>
    <row r="1531" customFormat="false" ht="15" hidden="false" customHeight="false" outlineLevel="0" collapsed="false">
      <c r="A1531" s="22" t="s">
        <v>1838</v>
      </c>
      <c r="B1531" s="22" t="s">
        <v>183</v>
      </c>
      <c r="C1531" s="31" t="n">
        <v>46308</v>
      </c>
      <c r="D1531" s="22" t="s">
        <v>300</v>
      </c>
      <c r="E1531" s="22" t="s">
        <v>301</v>
      </c>
      <c r="F1531" s="29" t="str">
        <f aca="false">IF(COUNTIF(Referral_Data!$C$5:$C$1000,B1531)&gt;0,"Referred",IF(COUNTIF(Referral_Data!$B$5:$B$1000,B1531)&gt;0,"Referrer","Organic"))</f>
        <v>Referrer</v>
      </c>
      <c r="G1531" s="29" t="n">
        <f aca="false">IF(COUNTIFS($B$5:B1531,B1531,$C$5:C1531,C1531)=1,1,0)</f>
        <v>0</v>
      </c>
      <c r="H1531" s="29" t="n">
        <f aca="false">IF(AND(G1531=1,COUNTIFS($B$5:$B$1635,B1531,$C$5:$C$1635,"&lt;"&amp;C1531)&gt;0),1,0)</f>
        <v>0</v>
      </c>
      <c r="I1531" s="29" t="n">
        <f aca="false">IF(AND(D1531="Feature Use",COUNTIFS($B$5:B1531,B1531,$D$5:D1531,"Feature Use",$E$5:E1531,E1531)=1),1,0)</f>
        <v>0</v>
      </c>
      <c r="J1531" s="29" t="n">
        <f aca="false">IF(AND(D1531="Feature Use",COUNTIFS($B$5:B1531,B1531,$D$5:D1531,"Feature Use",$E$5:E1531,E1531)=2),1,0)</f>
        <v>0</v>
      </c>
      <c r="K1531" s="29" t="n">
        <f aca="false">IF(COUNTIF($B$5:B1531,B1531)=1,1,0)</f>
        <v>0</v>
      </c>
      <c r="L1531" s="29" t="n">
        <f aca="false">IF(AND(C1531&gt;=Settings!$B$5-Settings!$B$8+1,C1531&lt;=Settings!$B$5,COUNTIFS($B$5:B1531,B1531,$C$5:C1531,"&gt;="&amp;(Settings!$B$5-Settings!$B$8+1),$C$5:C1531,"&lt;="&amp;Settings!$B$5)=1),1,0)</f>
        <v>0</v>
      </c>
      <c r="M1531" s="29" t="n">
        <f aca="false">IF(AND(C1531&gt;=Settings!$B$5-Settings!$B$9+1,C1531&lt;=Settings!$B$5,COUNTIFS($B$5:B1531,B1531,$C$5:C1531,"&gt;="&amp;(Settings!$B$5-Settings!$B$9+1),$C$5:C1531,"&lt;="&amp;Settings!$B$5)=1),1,0)</f>
        <v>0</v>
      </c>
      <c r="N1531" s="29" t="n">
        <f aca="false">IF(AND(D1531="Feature Use",COUNTIFS($B$5:B1531,B1531,$D$5:D1531,"Feature Use")=1),1,0)</f>
        <v>0</v>
      </c>
    </row>
    <row r="1532" customFormat="false" ht="15" hidden="false" customHeight="false" outlineLevel="0" collapsed="false">
      <c r="A1532" s="22" t="s">
        <v>1839</v>
      </c>
      <c r="B1532" s="22" t="s">
        <v>296</v>
      </c>
      <c r="C1532" s="31" t="n">
        <v>46309</v>
      </c>
      <c r="D1532" s="22" t="s">
        <v>297</v>
      </c>
      <c r="E1532" s="22" t="s">
        <v>298</v>
      </c>
      <c r="F1532" s="29" t="str">
        <f aca="false">IF(COUNTIF(Referral_Data!$C$5:$C$1000,B1532)&gt;0,"Referred",IF(COUNTIF(Referral_Data!$B$5:$B$1000,B1532)&gt;0,"Referrer","Organic"))</f>
        <v>Organic</v>
      </c>
      <c r="G1532" s="29" t="n">
        <f aca="false">IF(COUNTIFS($B$5:B1532,B1532,$C$5:C1532,C1532)=1,1,0)</f>
        <v>1</v>
      </c>
      <c r="H1532" s="29" t="n">
        <f aca="false">IF(AND(G1532=1,COUNTIFS($B$5:$B$1635,B1532,$C$5:$C$1635,"&lt;"&amp;C1532)&gt;0),1,0)</f>
        <v>1</v>
      </c>
      <c r="I1532" s="29" t="n">
        <f aca="false">IF(AND(D1532="Feature Use",COUNTIFS($B$5:B1532,B1532,$D$5:D1532,"Feature Use",$E$5:E1532,E1532)=1),1,0)</f>
        <v>0</v>
      </c>
      <c r="J1532" s="29" t="n">
        <f aca="false">IF(AND(D1532="Feature Use",COUNTIFS($B$5:B1532,B1532,$D$5:D1532,"Feature Use",$E$5:E1532,E1532)=2),1,0)</f>
        <v>0</v>
      </c>
      <c r="K1532" s="29" t="n">
        <f aca="false">IF(COUNTIF($B$5:B1532,B1532)=1,1,0)</f>
        <v>0</v>
      </c>
      <c r="L1532" s="29" t="n">
        <f aca="false">IF(AND(C1532&gt;=Settings!$B$5-Settings!$B$8+1,C1532&lt;=Settings!$B$5,COUNTIFS($B$5:B1532,B1532,$C$5:C1532,"&gt;="&amp;(Settings!$B$5-Settings!$B$8+1),$C$5:C1532,"&lt;="&amp;Settings!$B$5)=1),1,0)</f>
        <v>0</v>
      </c>
      <c r="M1532" s="29" t="n">
        <f aca="false">IF(AND(C1532&gt;=Settings!$B$5-Settings!$B$9+1,C1532&lt;=Settings!$B$5,COUNTIFS($B$5:B1532,B1532,$C$5:C1532,"&gt;="&amp;(Settings!$B$5-Settings!$B$9+1),$C$5:C1532,"&lt;="&amp;Settings!$B$5)=1),1,0)</f>
        <v>0</v>
      </c>
      <c r="N1532" s="29" t="n">
        <f aca="false">IF(AND(D1532="Feature Use",COUNTIFS($B$5:B1532,B1532,$D$5:D1532,"Feature Use")=1),1,0)</f>
        <v>0</v>
      </c>
    </row>
    <row r="1533" customFormat="false" ht="15" hidden="false" customHeight="false" outlineLevel="0" collapsed="false">
      <c r="A1533" s="22" t="s">
        <v>1840</v>
      </c>
      <c r="B1533" s="22" t="s">
        <v>296</v>
      </c>
      <c r="C1533" s="31" t="n">
        <v>46309</v>
      </c>
      <c r="D1533" s="22" t="s">
        <v>300</v>
      </c>
      <c r="E1533" s="22" t="s">
        <v>311</v>
      </c>
      <c r="F1533" s="29" t="str">
        <f aca="false">IF(COUNTIF(Referral_Data!$C$5:$C$1000,B1533)&gt;0,"Referred",IF(COUNTIF(Referral_Data!$B$5:$B$1000,B1533)&gt;0,"Referrer","Organic"))</f>
        <v>Organic</v>
      </c>
      <c r="G1533" s="29" t="n">
        <f aca="false">IF(COUNTIFS($B$5:B1533,B1533,$C$5:C1533,C1533)=1,1,0)</f>
        <v>0</v>
      </c>
      <c r="H1533" s="29" t="n">
        <f aca="false">IF(AND(G1533=1,COUNTIFS($B$5:$B$1635,B1533,$C$5:$C$1635,"&lt;"&amp;C1533)&gt;0),1,0)</f>
        <v>0</v>
      </c>
      <c r="I1533" s="29" t="n">
        <f aca="false">IF(AND(D1533="Feature Use",COUNTIFS($B$5:B1533,B1533,$D$5:D1533,"Feature Use",$E$5:E1533,E1533)=1),1,0)</f>
        <v>0</v>
      </c>
      <c r="J1533" s="29" t="n">
        <f aca="false">IF(AND(D1533="Feature Use",COUNTIFS($B$5:B1533,B1533,$D$5:D1533,"Feature Use",$E$5:E1533,E1533)=2),1,0)</f>
        <v>0</v>
      </c>
      <c r="K1533" s="29" t="n">
        <f aca="false">IF(COUNTIF($B$5:B1533,B1533)=1,1,0)</f>
        <v>0</v>
      </c>
      <c r="L1533" s="29" t="n">
        <f aca="false">IF(AND(C1533&gt;=Settings!$B$5-Settings!$B$8+1,C1533&lt;=Settings!$B$5,COUNTIFS($B$5:B1533,B1533,$C$5:C1533,"&gt;="&amp;(Settings!$B$5-Settings!$B$8+1),$C$5:C1533,"&lt;="&amp;Settings!$B$5)=1),1,0)</f>
        <v>0</v>
      </c>
      <c r="M1533" s="29" t="n">
        <f aca="false">IF(AND(C1533&gt;=Settings!$B$5-Settings!$B$9+1,C1533&lt;=Settings!$B$5,COUNTIFS($B$5:B1533,B1533,$C$5:C1533,"&gt;="&amp;(Settings!$B$5-Settings!$B$9+1),$C$5:C1533,"&lt;="&amp;Settings!$B$5)=1),1,0)</f>
        <v>0</v>
      </c>
      <c r="N1533" s="29" t="n">
        <f aca="false">IF(AND(D1533="Feature Use",COUNTIFS($B$5:B1533,B1533,$D$5:D1533,"Feature Use")=1),1,0)</f>
        <v>0</v>
      </c>
    </row>
    <row r="1534" customFormat="false" ht="15" hidden="false" customHeight="false" outlineLevel="0" collapsed="false">
      <c r="A1534" s="22" t="s">
        <v>1841</v>
      </c>
      <c r="B1534" s="22" t="s">
        <v>329</v>
      </c>
      <c r="C1534" s="31" t="n">
        <v>46309</v>
      </c>
      <c r="D1534" s="22" t="s">
        <v>297</v>
      </c>
      <c r="E1534" s="22" t="s">
        <v>298</v>
      </c>
      <c r="F1534" s="29" t="str">
        <f aca="false">IF(COUNTIF(Referral_Data!$C$5:$C$1000,B1534)&gt;0,"Referred",IF(COUNTIF(Referral_Data!$B$5:$B$1000,B1534)&gt;0,"Referrer","Organic"))</f>
        <v>Organic</v>
      </c>
      <c r="G1534" s="29" t="n">
        <f aca="false">IF(COUNTIFS($B$5:B1534,B1534,$C$5:C1534,C1534)=1,1,0)</f>
        <v>1</v>
      </c>
      <c r="H1534" s="29" t="n">
        <f aca="false">IF(AND(G1534=1,COUNTIFS($B$5:$B$1635,B1534,$C$5:$C$1635,"&lt;"&amp;C1534)&gt;0),1,0)</f>
        <v>1</v>
      </c>
      <c r="I1534" s="29" t="n">
        <f aca="false">IF(AND(D1534="Feature Use",COUNTIFS($B$5:B1534,B1534,$D$5:D1534,"Feature Use",$E$5:E1534,E1534)=1),1,0)</f>
        <v>0</v>
      </c>
      <c r="J1534" s="29" t="n">
        <f aca="false">IF(AND(D1534="Feature Use",COUNTIFS($B$5:B1534,B1534,$D$5:D1534,"Feature Use",$E$5:E1534,E1534)=2),1,0)</f>
        <v>0</v>
      </c>
      <c r="K1534" s="29" t="n">
        <f aca="false">IF(COUNTIF($B$5:B1534,B1534)=1,1,0)</f>
        <v>0</v>
      </c>
      <c r="L1534" s="29" t="n">
        <f aca="false">IF(AND(C1534&gt;=Settings!$B$5-Settings!$B$8+1,C1534&lt;=Settings!$B$5,COUNTIFS($B$5:B1534,B1534,$C$5:C1534,"&gt;="&amp;(Settings!$B$5-Settings!$B$8+1),$C$5:C1534,"&lt;="&amp;Settings!$B$5)=1),1,0)</f>
        <v>0</v>
      </c>
      <c r="M1534" s="29" t="n">
        <f aca="false">IF(AND(C1534&gt;=Settings!$B$5-Settings!$B$9+1,C1534&lt;=Settings!$B$5,COUNTIFS($B$5:B1534,B1534,$C$5:C1534,"&gt;="&amp;(Settings!$B$5-Settings!$B$9+1),$C$5:C1534,"&lt;="&amp;Settings!$B$5)=1),1,0)</f>
        <v>0</v>
      </c>
      <c r="N1534" s="29" t="n">
        <f aca="false">IF(AND(D1534="Feature Use",COUNTIFS($B$5:B1534,B1534,$D$5:D1534,"Feature Use")=1),1,0)</f>
        <v>0</v>
      </c>
    </row>
    <row r="1535" customFormat="false" ht="15" hidden="false" customHeight="false" outlineLevel="0" collapsed="false">
      <c r="A1535" s="22" t="s">
        <v>1842</v>
      </c>
      <c r="B1535" s="22" t="s">
        <v>329</v>
      </c>
      <c r="C1535" s="31" t="n">
        <v>46309</v>
      </c>
      <c r="D1535" s="22" t="s">
        <v>300</v>
      </c>
      <c r="E1535" s="22" t="s">
        <v>309</v>
      </c>
      <c r="F1535" s="29" t="str">
        <f aca="false">IF(COUNTIF(Referral_Data!$C$5:$C$1000,B1535)&gt;0,"Referred",IF(COUNTIF(Referral_Data!$B$5:$B$1000,B1535)&gt;0,"Referrer","Organic"))</f>
        <v>Organic</v>
      </c>
      <c r="G1535" s="29" t="n">
        <f aca="false">IF(COUNTIFS($B$5:B1535,B1535,$C$5:C1535,C1535)=1,1,0)</f>
        <v>0</v>
      </c>
      <c r="H1535" s="29" t="n">
        <f aca="false">IF(AND(G1535=1,COUNTIFS($B$5:$B$1635,B1535,$C$5:$C$1635,"&lt;"&amp;C1535)&gt;0),1,0)</f>
        <v>0</v>
      </c>
      <c r="I1535" s="29" t="n">
        <f aca="false">IF(AND(D1535="Feature Use",COUNTIFS($B$5:B1535,B1535,$D$5:D1535,"Feature Use",$E$5:E1535,E1535)=1),1,0)</f>
        <v>0</v>
      </c>
      <c r="J1535" s="29" t="n">
        <f aca="false">IF(AND(D1535="Feature Use",COUNTIFS($B$5:B1535,B1535,$D$5:D1535,"Feature Use",$E$5:E1535,E1535)=2),1,0)</f>
        <v>0</v>
      </c>
      <c r="K1535" s="29" t="n">
        <f aca="false">IF(COUNTIF($B$5:B1535,B1535)=1,1,0)</f>
        <v>0</v>
      </c>
      <c r="L1535" s="29" t="n">
        <f aca="false">IF(AND(C1535&gt;=Settings!$B$5-Settings!$B$8+1,C1535&lt;=Settings!$B$5,COUNTIFS($B$5:B1535,B1535,$C$5:C1535,"&gt;="&amp;(Settings!$B$5-Settings!$B$8+1),$C$5:C1535,"&lt;="&amp;Settings!$B$5)=1),1,0)</f>
        <v>0</v>
      </c>
      <c r="M1535" s="29" t="n">
        <f aca="false">IF(AND(C1535&gt;=Settings!$B$5-Settings!$B$9+1,C1535&lt;=Settings!$B$5,COUNTIFS($B$5:B1535,B1535,$C$5:C1535,"&gt;="&amp;(Settings!$B$5-Settings!$B$9+1),$C$5:C1535,"&lt;="&amp;Settings!$B$5)=1),1,0)</f>
        <v>0</v>
      </c>
      <c r="N1535" s="29" t="n">
        <f aca="false">IF(AND(D1535="Feature Use",COUNTIFS($B$5:B1535,B1535,$D$5:D1535,"Feature Use")=1),1,0)</f>
        <v>0</v>
      </c>
    </row>
    <row r="1536" customFormat="false" ht="15" hidden="false" customHeight="false" outlineLevel="0" collapsed="false">
      <c r="A1536" s="22" t="s">
        <v>1843</v>
      </c>
      <c r="B1536" s="22" t="s">
        <v>329</v>
      </c>
      <c r="C1536" s="31" t="n">
        <v>46309</v>
      </c>
      <c r="D1536" s="22" t="s">
        <v>300</v>
      </c>
      <c r="E1536" s="22" t="s">
        <v>305</v>
      </c>
      <c r="F1536" s="29" t="str">
        <f aca="false">IF(COUNTIF(Referral_Data!$C$5:$C$1000,B1536)&gt;0,"Referred",IF(COUNTIF(Referral_Data!$B$5:$B$1000,B1536)&gt;0,"Referrer","Organic"))</f>
        <v>Organic</v>
      </c>
      <c r="G1536" s="29" t="n">
        <f aca="false">IF(COUNTIFS($B$5:B1536,B1536,$C$5:C1536,C1536)=1,1,0)</f>
        <v>0</v>
      </c>
      <c r="H1536" s="29" t="n">
        <f aca="false">IF(AND(G1536=1,COUNTIFS($B$5:$B$1635,B1536,$C$5:$C$1635,"&lt;"&amp;C1536)&gt;0),1,0)</f>
        <v>0</v>
      </c>
      <c r="I1536" s="29" t="n">
        <f aca="false">IF(AND(D1536="Feature Use",COUNTIFS($B$5:B1536,B1536,$D$5:D1536,"Feature Use",$E$5:E1536,E1536)=1),1,0)</f>
        <v>0</v>
      </c>
      <c r="J1536" s="29" t="n">
        <f aca="false">IF(AND(D1536="Feature Use",COUNTIFS($B$5:B1536,B1536,$D$5:D1536,"Feature Use",$E$5:E1536,E1536)=2),1,0)</f>
        <v>0</v>
      </c>
      <c r="K1536" s="29" t="n">
        <f aca="false">IF(COUNTIF($B$5:B1536,B1536)=1,1,0)</f>
        <v>0</v>
      </c>
      <c r="L1536" s="29" t="n">
        <f aca="false">IF(AND(C1536&gt;=Settings!$B$5-Settings!$B$8+1,C1536&lt;=Settings!$B$5,COUNTIFS($B$5:B1536,B1536,$C$5:C1536,"&gt;="&amp;(Settings!$B$5-Settings!$B$8+1),$C$5:C1536,"&lt;="&amp;Settings!$B$5)=1),1,0)</f>
        <v>0</v>
      </c>
      <c r="M1536" s="29" t="n">
        <f aca="false">IF(AND(C1536&gt;=Settings!$B$5-Settings!$B$9+1,C1536&lt;=Settings!$B$5,COUNTIFS($B$5:B1536,B1536,$C$5:C1536,"&gt;="&amp;(Settings!$B$5-Settings!$B$9+1),$C$5:C1536,"&lt;="&amp;Settings!$B$5)=1),1,0)</f>
        <v>0</v>
      </c>
      <c r="N1536" s="29" t="n">
        <f aca="false">IF(AND(D1536="Feature Use",COUNTIFS($B$5:B1536,B1536,$D$5:D1536,"Feature Use")=1),1,0)</f>
        <v>0</v>
      </c>
    </row>
    <row r="1537" customFormat="false" ht="15" hidden="false" customHeight="false" outlineLevel="0" collapsed="false">
      <c r="A1537" s="22" t="s">
        <v>1844</v>
      </c>
      <c r="B1537" s="22" t="s">
        <v>329</v>
      </c>
      <c r="C1537" s="31" t="n">
        <v>46309</v>
      </c>
      <c r="D1537" s="22" t="s">
        <v>308</v>
      </c>
      <c r="E1537" s="22" t="s">
        <v>311</v>
      </c>
      <c r="F1537" s="29" t="str">
        <f aca="false">IF(COUNTIF(Referral_Data!$C$5:$C$1000,B1537)&gt;0,"Referred",IF(COUNTIF(Referral_Data!$B$5:$B$1000,B1537)&gt;0,"Referrer","Organic"))</f>
        <v>Organic</v>
      </c>
      <c r="G1537" s="29" t="n">
        <f aca="false">IF(COUNTIFS($B$5:B1537,B1537,$C$5:C1537,C1537)=1,1,0)</f>
        <v>0</v>
      </c>
      <c r="H1537" s="29" t="n">
        <f aca="false">IF(AND(G1537=1,COUNTIFS($B$5:$B$1635,B1537,$C$5:$C$1635,"&lt;"&amp;C1537)&gt;0),1,0)</f>
        <v>0</v>
      </c>
      <c r="I1537" s="29" t="n">
        <f aca="false">IF(AND(D1537="Feature Use",COUNTIFS($B$5:B1537,B1537,$D$5:D1537,"Feature Use",$E$5:E1537,E1537)=1),1,0)</f>
        <v>0</v>
      </c>
      <c r="J1537" s="29" t="n">
        <f aca="false">IF(AND(D1537="Feature Use",COUNTIFS($B$5:B1537,B1537,$D$5:D1537,"Feature Use",$E$5:E1537,E1537)=2),1,0)</f>
        <v>0</v>
      </c>
      <c r="K1537" s="29" t="n">
        <f aca="false">IF(COUNTIF($B$5:B1537,B1537)=1,1,0)</f>
        <v>0</v>
      </c>
      <c r="L1537" s="29" t="n">
        <f aca="false">IF(AND(C1537&gt;=Settings!$B$5-Settings!$B$8+1,C1537&lt;=Settings!$B$5,COUNTIFS($B$5:B1537,B1537,$C$5:C1537,"&gt;="&amp;(Settings!$B$5-Settings!$B$8+1),$C$5:C1537,"&lt;="&amp;Settings!$B$5)=1),1,0)</f>
        <v>0</v>
      </c>
      <c r="M1537" s="29" t="n">
        <f aca="false">IF(AND(C1537&gt;=Settings!$B$5-Settings!$B$9+1,C1537&lt;=Settings!$B$5,COUNTIFS($B$5:B1537,B1537,$C$5:C1537,"&gt;="&amp;(Settings!$B$5-Settings!$B$9+1),$C$5:C1537,"&lt;="&amp;Settings!$B$5)=1),1,0)</f>
        <v>0</v>
      </c>
      <c r="N1537" s="29" t="n">
        <f aca="false">IF(AND(D1537="Feature Use",COUNTIFS($B$5:B1537,B1537,$D$5:D1537,"Feature Use")=1),1,0)</f>
        <v>0</v>
      </c>
    </row>
    <row r="1538" customFormat="false" ht="15" hidden="false" customHeight="false" outlineLevel="0" collapsed="false">
      <c r="A1538" s="22" t="s">
        <v>1845</v>
      </c>
      <c r="B1538" s="22" t="s">
        <v>168</v>
      </c>
      <c r="C1538" s="31" t="n">
        <v>46309</v>
      </c>
      <c r="D1538" s="22" t="s">
        <v>297</v>
      </c>
      <c r="E1538" s="22" t="s">
        <v>298</v>
      </c>
      <c r="F1538" s="29" t="str">
        <f aca="false">IF(COUNTIF(Referral_Data!$C$5:$C$1000,B1538)&gt;0,"Referred",IF(COUNTIF(Referral_Data!$B$5:$B$1000,B1538)&gt;0,"Referrer","Organic"))</f>
        <v>Referred</v>
      </c>
      <c r="G1538" s="29" t="n">
        <f aca="false">IF(COUNTIFS($B$5:B1538,B1538,$C$5:C1538,C1538)=1,1,0)</f>
        <v>1</v>
      </c>
      <c r="H1538" s="29" t="n">
        <f aca="false">IF(AND(G1538=1,COUNTIFS($B$5:$B$1635,B1538,$C$5:$C$1635,"&lt;"&amp;C1538)&gt;0),1,0)</f>
        <v>1</v>
      </c>
      <c r="I1538" s="29" t="n">
        <f aca="false">IF(AND(D1538="Feature Use",COUNTIFS($B$5:B1538,B1538,$D$5:D1538,"Feature Use",$E$5:E1538,E1538)=1),1,0)</f>
        <v>0</v>
      </c>
      <c r="J1538" s="29" t="n">
        <f aca="false">IF(AND(D1538="Feature Use",COUNTIFS($B$5:B1538,B1538,$D$5:D1538,"Feature Use",$E$5:E1538,E1538)=2),1,0)</f>
        <v>0</v>
      </c>
      <c r="K1538" s="29" t="n">
        <f aca="false">IF(COUNTIF($B$5:B1538,B1538)=1,1,0)</f>
        <v>0</v>
      </c>
      <c r="L1538" s="29" t="n">
        <f aca="false">IF(AND(C1538&gt;=Settings!$B$5-Settings!$B$8+1,C1538&lt;=Settings!$B$5,COUNTIFS($B$5:B1538,B1538,$C$5:C1538,"&gt;="&amp;(Settings!$B$5-Settings!$B$8+1),$C$5:C1538,"&lt;="&amp;Settings!$B$5)=1),1,0)</f>
        <v>0</v>
      </c>
      <c r="M1538" s="29" t="n">
        <f aca="false">IF(AND(C1538&gt;=Settings!$B$5-Settings!$B$9+1,C1538&lt;=Settings!$B$5,COUNTIFS($B$5:B1538,B1538,$C$5:C1538,"&gt;="&amp;(Settings!$B$5-Settings!$B$9+1),$C$5:C1538,"&lt;="&amp;Settings!$B$5)=1),1,0)</f>
        <v>0</v>
      </c>
      <c r="N1538" s="29" t="n">
        <f aca="false">IF(AND(D1538="Feature Use",COUNTIFS($B$5:B1538,B1538,$D$5:D1538,"Feature Use")=1),1,0)</f>
        <v>0</v>
      </c>
    </row>
    <row r="1539" customFormat="false" ht="15" hidden="false" customHeight="false" outlineLevel="0" collapsed="false">
      <c r="A1539" s="22" t="s">
        <v>1846</v>
      </c>
      <c r="B1539" s="22" t="s">
        <v>168</v>
      </c>
      <c r="C1539" s="31" t="n">
        <v>46309</v>
      </c>
      <c r="D1539" s="22" t="s">
        <v>300</v>
      </c>
      <c r="E1539" s="22" t="s">
        <v>319</v>
      </c>
      <c r="F1539" s="29" t="str">
        <f aca="false">IF(COUNTIF(Referral_Data!$C$5:$C$1000,B1539)&gt;0,"Referred",IF(COUNTIF(Referral_Data!$B$5:$B$1000,B1539)&gt;0,"Referrer","Organic"))</f>
        <v>Referred</v>
      </c>
      <c r="G1539" s="29" t="n">
        <f aca="false">IF(COUNTIFS($B$5:B1539,B1539,$C$5:C1539,C1539)=1,1,0)</f>
        <v>0</v>
      </c>
      <c r="H1539" s="29" t="n">
        <f aca="false">IF(AND(G1539=1,COUNTIFS($B$5:$B$1635,B1539,$C$5:$C$1635,"&lt;"&amp;C1539)&gt;0),1,0)</f>
        <v>0</v>
      </c>
      <c r="I1539" s="29" t="n">
        <f aca="false">IF(AND(D1539="Feature Use",COUNTIFS($B$5:B1539,B1539,$D$5:D1539,"Feature Use",$E$5:E1539,E1539)=1),1,0)</f>
        <v>0</v>
      </c>
      <c r="J1539" s="29" t="n">
        <f aca="false">IF(AND(D1539="Feature Use",COUNTIFS($B$5:B1539,B1539,$D$5:D1539,"Feature Use",$E$5:E1539,E1539)=2),1,0)</f>
        <v>0</v>
      </c>
      <c r="K1539" s="29" t="n">
        <f aca="false">IF(COUNTIF($B$5:B1539,B1539)=1,1,0)</f>
        <v>0</v>
      </c>
      <c r="L1539" s="29" t="n">
        <f aca="false">IF(AND(C1539&gt;=Settings!$B$5-Settings!$B$8+1,C1539&lt;=Settings!$B$5,COUNTIFS($B$5:B1539,B1539,$C$5:C1539,"&gt;="&amp;(Settings!$B$5-Settings!$B$8+1),$C$5:C1539,"&lt;="&amp;Settings!$B$5)=1),1,0)</f>
        <v>0</v>
      </c>
      <c r="M1539" s="29" t="n">
        <f aca="false">IF(AND(C1539&gt;=Settings!$B$5-Settings!$B$9+1,C1539&lt;=Settings!$B$5,COUNTIFS($B$5:B1539,B1539,$C$5:C1539,"&gt;="&amp;(Settings!$B$5-Settings!$B$9+1),$C$5:C1539,"&lt;="&amp;Settings!$B$5)=1),1,0)</f>
        <v>0</v>
      </c>
      <c r="N1539" s="29" t="n">
        <f aca="false">IF(AND(D1539="Feature Use",COUNTIFS($B$5:B1539,B1539,$D$5:D1539,"Feature Use")=1),1,0)</f>
        <v>0</v>
      </c>
    </row>
    <row r="1540" customFormat="false" ht="15" hidden="false" customHeight="false" outlineLevel="0" collapsed="false">
      <c r="A1540" s="22" t="s">
        <v>1847</v>
      </c>
      <c r="B1540" s="22" t="s">
        <v>168</v>
      </c>
      <c r="C1540" s="31" t="n">
        <v>46309</v>
      </c>
      <c r="D1540" s="22" t="s">
        <v>300</v>
      </c>
      <c r="E1540" s="22" t="s">
        <v>309</v>
      </c>
      <c r="F1540" s="29" t="str">
        <f aca="false">IF(COUNTIF(Referral_Data!$C$5:$C$1000,B1540)&gt;0,"Referred",IF(COUNTIF(Referral_Data!$B$5:$B$1000,B1540)&gt;0,"Referrer","Organic"))</f>
        <v>Referred</v>
      </c>
      <c r="G1540" s="29" t="n">
        <f aca="false">IF(COUNTIFS($B$5:B1540,B1540,$C$5:C1540,C1540)=1,1,0)</f>
        <v>0</v>
      </c>
      <c r="H1540" s="29" t="n">
        <f aca="false">IF(AND(G1540=1,COUNTIFS($B$5:$B$1635,B1540,$C$5:$C$1635,"&lt;"&amp;C1540)&gt;0),1,0)</f>
        <v>0</v>
      </c>
      <c r="I1540" s="29" t="n">
        <f aca="false">IF(AND(D1540="Feature Use",COUNTIFS($B$5:B1540,B1540,$D$5:D1540,"Feature Use",$E$5:E1540,E1540)=1),1,0)</f>
        <v>0</v>
      </c>
      <c r="J1540" s="29" t="n">
        <f aca="false">IF(AND(D1540="Feature Use",COUNTIFS($B$5:B1540,B1540,$D$5:D1540,"Feature Use",$E$5:E1540,E1540)=2),1,0)</f>
        <v>0</v>
      </c>
      <c r="K1540" s="29" t="n">
        <f aca="false">IF(COUNTIF($B$5:B1540,B1540)=1,1,0)</f>
        <v>0</v>
      </c>
      <c r="L1540" s="29" t="n">
        <f aca="false">IF(AND(C1540&gt;=Settings!$B$5-Settings!$B$8+1,C1540&lt;=Settings!$B$5,COUNTIFS($B$5:B1540,B1540,$C$5:C1540,"&gt;="&amp;(Settings!$B$5-Settings!$B$8+1),$C$5:C1540,"&lt;="&amp;Settings!$B$5)=1),1,0)</f>
        <v>0</v>
      </c>
      <c r="M1540" s="29" t="n">
        <f aca="false">IF(AND(C1540&gt;=Settings!$B$5-Settings!$B$9+1,C1540&lt;=Settings!$B$5,COUNTIFS($B$5:B1540,B1540,$C$5:C1540,"&gt;="&amp;(Settings!$B$5-Settings!$B$9+1),$C$5:C1540,"&lt;="&amp;Settings!$B$5)=1),1,0)</f>
        <v>0</v>
      </c>
      <c r="N1540" s="29" t="n">
        <f aca="false">IF(AND(D1540="Feature Use",COUNTIFS($B$5:B1540,B1540,$D$5:D1540,"Feature Use")=1),1,0)</f>
        <v>0</v>
      </c>
    </row>
    <row r="1541" customFormat="false" ht="15" hidden="false" customHeight="false" outlineLevel="0" collapsed="false">
      <c r="A1541" s="22" t="s">
        <v>1848</v>
      </c>
      <c r="B1541" s="22" t="s">
        <v>176</v>
      </c>
      <c r="C1541" s="31" t="n">
        <v>46309</v>
      </c>
      <c r="D1541" s="22" t="s">
        <v>297</v>
      </c>
      <c r="E1541" s="22" t="s">
        <v>298</v>
      </c>
      <c r="F1541" s="29" t="str">
        <f aca="false">IF(COUNTIF(Referral_Data!$C$5:$C$1000,B1541)&gt;0,"Referred",IF(COUNTIF(Referral_Data!$B$5:$B$1000,B1541)&gt;0,"Referrer","Organic"))</f>
        <v>Referred</v>
      </c>
      <c r="G1541" s="29" t="n">
        <f aca="false">IF(COUNTIFS($B$5:B1541,B1541,$C$5:C1541,C1541)=1,1,0)</f>
        <v>1</v>
      </c>
      <c r="H1541" s="29" t="n">
        <f aca="false">IF(AND(G1541=1,COUNTIFS($B$5:$B$1635,B1541,$C$5:$C$1635,"&lt;"&amp;C1541)&gt;0),1,0)</f>
        <v>1</v>
      </c>
      <c r="I1541" s="29" t="n">
        <f aca="false">IF(AND(D1541="Feature Use",COUNTIFS($B$5:B1541,B1541,$D$5:D1541,"Feature Use",$E$5:E1541,E1541)=1),1,0)</f>
        <v>0</v>
      </c>
      <c r="J1541" s="29" t="n">
        <f aca="false">IF(AND(D1541="Feature Use",COUNTIFS($B$5:B1541,B1541,$D$5:D1541,"Feature Use",$E$5:E1541,E1541)=2),1,0)</f>
        <v>0</v>
      </c>
      <c r="K1541" s="29" t="n">
        <f aca="false">IF(COUNTIF($B$5:B1541,B1541)=1,1,0)</f>
        <v>0</v>
      </c>
      <c r="L1541" s="29" t="n">
        <f aca="false">IF(AND(C1541&gt;=Settings!$B$5-Settings!$B$8+1,C1541&lt;=Settings!$B$5,COUNTIFS($B$5:B1541,B1541,$C$5:C1541,"&gt;="&amp;(Settings!$B$5-Settings!$B$8+1),$C$5:C1541,"&lt;="&amp;Settings!$B$5)=1),1,0)</f>
        <v>0</v>
      </c>
      <c r="M1541" s="29" t="n">
        <f aca="false">IF(AND(C1541&gt;=Settings!$B$5-Settings!$B$9+1,C1541&lt;=Settings!$B$5,COUNTIFS($B$5:B1541,B1541,$C$5:C1541,"&gt;="&amp;(Settings!$B$5-Settings!$B$9+1),$C$5:C1541,"&lt;="&amp;Settings!$B$5)=1),1,0)</f>
        <v>0</v>
      </c>
      <c r="N1541" s="29" t="n">
        <f aca="false">IF(AND(D1541="Feature Use",COUNTIFS($B$5:B1541,B1541,$D$5:D1541,"Feature Use")=1),1,0)</f>
        <v>0</v>
      </c>
    </row>
    <row r="1542" customFormat="false" ht="15" hidden="false" customHeight="false" outlineLevel="0" collapsed="false">
      <c r="A1542" s="22" t="s">
        <v>1849</v>
      </c>
      <c r="B1542" s="22" t="s">
        <v>176</v>
      </c>
      <c r="C1542" s="31" t="n">
        <v>46309</v>
      </c>
      <c r="D1542" s="22" t="s">
        <v>300</v>
      </c>
      <c r="E1542" s="22" t="s">
        <v>311</v>
      </c>
      <c r="F1542" s="29" t="str">
        <f aca="false">IF(COUNTIF(Referral_Data!$C$5:$C$1000,B1542)&gt;0,"Referred",IF(COUNTIF(Referral_Data!$B$5:$B$1000,B1542)&gt;0,"Referrer","Organic"))</f>
        <v>Referred</v>
      </c>
      <c r="G1542" s="29" t="n">
        <f aca="false">IF(COUNTIFS($B$5:B1542,B1542,$C$5:C1542,C1542)=1,1,0)</f>
        <v>0</v>
      </c>
      <c r="H1542" s="29" t="n">
        <f aca="false">IF(AND(G1542=1,COUNTIFS($B$5:$B$1635,B1542,$C$5:$C$1635,"&lt;"&amp;C1542)&gt;0),1,0)</f>
        <v>0</v>
      </c>
      <c r="I1542" s="29" t="n">
        <f aca="false">IF(AND(D1542="Feature Use",COUNTIFS($B$5:B1542,B1542,$D$5:D1542,"Feature Use",$E$5:E1542,E1542)=1),1,0)</f>
        <v>0</v>
      </c>
      <c r="J1542" s="29" t="n">
        <f aca="false">IF(AND(D1542="Feature Use",COUNTIFS($B$5:B1542,B1542,$D$5:D1542,"Feature Use",$E$5:E1542,E1542)=2),1,0)</f>
        <v>0</v>
      </c>
      <c r="K1542" s="29" t="n">
        <f aca="false">IF(COUNTIF($B$5:B1542,B1542)=1,1,0)</f>
        <v>0</v>
      </c>
      <c r="L1542" s="29" t="n">
        <f aca="false">IF(AND(C1542&gt;=Settings!$B$5-Settings!$B$8+1,C1542&lt;=Settings!$B$5,COUNTIFS($B$5:B1542,B1542,$C$5:C1542,"&gt;="&amp;(Settings!$B$5-Settings!$B$8+1),$C$5:C1542,"&lt;="&amp;Settings!$B$5)=1),1,0)</f>
        <v>0</v>
      </c>
      <c r="M1542" s="29" t="n">
        <f aca="false">IF(AND(C1542&gt;=Settings!$B$5-Settings!$B$9+1,C1542&lt;=Settings!$B$5,COUNTIFS($B$5:B1542,B1542,$C$5:C1542,"&gt;="&amp;(Settings!$B$5-Settings!$B$9+1),$C$5:C1542,"&lt;="&amp;Settings!$B$5)=1),1,0)</f>
        <v>0</v>
      </c>
      <c r="N1542" s="29" t="n">
        <f aca="false">IF(AND(D1542="Feature Use",COUNTIFS($B$5:B1542,B1542,$D$5:D1542,"Feature Use")=1),1,0)</f>
        <v>0</v>
      </c>
    </row>
    <row r="1543" customFormat="false" ht="15" hidden="false" customHeight="false" outlineLevel="0" collapsed="false">
      <c r="A1543" s="22" t="s">
        <v>1850</v>
      </c>
      <c r="B1543" s="22" t="s">
        <v>181</v>
      </c>
      <c r="C1543" s="31" t="n">
        <v>46309</v>
      </c>
      <c r="D1543" s="22" t="s">
        <v>297</v>
      </c>
      <c r="E1543" s="22" t="s">
        <v>298</v>
      </c>
      <c r="F1543" s="29" t="str">
        <f aca="false">IF(COUNTIF(Referral_Data!$C$5:$C$1000,B1543)&gt;0,"Referred",IF(COUNTIF(Referral_Data!$B$5:$B$1000,B1543)&gt;0,"Referrer","Organic"))</f>
        <v>Referred</v>
      </c>
      <c r="G1543" s="29" t="n">
        <f aca="false">IF(COUNTIFS($B$5:B1543,B1543,$C$5:C1543,C1543)=1,1,0)</f>
        <v>1</v>
      </c>
      <c r="H1543" s="29" t="n">
        <f aca="false">IF(AND(G1543=1,COUNTIFS($B$5:$B$1635,B1543,$C$5:$C$1635,"&lt;"&amp;C1543)&gt;0),1,0)</f>
        <v>1</v>
      </c>
      <c r="I1543" s="29" t="n">
        <f aca="false">IF(AND(D1543="Feature Use",COUNTIFS($B$5:B1543,B1543,$D$5:D1543,"Feature Use",$E$5:E1543,E1543)=1),1,0)</f>
        <v>0</v>
      </c>
      <c r="J1543" s="29" t="n">
        <f aca="false">IF(AND(D1543="Feature Use",COUNTIFS($B$5:B1543,B1543,$D$5:D1543,"Feature Use",$E$5:E1543,E1543)=2),1,0)</f>
        <v>0</v>
      </c>
      <c r="K1543" s="29" t="n">
        <f aca="false">IF(COUNTIF($B$5:B1543,B1543)=1,1,0)</f>
        <v>0</v>
      </c>
      <c r="L1543" s="29" t="n">
        <f aca="false">IF(AND(C1543&gt;=Settings!$B$5-Settings!$B$8+1,C1543&lt;=Settings!$B$5,COUNTIFS($B$5:B1543,B1543,$C$5:C1543,"&gt;="&amp;(Settings!$B$5-Settings!$B$8+1),$C$5:C1543,"&lt;="&amp;Settings!$B$5)=1),1,0)</f>
        <v>0</v>
      </c>
      <c r="M1543" s="29" t="n">
        <f aca="false">IF(AND(C1543&gt;=Settings!$B$5-Settings!$B$9+1,C1543&lt;=Settings!$B$5,COUNTIFS($B$5:B1543,B1543,$C$5:C1543,"&gt;="&amp;(Settings!$B$5-Settings!$B$9+1),$C$5:C1543,"&lt;="&amp;Settings!$B$5)=1),1,0)</f>
        <v>0</v>
      </c>
      <c r="N1543" s="29" t="n">
        <f aca="false">IF(AND(D1543="Feature Use",COUNTIFS($B$5:B1543,B1543,$D$5:D1543,"Feature Use")=1),1,0)</f>
        <v>0</v>
      </c>
    </row>
    <row r="1544" customFormat="false" ht="15" hidden="false" customHeight="false" outlineLevel="0" collapsed="false">
      <c r="A1544" s="22" t="s">
        <v>1851</v>
      </c>
      <c r="B1544" s="22" t="s">
        <v>181</v>
      </c>
      <c r="C1544" s="31" t="n">
        <v>46309</v>
      </c>
      <c r="D1544" s="22" t="s">
        <v>300</v>
      </c>
      <c r="E1544" s="22" t="s">
        <v>305</v>
      </c>
      <c r="F1544" s="29" t="str">
        <f aca="false">IF(COUNTIF(Referral_Data!$C$5:$C$1000,B1544)&gt;0,"Referred",IF(COUNTIF(Referral_Data!$B$5:$B$1000,B1544)&gt;0,"Referrer","Organic"))</f>
        <v>Referred</v>
      </c>
      <c r="G1544" s="29" t="n">
        <f aca="false">IF(COUNTIFS($B$5:B1544,B1544,$C$5:C1544,C1544)=1,1,0)</f>
        <v>0</v>
      </c>
      <c r="H1544" s="29" t="n">
        <f aca="false">IF(AND(G1544=1,COUNTIFS($B$5:$B$1635,B1544,$C$5:$C$1635,"&lt;"&amp;C1544)&gt;0),1,0)</f>
        <v>0</v>
      </c>
      <c r="I1544" s="29" t="n">
        <f aca="false">IF(AND(D1544="Feature Use",COUNTIFS($B$5:B1544,B1544,$D$5:D1544,"Feature Use",$E$5:E1544,E1544)=1),1,0)</f>
        <v>0</v>
      </c>
      <c r="J1544" s="29" t="n">
        <f aca="false">IF(AND(D1544="Feature Use",COUNTIFS($B$5:B1544,B1544,$D$5:D1544,"Feature Use",$E$5:E1544,E1544)=2),1,0)</f>
        <v>0</v>
      </c>
      <c r="K1544" s="29" t="n">
        <f aca="false">IF(COUNTIF($B$5:B1544,B1544)=1,1,0)</f>
        <v>0</v>
      </c>
      <c r="L1544" s="29" t="n">
        <f aca="false">IF(AND(C1544&gt;=Settings!$B$5-Settings!$B$8+1,C1544&lt;=Settings!$B$5,COUNTIFS($B$5:B1544,B1544,$C$5:C1544,"&gt;="&amp;(Settings!$B$5-Settings!$B$8+1),$C$5:C1544,"&lt;="&amp;Settings!$B$5)=1),1,0)</f>
        <v>0</v>
      </c>
      <c r="M1544" s="29" t="n">
        <f aca="false">IF(AND(C1544&gt;=Settings!$B$5-Settings!$B$9+1,C1544&lt;=Settings!$B$5,COUNTIFS($B$5:B1544,B1544,$C$5:C1544,"&gt;="&amp;(Settings!$B$5-Settings!$B$9+1),$C$5:C1544,"&lt;="&amp;Settings!$B$5)=1),1,0)</f>
        <v>0</v>
      </c>
      <c r="N1544" s="29" t="n">
        <f aca="false">IF(AND(D1544="Feature Use",COUNTIFS($B$5:B1544,B1544,$D$5:D1544,"Feature Use")=1),1,0)</f>
        <v>0</v>
      </c>
    </row>
    <row r="1545" customFormat="false" ht="15" hidden="false" customHeight="false" outlineLevel="0" collapsed="false">
      <c r="A1545" s="22" t="s">
        <v>1852</v>
      </c>
      <c r="B1545" s="22" t="s">
        <v>181</v>
      </c>
      <c r="C1545" s="31" t="n">
        <v>46309</v>
      </c>
      <c r="D1545" s="22" t="s">
        <v>308</v>
      </c>
      <c r="E1545" s="22" t="s">
        <v>319</v>
      </c>
      <c r="F1545" s="29" t="str">
        <f aca="false">IF(COUNTIF(Referral_Data!$C$5:$C$1000,B1545)&gt;0,"Referred",IF(COUNTIF(Referral_Data!$B$5:$B$1000,B1545)&gt;0,"Referrer","Organic"))</f>
        <v>Referred</v>
      </c>
      <c r="G1545" s="29" t="n">
        <f aca="false">IF(COUNTIFS($B$5:B1545,B1545,$C$5:C1545,C1545)=1,1,0)</f>
        <v>0</v>
      </c>
      <c r="H1545" s="29" t="n">
        <f aca="false">IF(AND(G1545=1,COUNTIFS($B$5:$B$1635,B1545,$C$5:$C$1635,"&lt;"&amp;C1545)&gt;0),1,0)</f>
        <v>0</v>
      </c>
      <c r="I1545" s="29" t="n">
        <f aca="false">IF(AND(D1545="Feature Use",COUNTIFS($B$5:B1545,B1545,$D$5:D1545,"Feature Use",$E$5:E1545,E1545)=1),1,0)</f>
        <v>0</v>
      </c>
      <c r="J1545" s="29" t="n">
        <f aca="false">IF(AND(D1545="Feature Use",COUNTIFS($B$5:B1545,B1545,$D$5:D1545,"Feature Use",$E$5:E1545,E1545)=2),1,0)</f>
        <v>0</v>
      </c>
      <c r="K1545" s="29" t="n">
        <f aca="false">IF(COUNTIF($B$5:B1545,B1545)=1,1,0)</f>
        <v>0</v>
      </c>
      <c r="L1545" s="29" t="n">
        <f aca="false">IF(AND(C1545&gt;=Settings!$B$5-Settings!$B$8+1,C1545&lt;=Settings!$B$5,COUNTIFS($B$5:B1545,B1545,$C$5:C1545,"&gt;="&amp;(Settings!$B$5-Settings!$B$8+1),$C$5:C1545,"&lt;="&amp;Settings!$B$5)=1),1,0)</f>
        <v>0</v>
      </c>
      <c r="M1545" s="29" t="n">
        <f aca="false">IF(AND(C1545&gt;=Settings!$B$5-Settings!$B$9+1,C1545&lt;=Settings!$B$5,COUNTIFS($B$5:B1545,B1545,$C$5:C1545,"&gt;="&amp;(Settings!$B$5-Settings!$B$9+1),$C$5:C1545,"&lt;="&amp;Settings!$B$5)=1),1,0)</f>
        <v>0</v>
      </c>
      <c r="N1545" s="29" t="n">
        <f aca="false">IF(AND(D1545="Feature Use",COUNTIFS($B$5:B1545,B1545,$D$5:D1545,"Feature Use")=1),1,0)</f>
        <v>0</v>
      </c>
    </row>
    <row r="1546" customFormat="false" ht="15" hidden="false" customHeight="false" outlineLevel="0" collapsed="false">
      <c r="A1546" s="22" t="s">
        <v>1853</v>
      </c>
      <c r="B1546" s="22" t="s">
        <v>181</v>
      </c>
      <c r="C1546" s="31" t="n">
        <v>46309</v>
      </c>
      <c r="D1546" s="22" t="s">
        <v>308</v>
      </c>
      <c r="E1546" s="22" t="s">
        <v>305</v>
      </c>
      <c r="F1546" s="29" t="str">
        <f aca="false">IF(COUNTIF(Referral_Data!$C$5:$C$1000,B1546)&gt;0,"Referred",IF(COUNTIF(Referral_Data!$B$5:$B$1000,B1546)&gt;0,"Referrer","Organic"))</f>
        <v>Referred</v>
      </c>
      <c r="G1546" s="29" t="n">
        <f aca="false">IF(COUNTIFS($B$5:B1546,B1546,$C$5:C1546,C1546)=1,1,0)</f>
        <v>0</v>
      </c>
      <c r="H1546" s="29" t="n">
        <f aca="false">IF(AND(G1546=1,COUNTIFS($B$5:$B$1635,B1546,$C$5:$C$1635,"&lt;"&amp;C1546)&gt;0),1,0)</f>
        <v>0</v>
      </c>
      <c r="I1546" s="29" t="n">
        <f aca="false">IF(AND(D1546="Feature Use",COUNTIFS($B$5:B1546,B1546,$D$5:D1546,"Feature Use",$E$5:E1546,E1546)=1),1,0)</f>
        <v>0</v>
      </c>
      <c r="J1546" s="29" t="n">
        <f aca="false">IF(AND(D1546="Feature Use",COUNTIFS($B$5:B1546,B1546,$D$5:D1546,"Feature Use",$E$5:E1546,E1546)=2),1,0)</f>
        <v>0</v>
      </c>
      <c r="K1546" s="29" t="n">
        <f aca="false">IF(COUNTIF($B$5:B1546,B1546)=1,1,0)</f>
        <v>0</v>
      </c>
      <c r="L1546" s="29" t="n">
        <f aca="false">IF(AND(C1546&gt;=Settings!$B$5-Settings!$B$8+1,C1546&lt;=Settings!$B$5,COUNTIFS($B$5:B1546,B1546,$C$5:C1546,"&gt;="&amp;(Settings!$B$5-Settings!$B$8+1),$C$5:C1546,"&lt;="&amp;Settings!$B$5)=1),1,0)</f>
        <v>0</v>
      </c>
      <c r="M1546" s="29" t="n">
        <f aca="false">IF(AND(C1546&gt;=Settings!$B$5-Settings!$B$9+1,C1546&lt;=Settings!$B$5,COUNTIFS($B$5:B1546,B1546,$C$5:C1546,"&gt;="&amp;(Settings!$B$5-Settings!$B$9+1),$C$5:C1546,"&lt;="&amp;Settings!$B$5)=1),1,0)</f>
        <v>0</v>
      </c>
      <c r="N1546" s="29" t="n">
        <f aca="false">IF(AND(D1546="Feature Use",COUNTIFS($B$5:B1546,B1546,$D$5:D1546,"Feature Use")=1),1,0)</f>
        <v>0</v>
      </c>
    </row>
    <row r="1547" customFormat="false" ht="15" hidden="false" customHeight="false" outlineLevel="0" collapsed="false">
      <c r="A1547" s="22" t="s">
        <v>1854</v>
      </c>
      <c r="B1547" s="22" t="s">
        <v>184</v>
      </c>
      <c r="C1547" s="31" t="n">
        <v>46309</v>
      </c>
      <c r="D1547" s="22" t="s">
        <v>297</v>
      </c>
      <c r="E1547" s="22" t="s">
        <v>298</v>
      </c>
      <c r="F1547" s="29" t="str">
        <f aca="false">IF(COUNTIF(Referral_Data!$C$5:$C$1000,B1547)&gt;0,"Referred",IF(COUNTIF(Referral_Data!$B$5:$B$1000,B1547)&gt;0,"Referrer","Organic"))</f>
        <v>Referred</v>
      </c>
      <c r="G1547" s="29" t="n">
        <f aca="false">IF(COUNTIFS($B$5:B1547,B1547,$C$5:C1547,C1547)=1,1,0)</f>
        <v>1</v>
      </c>
      <c r="H1547" s="29" t="n">
        <f aca="false">IF(AND(G1547=1,COUNTIFS($B$5:$B$1635,B1547,$C$5:$C$1635,"&lt;"&amp;C1547)&gt;0),1,0)</f>
        <v>1</v>
      </c>
      <c r="I1547" s="29" t="n">
        <f aca="false">IF(AND(D1547="Feature Use",COUNTIFS($B$5:B1547,B1547,$D$5:D1547,"Feature Use",$E$5:E1547,E1547)=1),1,0)</f>
        <v>0</v>
      </c>
      <c r="J1547" s="29" t="n">
        <f aca="false">IF(AND(D1547="Feature Use",COUNTIFS($B$5:B1547,B1547,$D$5:D1547,"Feature Use",$E$5:E1547,E1547)=2),1,0)</f>
        <v>0</v>
      </c>
      <c r="K1547" s="29" t="n">
        <f aca="false">IF(COUNTIF($B$5:B1547,B1547)=1,1,0)</f>
        <v>0</v>
      </c>
      <c r="L1547" s="29" t="n">
        <f aca="false">IF(AND(C1547&gt;=Settings!$B$5-Settings!$B$8+1,C1547&lt;=Settings!$B$5,COUNTIFS($B$5:B1547,B1547,$C$5:C1547,"&gt;="&amp;(Settings!$B$5-Settings!$B$8+1),$C$5:C1547,"&lt;="&amp;Settings!$B$5)=1),1,0)</f>
        <v>0</v>
      </c>
      <c r="M1547" s="29" t="n">
        <f aca="false">IF(AND(C1547&gt;=Settings!$B$5-Settings!$B$9+1,C1547&lt;=Settings!$B$5,COUNTIFS($B$5:B1547,B1547,$C$5:C1547,"&gt;="&amp;(Settings!$B$5-Settings!$B$9+1),$C$5:C1547,"&lt;="&amp;Settings!$B$5)=1),1,0)</f>
        <v>0</v>
      </c>
      <c r="N1547" s="29" t="n">
        <f aca="false">IF(AND(D1547="Feature Use",COUNTIFS($B$5:B1547,B1547,$D$5:D1547,"Feature Use")=1),1,0)</f>
        <v>0</v>
      </c>
    </row>
    <row r="1548" customFormat="false" ht="15" hidden="false" customHeight="false" outlineLevel="0" collapsed="false">
      <c r="A1548" s="22" t="s">
        <v>1855</v>
      </c>
      <c r="B1548" s="22" t="s">
        <v>184</v>
      </c>
      <c r="C1548" s="31" t="n">
        <v>46309</v>
      </c>
      <c r="D1548" s="22" t="s">
        <v>300</v>
      </c>
      <c r="E1548" s="22" t="s">
        <v>319</v>
      </c>
      <c r="F1548" s="29" t="str">
        <f aca="false">IF(COUNTIF(Referral_Data!$C$5:$C$1000,B1548)&gt;0,"Referred",IF(COUNTIF(Referral_Data!$B$5:$B$1000,B1548)&gt;0,"Referrer","Organic"))</f>
        <v>Referred</v>
      </c>
      <c r="G1548" s="29" t="n">
        <f aca="false">IF(COUNTIFS($B$5:B1548,B1548,$C$5:C1548,C1548)=1,1,0)</f>
        <v>0</v>
      </c>
      <c r="H1548" s="29" t="n">
        <f aca="false">IF(AND(G1548=1,COUNTIFS($B$5:$B$1635,B1548,$C$5:$C$1635,"&lt;"&amp;C1548)&gt;0),1,0)</f>
        <v>0</v>
      </c>
      <c r="I1548" s="29" t="n">
        <f aca="false">IF(AND(D1548="Feature Use",COUNTIFS($B$5:B1548,B1548,$D$5:D1548,"Feature Use",$E$5:E1548,E1548)=1),1,0)</f>
        <v>0</v>
      </c>
      <c r="J1548" s="29" t="n">
        <f aca="false">IF(AND(D1548="Feature Use",COUNTIFS($B$5:B1548,B1548,$D$5:D1548,"Feature Use",$E$5:E1548,E1548)=2),1,0)</f>
        <v>0</v>
      </c>
      <c r="K1548" s="29" t="n">
        <f aca="false">IF(COUNTIF($B$5:B1548,B1548)=1,1,0)</f>
        <v>0</v>
      </c>
      <c r="L1548" s="29" t="n">
        <f aca="false">IF(AND(C1548&gt;=Settings!$B$5-Settings!$B$8+1,C1548&lt;=Settings!$B$5,COUNTIFS($B$5:B1548,B1548,$C$5:C1548,"&gt;="&amp;(Settings!$B$5-Settings!$B$8+1),$C$5:C1548,"&lt;="&amp;Settings!$B$5)=1),1,0)</f>
        <v>0</v>
      </c>
      <c r="M1548" s="29" t="n">
        <f aca="false">IF(AND(C1548&gt;=Settings!$B$5-Settings!$B$9+1,C1548&lt;=Settings!$B$5,COUNTIFS($B$5:B1548,B1548,$C$5:C1548,"&gt;="&amp;(Settings!$B$5-Settings!$B$9+1),$C$5:C1548,"&lt;="&amp;Settings!$B$5)=1),1,0)</f>
        <v>0</v>
      </c>
      <c r="N1548" s="29" t="n">
        <f aca="false">IF(AND(D1548="Feature Use",COUNTIFS($B$5:B1548,B1548,$D$5:D1548,"Feature Use")=1),1,0)</f>
        <v>0</v>
      </c>
    </row>
    <row r="1549" customFormat="false" ht="15" hidden="false" customHeight="false" outlineLevel="0" collapsed="false">
      <c r="A1549" s="22" t="s">
        <v>1856</v>
      </c>
      <c r="B1549" s="22" t="s">
        <v>197</v>
      </c>
      <c r="C1549" s="31" t="n">
        <v>46309</v>
      </c>
      <c r="D1549" s="22" t="s">
        <v>297</v>
      </c>
      <c r="E1549" s="22" t="s">
        <v>298</v>
      </c>
      <c r="F1549" s="29" t="str">
        <f aca="false">IF(COUNTIF(Referral_Data!$C$5:$C$1000,B1549)&gt;0,"Referred",IF(COUNTIF(Referral_Data!$B$5:$B$1000,B1549)&gt;0,"Referrer","Organic"))</f>
        <v>Referred</v>
      </c>
      <c r="G1549" s="29" t="n">
        <f aca="false">IF(COUNTIFS($B$5:B1549,B1549,$C$5:C1549,C1549)=1,1,0)</f>
        <v>1</v>
      </c>
      <c r="H1549" s="29" t="n">
        <f aca="false">IF(AND(G1549=1,COUNTIFS($B$5:$B$1635,B1549,$C$5:$C$1635,"&lt;"&amp;C1549)&gt;0),1,0)</f>
        <v>1</v>
      </c>
      <c r="I1549" s="29" t="n">
        <f aca="false">IF(AND(D1549="Feature Use",COUNTIFS($B$5:B1549,B1549,$D$5:D1549,"Feature Use",$E$5:E1549,E1549)=1),1,0)</f>
        <v>0</v>
      </c>
      <c r="J1549" s="29" t="n">
        <f aca="false">IF(AND(D1549="Feature Use",COUNTIFS($B$5:B1549,B1549,$D$5:D1549,"Feature Use",$E$5:E1549,E1549)=2),1,0)</f>
        <v>0</v>
      </c>
      <c r="K1549" s="29" t="n">
        <f aca="false">IF(COUNTIF($B$5:B1549,B1549)=1,1,0)</f>
        <v>0</v>
      </c>
      <c r="L1549" s="29" t="n">
        <f aca="false">IF(AND(C1549&gt;=Settings!$B$5-Settings!$B$8+1,C1549&lt;=Settings!$B$5,COUNTIFS($B$5:B1549,B1549,$C$5:C1549,"&gt;="&amp;(Settings!$B$5-Settings!$B$8+1),$C$5:C1549,"&lt;="&amp;Settings!$B$5)=1),1,0)</f>
        <v>0</v>
      </c>
      <c r="M1549" s="29" t="n">
        <f aca="false">IF(AND(C1549&gt;=Settings!$B$5-Settings!$B$9+1,C1549&lt;=Settings!$B$5,COUNTIFS($B$5:B1549,B1549,$C$5:C1549,"&gt;="&amp;(Settings!$B$5-Settings!$B$9+1),$C$5:C1549,"&lt;="&amp;Settings!$B$5)=1),1,0)</f>
        <v>0</v>
      </c>
      <c r="N1549" s="29" t="n">
        <f aca="false">IF(AND(D1549="Feature Use",COUNTIFS($B$5:B1549,B1549,$D$5:D1549,"Feature Use")=1),1,0)</f>
        <v>0</v>
      </c>
    </row>
    <row r="1550" customFormat="false" ht="15" hidden="false" customHeight="false" outlineLevel="0" collapsed="false">
      <c r="A1550" s="22" t="s">
        <v>1857</v>
      </c>
      <c r="B1550" s="22" t="s">
        <v>197</v>
      </c>
      <c r="C1550" s="31" t="n">
        <v>46309</v>
      </c>
      <c r="D1550" s="22" t="s">
        <v>300</v>
      </c>
      <c r="E1550" s="22" t="s">
        <v>305</v>
      </c>
      <c r="F1550" s="29" t="str">
        <f aca="false">IF(COUNTIF(Referral_Data!$C$5:$C$1000,B1550)&gt;0,"Referred",IF(COUNTIF(Referral_Data!$B$5:$B$1000,B1550)&gt;0,"Referrer","Organic"))</f>
        <v>Referred</v>
      </c>
      <c r="G1550" s="29" t="n">
        <f aca="false">IF(COUNTIFS($B$5:B1550,B1550,$C$5:C1550,C1550)=1,1,0)</f>
        <v>0</v>
      </c>
      <c r="H1550" s="29" t="n">
        <f aca="false">IF(AND(G1550=1,COUNTIFS($B$5:$B$1635,B1550,$C$5:$C$1635,"&lt;"&amp;C1550)&gt;0),1,0)</f>
        <v>0</v>
      </c>
      <c r="I1550" s="29" t="n">
        <f aca="false">IF(AND(D1550="Feature Use",COUNTIFS($B$5:B1550,B1550,$D$5:D1550,"Feature Use",$E$5:E1550,E1550)=1),1,0)</f>
        <v>1</v>
      </c>
      <c r="J1550" s="29" t="n">
        <f aca="false">IF(AND(D1550="Feature Use",COUNTIFS($B$5:B1550,B1550,$D$5:D1550,"Feature Use",$E$5:E1550,E1550)=2),1,0)</f>
        <v>0</v>
      </c>
      <c r="K1550" s="29" t="n">
        <f aca="false">IF(COUNTIF($B$5:B1550,B1550)=1,1,0)</f>
        <v>0</v>
      </c>
      <c r="L1550" s="29" t="n">
        <f aca="false">IF(AND(C1550&gt;=Settings!$B$5-Settings!$B$8+1,C1550&lt;=Settings!$B$5,COUNTIFS($B$5:B1550,B1550,$C$5:C1550,"&gt;="&amp;(Settings!$B$5-Settings!$B$8+1),$C$5:C1550,"&lt;="&amp;Settings!$B$5)=1),1,0)</f>
        <v>0</v>
      </c>
      <c r="M1550" s="29" t="n">
        <f aca="false">IF(AND(C1550&gt;=Settings!$B$5-Settings!$B$9+1,C1550&lt;=Settings!$B$5,COUNTIFS($B$5:B1550,B1550,$C$5:C1550,"&gt;="&amp;(Settings!$B$5-Settings!$B$9+1),$C$5:C1550,"&lt;="&amp;Settings!$B$5)=1),1,0)</f>
        <v>0</v>
      </c>
      <c r="N1550" s="29" t="n">
        <f aca="false">IF(AND(D1550="Feature Use",COUNTIFS($B$5:B1550,B1550,$D$5:D1550,"Feature Use")=1),1,0)</f>
        <v>0</v>
      </c>
    </row>
    <row r="1551" customFormat="false" ht="15" hidden="false" customHeight="false" outlineLevel="0" collapsed="false">
      <c r="A1551" s="22" t="s">
        <v>1858</v>
      </c>
      <c r="B1551" s="22" t="s">
        <v>204</v>
      </c>
      <c r="C1551" s="31" t="n">
        <v>46309</v>
      </c>
      <c r="D1551" s="22" t="s">
        <v>297</v>
      </c>
      <c r="E1551" s="22" t="s">
        <v>298</v>
      </c>
      <c r="F1551" s="29" t="str">
        <f aca="false">IF(COUNTIF(Referral_Data!$C$5:$C$1000,B1551)&gt;0,"Referred",IF(COUNTIF(Referral_Data!$B$5:$B$1000,B1551)&gt;0,"Referrer","Organic"))</f>
        <v>Referred</v>
      </c>
      <c r="G1551" s="29" t="n">
        <f aca="false">IF(COUNTIFS($B$5:B1551,B1551,$C$5:C1551,C1551)=1,1,0)</f>
        <v>1</v>
      </c>
      <c r="H1551" s="29" t="n">
        <f aca="false">IF(AND(G1551=1,COUNTIFS($B$5:$B$1635,B1551,$C$5:$C$1635,"&lt;"&amp;C1551)&gt;0),1,0)</f>
        <v>1</v>
      </c>
      <c r="I1551" s="29" t="n">
        <f aca="false">IF(AND(D1551="Feature Use",COUNTIFS($B$5:B1551,B1551,$D$5:D1551,"Feature Use",$E$5:E1551,E1551)=1),1,0)</f>
        <v>0</v>
      </c>
      <c r="J1551" s="29" t="n">
        <f aca="false">IF(AND(D1551="Feature Use",COUNTIFS($B$5:B1551,B1551,$D$5:D1551,"Feature Use",$E$5:E1551,E1551)=2),1,0)</f>
        <v>0</v>
      </c>
      <c r="K1551" s="29" t="n">
        <f aca="false">IF(COUNTIF($B$5:B1551,B1551)=1,1,0)</f>
        <v>0</v>
      </c>
      <c r="L1551" s="29" t="n">
        <f aca="false">IF(AND(C1551&gt;=Settings!$B$5-Settings!$B$8+1,C1551&lt;=Settings!$B$5,COUNTIFS($B$5:B1551,B1551,$C$5:C1551,"&gt;="&amp;(Settings!$B$5-Settings!$B$8+1),$C$5:C1551,"&lt;="&amp;Settings!$B$5)=1),1,0)</f>
        <v>0</v>
      </c>
      <c r="M1551" s="29" t="n">
        <f aca="false">IF(AND(C1551&gt;=Settings!$B$5-Settings!$B$9+1,C1551&lt;=Settings!$B$5,COUNTIFS($B$5:B1551,B1551,$C$5:C1551,"&gt;="&amp;(Settings!$B$5-Settings!$B$9+1),$C$5:C1551,"&lt;="&amp;Settings!$B$5)=1),1,0)</f>
        <v>0</v>
      </c>
      <c r="N1551" s="29" t="n">
        <f aca="false">IF(AND(D1551="Feature Use",COUNTIFS($B$5:B1551,B1551,$D$5:D1551,"Feature Use")=1),1,0)</f>
        <v>0</v>
      </c>
    </row>
    <row r="1552" customFormat="false" ht="15" hidden="false" customHeight="false" outlineLevel="0" collapsed="false">
      <c r="A1552" s="22" t="s">
        <v>1859</v>
      </c>
      <c r="B1552" s="22" t="s">
        <v>204</v>
      </c>
      <c r="C1552" s="31" t="n">
        <v>46309</v>
      </c>
      <c r="D1552" s="22" t="s">
        <v>300</v>
      </c>
      <c r="E1552" s="22" t="s">
        <v>301</v>
      </c>
      <c r="F1552" s="29" t="str">
        <f aca="false">IF(COUNTIF(Referral_Data!$C$5:$C$1000,B1552)&gt;0,"Referred",IF(COUNTIF(Referral_Data!$B$5:$B$1000,B1552)&gt;0,"Referrer","Organic"))</f>
        <v>Referred</v>
      </c>
      <c r="G1552" s="29" t="n">
        <f aca="false">IF(COUNTIFS($B$5:B1552,B1552,$C$5:C1552,C1552)=1,1,0)</f>
        <v>0</v>
      </c>
      <c r="H1552" s="29" t="n">
        <f aca="false">IF(AND(G1552=1,COUNTIFS($B$5:$B$1635,B1552,$C$5:$C$1635,"&lt;"&amp;C1552)&gt;0),1,0)</f>
        <v>0</v>
      </c>
      <c r="I1552" s="29" t="n">
        <f aca="false">IF(AND(D1552="Feature Use",COUNTIFS($B$5:B1552,B1552,$D$5:D1552,"Feature Use",$E$5:E1552,E1552)=1),1,0)</f>
        <v>0</v>
      </c>
      <c r="J1552" s="29" t="n">
        <f aca="false">IF(AND(D1552="Feature Use",COUNTIFS($B$5:B1552,B1552,$D$5:D1552,"Feature Use",$E$5:E1552,E1552)=2),1,0)</f>
        <v>0</v>
      </c>
      <c r="K1552" s="29" t="n">
        <f aca="false">IF(COUNTIF($B$5:B1552,B1552)=1,1,0)</f>
        <v>0</v>
      </c>
      <c r="L1552" s="29" t="n">
        <f aca="false">IF(AND(C1552&gt;=Settings!$B$5-Settings!$B$8+1,C1552&lt;=Settings!$B$5,COUNTIFS($B$5:B1552,B1552,$C$5:C1552,"&gt;="&amp;(Settings!$B$5-Settings!$B$8+1),$C$5:C1552,"&lt;="&amp;Settings!$B$5)=1),1,0)</f>
        <v>0</v>
      </c>
      <c r="M1552" s="29" t="n">
        <f aca="false">IF(AND(C1552&gt;=Settings!$B$5-Settings!$B$9+1,C1552&lt;=Settings!$B$5,COUNTIFS($B$5:B1552,B1552,$C$5:C1552,"&gt;="&amp;(Settings!$B$5-Settings!$B$9+1),$C$5:C1552,"&lt;="&amp;Settings!$B$5)=1),1,0)</f>
        <v>0</v>
      </c>
      <c r="N1552" s="29" t="n">
        <f aca="false">IF(AND(D1552="Feature Use",COUNTIFS($B$5:B1552,B1552,$D$5:D1552,"Feature Use")=1),1,0)</f>
        <v>0</v>
      </c>
    </row>
    <row r="1553" customFormat="false" ht="15" hidden="false" customHeight="false" outlineLevel="0" collapsed="false">
      <c r="A1553" s="22" t="s">
        <v>1860</v>
      </c>
      <c r="B1553" s="22" t="s">
        <v>211</v>
      </c>
      <c r="C1553" s="31" t="n">
        <v>46309</v>
      </c>
      <c r="D1553" s="22" t="s">
        <v>297</v>
      </c>
      <c r="E1553" s="22" t="s">
        <v>298</v>
      </c>
      <c r="F1553" s="29" t="str">
        <f aca="false">IF(COUNTIF(Referral_Data!$C$5:$C$1000,B1553)&gt;0,"Referred",IF(COUNTIF(Referral_Data!$B$5:$B$1000,B1553)&gt;0,"Referrer","Organic"))</f>
        <v>Referred</v>
      </c>
      <c r="G1553" s="29" t="n">
        <f aca="false">IF(COUNTIFS($B$5:B1553,B1553,$C$5:C1553,C1553)=1,1,0)</f>
        <v>1</v>
      </c>
      <c r="H1553" s="29" t="n">
        <f aca="false">IF(AND(G1553=1,COUNTIFS($B$5:$B$1635,B1553,$C$5:$C$1635,"&lt;"&amp;C1553)&gt;0),1,0)</f>
        <v>1</v>
      </c>
      <c r="I1553" s="29" t="n">
        <f aca="false">IF(AND(D1553="Feature Use",COUNTIFS($B$5:B1553,B1553,$D$5:D1553,"Feature Use",$E$5:E1553,E1553)=1),1,0)</f>
        <v>0</v>
      </c>
      <c r="J1553" s="29" t="n">
        <f aca="false">IF(AND(D1553="Feature Use",COUNTIFS($B$5:B1553,B1553,$D$5:D1553,"Feature Use",$E$5:E1553,E1553)=2),1,0)</f>
        <v>0</v>
      </c>
      <c r="K1553" s="29" t="n">
        <f aca="false">IF(COUNTIF($B$5:B1553,B1553)=1,1,0)</f>
        <v>0</v>
      </c>
      <c r="L1553" s="29" t="n">
        <f aca="false">IF(AND(C1553&gt;=Settings!$B$5-Settings!$B$8+1,C1553&lt;=Settings!$B$5,COUNTIFS($B$5:B1553,B1553,$C$5:C1553,"&gt;="&amp;(Settings!$B$5-Settings!$B$8+1),$C$5:C1553,"&lt;="&amp;Settings!$B$5)=1),1,0)</f>
        <v>0</v>
      </c>
      <c r="M1553" s="29" t="n">
        <f aca="false">IF(AND(C1553&gt;=Settings!$B$5-Settings!$B$9+1,C1553&lt;=Settings!$B$5,COUNTIFS($B$5:B1553,B1553,$C$5:C1553,"&gt;="&amp;(Settings!$B$5-Settings!$B$9+1),$C$5:C1553,"&lt;="&amp;Settings!$B$5)=1),1,0)</f>
        <v>0</v>
      </c>
      <c r="N1553" s="29" t="n">
        <f aca="false">IF(AND(D1553="Feature Use",COUNTIFS($B$5:B1553,B1553,$D$5:D1553,"Feature Use")=1),1,0)</f>
        <v>0</v>
      </c>
    </row>
    <row r="1554" customFormat="false" ht="15" hidden="false" customHeight="false" outlineLevel="0" collapsed="false">
      <c r="A1554" s="22" t="s">
        <v>1861</v>
      </c>
      <c r="B1554" s="22" t="s">
        <v>211</v>
      </c>
      <c r="C1554" s="31" t="n">
        <v>46309</v>
      </c>
      <c r="D1554" s="22" t="s">
        <v>300</v>
      </c>
      <c r="E1554" s="22" t="s">
        <v>305</v>
      </c>
      <c r="F1554" s="29" t="str">
        <f aca="false">IF(COUNTIF(Referral_Data!$C$5:$C$1000,B1554)&gt;0,"Referred",IF(COUNTIF(Referral_Data!$B$5:$B$1000,B1554)&gt;0,"Referrer","Organic"))</f>
        <v>Referred</v>
      </c>
      <c r="G1554" s="29" t="n">
        <f aca="false">IF(COUNTIFS($B$5:B1554,B1554,$C$5:C1554,C1554)=1,1,0)</f>
        <v>0</v>
      </c>
      <c r="H1554" s="29" t="n">
        <f aca="false">IF(AND(G1554=1,COUNTIFS($B$5:$B$1635,B1554,$C$5:$C$1635,"&lt;"&amp;C1554)&gt;0),1,0)</f>
        <v>0</v>
      </c>
      <c r="I1554" s="29" t="n">
        <f aca="false">IF(AND(D1554="Feature Use",COUNTIFS($B$5:B1554,B1554,$D$5:D1554,"Feature Use",$E$5:E1554,E1554)=1),1,0)</f>
        <v>0</v>
      </c>
      <c r="J1554" s="29" t="n">
        <f aca="false">IF(AND(D1554="Feature Use",COUNTIFS($B$5:B1554,B1554,$D$5:D1554,"Feature Use",$E$5:E1554,E1554)=2),1,0)</f>
        <v>1</v>
      </c>
      <c r="K1554" s="29" t="n">
        <f aca="false">IF(COUNTIF($B$5:B1554,B1554)=1,1,0)</f>
        <v>0</v>
      </c>
      <c r="L1554" s="29" t="n">
        <f aca="false">IF(AND(C1554&gt;=Settings!$B$5-Settings!$B$8+1,C1554&lt;=Settings!$B$5,COUNTIFS($B$5:B1554,B1554,$C$5:C1554,"&gt;="&amp;(Settings!$B$5-Settings!$B$8+1),$C$5:C1554,"&lt;="&amp;Settings!$B$5)=1),1,0)</f>
        <v>0</v>
      </c>
      <c r="M1554" s="29" t="n">
        <f aca="false">IF(AND(C1554&gt;=Settings!$B$5-Settings!$B$9+1,C1554&lt;=Settings!$B$5,COUNTIFS($B$5:B1554,B1554,$C$5:C1554,"&gt;="&amp;(Settings!$B$5-Settings!$B$9+1),$C$5:C1554,"&lt;="&amp;Settings!$B$5)=1),1,0)</f>
        <v>0</v>
      </c>
      <c r="N1554" s="29" t="n">
        <f aca="false">IF(AND(D1554="Feature Use",COUNTIFS($B$5:B1554,B1554,$D$5:D1554,"Feature Use")=1),1,0)</f>
        <v>0</v>
      </c>
    </row>
    <row r="1555" customFormat="false" ht="15" hidden="false" customHeight="false" outlineLevel="0" collapsed="false">
      <c r="A1555" s="22" t="s">
        <v>1862</v>
      </c>
      <c r="B1555" s="22" t="s">
        <v>211</v>
      </c>
      <c r="C1555" s="31" t="n">
        <v>46309</v>
      </c>
      <c r="D1555" s="22" t="s">
        <v>300</v>
      </c>
      <c r="E1555" s="22" t="s">
        <v>305</v>
      </c>
      <c r="F1555" s="29" t="str">
        <f aca="false">IF(COUNTIF(Referral_Data!$C$5:$C$1000,B1555)&gt;0,"Referred",IF(COUNTIF(Referral_Data!$B$5:$B$1000,B1555)&gt;0,"Referrer","Organic"))</f>
        <v>Referred</v>
      </c>
      <c r="G1555" s="29" t="n">
        <f aca="false">IF(COUNTIFS($B$5:B1555,B1555,$C$5:C1555,C1555)=1,1,0)</f>
        <v>0</v>
      </c>
      <c r="H1555" s="29" t="n">
        <f aca="false">IF(AND(G1555=1,COUNTIFS($B$5:$B$1635,B1555,$C$5:$C$1635,"&lt;"&amp;C1555)&gt;0),1,0)</f>
        <v>0</v>
      </c>
      <c r="I1555" s="29" t="n">
        <f aca="false">IF(AND(D1555="Feature Use",COUNTIFS($B$5:B1555,B1555,$D$5:D1555,"Feature Use",$E$5:E1555,E1555)=1),1,0)</f>
        <v>0</v>
      </c>
      <c r="J1555" s="29" t="n">
        <f aca="false">IF(AND(D1555="Feature Use",COUNTIFS($B$5:B1555,B1555,$D$5:D1555,"Feature Use",$E$5:E1555,E1555)=2),1,0)</f>
        <v>0</v>
      </c>
      <c r="K1555" s="29" t="n">
        <f aca="false">IF(COUNTIF($B$5:B1555,B1555)=1,1,0)</f>
        <v>0</v>
      </c>
      <c r="L1555" s="29" t="n">
        <f aca="false">IF(AND(C1555&gt;=Settings!$B$5-Settings!$B$8+1,C1555&lt;=Settings!$B$5,COUNTIFS($B$5:B1555,B1555,$C$5:C1555,"&gt;="&amp;(Settings!$B$5-Settings!$B$8+1),$C$5:C1555,"&lt;="&amp;Settings!$B$5)=1),1,0)</f>
        <v>0</v>
      </c>
      <c r="M1555" s="29" t="n">
        <f aca="false">IF(AND(C1555&gt;=Settings!$B$5-Settings!$B$9+1,C1555&lt;=Settings!$B$5,COUNTIFS($B$5:B1555,B1555,$C$5:C1555,"&gt;="&amp;(Settings!$B$5-Settings!$B$9+1),$C$5:C1555,"&lt;="&amp;Settings!$B$5)=1),1,0)</f>
        <v>0</v>
      </c>
      <c r="N1555" s="29" t="n">
        <f aca="false">IF(AND(D1555="Feature Use",COUNTIFS($B$5:B1555,B1555,$D$5:D1555,"Feature Use")=1),1,0)</f>
        <v>0</v>
      </c>
    </row>
    <row r="1556" customFormat="false" ht="15" hidden="false" customHeight="false" outlineLevel="0" collapsed="false">
      <c r="A1556" s="22" t="s">
        <v>1863</v>
      </c>
      <c r="B1556" s="22" t="s">
        <v>211</v>
      </c>
      <c r="C1556" s="31" t="n">
        <v>46309</v>
      </c>
      <c r="D1556" s="22" t="s">
        <v>308</v>
      </c>
      <c r="E1556" s="22" t="s">
        <v>305</v>
      </c>
      <c r="F1556" s="29" t="str">
        <f aca="false">IF(COUNTIF(Referral_Data!$C$5:$C$1000,B1556)&gt;0,"Referred",IF(COUNTIF(Referral_Data!$B$5:$B$1000,B1556)&gt;0,"Referrer","Organic"))</f>
        <v>Referred</v>
      </c>
      <c r="G1556" s="29" t="n">
        <f aca="false">IF(COUNTIFS($B$5:B1556,B1556,$C$5:C1556,C1556)=1,1,0)</f>
        <v>0</v>
      </c>
      <c r="H1556" s="29" t="n">
        <f aca="false">IF(AND(G1556=1,COUNTIFS($B$5:$B$1635,B1556,$C$5:$C$1635,"&lt;"&amp;C1556)&gt;0),1,0)</f>
        <v>0</v>
      </c>
      <c r="I1556" s="29" t="n">
        <f aca="false">IF(AND(D1556="Feature Use",COUNTIFS($B$5:B1556,B1556,$D$5:D1556,"Feature Use",$E$5:E1556,E1556)=1),1,0)</f>
        <v>0</v>
      </c>
      <c r="J1556" s="29" t="n">
        <f aca="false">IF(AND(D1556="Feature Use",COUNTIFS($B$5:B1556,B1556,$D$5:D1556,"Feature Use",$E$5:E1556,E1556)=2),1,0)</f>
        <v>0</v>
      </c>
      <c r="K1556" s="29" t="n">
        <f aca="false">IF(COUNTIF($B$5:B1556,B1556)=1,1,0)</f>
        <v>0</v>
      </c>
      <c r="L1556" s="29" t="n">
        <f aca="false">IF(AND(C1556&gt;=Settings!$B$5-Settings!$B$8+1,C1556&lt;=Settings!$B$5,COUNTIFS($B$5:B1556,B1556,$C$5:C1556,"&gt;="&amp;(Settings!$B$5-Settings!$B$8+1),$C$5:C1556,"&lt;="&amp;Settings!$B$5)=1),1,0)</f>
        <v>0</v>
      </c>
      <c r="M1556" s="29" t="n">
        <f aca="false">IF(AND(C1556&gt;=Settings!$B$5-Settings!$B$9+1,C1556&lt;=Settings!$B$5,COUNTIFS($B$5:B1556,B1556,$C$5:C1556,"&gt;="&amp;(Settings!$B$5-Settings!$B$9+1),$C$5:C1556,"&lt;="&amp;Settings!$B$5)=1),1,0)</f>
        <v>0</v>
      </c>
      <c r="N1556" s="29" t="n">
        <f aca="false">IF(AND(D1556="Feature Use",COUNTIFS($B$5:B1556,B1556,$D$5:D1556,"Feature Use")=1),1,0)</f>
        <v>0</v>
      </c>
    </row>
    <row r="1557" customFormat="false" ht="15" hidden="false" customHeight="false" outlineLevel="0" collapsed="false">
      <c r="A1557" s="22" t="s">
        <v>1864</v>
      </c>
      <c r="B1557" s="22" t="s">
        <v>211</v>
      </c>
      <c r="C1557" s="31" t="n">
        <v>46309</v>
      </c>
      <c r="D1557" s="22" t="s">
        <v>308</v>
      </c>
      <c r="E1557" s="22" t="s">
        <v>301</v>
      </c>
      <c r="F1557" s="29" t="str">
        <f aca="false">IF(COUNTIF(Referral_Data!$C$5:$C$1000,B1557)&gt;0,"Referred",IF(COUNTIF(Referral_Data!$B$5:$B$1000,B1557)&gt;0,"Referrer","Organic"))</f>
        <v>Referred</v>
      </c>
      <c r="G1557" s="29" t="n">
        <f aca="false">IF(COUNTIFS($B$5:B1557,B1557,$C$5:C1557,C1557)=1,1,0)</f>
        <v>0</v>
      </c>
      <c r="H1557" s="29" t="n">
        <f aca="false">IF(AND(G1557=1,COUNTIFS($B$5:$B$1635,B1557,$C$5:$C$1635,"&lt;"&amp;C1557)&gt;0),1,0)</f>
        <v>0</v>
      </c>
      <c r="I1557" s="29" t="n">
        <f aca="false">IF(AND(D1557="Feature Use",COUNTIFS($B$5:B1557,B1557,$D$5:D1557,"Feature Use",$E$5:E1557,E1557)=1),1,0)</f>
        <v>0</v>
      </c>
      <c r="J1557" s="29" t="n">
        <f aca="false">IF(AND(D1557="Feature Use",COUNTIFS($B$5:B1557,B1557,$D$5:D1557,"Feature Use",$E$5:E1557,E1557)=2),1,0)</f>
        <v>0</v>
      </c>
      <c r="K1557" s="29" t="n">
        <f aca="false">IF(COUNTIF($B$5:B1557,B1557)=1,1,0)</f>
        <v>0</v>
      </c>
      <c r="L1557" s="29" t="n">
        <f aca="false">IF(AND(C1557&gt;=Settings!$B$5-Settings!$B$8+1,C1557&lt;=Settings!$B$5,COUNTIFS($B$5:B1557,B1557,$C$5:C1557,"&gt;="&amp;(Settings!$B$5-Settings!$B$8+1),$C$5:C1557,"&lt;="&amp;Settings!$B$5)=1),1,0)</f>
        <v>0</v>
      </c>
      <c r="M1557" s="29" t="n">
        <f aca="false">IF(AND(C1557&gt;=Settings!$B$5-Settings!$B$9+1,C1557&lt;=Settings!$B$5,COUNTIFS($B$5:B1557,B1557,$C$5:C1557,"&gt;="&amp;(Settings!$B$5-Settings!$B$9+1),$C$5:C1557,"&lt;="&amp;Settings!$B$5)=1),1,0)</f>
        <v>0</v>
      </c>
      <c r="N1557" s="29" t="n">
        <f aca="false">IF(AND(D1557="Feature Use",COUNTIFS($B$5:B1557,B1557,$D$5:D1557,"Feature Use")=1),1,0)</f>
        <v>0</v>
      </c>
    </row>
    <row r="1558" customFormat="false" ht="15" hidden="false" customHeight="false" outlineLevel="0" collapsed="false">
      <c r="A1558" s="22" t="s">
        <v>1865</v>
      </c>
      <c r="B1558" s="22" t="s">
        <v>220</v>
      </c>
      <c r="C1558" s="31" t="n">
        <v>46309</v>
      </c>
      <c r="D1558" s="22" t="s">
        <v>297</v>
      </c>
      <c r="E1558" s="22" t="s">
        <v>298</v>
      </c>
      <c r="F1558" s="29" t="str">
        <f aca="false">IF(COUNTIF(Referral_Data!$C$5:$C$1000,B1558)&gt;0,"Referred",IF(COUNTIF(Referral_Data!$B$5:$B$1000,B1558)&gt;0,"Referrer","Organic"))</f>
        <v>Referred</v>
      </c>
      <c r="G1558" s="29" t="n">
        <f aca="false">IF(COUNTIFS($B$5:B1558,B1558,$C$5:C1558,C1558)=1,1,0)</f>
        <v>1</v>
      </c>
      <c r="H1558" s="29" t="n">
        <f aca="false">IF(AND(G1558=1,COUNTIFS($B$5:$B$1635,B1558,$C$5:$C$1635,"&lt;"&amp;C1558)&gt;0),1,0)</f>
        <v>1</v>
      </c>
      <c r="I1558" s="29" t="n">
        <f aca="false">IF(AND(D1558="Feature Use",COUNTIFS($B$5:B1558,B1558,$D$5:D1558,"Feature Use",$E$5:E1558,E1558)=1),1,0)</f>
        <v>0</v>
      </c>
      <c r="J1558" s="29" t="n">
        <f aca="false">IF(AND(D1558="Feature Use",COUNTIFS($B$5:B1558,B1558,$D$5:D1558,"Feature Use",$E$5:E1558,E1558)=2),1,0)</f>
        <v>0</v>
      </c>
      <c r="K1558" s="29" t="n">
        <f aca="false">IF(COUNTIF($B$5:B1558,B1558)=1,1,0)</f>
        <v>0</v>
      </c>
      <c r="L1558" s="29" t="n">
        <f aca="false">IF(AND(C1558&gt;=Settings!$B$5-Settings!$B$8+1,C1558&lt;=Settings!$B$5,COUNTIFS($B$5:B1558,B1558,$C$5:C1558,"&gt;="&amp;(Settings!$B$5-Settings!$B$8+1),$C$5:C1558,"&lt;="&amp;Settings!$B$5)=1),1,0)</f>
        <v>0</v>
      </c>
      <c r="M1558" s="29" t="n">
        <f aca="false">IF(AND(C1558&gt;=Settings!$B$5-Settings!$B$9+1,C1558&lt;=Settings!$B$5,COUNTIFS($B$5:B1558,B1558,$C$5:C1558,"&gt;="&amp;(Settings!$B$5-Settings!$B$9+1),$C$5:C1558,"&lt;="&amp;Settings!$B$5)=1),1,0)</f>
        <v>0</v>
      </c>
      <c r="N1558" s="29" t="n">
        <f aca="false">IF(AND(D1558="Feature Use",COUNTIFS($B$5:B1558,B1558,$D$5:D1558,"Feature Use")=1),1,0)</f>
        <v>0</v>
      </c>
    </row>
    <row r="1559" customFormat="false" ht="15" hidden="false" customHeight="false" outlineLevel="0" collapsed="false">
      <c r="A1559" s="22" t="s">
        <v>1866</v>
      </c>
      <c r="B1559" s="22" t="s">
        <v>220</v>
      </c>
      <c r="C1559" s="31" t="n">
        <v>46309</v>
      </c>
      <c r="D1559" s="22" t="s">
        <v>300</v>
      </c>
      <c r="E1559" s="22" t="s">
        <v>301</v>
      </c>
      <c r="F1559" s="29" t="str">
        <f aca="false">IF(COUNTIF(Referral_Data!$C$5:$C$1000,B1559)&gt;0,"Referred",IF(COUNTIF(Referral_Data!$B$5:$B$1000,B1559)&gt;0,"Referrer","Organic"))</f>
        <v>Referred</v>
      </c>
      <c r="G1559" s="29" t="n">
        <f aca="false">IF(COUNTIFS($B$5:B1559,B1559,$C$5:C1559,C1559)=1,1,0)</f>
        <v>0</v>
      </c>
      <c r="H1559" s="29" t="n">
        <f aca="false">IF(AND(G1559=1,COUNTIFS($B$5:$B$1635,B1559,$C$5:$C$1635,"&lt;"&amp;C1559)&gt;0),1,0)</f>
        <v>0</v>
      </c>
      <c r="I1559" s="29" t="n">
        <f aca="false">IF(AND(D1559="Feature Use",COUNTIFS($B$5:B1559,B1559,$D$5:D1559,"Feature Use",$E$5:E1559,E1559)=1),1,0)</f>
        <v>0</v>
      </c>
      <c r="J1559" s="29" t="n">
        <f aca="false">IF(AND(D1559="Feature Use",COUNTIFS($B$5:B1559,B1559,$D$5:D1559,"Feature Use",$E$5:E1559,E1559)=2),1,0)</f>
        <v>0</v>
      </c>
      <c r="K1559" s="29" t="n">
        <f aca="false">IF(COUNTIF($B$5:B1559,B1559)=1,1,0)</f>
        <v>0</v>
      </c>
      <c r="L1559" s="29" t="n">
        <f aca="false">IF(AND(C1559&gt;=Settings!$B$5-Settings!$B$8+1,C1559&lt;=Settings!$B$5,COUNTIFS($B$5:B1559,B1559,$C$5:C1559,"&gt;="&amp;(Settings!$B$5-Settings!$B$8+1),$C$5:C1559,"&lt;="&amp;Settings!$B$5)=1),1,0)</f>
        <v>0</v>
      </c>
      <c r="M1559" s="29" t="n">
        <f aca="false">IF(AND(C1559&gt;=Settings!$B$5-Settings!$B$9+1,C1559&lt;=Settings!$B$5,COUNTIFS($B$5:B1559,B1559,$C$5:C1559,"&gt;="&amp;(Settings!$B$5-Settings!$B$9+1),$C$5:C1559,"&lt;="&amp;Settings!$B$5)=1),1,0)</f>
        <v>0</v>
      </c>
      <c r="N1559" s="29" t="n">
        <f aca="false">IF(AND(D1559="Feature Use",COUNTIFS($B$5:B1559,B1559,$D$5:D1559,"Feature Use")=1),1,0)</f>
        <v>0</v>
      </c>
    </row>
    <row r="1560" customFormat="false" ht="15" hidden="false" customHeight="false" outlineLevel="0" collapsed="false">
      <c r="A1560" s="22" t="s">
        <v>1867</v>
      </c>
      <c r="B1560" s="22" t="s">
        <v>220</v>
      </c>
      <c r="C1560" s="31" t="n">
        <v>46309</v>
      </c>
      <c r="D1560" s="22" t="s">
        <v>300</v>
      </c>
      <c r="E1560" s="22" t="s">
        <v>319</v>
      </c>
      <c r="F1560" s="29" t="str">
        <f aca="false">IF(COUNTIF(Referral_Data!$C$5:$C$1000,B1560)&gt;0,"Referred",IF(COUNTIF(Referral_Data!$B$5:$B$1000,B1560)&gt;0,"Referrer","Organic"))</f>
        <v>Referred</v>
      </c>
      <c r="G1560" s="29" t="n">
        <f aca="false">IF(COUNTIFS($B$5:B1560,B1560,$C$5:C1560,C1560)=1,1,0)</f>
        <v>0</v>
      </c>
      <c r="H1560" s="29" t="n">
        <f aca="false">IF(AND(G1560=1,COUNTIFS($B$5:$B$1635,B1560,$C$5:$C$1635,"&lt;"&amp;C1560)&gt;0),1,0)</f>
        <v>0</v>
      </c>
      <c r="I1560" s="29" t="n">
        <f aca="false">IF(AND(D1560="Feature Use",COUNTIFS($B$5:B1560,B1560,$D$5:D1560,"Feature Use",$E$5:E1560,E1560)=1),1,0)</f>
        <v>0</v>
      </c>
      <c r="J1560" s="29" t="n">
        <f aca="false">IF(AND(D1560="Feature Use",COUNTIFS($B$5:B1560,B1560,$D$5:D1560,"Feature Use",$E$5:E1560,E1560)=2),1,0)</f>
        <v>0</v>
      </c>
      <c r="K1560" s="29" t="n">
        <f aca="false">IF(COUNTIF($B$5:B1560,B1560)=1,1,0)</f>
        <v>0</v>
      </c>
      <c r="L1560" s="29" t="n">
        <f aca="false">IF(AND(C1560&gt;=Settings!$B$5-Settings!$B$8+1,C1560&lt;=Settings!$B$5,COUNTIFS($B$5:B1560,B1560,$C$5:C1560,"&gt;="&amp;(Settings!$B$5-Settings!$B$8+1),$C$5:C1560,"&lt;="&amp;Settings!$B$5)=1),1,0)</f>
        <v>0</v>
      </c>
      <c r="M1560" s="29" t="n">
        <f aca="false">IF(AND(C1560&gt;=Settings!$B$5-Settings!$B$9+1,C1560&lt;=Settings!$B$5,COUNTIFS($B$5:B1560,B1560,$C$5:C1560,"&gt;="&amp;(Settings!$B$5-Settings!$B$9+1),$C$5:C1560,"&lt;="&amp;Settings!$B$5)=1),1,0)</f>
        <v>0</v>
      </c>
      <c r="N1560" s="29" t="n">
        <f aca="false">IF(AND(D1560="Feature Use",COUNTIFS($B$5:B1560,B1560,$D$5:D1560,"Feature Use")=1),1,0)</f>
        <v>0</v>
      </c>
    </row>
    <row r="1561" customFormat="false" ht="15" hidden="false" customHeight="false" outlineLevel="0" collapsed="false">
      <c r="A1561" s="22" t="s">
        <v>1868</v>
      </c>
      <c r="B1561" s="22" t="s">
        <v>232</v>
      </c>
      <c r="C1561" s="31" t="n">
        <v>46309</v>
      </c>
      <c r="D1561" s="22" t="s">
        <v>297</v>
      </c>
      <c r="E1561" s="22" t="s">
        <v>298</v>
      </c>
      <c r="F1561" s="29" t="str">
        <f aca="false">IF(COUNTIF(Referral_Data!$C$5:$C$1000,B1561)&gt;0,"Referred",IF(COUNTIF(Referral_Data!$B$5:$B$1000,B1561)&gt;0,"Referrer","Organic"))</f>
        <v>Referred</v>
      </c>
      <c r="G1561" s="29" t="n">
        <f aca="false">IF(COUNTIFS($B$5:B1561,B1561,$C$5:C1561,C1561)=1,1,0)</f>
        <v>1</v>
      </c>
      <c r="H1561" s="29" t="n">
        <f aca="false">IF(AND(G1561=1,COUNTIFS($B$5:$B$1635,B1561,$C$5:$C$1635,"&lt;"&amp;C1561)&gt;0),1,0)</f>
        <v>1</v>
      </c>
      <c r="I1561" s="29" t="n">
        <f aca="false">IF(AND(D1561="Feature Use",COUNTIFS($B$5:B1561,B1561,$D$5:D1561,"Feature Use",$E$5:E1561,E1561)=1),1,0)</f>
        <v>0</v>
      </c>
      <c r="J1561" s="29" t="n">
        <f aca="false">IF(AND(D1561="Feature Use",COUNTIFS($B$5:B1561,B1561,$D$5:D1561,"Feature Use",$E$5:E1561,E1561)=2),1,0)</f>
        <v>0</v>
      </c>
      <c r="K1561" s="29" t="n">
        <f aca="false">IF(COUNTIF($B$5:B1561,B1561)=1,1,0)</f>
        <v>0</v>
      </c>
      <c r="L1561" s="29" t="n">
        <f aca="false">IF(AND(C1561&gt;=Settings!$B$5-Settings!$B$8+1,C1561&lt;=Settings!$B$5,COUNTIFS($B$5:B1561,B1561,$C$5:C1561,"&gt;="&amp;(Settings!$B$5-Settings!$B$8+1),$C$5:C1561,"&lt;="&amp;Settings!$B$5)=1),1,0)</f>
        <v>0</v>
      </c>
      <c r="M1561" s="29" t="n">
        <f aca="false">IF(AND(C1561&gt;=Settings!$B$5-Settings!$B$9+1,C1561&lt;=Settings!$B$5,COUNTIFS($B$5:B1561,B1561,$C$5:C1561,"&gt;="&amp;(Settings!$B$5-Settings!$B$9+1),$C$5:C1561,"&lt;="&amp;Settings!$B$5)=1),1,0)</f>
        <v>0</v>
      </c>
      <c r="N1561" s="29" t="n">
        <f aca="false">IF(AND(D1561="Feature Use",COUNTIFS($B$5:B1561,B1561,$D$5:D1561,"Feature Use")=1),1,0)</f>
        <v>0</v>
      </c>
    </row>
    <row r="1562" customFormat="false" ht="15" hidden="false" customHeight="false" outlineLevel="0" collapsed="false">
      <c r="A1562" s="22" t="s">
        <v>1869</v>
      </c>
      <c r="B1562" s="22" t="s">
        <v>232</v>
      </c>
      <c r="C1562" s="31" t="n">
        <v>46309</v>
      </c>
      <c r="D1562" s="22" t="s">
        <v>300</v>
      </c>
      <c r="E1562" s="22" t="s">
        <v>305</v>
      </c>
      <c r="F1562" s="29" t="str">
        <f aca="false">IF(COUNTIF(Referral_Data!$C$5:$C$1000,B1562)&gt;0,"Referred",IF(COUNTIF(Referral_Data!$B$5:$B$1000,B1562)&gt;0,"Referrer","Organic"))</f>
        <v>Referred</v>
      </c>
      <c r="G1562" s="29" t="n">
        <f aca="false">IF(COUNTIFS($B$5:B1562,B1562,$C$5:C1562,C1562)=1,1,0)</f>
        <v>0</v>
      </c>
      <c r="H1562" s="29" t="n">
        <f aca="false">IF(AND(G1562=1,COUNTIFS($B$5:$B$1635,B1562,$C$5:$C$1635,"&lt;"&amp;C1562)&gt;0),1,0)</f>
        <v>0</v>
      </c>
      <c r="I1562" s="29" t="n">
        <f aca="false">IF(AND(D1562="Feature Use",COUNTIFS($B$5:B1562,B1562,$D$5:D1562,"Feature Use",$E$5:E1562,E1562)=1),1,0)</f>
        <v>0</v>
      </c>
      <c r="J1562" s="29" t="n">
        <f aca="false">IF(AND(D1562="Feature Use",COUNTIFS($B$5:B1562,B1562,$D$5:D1562,"Feature Use",$E$5:E1562,E1562)=2),1,0)</f>
        <v>1</v>
      </c>
      <c r="K1562" s="29" t="n">
        <f aca="false">IF(COUNTIF($B$5:B1562,B1562)=1,1,0)</f>
        <v>0</v>
      </c>
      <c r="L1562" s="29" t="n">
        <f aca="false">IF(AND(C1562&gt;=Settings!$B$5-Settings!$B$8+1,C1562&lt;=Settings!$B$5,COUNTIFS($B$5:B1562,B1562,$C$5:C1562,"&gt;="&amp;(Settings!$B$5-Settings!$B$8+1),$C$5:C1562,"&lt;="&amp;Settings!$B$5)=1),1,0)</f>
        <v>0</v>
      </c>
      <c r="M1562" s="29" t="n">
        <f aca="false">IF(AND(C1562&gt;=Settings!$B$5-Settings!$B$9+1,C1562&lt;=Settings!$B$5,COUNTIFS($B$5:B1562,B1562,$C$5:C1562,"&gt;="&amp;(Settings!$B$5-Settings!$B$9+1),$C$5:C1562,"&lt;="&amp;Settings!$B$5)=1),1,0)</f>
        <v>0</v>
      </c>
      <c r="N1562" s="29" t="n">
        <f aca="false">IF(AND(D1562="Feature Use",COUNTIFS($B$5:B1562,B1562,$D$5:D1562,"Feature Use")=1),1,0)</f>
        <v>0</v>
      </c>
    </row>
    <row r="1563" customFormat="false" ht="15" hidden="false" customHeight="false" outlineLevel="0" collapsed="false">
      <c r="A1563" s="22" t="s">
        <v>1870</v>
      </c>
      <c r="B1563" s="22" t="s">
        <v>232</v>
      </c>
      <c r="C1563" s="31" t="n">
        <v>46309</v>
      </c>
      <c r="D1563" s="22" t="s">
        <v>300</v>
      </c>
      <c r="E1563" s="22" t="s">
        <v>319</v>
      </c>
      <c r="F1563" s="29" t="str">
        <f aca="false">IF(COUNTIF(Referral_Data!$C$5:$C$1000,B1563)&gt;0,"Referred",IF(COUNTIF(Referral_Data!$B$5:$B$1000,B1563)&gt;0,"Referrer","Organic"))</f>
        <v>Referred</v>
      </c>
      <c r="G1563" s="29" t="n">
        <f aca="false">IF(COUNTIFS($B$5:B1563,B1563,$C$5:C1563,C1563)=1,1,0)</f>
        <v>0</v>
      </c>
      <c r="H1563" s="29" t="n">
        <f aca="false">IF(AND(G1563=1,COUNTIFS($B$5:$B$1635,B1563,$C$5:$C$1635,"&lt;"&amp;C1563)&gt;0),1,0)</f>
        <v>0</v>
      </c>
      <c r="I1563" s="29" t="n">
        <f aca="false">IF(AND(D1563="Feature Use",COUNTIFS($B$5:B1563,B1563,$D$5:D1563,"Feature Use",$E$5:E1563,E1563)=1),1,0)</f>
        <v>0</v>
      </c>
      <c r="J1563" s="29" t="n">
        <f aca="false">IF(AND(D1563="Feature Use",COUNTIFS($B$5:B1563,B1563,$D$5:D1563,"Feature Use",$E$5:E1563,E1563)=2),1,0)</f>
        <v>1</v>
      </c>
      <c r="K1563" s="29" t="n">
        <f aca="false">IF(COUNTIF($B$5:B1563,B1563)=1,1,0)</f>
        <v>0</v>
      </c>
      <c r="L1563" s="29" t="n">
        <f aca="false">IF(AND(C1563&gt;=Settings!$B$5-Settings!$B$8+1,C1563&lt;=Settings!$B$5,COUNTIFS($B$5:B1563,B1563,$C$5:C1563,"&gt;="&amp;(Settings!$B$5-Settings!$B$8+1),$C$5:C1563,"&lt;="&amp;Settings!$B$5)=1),1,0)</f>
        <v>0</v>
      </c>
      <c r="M1563" s="29" t="n">
        <f aca="false">IF(AND(C1563&gt;=Settings!$B$5-Settings!$B$9+1,C1563&lt;=Settings!$B$5,COUNTIFS($B$5:B1563,B1563,$C$5:C1563,"&gt;="&amp;(Settings!$B$5-Settings!$B$9+1),$C$5:C1563,"&lt;="&amp;Settings!$B$5)=1),1,0)</f>
        <v>0</v>
      </c>
      <c r="N1563" s="29" t="n">
        <f aca="false">IF(AND(D1563="Feature Use",COUNTIFS($B$5:B1563,B1563,$D$5:D1563,"Feature Use")=1),1,0)</f>
        <v>0</v>
      </c>
    </row>
    <row r="1564" customFormat="false" ht="15" hidden="false" customHeight="false" outlineLevel="0" collapsed="false">
      <c r="A1564" s="22" t="s">
        <v>1871</v>
      </c>
      <c r="B1564" s="22" t="s">
        <v>239</v>
      </c>
      <c r="C1564" s="31" t="n">
        <v>46309</v>
      </c>
      <c r="D1564" s="22" t="s">
        <v>297</v>
      </c>
      <c r="E1564" s="22" t="s">
        <v>298</v>
      </c>
      <c r="F1564" s="29" t="str">
        <f aca="false">IF(COUNTIF(Referral_Data!$C$5:$C$1000,B1564)&gt;0,"Referred",IF(COUNTIF(Referral_Data!$B$5:$B$1000,B1564)&gt;0,"Referrer","Organic"))</f>
        <v>Referred</v>
      </c>
      <c r="G1564" s="29" t="n">
        <f aca="false">IF(COUNTIFS($B$5:B1564,B1564,$C$5:C1564,C1564)=1,1,0)</f>
        <v>1</v>
      </c>
      <c r="H1564" s="29" t="n">
        <f aca="false">IF(AND(G1564=1,COUNTIFS($B$5:$B$1635,B1564,$C$5:$C$1635,"&lt;"&amp;C1564)&gt;0),1,0)</f>
        <v>1</v>
      </c>
      <c r="I1564" s="29" t="n">
        <f aca="false">IF(AND(D1564="Feature Use",COUNTIFS($B$5:B1564,B1564,$D$5:D1564,"Feature Use",$E$5:E1564,E1564)=1),1,0)</f>
        <v>0</v>
      </c>
      <c r="J1564" s="29" t="n">
        <f aca="false">IF(AND(D1564="Feature Use",COUNTIFS($B$5:B1564,B1564,$D$5:D1564,"Feature Use",$E$5:E1564,E1564)=2),1,0)</f>
        <v>0</v>
      </c>
      <c r="K1564" s="29" t="n">
        <f aca="false">IF(COUNTIF($B$5:B1564,B1564)=1,1,0)</f>
        <v>0</v>
      </c>
      <c r="L1564" s="29" t="n">
        <f aca="false">IF(AND(C1564&gt;=Settings!$B$5-Settings!$B$8+1,C1564&lt;=Settings!$B$5,COUNTIFS($B$5:B1564,B1564,$C$5:C1564,"&gt;="&amp;(Settings!$B$5-Settings!$B$8+1),$C$5:C1564,"&lt;="&amp;Settings!$B$5)=1),1,0)</f>
        <v>0</v>
      </c>
      <c r="M1564" s="29" t="n">
        <f aca="false">IF(AND(C1564&gt;=Settings!$B$5-Settings!$B$9+1,C1564&lt;=Settings!$B$5,COUNTIFS($B$5:B1564,B1564,$C$5:C1564,"&gt;="&amp;(Settings!$B$5-Settings!$B$9+1),$C$5:C1564,"&lt;="&amp;Settings!$B$5)=1),1,0)</f>
        <v>0</v>
      </c>
      <c r="N1564" s="29" t="n">
        <f aca="false">IF(AND(D1564="Feature Use",COUNTIFS($B$5:B1564,B1564,$D$5:D1564,"Feature Use")=1),1,0)</f>
        <v>0</v>
      </c>
    </row>
    <row r="1565" customFormat="false" ht="15" hidden="false" customHeight="false" outlineLevel="0" collapsed="false">
      <c r="A1565" s="22" t="s">
        <v>1872</v>
      </c>
      <c r="B1565" s="22" t="s">
        <v>239</v>
      </c>
      <c r="C1565" s="31" t="n">
        <v>46309</v>
      </c>
      <c r="D1565" s="22" t="s">
        <v>300</v>
      </c>
      <c r="E1565" s="22" t="s">
        <v>301</v>
      </c>
      <c r="F1565" s="29" t="str">
        <f aca="false">IF(COUNTIF(Referral_Data!$C$5:$C$1000,B1565)&gt;0,"Referred",IF(COUNTIF(Referral_Data!$B$5:$B$1000,B1565)&gt;0,"Referrer","Organic"))</f>
        <v>Referred</v>
      </c>
      <c r="G1565" s="29" t="n">
        <f aca="false">IF(COUNTIFS($B$5:B1565,B1565,$C$5:C1565,C1565)=1,1,0)</f>
        <v>0</v>
      </c>
      <c r="H1565" s="29" t="n">
        <f aca="false">IF(AND(G1565=1,COUNTIFS($B$5:$B$1635,B1565,$C$5:$C$1635,"&lt;"&amp;C1565)&gt;0),1,0)</f>
        <v>0</v>
      </c>
      <c r="I1565" s="29" t="n">
        <f aca="false">IF(AND(D1565="Feature Use",COUNTIFS($B$5:B1565,B1565,$D$5:D1565,"Feature Use",$E$5:E1565,E1565)=1),1,0)</f>
        <v>0</v>
      </c>
      <c r="J1565" s="29" t="n">
        <f aca="false">IF(AND(D1565="Feature Use",COUNTIFS($B$5:B1565,B1565,$D$5:D1565,"Feature Use",$E$5:E1565,E1565)=2),1,0)</f>
        <v>0</v>
      </c>
      <c r="K1565" s="29" t="n">
        <f aca="false">IF(COUNTIF($B$5:B1565,B1565)=1,1,0)</f>
        <v>0</v>
      </c>
      <c r="L1565" s="29" t="n">
        <f aca="false">IF(AND(C1565&gt;=Settings!$B$5-Settings!$B$8+1,C1565&lt;=Settings!$B$5,COUNTIFS($B$5:B1565,B1565,$C$5:C1565,"&gt;="&amp;(Settings!$B$5-Settings!$B$8+1),$C$5:C1565,"&lt;="&amp;Settings!$B$5)=1),1,0)</f>
        <v>0</v>
      </c>
      <c r="M1565" s="29" t="n">
        <f aca="false">IF(AND(C1565&gt;=Settings!$B$5-Settings!$B$9+1,C1565&lt;=Settings!$B$5,COUNTIFS($B$5:B1565,B1565,$C$5:C1565,"&gt;="&amp;(Settings!$B$5-Settings!$B$9+1),$C$5:C1565,"&lt;="&amp;Settings!$B$5)=1),1,0)</f>
        <v>0</v>
      </c>
      <c r="N1565" s="29" t="n">
        <f aca="false">IF(AND(D1565="Feature Use",COUNTIFS($B$5:B1565,B1565,$D$5:D1565,"Feature Use")=1),1,0)</f>
        <v>0</v>
      </c>
    </row>
    <row r="1566" customFormat="false" ht="15" hidden="false" customHeight="false" outlineLevel="0" collapsed="false">
      <c r="A1566" s="22" t="s">
        <v>1873</v>
      </c>
      <c r="B1566" s="22" t="s">
        <v>239</v>
      </c>
      <c r="C1566" s="31" t="n">
        <v>46309</v>
      </c>
      <c r="D1566" s="22" t="s">
        <v>300</v>
      </c>
      <c r="E1566" s="22" t="s">
        <v>311</v>
      </c>
      <c r="F1566" s="29" t="str">
        <f aca="false">IF(COUNTIF(Referral_Data!$C$5:$C$1000,B1566)&gt;0,"Referred",IF(COUNTIF(Referral_Data!$B$5:$B$1000,B1566)&gt;0,"Referrer","Organic"))</f>
        <v>Referred</v>
      </c>
      <c r="G1566" s="29" t="n">
        <f aca="false">IF(COUNTIFS($B$5:B1566,B1566,$C$5:C1566,C1566)=1,1,0)</f>
        <v>0</v>
      </c>
      <c r="H1566" s="29" t="n">
        <f aca="false">IF(AND(G1566=1,COUNTIFS($B$5:$B$1635,B1566,$C$5:$C$1635,"&lt;"&amp;C1566)&gt;0),1,0)</f>
        <v>0</v>
      </c>
      <c r="I1566" s="29" t="n">
        <f aca="false">IF(AND(D1566="Feature Use",COUNTIFS($B$5:B1566,B1566,$D$5:D1566,"Feature Use",$E$5:E1566,E1566)=1),1,0)</f>
        <v>0</v>
      </c>
      <c r="J1566" s="29" t="n">
        <f aca="false">IF(AND(D1566="Feature Use",COUNTIFS($B$5:B1566,B1566,$D$5:D1566,"Feature Use",$E$5:E1566,E1566)=2),1,0)</f>
        <v>1</v>
      </c>
      <c r="K1566" s="29" t="n">
        <f aca="false">IF(COUNTIF($B$5:B1566,B1566)=1,1,0)</f>
        <v>0</v>
      </c>
      <c r="L1566" s="29" t="n">
        <f aca="false">IF(AND(C1566&gt;=Settings!$B$5-Settings!$B$8+1,C1566&lt;=Settings!$B$5,COUNTIFS($B$5:B1566,B1566,$C$5:C1566,"&gt;="&amp;(Settings!$B$5-Settings!$B$8+1),$C$5:C1566,"&lt;="&amp;Settings!$B$5)=1),1,0)</f>
        <v>0</v>
      </c>
      <c r="M1566" s="29" t="n">
        <f aca="false">IF(AND(C1566&gt;=Settings!$B$5-Settings!$B$9+1,C1566&lt;=Settings!$B$5,COUNTIFS($B$5:B1566,B1566,$C$5:C1566,"&gt;="&amp;(Settings!$B$5-Settings!$B$9+1),$C$5:C1566,"&lt;="&amp;Settings!$B$5)=1),1,0)</f>
        <v>0</v>
      </c>
      <c r="N1566" s="29" t="n">
        <f aca="false">IF(AND(D1566="Feature Use",COUNTIFS($B$5:B1566,B1566,$D$5:D1566,"Feature Use")=1),1,0)</f>
        <v>0</v>
      </c>
    </row>
    <row r="1567" customFormat="false" ht="15" hidden="false" customHeight="false" outlineLevel="0" collapsed="false">
      <c r="A1567" s="22" t="s">
        <v>1874</v>
      </c>
      <c r="B1567" s="22" t="s">
        <v>263</v>
      </c>
      <c r="C1567" s="31" t="n">
        <v>46309</v>
      </c>
      <c r="D1567" s="22" t="s">
        <v>297</v>
      </c>
      <c r="E1567" s="22" t="s">
        <v>298</v>
      </c>
      <c r="F1567" s="29" t="str">
        <f aca="false">IF(COUNTIF(Referral_Data!$C$5:$C$1000,B1567)&gt;0,"Referred",IF(COUNTIF(Referral_Data!$B$5:$B$1000,B1567)&gt;0,"Referrer","Organic"))</f>
        <v>Referred</v>
      </c>
      <c r="G1567" s="29" t="n">
        <f aca="false">IF(COUNTIFS($B$5:B1567,B1567,$C$5:C1567,C1567)=1,1,0)</f>
        <v>1</v>
      </c>
      <c r="H1567" s="29" t="n">
        <f aca="false">IF(AND(G1567=1,COUNTIFS($B$5:$B$1635,B1567,$C$5:$C$1635,"&lt;"&amp;C1567)&gt;0),1,0)</f>
        <v>1</v>
      </c>
      <c r="I1567" s="29" t="n">
        <f aca="false">IF(AND(D1567="Feature Use",COUNTIFS($B$5:B1567,B1567,$D$5:D1567,"Feature Use",$E$5:E1567,E1567)=1),1,0)</f>
        <v>0</v>
      </c>
      <c r="J1567" s="29" t="n">
        <f aca="false">IF(AND(D1567="Feature Use",COUNTIFS($B$5:B1567,B1567,$D$5:D1567,"Feature Use",$E$5:E1567,E1567)=2),1,0)</f>
        <v>0</v>
      </c>
      <c r="K1567" s="29" t="n">
        <f aca="false">IF(COUNTIF($B$5:B1567,B1567)=1,1,0)</f>
        <v>0</v>
      </c>
      <c r="L1567" s="29" t="n">
        <f aca="false">IF(AND(C1567&gt;=Settings!$B$5-Settings!$B$8+1,C1567&lt;=Settings!$B$5,COUNTIFS($B$5:B1567,B1567,$C$5:C1567,"&gt;="&amp;(Settings!$B$5-Settings!$B$8+1),$C$5:C1567,"&lt;="&amp;Settings!$B$5)=1),1,0)</f>
        <v>0</v>
      </c>
      <c r="M1567" s="29" t="n">
        <f aca="false">IF(AND(C1567&gt;=Settings!$B$5-Settings!$B$9+1,C1567&lt;=Settings!$B$5,COUNTIFS($B$5:B1567,B1567,$C$5:C1567,"&gt;="&amp;(Settings!$B$5-Settings!$B$9+1),$C$5:C1567,"&lt;="&amp;Settings!$B$5)=1),1,0)</f>
        <v>0</v>
      </c>
      <c r="N1567" s="29" t="n">
        <f aca="false">IF(AND(D1567="Feature Use",COUNTIFS($B$5:B1567,B1567,$D$5:D1567,"Feature Use")=1),1,0)</f>
        <v>0</v>
      </c>
    </row>
    <row r="1568" customFormat="false" ht="15" hidden="false" customHeight="false" outlineLevel="0" collapsed="false">
      <c r="A1568" s="22" t="s">
        <v>1875</v>
      </c>
      <c r="B1568" s="22" t="s">
        <v>263</v>
      </c>
      <c r="C1568" s="31" t="n">
        <v>46309</v>
      </c>
      <c r="D1568" s="22" t="s">
        <v>300</v>
      </c>
      <c r="E1568" s="22" t="s">
        <v>311</v>
      </c>
      <c r="F1568" s="29" t="str">
        <f aca="false">IF(COUNTIF(Referral_Data!$C$5:$C$1000,B1568)&gt;0,"Referred",IF(COUNTIF(Referral_Data!$B$5:$B$1000,B1568)&gt;0,"Referrer","Organic"))</f>
        <v>Referred</v>
      </c>
      <c r="G1568" s="29" t="n">
        <f aca="false">IF(COUNTIFS($B$5:B1568,B1568,$C$5:C1568,C1568)=1,1,0)</f>
        <v>0</v>
      </c>
      <c r="H1568" s="29" t="n">
        <f aca="false">IF(AND(G1568=1,COUNTIFS($B$5:$B$1635,B1568,$C$5:$C$1635,"&lt;"&amp;C1568)&gt;0),1,0)</f>
        <v>0</v>
      </c>
      <c r="I1568" s="29" t="n">
        <f aca="false">IF(AND(D1568="Feature Use",COUNTIFS($B$5:B1568,B1568,$D$5:D1568,"Feature Use",$E$5:E1568,E1568)=1),1,0)</f>
        <v>0</v>
      </c>
      <c r="J1568" s="29" t="n">
        <f aca="false">IF(AND(D1568="Feature Use",COUNTIFS($B$5:B1568,B1568,$D$5:D1568,"Feature Use",$E$5:E1568,E1568)=2),1,0)</f>
        <v>0</v>
      </c>
      <c r="K1568" s="29" t="n">
        <f aca="false">IF(COUNTIF($B$5:B1568,B1568)=1,1,0)</f>
        <v>0</v>
      </c>
      <c r="L1568" s="29" t="n">
        <f aca="false">IF(AND(C1568&gt;=Settings!$B$5-Settings!$B$8+1,C1568&lt;=Settings!$B$5,COUNTIFS($B$5:B1568,B1568,$C$5:C1568,"&gt;="&amp;(Settings!$B$5-Settings!$B$8+1),$C$5:C1568,"&lt;="&amp;Settings!$B$5)=1),1,0)</f>
        <v>0</v>
      </c>
      <c r="M1568" s="29" t="n">
        <f aca="false">IF(AND(C1568&gt;=Settings!$B$5-Settings!$B$9+1,C1568&lt;=Settings!$B$5,COUNTIFS($B$5:B1568,B1568,$C$5:C1568,"&gt;="&amp;(Settings!$B$5-Settings!$B$9+1),$C$5:C1568,"&lt;="&amp;Settings!$B$5)=1),1,0)</f>
        <v>0</v>
      </c>
      <c r="N1568" s="29" t="n">
        <f aca="false">IF(AND(D1568="Feature Use",COUNTIFS($B$5:B1568,B1568,$D$5:D1568,"Feature Use")=1),1,0)</f>
        <v>0</v>
      </c>
    </row>
    <row r="1569" customFormat="false" ht="15" hidden="false" customHeight="false" outlineLevel="0" collapsed="false">
      <c r="A1569" s="22" t="s">
        <v>1876</v>
      </c>
      <c r="B1569" s="22" t="s">
        <v>276</v>
      </c>
      <c r="C1569" s="31" t="n">
        <v>46309</v>
      </c>
      <c r="D1569" s="22" t="s">
        <v>297</v>
      </c>
      <c r="E1569" s="22" t="s">
        <v>298</v>
      </c>
      <c r="F1569" s="29" t="str">
        <f aca="false">IF(COUNTIF(Referral_Data!$C$5:$C$1000,B1569)&gt;0,"Referred",IF(COUNTIF(Referral_Data!$B$5:$B$1000,B1569)&gt;0,"Referrer","Organic"))</f>
        <v>Referred</v>
      </c>
      <c r="G1569" s="29" t="n">
        <f aca="false">IF(COUNTIFS($B$5:B1569,B1569,$C$5:C1569,C1569)=1,1,0)</f>
        <v>1</v>
      </c>
      <c r="H1569" s="29" t="n">
        <f aca="false">IF(AND(G1569=1,COUNTIFS($B$5:$B$1635,B1569,$C$5:$C$1635,"&lt;"&amp;C1569)&gt;0),1,0)</f>
        <v>0</v>
      </c>
      <c r="I1569" s="29" t="n">
        <f aca="false">IF(AND(D1569="Feature Use",COUNTIFS($B$5:B1569,B1569,$D$5:D1569,"Feature Use",$E$5:E1569,E1569)=1),1,0)</f>
        <v>0</v>
      </c>
      <c r="J1569" s="29" t="n">
        <f aca="false">IF(AND(D1569="Feature Use",COUNTIFS($B$5:B1569,B1569,$D$5:D1569,"Feature Use",$E$5:E1569,E1569)=2),1,0)</f>
        <v>0</v>
      </c>
      <c r="K1569" s="29" t="n">
        <f aca="false">IF(COUNTIF($B$5:B1569,B1569)=1,1,0)</f>
        <v>1</v>
      </c>
      <c r="L1569" s="29" t="n">
        <f aca="false">IF(AND(C1569&gt;=Settings!$B$5-Settings!$B$8+1,C1569&lt;=Settings!$B$5,COUNTIFS($B$5:B1569,B1569,$C$5:C1569,"&gt;="&amp;(Settings!$B$5-Settings!$B$8+1),$C$5:C1569,"&lt;="&amp;Settings!$B$5)=1),1,0)</f>
        <v>1</v>
      </c>
      <c r="M1569" s="29" t="n">
        <f aca="false">IF(AND(C1569&gt;=Settings!$B$5-Settings!$B$9+1,C1569&lt;=Settings!$B$5,COUNTIFS($B$5:B1569,B1569,$C$5:C1569,"&gt;="&amp;(Settings!$B$5-Settings!$B$9+1),$C$5:C1569,"&lt;="&amp;Settings!$B$5)=1),1,0)</f>
        <v>1</v>
      </c>
      <c r="N1569" s="29" t="n">
        <f aca="false">IF(AND(D1569="Feature Use",COUNTIFS($B$5:B1569,B1569,$D$5:D1569,"Feature Use")=1),1,0)</f>
        <v>0</v>
      </c>
    </row>
    <row r="1570" customFormat="false" ht="15" hidden="false" customHeight="false" outlineLevel="0" collapsed="false">
      <c r="A1570" s="22" t="s">
        <v>1877</v>
      </c>
      <c r="B1570" s="22" t="s">
        <v>276</v>
      </c>
      <c r="C1570" s="31" t="n">
        <v>46309</v>
      </c>
      <c r="D1570" s="22" t="s">
        <v>300</v>
      </c>
      <c r="E1570" s="22" t="s">
        <v>301</v>
      </c>
      <c r="F1570" s="29" t="str">
        <f aca="false">IF(COUNTIF(Referral_Data!$C$5:$C$1000,B1570)&gt;0,"Referred",IF(COUNTIF(Referral_Data!$B$5:$B$1000,B1570)&gt;0,"Referrer","Organic"))</f>
        <v>Referred</v>
      </c>
      <c r="G1570" s="29" t="n">
        <f aca="false">IF(COUNTIFS($B$5:B1570,B1570,$C$5:C1570,C1570)=1,1,0)</f>
        <v>0</v>
      </c>
      <c r="H1570" s="29" t="n">
        <f aca="false">IF(AND(G1570=1,COUNTIFS($B$5:$B$1635,B1570,$C$5:$C$1635,"&lt;"&amp;C1570)&gt;0),1,0)</f>
        <v>0</v>
      </c>
      <c r="I1570" s="29" t="n">
        <f aca="false">IF(AND(D1570="Feature Use",COUNTIFS($B$5:B1570,B1570,$D$5:D1570,"Feature Use",$E$5:E1570,E1570)=1),1,0)</f>
        <v>1</v>
      </c>
      <c r="J1570" s="29" t="n">
        <f aca="false">IF(AND(D1570="Feature Use",COUNTIFS($B$5:B1570,B1570,$D$5:D1570,"Feature Use",$E$5:E1570,E1570)=2),1,0)</f>
        <v>0</v>
      </c>
      <c r="K1570" s="29" t="n">
        <f aca="false">IF(COUNTIF($B$5:B1570,B1570)=1,1,0)</f>
        <v>0</v>
      </c>
      <c r="L1570" s="29" t="n">
        <f aca="false">IF(AND(C1570&gt;=Settings!$B$5-Settings!$B$8+1,C1570&lt;=Settings!$B$5,COUNTIFS($B$5:B1570,B1570,$C$5:C1570,"&gt;="&amp;(Settings!$B$5-Settings!$B$8+1),$C$5:C1570,"&lt;="&amp;Settings!$B$5)=1),1,0)</f>
        <v>0</v>
      </c>
      <c r="M1570" s="29" t="n">
        <f aca="false">IF(AND(C1570&gt;=Settings!$B$5-Settings!$B$9+1,C1570&lt;=Settings!$B$5,COUNTIFS($B$5:B1570,B1570,$C$5:C1570,"&gt;="&amp;(Settings!$B$5-Settings!$B$9+1),$C$5:C1570,"&lt;="&amp;Settings!$B$5)=1),1,0)</f>
        <v>0</v>
      </c>
      <c r="N1570" s="29" t="n">
        <f aca="false">IF(AND(D1570="Feature Use",COUNTIFS($B$5:B1570,B1570,$D$5:D1570,"Feature Use")=1),1,0)</f>
        <v>1</v>
      </c>
    </row>
    <row r="1571" customFormat="false" ht="15" hidden="false" customHeight="false" outlineLevel="0" collapsed="false">
      <c r="A1571" s="22" t="s">
        <v>1878</v>
      </c>
      <c r="B1571" s="22" t="s">
        <v>276</v>
      </c>
      <c r="C1571" s="31" t="n">
        <v>46309</v>
      </c>
      <c r="D1571" s="22" t="s">
        <v>300</v>
      </c>
      <c r="E1571" s="22" t="s">
        <v>305</v>
      </c>
      <c r="F1571" s="29" t="str">
        <f aca="false">IF(COUNTIF(Referral_Data!$C$5:$C$1000,B1571)&gt;0,"Referred",IF(COUNTIF(Referral_Data!$B$5:$B$1000,B1571)&gt;0,"Referrer","Organic"))</f>
        <v>Referred</v>
      </c>
      <c r="G1571" s="29" t="n">
        <f aca="false">IF(COUNTIFS($B$5:B1571,B1571,$C$5:C1571,C1571)=1,1,0)</f>
        <v>0</v>
      </c>
      <c r="H1571" s="29" t="n">
        <f aca="false">IF(AND(G1571=1,COUNTIFS($B$5:$B$1635,B1571,$C$5:$C$1635,"&lt;"&amp;C1571)&gt;0),1,0)</f>
        <v>0</v>
      </c>
      <c r="I1571" s="29" t="n">
        <f aca="false">IF(AND(D1571="Feature Use",COUNTIFS($B$5:B1571,B1571,$D$5:D1571,"Feature Use",$E$5:E1571,E1571)=1),1,0)</f>
        <v>1</v>
      </c>
      <c r="J1571" s="29" t="n">
        <f aca="false">IF(AND(D1571="Feature Use",COUNTIFS($B$5:B1571,B1571,$D$5:D1571,"Feature Use",$E$5:E1571,E1571)=2),1,0)</f>
        <v>0</v>
      </c>
      <c r="K1571" s="29" t="n">
        <f aca="false">IF(COUNTIF($B$5:B1571,B1571)=1,1,0)</f>
        <v>0</v>
      </c>
      <c r="L1571" s="29" t="n">
        <f aca="false">IF(AND(C1571&gt;=Settings!$B$5-Settings!$B$8+1,C1571&lt;=Settings!$B$5,COUNTIFS($B$5:B1571,B1571,$C$5:C1571,"&gt;="&amp;(Settings!$B$5-Settings!$B$8+1),$C$5:C1571,"&lt;="&amp;Settings!$B$5)=1),1,0)</f>
        <v>0</v>
      </c>
      <c r="M1571" s="29" t="n">
        <f aca="false">IF(AND(C1571&gt;=Settings!$B$5-Settings!$B$9+1,C1571&lt;=Settings!$B$5,COUNTIFS($B$5:B1571,B1571,$C$5:C1571,"&gt;="&amp;(Settings!$B$5-Settings!$B$9+1),$C$5:C1571,"&lt;="&amp;Settings!$B$5)=1),1,0)</f>
        <v>0</v>
      </c>
      <c r="N1571" s="29" t="n">
        <f aca="false">IF(AND(D1571="Feature Use",COUNTIFS($B$5:B1571,B1571,$D$5:D1571,"Feature Use")=1),1,0)</f>
        <v>0</v>
      </c>
    </row>
    <row r="1572" customFormat="false" ht="15" hidden="false" customHeight="false" outlineLevel="0" collapsed="false">
      <c r="A1572" s="22" t="s">
        <v>1879</v>
      </c>
      <c r="B1572" s="22" t="s">
        <v>167</v>
      </c>
      <c r="C1572" s="31" t="n">
        <v>46309</v>
      </c>
      <c r="D1572" s="22" t="s">
        <v>297</v>
      </c>
      <c r="E1572" s="22" t="s">
        <v>298</v>
      </c>
      <c r="F1572" s="29" t="str">
        <f aca="false">IF(COUNTIF(Referral_Data!$C$5:$C$1000,B1572)&gt;0,"Referred",IF(COUNTIF(Referral_Data!$B$5:$B$1000,B1572)&gt;0,"Referrer","Organic"))</f>
        <v>Referrer</v>
      </c>
      <c r="G1572" s="29" t="n">
        <f aca="false">IF(COUNTIFS($B$5:B1572,B1572,$C$5:C1572,C1572)=1,1,0)</f>
        <v>1</v>
      </c>
      <c r="H1572" s="29" t="n">
        <f aca="false">IF(AND(G1572=1,COUNTIFS($B$5:$B$1635,B1572,$C$5:$C$1635,"&lt;"&amp;C1572)&gt;0),1,0)</f>
        <v>1</v>
      </c>
      <c r="I1572" s="29" t="n">
        <f aca="false">IF(AND(D1572="Feature Use",COUNTIFS($B$5:B1572,B1572,$D$5:D1572,"Feature Use",$E$5:E1572,E1572)=1),1,0)</f>
        <v>0</v>
      </c>
      <c r="J1572" s="29" t="n">
        <f aca="false">IF(AND(D1572="Feature Use",COUNTIFS($B$5:B1572,B1572,$D$5:D1572,"Feature Use",$E$5:E1572,E1572)=2),1,0)</f>
        <v>0</v>
      </c>
      <c r="K1572" s="29" t="n">
        <f aca="false">IF(COUNTIF($B$5:B1572,B1572)=1,1,0)</f>
        <v>0</v>
      </c>
      <c r="L1572" s="29" t="n">
        <f aca="false">IF(AND(C1572&gt;=Settings!$B$5-Settings!$B$8+1,C1572&lt;=Settings!$B$5,COUNTIFS($B$5:B1572,B1572,$C$5:C1572,"&gt;="&amp;(Settings!$B$5-Settings!$B$8+1),$C$5:C1572,"&lt;="&amp;Settings!$B$5)=1),1,0)</f>
        <v>0</v>
      </c>
      <c r="M1572" s="29" t="n">
        <f aca="false">IF(AND(C1572&gt;=Settings!$B$5-Settings!$B$9+1,C1572&lt;=Settings!$B$5,COUNTIFS($B$5:B1572,B1572,$C$5:C1572,"&gt;="&amp;(Settings!$B$5-Settings!$B$9+1),$C$5:C1572,"&lt;="&amp;Settings!$B$5)=1),1,0)</f>
        <v>0</v>
      </c>
      <c r="N1572" s="29" t="n">
        <f aca="false">IF(AND(D1572="Feature Use",COUNTIFS($B$5:B1572,B1572,$D$5:D1572,"Feature Use")=1),1,0)</f>
        <v>0</v>
      </c>
    </row>
    <row r="1573" customFormat="false" ht="15" hidden="false" customHeight="false" outlineLevel="0" collapsed="false">
      <c r="A1573" s="22" t="s">
        <v>1880</v>
      </c>
      <c r="B1573" s="22" t="s">
        <v>167</v>
      </c>
      <c r="C1573" s="31" t="n">
        <v>46309</v>
      </c>
      <c r="D1573" s="22" t="s">
        <v>300</v>
      </c>
      <c r="E1573" s="22" t="s">
        <v>311</v>
      </c>
      <c r="F1573" s="29" t="str">
        <f aca="false">IF(COUNTIF(Referral_Data!$C$5:$C$1000,B1573)&gt;0,"Referred",IF(COUNTIF(Referral_Data!$B$5:$B$1000,B1573)&gt;0,"Referrer","Organic"))</f>
        <v>Referrer</v>
      </c>
      <c r="G1573" s="29" t="n">
        <f aca="false">IF(COUNTIFS($B$5:B1573,B1573,$C$5:C1573,C1573)=1,1,0)</f>
        <v>0</v>
      </c>
      <c r="H1573" s="29" t="n">
        <f aca="false">IF(AND(G1573=1,COUNTIFS($B$5:$B$1635,B1573,$C$5:$C$1635,"&lt;"&amp;C1573)&gt;0),1,0)</f>
        <v>0</v>
      </c>
      <c r="I1573" s="29" t="n">
        <f aca="false">IF(AND(D1573="Feature Use",COUNTIFS($B$5:B1573,B1573,$D$5:D1573,"Feature Use",$E$5:E1573,E1573)=1),1,0)</f>
        <v>0</v>
      </c>
      <c r="J1573" s="29" t="n">
        <f aca="false">IF(AND(D1573="Feature Use",COUNTIFS($B$5:B1573,B1573,$D$5:D1573,"Feature Use",$E$5:E1573,E1573)=2),1,0)</f>
        <v>0</v>
      </c>
      <c r="K1573" s="29" t="n">
        <f aca="false">IF(COUNTIF($B$5:B1573,B1573)=1,1,0)</f>
        <v>0</v>
      </c>
      <c r="L1573" s="29" t="n">
        <f aca="false">IF(AND(C1573&gt;=Settings!$B$5-Settings!$B$8+1,C1573&lt;=Settings!$B$5,COUNTIFS($B$5:B1573,B1573,$C$5:C1573,"&gt;="&amp;(Settings!$B$5-Settings!$B$8+1),$C$5:C1573,"&lt;="&amp;Settings!$B$5)=1),1,0)</f>
        <v>0</v>
      </c>
      <c r="M1573" s="29" t="n">
        <f aca="false">IF(AND(C1573&gt;=Settings!$B$5-Settings!$B$9+1,C1573&lt;=Settings!$B$5,COUNTIFS($B$5:B1573,B1573,$C$5:C1573,"&gt;="&amp;(Settings!$B$5-Settings!$B$9+1),$C$5:C1573,"&lt;="&amp;Settings!$B$5)=1),1,0)</f>
        <v>0</v>
      </c>
      <c r="N1573" s="29" t="n">
        <f aca="false">IF(AND(D1573="Feature Use",COUNTIFS($B$5:B1573,B1573,$D$5:D1573,"Feature Use")=1),1,0)</f>
        <v>0</v>
      </c>
    </row>
    <row r="1574" customFormat="false" ht="15" hidden="false" customHeight="false" outlineLevel="0" collapsed="false">
      <c r="A1574" s="22" t="s">
        <v>1881</v>
      </c>
      <c r="B1574" s="22" t="s">
        <v>167</v>
      </c>
      <c r="C1574" s="31" t="n">
        <v>46309</v>
      </c>
      <c r="D1574" s="22" t="s">
        <v>300</v>
      </c>
      <c r="E1574" s="22" t="s">
        <v>319</v>
      </c>
      <c r="F1574" s="29" t="str">
        <f aca="false">IF(COUNTIF(Referral_Data!$C$5:$C$1000,B1574)&gt;0,"Referred",IF(COUNTIF(Referral_Data!$B$5:$B$1000,B1574)&gt;0,"Referrer","Organic"))</f>
        <v>Referrer</v>
      </c>
      <c r="G1574" s="29" t="n">
        <f aca="false">IF(COUNTIFS($B$5:B1574,B1574,$C$5:C1574,C1574)=1,1,0)</f>
        <v>0</v>
      </c>
      <c r="H1574" s="29" t="n">
        <f aca="false">IF(AND(G1574=1,COUNTIFS($B$5:$B$1635,B1574,$C$5:$C$1635,"&lt;"&amp;C1574)&gt;0),1,0)</f>
        <v>0</v>
      </c>
      <c r="I1574" s="29" t="n">
        <f aca="false">IF(AND(D1574="Feature Use",COUNTIFS($B$5:B1574,B1574,$D$5:D1574,"Feature Use",$E$5:E1574,E1574)=1),1,0)</f>
        <v>0</v>
      </c>
      <c r="J1574" s="29" t="n">
        <f aca="false">IF(AND(D1574="Feature Use",COUNTIFS($B$5:B1574,B1574,$D$5:D1574,"Feature Use",$E$5:E1574,E1574)=2),1,0)</f>
        <v>0</v>
      </c>
      <c r="K1574" s="29" t="n">
        <f aca="false">IF(COUNTIF($B$5:B1574,B1574)=1,1,0)</f>
        <v>0</v>
      </c>
      <c r="L1574" s="29" t="n">
        <f aca="false">IF(AND(C1574&gt;=Settings!$B$5-Settings!$B$8+1,C1574&lt;=Settings!$B$5,COUNTIFS($B$5:B1574,B1574,$C$5:C1574,"&gt;="&amp;(Settings!$B$5-Settings!$B$8+1),$C$5:C1574,"&lt;="&amp;Settings!$B$5)=1),1,0)</f>
        <v>0</v>
      </c>
      <c r="M1574" s="29" t="n">
        <f aca="false">IF(AND(C1574&gt;=Settings!$B$5-Settings!$B$9+1,C1574&lt;=Settings!$B$5,COUNTIFS($B$5:B1574,B1574,$C$5:C1574,"&gt;="&amp;(Settings!$B$5-Settings!$B$9+1),$C$5:C1574,"&lt;="&amp;Settings!$B$5)=1),1,0)</f>
        <v>0</v>
      </c>
      <c r="N1574" s="29" t="n">
        <f aca="false">IF(AND(D1574="Feature Use",COUNTIFS($B$5:B1574,B1574,$D$5:D1574,"Feature Use")=1),1,0)</f>
        <v>0</v>
      </c>
    </row>
    <row r="1575" customFormat="false" ht="15" hidden="false" customHeight="false" outlineLevel="0" collapsed="false">
      <c r="A1575" s="22" t="s">
        <v>1882</v>
      </c>
      <c r="B1575" s="22" t="s">
        <v>203</v>
      </c>
      <c r="C1575" s="31" t="n">
        <v>46309</v>
      </c>
      <c r="D1575" s="22" t="s">
        <v>297</v>
      </c>
      <c r="E1575" s="22" t="s">
        <v>298</v>
      </c>
      <c r="F1575" s="29" t="str">
        <f aca="false">IF(COUNTIF(Referral_Data!$C$5:$C$1000,B1575)&gt;0,"Referred",IF(COUNTIF(Referral_Data!$B$5:$B$1000,B1575)&gt;0,"Referrer","Organic"))</f>
        <v>Referrer</v>
      </c>
      <c r="G1575" s="29" t="n">
        <f aca="false">IF(COUNTIFS($B$5:B1575,B1575,$C$5:C1575,C1575)=1,1,0)</f>
        <v>1</v>
      </c>
      <c r="H1575" s="29" t="n">
        <f aca="false">IF(AND(G1575=1,COUNTIFS($B$5:$B$1635,B1575,$C$5:$C$1635,"&lt;"&amp;C1575)&gt;0),1,0)</f>
        <v>1</v>
      </c>
      <c r="I1575" s="29" t="n">
        <f aca="false">IF(AND(D1575="Feature Use",COUNTIFS($B$5:B1575,B1575,$D$5:D1575,"Feature Use",$E$5:E1575,E1575)=1),1,0)</f>
        <v>0</v>
      </c>
      <c r="J1575" s="29" t="n">
        <f aca="false">IF(AND(D1575="Feature Use",COUNTIFS($B$5:B1575,B1575,$D$5:D1575,"Feature Use",$E$5:E1575,E1575)=2),1,0)</f>
        <v>0</v>
      </c>
      <c r="K1575" s="29" t="n">
        <f aca="false">IF(COUNTIF($B$5:B1575,B1575)=1,1,0)</f>
        <v>0</v>
      </c>
      <c r="L1575" s="29" t="n">
        <f aca="false">IF(AND(C1575&gt;=Settings!$B$5-Settings!$B$8+1,C1575&lt;=Settings!$B$5,COUNTIFS($B$5:B1575,B1575,$C$5:C1575,"&gt;="&amp;(Settings!$B$5-Settings!$B$8+1),$C$5:C1575,"&lt;="&amp;Settings!$B$5)=1),1,0)</f>
        <v>0</v>
      </c>
      <c r="M1575" s="29" t="n">
        <f aca="false">IF(AND(C1575&gt;=Settings!$B$5-Settings!$B$9+1,C1575&lt;=Settings!$B$5,COUNTIFS($B$5:B1575,B1575,$C$5:C1575,"&gt;="&amp;(Settings!$B$5-Settings!$B$9+1),$C$5:C1575,"&lt;="&amp;Settings!$B$5)=1),1,0)</f>
        <v>0</v>
      </c>
      <c r="N1575" s="29" t="n">
        <f aca="false">IF(AND(D1575="Feature Use",COUNTIFS($B$5:B1575,B1575,$D$5:D1575,"Feature Use")=1),1,0)</f>
        <v>0</v>
      </c>
    </row>
    <row r="1576" customFormat="false" ht="15" hidden="false" customHeight="false" outlineLevel="0" collapsed="false">
      <c r="A1576" s="22" t="s">
        <v>1883</v>
      </c>
      <c r="B1576" s="22" t="s">
        <v>203</v>
      </c>
      <c r="C1576" s="31" t="n">
        <v>46309</v>
      </c>
      <c r="D1576" s="22" t="s">
        <v>300</v>
      </c>
      <c r="E1576" s="22" t="s">
        <v>305</v>
      </c>
      <c r="F1576" s="29" t="str">
        <f aca="false">IF(COUNTIF(Referral_Data!$C$5:$C$1000,B1576)&gt;0,"Referred",IF(COUNTIF(Referral_Data!$B$5:$B$1000,B1576)&gt;0,"Referrer","Organic"))</f>
        <v>Referrer</v>
      </c>
      <c r="G1576" s="29" t="n">
        <f aca="false">IF(COUNTIFS($B$5:B1576,B1576,$C$5:C1576,C1576)=1,1,0)</f>
        <v>0</v>
      </c>
      <c r="H1576" s="29" t="n">
        <f aca="false">IF(AND(G1576=1,COUNTIFS($B$5:$B$1635,B1576,$C$5:$C$1635,"&lt;"&amp;C1576)&gt;0),1,0)</f>
        <v>0</v>
      </c>
      <c r="I1576" s="29" t="n">
        <f aca="false">IF(AND(D1576="Feature Use",COUNTIFS($B$5:B1576,B1576,$D$5:D1576,"Feature Use",$E$5:E1576,E1576)=1),1,0)</f>
        <v>0</v>
      </c>
      <c r="J1576" s="29" t="n">
        <f aca="false">IF(AND(D1576="Feature Use",COUNTIFS($B$5:B1576,B1576,$D$5:D1576,"Feature Use",$E$5:E1576,E1576)=2),1,0)</f>
        <v>0</v>
      </c>
      <c r="K1576" s="29" t="n">
        <f aca="false">IF(COUNTIF($B$5:B1576,B1576)=1,1,0)</f>
        <v>0</v>
      </c>
      <c r="L1576" s="29" t="n">
        <f aca="false">IF(AND(C1576&gt;=Settings!$B$5-Settings!$B$8+1,C1576&lt;=Settings!$B$5,COUNTIFS($B$5:B1576,B1576,$C$5:C1576,"&gt;="&amp;(Settings!$B$5-Settings!$B$8+1),$C$5:C1576,"&lt;="&amp;Settings!$B$5)=1),1,0)</f>
        <v>0</v>
      </c>
      <c r="M1576" s="29" t="n">
        <f aca="false">IF(AND(C1576&gt;=Settings!$B$5-Settings!$B$9+1,C1576&lt;=Settings!$B$5,COUNTIFS($B$5:B1576,B1576,$C$5:C1576,"&gt;="&amp;(Settings!$B$5-Settings!$B$9+1),$C$5:C1576,"&lt;="&amp;Settings!$B$5)=1),1,0)</f>
        <v>0</v>
      </c>
      <c r="N1576" s="29" t="n">
        <f aca="false">IF(AND(D1576="Feature Use",COUNTIFS($B$5:B1576,B1576,$D$5:D1576,"Feature Use")=1),1,0)</f>
        <v>0</v>
      </c>
    </row>
    <row r="1577" customFormat="false" ht="15" hidden="false" customHeight="false" outlineLevel="0" collapsed="false">
      <c r="A1577" s="22" t="s">
        <v>1884</v>
      </c>
      <c r="B1577" s="22" t="s">
        <v>203</v>
      </c>
      <c r="C1577" s="31" t="n">
        <v>46309</v>
      </c>
      <c r="D1577" s="22" t="s">
        <v>300</v>
      </c>
      <c r="E1577" s="22" t="s">
        <v>309</v>
      </c>
      <c r="F1577" s="29" t="str">
        <f aca="false">IF(COUNTIF(Referral_Data!$C$5:$C$1000,B1577)&gt;0,"Referred",IF(COUNTIF(Referral_Data!$B$5:$B$1000,B1577)&gt;0,"Referrer","Organic"))</f>
        <v>Referrer</v>
      </c>
      <c r="G1577" s="29" t="n">
        <f aca="false">IF(COUNTIFS($B$5:B1577,B1577,$C$5:C1577,C1577)=1,1,0)</f>
        <v>0</v>
      </c>
      <c r="H1577" s="29" t="n">
        <f aca="false">IF(AND(G1577=1,COUNTIFS($B$5:$B$1635,B1577,$C$5:$C$1635,"&lt;"&amp;C1577)&gt;0),1,0)</f>
        <v>0</v>
      </c>
      <c r="I1577" s="29" t="n">
        <f aca="false">IF(AND(D1577="Feature Use",COUNTIFS($B$5:B1577,B1577,$D$5:D1577,"Feature Use",$E$5:E1577,E1577)=1),1,0)</f>
        <v>0</v>
      </c>
      <c r="J1577" s="29" t="n">
        <f aca="false">IF(AND(D1577="Feature Use",COUNTIFS($B$5:B1577,B1577,$D$5:D1577,"Feature Use",$E$5:E1577,E1577)=2),1,0)</f>
        <v>0</v>
      </c>
      <c r="K1577" s="29" t="n">
        <f aca="false">IF(COUNTIF($B$5:B1577,B1577)=1,1,0)</f>
        <v>0</v>
      </c>
      <c r="L1577" s="29" t="n">
        <f aca="false">IF(AND(C1577&gt;=Settings!$B$5-Settings!$B$8+1,C1577&lt;=Settings!$B$5,COUNTIFS($B$5:B1577,B1577,$C$5:C1577,"&gt;="&amp;(Settings!$B$5-Settings!$B$8+1),$C$5:C1577,"&lt;="&amp;Settings!$B$5)=1),1,0)</f>
        <v>0</v>
      </c>
      <c r="M1577" s="29" t="n">
        <f aca="false">IF(AND(C1577&gt;=Settings!$B$5-Settings!$B$9+1,C1577&lt;=Settings!$B$5,COUNTIFS($B$5:B1577,B1577,$C$5:C1577,"&gt;="&amp;(Settings!$B$5-Settings!$B$9+1),$C$5:C1577,"&lt;="&amp;Settings!$B$5)=1),1,0)</f>
        <v>0</v>
      </c>
      <c r="N1577" s="29" t="n">
        <f aca="false">IF(AND(D1577="Feature Use",COUNTIFS($B$5:B1577,B1577,$D$5:D1577,"Feature Use")=1),1,0)</f>
        <v>0</v>
      </c>
    </row>
    <row r="1578" customFormat="false" ht="15" hidden="false" customHeight="false" outlineLevel="0" collapsed="false">
      <c r="A1578" s="22" t="s">
        <v>1885</v>
      </c>
      <c r="B1578" s="22" t="s">
        <v>175</v>
      </c>
      <c r="C1578" s="31" t="n">
        <v>46309</v>
      </c>
      <c r="D1578" s="22" t="s">
        <v>297</v>
      </c>
      <c r="E1578" s="22" t="s">
        <v>298</v>
      </c>
      <c r="F1578" s="29" t="str">
        <f aca="false">IF(COUNTIF(Referral_Data!$C$5:$C$1000,B1578)&gt;0,"Referred",IF(COUNTIF(Referral_Data!$B$5:$B$1000,B1578)&gt;0,"Referrer","Organic"))</f>
        <v>Referrer</v>
      </c>
      <c r="G1578" s="29" t="n">
        <f aca="false">IF(COUNTIFS($B$5:B1578,B1578,$C$5:C1578,C1578)=1,1,0)</f>
        <v>1</v>
      </c>
      <c r="H1578" s="29" t="n">
        <f aca="false">IF(AND(G1578=1,COUNTIFS($B$5:$B$1635,B1578,$C$5:$C$1635,"&lt;"&amp;C1578)&gt;0),1,0)</f>
        <v>1</v>
      </c>
      <c r="I1578" s="29" t="n">
        <f aca="false">IF(AND(D1578="Feature Use",COUNTIFS($B$5:B1578,B1578,$D$5:D1578,"Feature Use",$E$5:E1578,E1578)=1),1,0)</f>
        <v>0</v>
      </c>
      <c r="J1578" s="29" t="n">
        <f aca="false">IF(AND(D1578="Feature Use",COUNTIFS($B$5:B1578,B1578,$D$5:D1578,"Feature Use",$E$5:E1578,E1578)=2),1,0)</f>
        <v>0</v>
      </c>
      <c r="K1578" s="29" t="n">
        <f aca="false">IF(COUNTIF($B$5:B1578,B1578)=1,1,0)</f>
        <v>0</v>
      </c>
      <c r="L1578" s="29" t="n">
        <f aca="false">IF(AND(C1578&gt;=Settings!$B$5-Settings!$B$8+1,C1578&lt;=Settings!$B$5,COUNTIFS($B$5:B1578,B1578,$C$5:C1578,"&gt;="&amp;(Settings!$B$5-Settings!$B$8+1),$C$5:C1578,"&lt;="&amp;Settings!$B$5)=1),1,0)</f>
        <v>0</v>
      </c>
      <c r="M1578" s="29" t="n">
        <f aca="false">IF(AND(C1578&gt;=Settings!$B$5-Settings!$B$9+1,C1578&lt;=Settings!$B$5,COUNTIFS($B$5:B1578,B1578,$C$5:C1578,"&gt;="&amp;(Settings!$B$5-Settings!$B$9+1),$C$5:C1578,"&lt;="&amp;Settings!$B$5)=1),1,0)</f>
        <v>0</v>
      </c>
      <c r="N1578" s="29" t="n">
        <f aca="false">IF(AND(D1578="Feature Use",COUNTIFS($B$5:B1578,B1578,$D$5:D1578,"Feature Use")=1),1,0)</f>
        <v>0</v>
      </c>
    </row>
    <row r="1579" customFormat="false" ht="15" hidden="false" customHeight="false" outlineLevel="0" collapsed="false">
      <c r="A1579" s="22" t="s">
        <v>1886</v>
      </c>
      <c r="B1579" s="22" t="s">
        <v>175</v>
      </c>
      <c r="C1579" s="31" t="n">
        <v>46309</v>
      </c>
      <c r="D1579" s="22" t="s">
        <v>300</v>
      </c>
      <c r="E1579" s="22" t="s">
        <v>311</v>
      </c>
      <c r="F1579" s="29" t="str">
        <f aca="false">IF(COUNTIF(Referral_Data!$C$5:$C$1000,B1579)&gt;0,"Referred",IF(COUNTIF(Referral_Data!$B$5:$B$1000,B1579)&gt;0,"Referrer","Organic"))</f>
        <v>Referrer</v>
      </c>
      <c r="G1579" s="29" t="n">
        <f aca="false">IF(COUNTIFS($B$5:B1579,B1579,$C$5:C1579,C1579)=1,1,0)</f>
        <v>0</v>
      </c>
      <c r="H1579" s="29" t="n">
        <f aca="false">IF(AND(G1579=1,COUNTIFS($B$5:$B$1635,B1579,$C$5:$C$1635,"&lt;"&amp;C1579)&gt;0),1,0)</f>
        <v>0</v>
      </c>
      <c r="I1579" s="29" t="n">
        <f aca="false">IF(AND(D1579="Feature Use",COUNTIFS($B$5:B1579,B1579,$D$5:D1579,"Feature Use",$E$5:E1579,E1579)=1),1,0)</f>
        <v>0</v>
      </c>
      <c r="J1579" s="29" t="n">
        <f aca="false">IF(AND(D1579="Feature Use",COUNTIFS($B$5:B1579,B1579,$D$5:D1579,"Feature Use",$E$5:E1579,E1579)=2),1,0)</f>
        <v>0</v>
      </c>
      <c r="K1579" s="29" t="n">
        <f aca="false">IF(COUNTIF($B$5:B1579,B1579)=1,1,0)</f>
        <v>0</v>
      </c>
      <c r="L1579" s="29" t="n">
        <f aca="false">IF(AND(C1579&gt;=Settings!$B$5-Settings!$B$8+1,C1579&lt;=Settings!$B$5,COUNTIFS($B$5:B1579,B1579,$C$5:C1579,"&gt;="&amp;(Settings!$B$5-Settings!$B$8+1),$C$5:C1579,"&lt;="&amp;Settings!$B$5)=1),1,0)</f>
        <v>0</v>
      </c>
      <c r="M1579" s="29" t="n">
        <f aca="false">IF(AND(C1579&gt;=Settings!$B$5-Settings!$B$9+1,C1579&lt;=Settings!$B$5,COUNTIFS($B$5:B1579,B1579,$C$5:C1579,"&gt;="&amp;(Settings!$B$5-Settings!$B$9+1),$C$5:C1579,"&lt;="&amp;Settings!$B$5)=1),1,0)</f>
        <v>0</v>
      </c>
      <c r="N1579" s="29" t="n">
        <f aca="false">IF(AND(D1579="Feature Use",COUNTIFS($B$5:B1579,B1579,$D$5:D1579,"Feature Use")=1),1,0)</f>
        <v>0</v>
      </c>
    </row>
    <row r="1580" customFormat="false" ht="15" hidden="false" customHeight="false" outlineLevel="0" collapsed="false">
      <c r="A1580" s="22" t="s">
        <v>1887</v>
      </c>
      <c r="B1580" s="22" t="s">
        <v>175</v>
      </c>
      <c r="C1580" s="31" t="n">
        <v>46309</v>
      </c>
      <c r="D1580" s="22" t="s">
        <v>300</v>
      </c>
      <c r="E1580" s="22" t="s">
        <v>301</v>
      </c>
      <c r="F1580" s="29" t="str">
        <f aca="false">IF(COUNTIF(Referral_Data!$C$5:$C$1000,B1580)&gt;0,"Referred",IF(COUNTIF(Referral_Data!$B$5:$B$1000,B1580)&gt;0,"Referrer","Organic"))</f>
        <v>Referrer</v>
      </c>
      <c r="G1580" s="29" t="n">
        <f aca="false">IF(COUNTIFS($B$5:B1580,B1580,$C$5:C1580,C1580)=1,1,0)</f>
        <v>0</v>
      </c>
      <c r="H1580" s="29" t="n">
        <f aca="false">IF(AND(G1580=1,COUNTIFS($B$5:$B$1635,B1580,$C$5:$C$1635,"&lt;"&amp;C1580)&gt;0),1,0)</f>
        <v>0</v>
      </c>
      <c r="I1580" s="29" t="n">
        <f aca="false">IF(AND(D1580="Feature Use",COUNTIFS($B$5:B1580,B1580,$D$5:D1580,"Feature Use",$E$5:E1580,E1580)=1),1,0)</f>
        <v>0</v>
      </c>
      <c r="J1580" s="29" t="n">
        <f aca="false">IF(AND(D1580="Feature Use",COUNTIFS($B$5:B1580,B1580,$D$5:D1580,"Feature Use",$E$5:E1580,E1580)=2),1,0)</f>
        <v>1</v>
      </c>
      <c r="K1580" s="29" t="n">
        <f aca="false">IF(COUNTIF($B$5:B1580,B1580)=1,1,0)</f>
        <v>0</v>
      </c>
      <c r="L1580" s="29" t="n">
        <f aca="false">IF(AND(C1580&gt;=Settings!$B$5-Settings!$B$8+1,C1580&lt;=Settings!$B$5,COUNTIFS($B$5:B1580,B1580,$C$5:C1580,"&gt;="&amp;(Settings!$B$5-Settings!$B$8+1),$C$5:C1580,"&lt;="&amp;Settings!$B$5)=1),1,0)</f>
        <v>0</v>
      </c>
      <c r="M1580" s="29" t="n">
        <f aca="false">IF(AND(C1580&gt;=Settings!$B$5-Settings!$B$9+1,C1580&lt;=Settings!$B$5,COUNTIFS($B$5:B1580,B1580,$C$5:C1580,"&gt;="&amp;(Settings!$B$5-Settings!$B$9+1),$C$5:C1580,"&lt;="&amp;Settings!$B$5)=1),1,0)</f>
        <v>0</v>
      </c>
      <c r="N1580" s="29" t="n">
        <f aca="false">IF(AND(D1580="Feature Use",COUNTIFS($B$5:B1580,B1580,$D$5:D1580,"Feature Use")=1),1,0)</f>
        <v>0</v>
      </c>
    </row>
    <row r="1581" customFormat="false" ht="15" hidden="false" customHeight="false" outlineLevel="0" collapsed="false">
      <c r="A1581" s="22" t="s">
        <v>1888</v>
      </c>
      <c r="B1581" s="22" t="s">
        <v>175</v>
      </c>
      <c r="C1581" s="31" t="n">
        <v>46309</v>
      </c>
      <c r="D1581" s="22" t="s">
        <v>308</v>
      </c>
      <c r="E1581" s="22" t="s">
        <v>311</v>
      </c>
      <c r="F1581" s="29" t="str">
        <f aca="false">IF(COUNTIF(Referral_Data!$C$5:$C$1000,B1581)&gt;0,"Referred",IF(COUNTIF(Referral_Data!$B$5:$B$1000,B1581)&gt;0,"Referrer","Organic"))</f>
        <v>Referrer</v>
      </c>
      <c r="G1581" s="29" t="n">
        <f aca="false">IF(COUNTIFS($B$5:B1581,B1581,$C$5:C1581,C1581)=1,1,0)</f>
        <v>0</v>
      </c>
      <c r="H1581" s="29" t="n">
        <f aca="false">IF(AND(G1581=1,COUNTIFS($B$5:$B$1635,B1581,$C$5:$C$1635,"&lt;"&amp;C1581)&gt;0),1,0)</f>
        <v>0</v>
      </c>
      <c r="I1581" s="29" t="n">
        <f aca="false">IF(AND(D1581="Feature Use",COUNTIFS($B$5:B1581,B1581,$D$5:D1581,"Feature Use",$E$5:E1581,E1581)=1),1,0)</f>
        <v>0</v>
      </c>
      <c r="J1581" s="29" t="n">
        <f aca="false">IF(AND(D1581="Feature Use",COUNTIFS($B$5:B1581,B1581,$D$5:D1581,"Feature Use",$E$5:E1581,E1581)=2),1,0)</f>
        <v>0</v>
      </c>
      <c r="K1581" s="29" t="n">
        <f aca="false">IF(COUNTIF($B$5:B1581,B1581)=1,1,0)</f>
        <v>0</v>
      </c>
      <c r="L1581" s="29" t="n">
        <f aca="false">IF(AND(C1581&gt;=Settings!$B$5-Settings!$B$8+1,C1581&lt;=Settings!$B$5,COUNTIFS($B$5:B1581,B1581,$C$5:C1581,"&gt;="&amp;(Settings!$B$5-Settings!$B$8+1),$C$5:C1581,"&lt;="&amp;Settings!$B$5)=1),1,0)</f>
        <v>0</v>
      </c>
      <c r="M1581" s="29" t="n">
        <f aca="false">IF(AND(C1581&gt;=Settings!$B$5-Settings!$B$9+1,C1581&lt;=Settings!$B$5,COUNTIFS($B$5:B1581,B1581,$C$5:C1581,"&gt;="&amp;(Settings!$B$5-Settings!$B$9+1),$C$5:C1581,"&lt;="&amp;Settings!$B$5)=1),1,0)</f>
        <v>0</v>
      </c>
      <c r="N1581" s="29" t="n">
        <f aca="false">IF(AND(D1581="Feature Use",COUNTIFS($B$5:B1581,B1581,$D$5:D1581,"Feature Use")=1),1,0)</f>
        <v>0</v>
      </c>
    </row>
    <row r="1582" customFormat="false" ht="15" hidden="false" customHeight="false" outlineLevel="0" collapsed="false">
      <c r="A1582" s="22" t="s">
        <v>1889</v>
      </c>
      <c r="B1582" s="22" t="s">
        <v>296</v>
      </c>
      <c r="C1582" s="31" t="n">
        <v>46310</v>
      </c>
      <c r="D1582" s="22" t="s">
        <v>297</v>
      </c>
      <c r="E1582" s="22" t="s">
        <v>298</v>
      </c>
      <c r="F1582" s="29" t="str">
        <f aca="false">IF(COUNTIF(Referral_Data!$C$5:$C$1000,B1582)&gt;0,"Referred",IF(COUNTIF(Referral_Data!$B$5:$B$1000,B1582)&gt;0,"Referrer","Organic"))</f>
        <v>Organic</v>
      </c>
      <c r="G1582" s="29" t="n">
        <f aca="false">IF(COUNTIFS($B$5:B1582,B1582,$C$5:C1582,C1582)=1,1,0)</f>
        <v>1</v>
      </c>
      <c r="H1582" s="29" t="n">
        <f aca="false">IF(AND(G1582=1,COUNTIFS($B$5:$B$1635,B1582,$C$5:$C$1635,"&lt;"&amp;C1582)&gt;0),1,0)</f>
        <v>1</v>
      </c>
      <c r="I1582" s="29" t="n">
        <f aca="false">IF(AND(D1582="Feature Use",COUNTIFS($B$5:B1582,B1582,$D$5:D1582,"Feature Use",$E$5:E1582,E1582)=1),1,0)</f>
        <v>0</v>
      </c>
      <c r="J1582" s="29" t="n">
        <f aca="false">IF(AND(D1582="Feature Use",COUNTIFS($B$5:B1582,B1582,$D$5:D1582,"Feature Use",$E$5:E1582,E1582)=2),1,0)</f>
        <v>0</v>
      </c>
      <c r="K1582" s="29" t="n">
        <f aca="false">IF(COUNTIF($B$5:B1582,B1582)=1,1,0)</f>
        <v>0</v>
      </c>
      <c r="L1582" s="29" t="n">
        <f aca="false">IF(AND(C1582&gt;=Settings!$B$5-Settings!$B$8+1,C1582&lt;=Settings!$B$5,COUNTIFS($B$5:B1582,B1582,$C$5:C1582,"&gt;="&amp;(Settings!$B$5-Settings!$B$8+1),$C$5:C1582,"&lt;="&amp;Settings!$B$5)=1),1,0)</f>
        <v>0</v>
      </c>
      <c r="M1582" s="29" t="n">
        <f aca="false">IF(AND(C1582&gt;=Settings!$B$5-Settings!$B$9+1,C1582&lt;=Settings!$B$5,COUNTIFS($B$5:B1582,B1582,$C$5:C1582,"&gt;="&amp;(Settings!$B$5-Settings!$B$9+1),$C$5:C1582,"&lt;="&amp;Settings!$B$5)=1),1,0)</f>
        <v>0</v>
      </c>
      <c r="N1582" s="29" t="n">
        <f aca="false">IF(AND(D1582="Feature Use",COUNTIFS($B$5:B1582,B1582,$D$5:D1582,"Feature Use")=1),1,0)</f>
        <v>0</v>
      </c>
    </row>
    <row r="1583" customFormat="false" ht="15" hidden="false" customHeight="false" outlineLevel="0" collapsed="false">
      <c r="A1583" s="22" t="s">
        <v>1890</v>
      </c>
      <c r="B1583" s="22" t="s">
        <v>296</v>
      </c>
      <c r="C1583" s="31" t="n">
        <v>46310</v>
      </c>
      <c r="D1583" s="22" t="s">
        <v>300</v>
      </c>
      <c r="E1583" s="22" t="s">
        <v>311</v>
      </c>
      <c r="F1583" s="29" t="str">
        <f aca="false">IF(COUNTIF(Referral_Data!$C$5:$C$1000,B1583)&gt;0,"Referred",IF(COUNTIF(Referral_Data!$B$5:$B$1000,B1583)&gt;0,"Referrer","Organic"))</f>
        <v>Organic</v>
      </c>
      <c r="G1583" s="29" t="n">
        <f aca="false">IF(COUNTIFS($B$5:B1583,B1583,$C$5:C1583,C1583)=1,1,0)</f>
        <v>0</v>
      </c>
      <c r="H1583" s="29" t="n">
        <f aca="false">IF(AND(G1583=1,COUNTIFS($B$5:$B$1635,B1583,$C$5:$C$1635,"&lt;"&amp;C1583)&gt;0),1,0)</f>
        <v>0</v>
      </c>
      <c r="I1583" s="29" t="n">
        <f aca="false">IF(AND(D1583="Feature Use",COUNTIFS($B$5:B1583,B1583,$D$5:D1583,"Feature Use",$E$5:E1583,E1583)=1),1,0)</f>
        <v>0</v>
      </c>
      <c r="J1583" s="29" t="n">
        <f aca="false">IF(AND(D1583="Feature Use",COUNTIFS($B$5:B1583,B1583,$D$5:D1583,"Feature Use",$E$5:E1583,E1583)=2),1,0)</f>
        <v>0</v>
      </c>
      <c r="K1583" s="29" t="n">
        <f aca="false">IF(COUNTIF($B$5:B1583,B1583)=1,1,0)</f>
        <v>0</v>
      </c>
      <c r="L1583" s="29" t="n">
        <f aca="false">IF(AND(C1583&gt;=Settings!$B$5-Settings!$B$8+1,C1583&lt;=Settings!$B$5,COUNTIFS($B$5:B1583,B1583,$C$5:C1583,"&gt;="&amp;(Settings!$B$5-Settings!$B$8+1),$C$5:C1583,"&lt;="&amp;Settings!$B$5)=1),1,0)</f>
        <v>0</v>
      </c>
      <c r="M1583" s="29" t="n">
        <f aca="false">IF(AND(C1583&gt;=Settings!$B$5-Settings!$B$9+1,C1583&lt;=Settings!$B$5,COUNTIFS($B$5:B1583,B1583,$C$5:C1583,"&gt;="&amp;(Settings!$B$5-Settings!$B$9+1),$C$5:C1583,"&lt;="&amp;Settings!$B$5)=1),1,0)</f>
        <v>0</v>
      </c>
      <c r="N1583" s="29" t="n">
        <f aca="false">IF(AND(D1583="Feature Use",COUNTIFS($B$5:B1583,B1583,$D$5:D1583,"Feature Use")=1),1,0)</f>
        <v>0</v>
      </c>
    </row>
    <row r="1584" customFormat="false" ht="15" hidden="false" customHeight="false" outlineLevel="0" collapsed="false">
      <c r="A1584" s="22" t="s">
        <v>1891</v>
      </c>
      <c r="B1584" s="22" t="s">
        <v>296</v>
      </c>
      <c r="C1584" s="31" t="n">
        <v>46310</v>
      </c>
      <c r="D1584" s="22" t="s">
        <v>300</v>
      </c>
      <c r="E1584" s="22" t="s">
        <v>319</v>
      </c>
      <c r="F1584" s="29" t="str">
        <f aca="false">IF(COUNTIF(Referral_Data!$C$5:$C$1000,B1584)&gt;0,"Referred",IF(COUNTIF(Referral_Data!$B$5:$B$1000,B1584)&gt;0,"Referrer","Organic"))</f>
        <v>Organic</v>
      </c>
      <c r="G1584" s="29" t="n">
        <f aca="false">IF(COUNTIFS($B$5:B1584,B1584,$C$5:C1584,C1584)=1,1,0)</f>
        <v>0</v>
      </c>
      <c r="H1584" s="29" t="n">
        <f aca="false">IF(AND(G1584=1,COUNTIFS($B$5:$B$1635,B1584,$C$5:$C$1635,"&lt;"&amp;C1584)&gt;0),1,0)</f>
        <v>0</v>
      </c>
      <c r="I1584" s="29" t="n">
        <f aca="false">IF(AND(D1584="Feature Use",COUNTIFS($B$5:B1584,B1584,$D$5:D1584,"Feature Use",$E$5:E1584,E1584)=1),1,0)</f>
        <v>0</v>
      </c>
      <c r="J1584" s="29" t="n">
        <f aca="false">IF(AND(D1584="Feature Use",COUNTIFS($B$5:B1584,B1584,$D$5:D1584,"Feature Use",$E$5:E1584,E1584)=2),1,0)</f>
        <v>1</v>
      </c>
      <c r="K1584" s="29" t="n">
        <f aca="false">IF(COUNTIF($B$5:B1584,B1584)=1,1,0)</f>
        <v>0</v>
      </c>
      <c r="L1584" s="29" t="n">
        <f aca="false">IF(AND(C1584&gt;=Settings!$B$5-Settings!$B$8+1,C1584&lt;=Settings!$B$5,COUNTIFS($B$5:B1584,B1584,$C$5:C1584,"&gt;="&amp;(Settings!$B$5-Settings!$B$8+1),$C$5:C1584,"&lt;="&amp;Settings!$B$5)=1),1,0)</f>
        <v>0</v>
      </c>
      <c r="M1584" s="29" t="n">
        <f aca="false">IF(AND(C1584&gt;=Settings!$B$5-Settings!$B$9+1,C1584&lt;=Settings!$B$5,COUNTIFS($B$5:B1584,B1584,$C$5:C1584,"&gt;="&amp;(Settings!$B$5-Settings!$B$9+1),$C$5:C1584,"&lt;="&amp;Settings!$B$5)=1),1,0)</f>
        <v>0</v>
      </c>
      <c r="N1584" s="29" t="n">
        <f aca="false">IF(AND(D1584="Feature Use",COUNTIFS($B$5:B1584,B1584,$D$5:D1584,"Feature Use")=1),1,0)</f>
        <v>0</v>
      </c>
    </row>
    <row r="1585" customFormat="false" ht="15" hidden="false" customHeight="false" outlineLevel="0" collapsed="false">
      <c r="A1585" s="22" t="s">
        <v>1892</v>
      </c>
      <c r="B1585" s="22" t="s">
        <v>385</v>
      </c>
      <c r="C1585" s="31" t="n">
        <v>46310</v>
      </c>
      <c r="D1585" s="22" t="s">
        <v>297</v>
      </c>
      <c r="E1585" s="22" t="s">
        <v>298</v>
      </c>
      <c r="F1585" s="29" t="str">
        <f aca="false">IF(COUNTIF(Referral_Data!$C$5:$C$1000,B1585)&gt;0,"Referred",IF(COUNTIF(Referral_Data!$B$5:$B$1000,B1585)&gt;0,"Referrer","Organic"))</f>
        <v>Organic</v>
      </c>
      <c r="G1585" s="29" t="n">
        <f aca="false">IF(COUNTIFS($B$5:B1585,B1585,$C$5:C1585,C1585)=1,1,0)</f>
        <v>1</v>
      </c>
      <c r="H1585" s="29" t="n">
        <f aca="false">IF(AND(G1585=1,COUNTIFS($B$5:$B$1635,B1585,$C$5:$C$1635,"&lt;"&amp;C1585)&gt;0),1,0)</f>
        <v>1</v>
      </c>
      <c r="I1585" s="29" t="n">
        <f aca="false">IF(AND(D1585="Feature Use",COUNTIFS($B$5:B1585,B1585,$D$5:D1585,"Feature Use",$E$5:E1585,E1585)=1),1,0)</f>
        <v>0</v>
      </c>
      <c r="J1585" s="29" t="n">
        <f aca="false">IF(AND(D1585="Feature Use",COUNTIFS($B$5:B1585,B1585,$D$5:D1585,"Feature Use",$E$5:E1585,E1585)=2),1,0)</f>
        <v>0</v>
      </c>
      <c r="K1585" s="29" t="n">
        <f aca="false">IF(COUNTIF($B$5:B1585,B1585)=1,1,0)</f>
        <v>0</v>
      </c>
      <c r="L1585" s="29" t="n">
        <f aca="false">IF(AND(C1585&gt;=Settings!$B$5-Settings!$B$8+1,C1585&lt;=Settings!$B$5,COUNTIFS($B$5:B1585,B1585,$C$5:C1585,"&gt;="&amp;(Settings!$B$5-Settings!$B$8+1),$C$5:C1585,"&lt;="&amp;Settings!$B$5)=1),1,0)</f>
        <v>1</v>
      </c>
      <c r="M1585" s="29" t="n">
        <f aca="false">IF(AND(C1585&gt;=Settings!$B$5-Settings!$B$9+1,C1585&lt;=Settings!$B$5,COUNTIFS($B$5:B1585,B1585,$C$5:C1585,"&gt;="&amp;(Settings!$B$5-Settings!$B$9+1),$C$5:C1585,"&lt;="&amp;Settings!$B$5)=1),1,0)</f>
        <v>0</v>
      </c>
      <c r="N1585" s="29" t="n">
        <f aca="false">IF(AND(D1585="Feature Use",COUNTIFS($B$5:B1585,B1585,$D$5:D1585,"Feature Use")=1),1,0)</f>
        <v>0</v>
      </c>
    </row>
    <row r="1586" customFormat="false" ht="15" hidden="false" customHeight="false" outlineLevel="0" collapsed="false">
      <c r="A1586" s="22" t="s">
        <v>1893</v>
      </c>
      <c r="B1586" s="22" t="s">
        <v>385</v>
      </c>
      <c r="C1586" s="31" t="n">
        <v>46310</v>
      </c>
      <c r="D1586" s="22" t="s">
        <v>300</v>
      </c>
      <c r="E1586" s="22" t="s">
        <v>319</v>
      </c>
      <c r="F1586" s="29" t="str">
        <f aca="false">IF(COUNTIF(Referral_Data!$C$5:$C$1000,B1586)&gt;0,"Referred",IF(COUNTIF(Referral_Data!$B$5:$B$1000,B1586)&gt;0,"Referrer","Organic"))</f>
        <v>Organic</v>
      </c>
      <c r="G1586" s="29" t="n">
        <f aca="false">IF(COUNTIFS($B$5:B1586,B1586,$C$5:C1586,C1586)=1,1,0)</f>
        <v>0</v>
      </c>
      <c r="H1586" s="29" t="n">
        <f aca="false">IF(AND(G1586=1,COUNTIFS($B$5:$B$1635,B1586,$C$5:$C$1635,"&lt;"&amp;C1586)&gt;0),1,0)</f>
        <v>0</v>
      </c>
      <c r="I1586" s="29" t="n">
        <f aca="false">IF(AND(D1586="Feature Use",COUNTIFS($B$5:B1586,B1586,$D$5:D1586,"Feature Use",$E$5:E1586,E1586)=1),1,0)</f>
        <v>0</v>
      </c>
      <c r="J1586" s="29" t="n">
        <f aca="false">IF(AND(D1586="Feature Use",COUNTIFS($B$5:B1586,B1586,$D$5:D1586,"Feature Use",$E$5:E1586,E1586)=2),1,0)</f>
        <v>0</v>
      </c>
      <c r="K1586" s="29" t="n">
        <f aca="false">IF(COUNTIF($B$5:B1586,B1586)=1,1,0)</f>
        <v>0</v>
      </c>
      <c r="L1586" s="29" t="n">
        <f aca="false">IF(AND(C1586&gt;=Settings!$B$5-Settings!$B$8+1,C1586&lt;=Settings!$B$5,COUNTIFS($B$5:B1586,B1586,$C$5:C1586,"&gt;="&amp;(Settings!$B$5-Settings!$B$8+1),$C$5:C1586,"&lt;="&amp;Settings!$B$5)=1),1,0)</f>
        <v>0</v>
      </c>
      <c r="M1586" s="29" t="n">
        <f aca="false">IF(AND(C1586&gt;=Settings!$B$5-Settings!$B$9+1,C1586&lt;=Settings!$B$5,COUNTIFS($B$5:B1586,B1586,$C$5:C1586,"&gt;="&amp;(Settings!$B$5-Settings!$B$9+1),$C$5:C1586,"&lt;="&amp;Settings!$B$5)=1),1,0)</f>
        <v>0</v>
      </c>
      <c r="N1586" s="29" t="n">
        <f aca="false">IF(AND(D1586="Feature Use",COUNTIFS($B$5:B1586,B1586,$D$5:D1586,"Feature Use")=1),1,0)</f>
        <v>0</v>
      </c>
    </row>
    <row r="1587" customFormat="false" ht="15" hidden="false" customHeight="false" outlineLevel="0" collapsed="false">
      <c r="A1587" s="22" t="s">
        <v>1894</v>
      </c>
      <c r="B1587" s="22" t="s">
        <v>385</v>
      </c>
      <c r="C1587" s="31" t="n">
        <v>46310</v>
      </c>
      <c r="D1587" s="22" t="s">
        <v>300</v>
      </c>
      <c r="E1587" s="22" t="s">
        <v>319</v>
      </c>
      <c r="F1587" s="29" t="str">
        <f aca="false">IF(COUNTIF(Referral_Data!$C$5:$C$1000,B1587)&gt;0,"Referred",IF(COUNTIF(Referral_Data!$B$5:$B$1000,B1587)&gt;0,"Referrer","Organic"))</f>
        <v>Organic</v>
      </c>
      <c r="G1587" s="29" t="n">
        <f aca="false">IF(COUNTIFS($B$5:B1587,B1587,$C$5:C1587,C1587)=1,1,0)</f>
        <v>0</v>
      </c>
      <c r="H1587" s="29" t="n">
        <f aca="false">IF(AND(G1587=1,COUNTIFS($B$5:$B$1635,B1587,$C$5:$C$1635,"&lt;"&amp;C1587)&gt;0),1,0)</f>
        <v>0</v>
      </c>
      <c r="I1587" s="29" t="n">
        <f aca="false">IF(AND(D1587="Feature Use",COUNTIFS($B$5:B1587,B1587,$D$5:D1587,"Feature Use",$E$5:E1587,E1587)=1),1,0)</f>
        <v>0</v>
      </c>
      <c r="J1587" s="29" t="n">
        <f aca="false">IF(AND(D1587="Feature Use",COUNTIFS($B$5:B1587,B1587,$D$5:D1587,"Feature Use",$E$5:E1587,E1587)=2),1,0)</f>
        <v>0</v>
      </c>
      <c r="K1587" s="29" t="n">
        <f aca="false">IF(COUNTIF($B$5:B1587,B1587)=1,1,0)</f>
        <v>0</v>
      </c>
      <c r="L1587" s="29" t="n">
        <f aca="false">IF(AND(C1587&gt;=Settings!$B$5-Settings!$B$8+1,C1587&lt;=Settings!$B$5,COUNTIFS($B$5:B1587,B1587,$C$5:C1587,"&gt;="&amp;(Settings!$B$5-Settings!$B$8+1),$C$5:C1587,"&lt;="&amp;Settings!$B$5)=1),1,0)</f>
        <v>0</v>
      </c>
      <c r="M1587" s="29" t="n">
        <f aca="false">IF(AND(C1587&gt;=Settings!$B$5-Settings!$B$9+1,C1587&lt;=Settings!$B$5,COUNTIFS($B$5:B1587,B1587,$C$5:C1587,"&gt;="&amp;(Settings!$B$5-Settings!$B$9+1),$C$5:C1587,"&lt;="&amp;Settings!$B$5)=1),1,0)</f>
        <v>0</v>
      </c>
      <c r="N1587" s="29" t="n">
        <f aca="false">IF(AND(D1587="Feature Use",COUNTIFS($B$5:B1587,B1587,$D$5:D1587,"Feature Use")=1),1,0)</f>
        <v>0</v>
      </c>
    </row>
    <row r="1588" customFormat="false" ht="15" hidden="false" customHeight="false" outlineLevel="0" collapsed="false">
      <c r="A1588" s="22" t="s">
        <v>1895</v>
      </c>
      <c r="B1588" s="22" t="s">
        <v>530</v>
      </c>
      <c r="C1588" s="31" t="n">
        <v>46310</v>
      </c>
      <c r="D1588" s="22" t="s">
        <v>297</v>
      </c>
      <c r="E1588" s="22" t="s">
        <v>298</v>
      </c>
      <c r="F1588" s="29" t="str">
        <f aca="false">IF(COUNTIF(Referral_Data!$C$5:$C$1000,B1588)&gt;0,"Referred",IF(COUNTIF(Referral_Data!$B$5:$B$1000,B1588)&gt;0,"Referrer","Organic"))</f>
        <v>Organic</v>
      </c>
      <c r="G1588" s="29" t="n">
        <f aca="false">IF(COUNTIFS($B$5:B1588,B1588,$C$5:C1588,C1588)=1,1,0)</f>
        <v>1</v>
      </c>
      <c r="H1588" s="29" t="n">
        <f aca="false">IF(AND(G1588=1,COUNTIFS($B$5:$B$1635,B1588,$C$5:$C$1635,"&lt;"&amp;C1588)&gt;0),1,0)</f>
        <v>1</v>
      </c>
      <c r="I1588" s="29" t="n">
        <f aca="false">IF(AND(D1588="Feature Use",COUNTIFS($B$5:B1588,B1588,$D$5:D1588,"Feature Use",$E$5:E1588,E1588)=1),1,0)</f>
        <v>0</v>
      </c>
      <c r="J1588" s="29" t="n">
        <f aca="false">IF(AND(D1588="Feature Use",COUNTIFS($B$5:B1588,B1588,$D$5:D1588,"Feature Use",$E$5:E1588,E1588)=2),1,0)</f>
        <v>0</v>
      </c>
      <c r="K1588" s="29" t="n">
        <f aca="false">IF(COUNTIF($B$5:B1588,B1588)=1,1,0)</f>
        <v>0</v>
      </c>
      <c r="L1588" s="29" t="n">
        <f aca="false">IF(AND(C1588&gt;=Settings!$B$5-Settings!$B$8+1,C1588&lt;=Settings!$B$5,COUNTIFS($B$5:B1588,B1588,$C$5:C1588,"&gt;="&amp;(Settings!$B$5-Settings!$B$8+1),$C$5:C1588,"&lt;="&amp;Settings!$B$5)=1),1,0)</f>
        <v>0</v>
      </c>
      <c r="M1588" s="29" t="n">
        <f aca="false">IF(AND(C1588&gt;=Settings!$B$5-Settings!$B$9+1,C1588&lt;=Settings!$B$5,COUNTIFS($B$5:B1588,B1588,$C$5:C1588,"&gt;="&amp;(Settings!$B$5-Settings!$B$9+1),$C$5:C1588,"&lt;="&amp;Settings!$B$5)=1),1,0)</f>
        <v>0</v>
      </c>
      <c r="N1588" s="29" t="n">
        <f aca="false">IF(AND(D1588="Feature Use",COUNTIFS($B$5:B1588,B1588,$D$5:D1588,"Feature Use")=1),1,0)</f>
        <v>0</v>
      </c>
    </row>
    <row r="1589" customFormat="false" ht="15" hidden="false" customHeight="false" outlineLevel="0" collapsed="false">
      <c r="A1589" s="22" t="s">
        <v>1896</v>
      </c>
      <c r="B1589" s="22" t="s">
        <v>530</v>
      </c>
      <c r="C1589" s="31" t="n">
        <v>46310</v>
      </c>
      <c r="D1589" s="22" t="s">
        <v>300</v>
      </c>
      <c r="E1589" s="22" t="s">
        <v>305</v>
      </c>
      <c r="F1589" s="29" t="str">
        <f aca="false">IF(COUNTIF(Referral_Data!$C$5:$C$1000,B1589)&gt;0,"Referred",IF(COUNTIF(Referral_Data!$B$5:$B$1000,B1589)&gt;0,"Referrer","Organic"))</f>
        <v>Organic</v>
      </c>
      <c r="G1589" s="29" t="n">
        <f aca="false">IF(COUNTIFS($B$5:B1589,B1589,$C$5:C1589,C1589)=1,1,0)</f>
        <v>0</v>
      </c>
      <c r="H1589" s="29" t="n">
        <f aca="false">IF(AND(G1589=1,COUNTIFS($B$5:$B$1635,B1589,$C$5:$C$1635,"&lt;"&amp;C1589)&gt;0),1,0)</f>
        <v>0</v>
      </c>
      <c r="I1589" s="29" t="n">
        <f aca="false">IF(AND(D1589="Feature Use",COUNTIFS($B$5:B1589,B1589,$D$5:D1589,"Feature Use",$E$5:E1589,E1589)=1),1,0)</f>
        <v>0</v>
      </c>
      <c r="J1589" s="29" t="n">
        <f aca="false">IF(AND(D1589="Feature Use",COUNTIFS($B$5:B1589,B1589,$D$5:D1589,"Feature Use",$E$5:E1589,E1589)=2),1,0)</f>
        <v>0</v>
      </c>
      <c r="K1589" s="29" t="n">
        <f aca="false">IF(COUNTIF($B$5:B1589,B1589)=1,1,0)</f>
        <v>0</v>
      </c>
      <c r="L1589" s="29" t="n">
        <f aca="false">IF(AND(C1589&gt;=Settings!$B$5-Settings!$B$8+1,C1589&lt;=Settings!$B$5,COUNTIFS($B$5:B1589,B1589,$C$5:C1589,"&gt;="&amp;(Settings!$B$5-Settings!$B$8+1),$C$5:C1589,"&lt;="&amp;Settings!$B$5)=1),1,0)</f>
        <v>0</v>
      </c>
      <c r="M1589" s="29" t="n">
        <f aca="false">IF(AND(C1589&gt;=Settings!$B$5-Settings!$B$9+1,C1589&lt;=Settings!$B$5,COUNTIFS($B$5:B1589,B1589,$C$5:C1589,"&gt;="&amp;(Settings!$B$5-Settings!$B$9+1),$C$5:C1589,"&lt;="&amp;Settings!$B$5)=1),1,0)</f>
        <v>0</v>
      </c>
      <c r="N1589" s="29" t="n">
        <f aca="false">IF(AND(D1589="Feature Use",COUNTIFS($B$5:B1589,B1589,$D$5:D1589,"Feature Use")=1),1,0)</f>
        <v>0</v>
      </c>
    </row>
    <row r="1590" customFormat="false" ht="15" hidden="false" customHeight="false" outlineLevel="0" collapsed="false">
      <c r="A1590" s="22" t="s">
        <v>1897</v>
      </c>
      <c r="B1590" s="22" t="s">
        <v>168</v>
      </c>
      <c r="C1590" s="31" t="n">
        <v>46310</v>
      </c>
      <c r="D1590" s="22" t="s">
        <v>297</v>
      </c>
      <c r="E1590" s="22" t="s">
        <v>298</v>
      </c>
      <c r="F1590" s="29" t="str">
        <f aca="false">IF(COUNTIF(Referral_Data!$C$5:$C$1000,B1590)&gt;0,"Referred",IF(COUNTIF(Referral_Data!$B$5:$B$1000,B1590)&gt;0,"Referrer","Organic"))</f>
        <v>Referred</v>
      </c>
      <c r="G1590" s="29" t="n">
        <f aca="false">IF(COUNTIFS($B$5:B1590,B1590,$C$5:C1590,C1590)=1,1,0)</f>
        <v>1</v>
      </c>
      <c r="H1590" s="29" t="n">
        <f aca="false">IF(AND(G1590=1,COUNTIFS($B$5:$B$1635,B1590,$C$5:$C$1635,"&lt;"&amp;C1590)&gt;0),1,0)</f>
        <v>1</v>
      </c>
      <c r="I1590" s="29" t="n">
        <f aca="false">IF(AND(D1590="Feature Use",COUNTIFS($B$5:B1590,B1590,$D$5:D1590,"Feature Use",$E$5:E1590,E1590)=1),1,0)</f>
        <v>0</v>
      </c>
      <c r="J1590" s="29" t="n">
        <f aca="false">IF(AND(D1590="Feature Use",COUNTIFS($B$5:B1590,B1590,$D$5:D1590,"Feature Use",$E$5:E1590,E1590)=2),1,0)</f>
        <v>0</v>
      </c>
      <c r="K1590" s="29" t="n">
        <f aca="false">IF(COUNTIF($B$5:B1590,B1590)=1,1,0)</f>
        <v>0</v>
      </c>
      <c r="L1590" s="29" t="n">
        <f aca="false">IF(AND(C1590&gt;=Settings!$B$5-Settings!$B$8+1,C1590&lt;=Settings!$B$5,COUNTIFS($B$5:B1590,B1590,$C$5:C1590,"&gt;="&amp;(Settings!$B$5-Settings!$B$8+1),$C$5:C1590,"&lt;="&amp;Settings!$B$5)=1),1,0)</f>
        <v>0</v>
      </c>
      <c r="M1590" s="29" t="n">
        <f aca="false">IF(AND(C1590&gt;=Settings!$B$5-Settings!$B$9+1,C1590&lt;=Settings!$B$5,COUNTIFS($B$5:B1590,B1590,$C$5:C1590,"&gt;="&amp;(Settings!$B$5-Settings!$B$9+1),$C$5:C1590,"&lt;="&amp;Settings!$B$5)=1),1,0)</f>
        <v>0</v>
      </c>
      <c r="N1590" s="29" t="n">
        <f aca="false">IF(AND(D1590="Feature Use",COUNTIFS($B$5:B1590,B1590,$D$5:D1590,"Feature Use")=1),1,0)</f>
        <v>0</v>
      </c>
    </row>
    <row r="1591" customFormat="false" ht="15" hidden="false" customHeight="false" outlineLevel="0" collapsed="false">
      <c r="A1591" s="22" t="s">
        <v>1898</v>
      </c>
      <c r="B1591" s="22" t="s">
        <v>168</v>
      </c>
      <c r="C1591" s="31" t="n">
        <v>46310</v>
      </c>
      <c r="D1591" s="22" t="s">
        <v>300</v>
      </c>
      <c r="E1591" s="22" t="s">
        <v>305</v>
      </c>
      <c r="F1591" s="29" t="str">
        <f aca="false">IF(COUNTIF(Referral_Data!$C$5:$C$1000,B1591)&gt;0,"Referred",IF(COUNTIF(Referral_Data!$B$5:$B$1000,B1591)&gt;0,"Referrer","Organic"))</f>
        <v>Referred</v>
      </c>
      <c r="G1591" s="29" t="n">
        <f aca="false">IF(COUNTIFS($B$5:B1591,B1591,$C$5:C1591,C1591)=1,1,0)</f>
        <v>0</v>
      </c>
      <c r="H1591" s="29" t="n">
        <f aca="false">IF(AND(G1591=1,COUNTIFS($B$5:$B$1635,B1591,$C$5:$C$1635,"&lt;"&amp;C1591)&gt;0),1,0)</f>
        <v>0</v>
      </c>
      <c r="I1591" s="29" t="n">
        <f aca="false">IF(AND(D1591="Feature Use",COUNTIFS($B$5:B1591,B1591,$D$5:D1591,"Feature Use",$E$5:E1591,E1591)=1),1,0)</f>
        <v>0</v>
      </c>
      <c r="J1591" s="29" t="n">
        <f aca="false">IF(AND(D1591="Feature Use",COUNTIFS($B$5:B1591,B1591,$D$5:D1591,"Feature Use",$E$5:E1591,E1591)=2),1,0)</f>
        <v>0</v>
      </c>
      <c r="K1591" s="29" t="n">
        <f aca="false">IF(COUNTIF($B$5:B1591,B1591)=1,1,0)</f>
        <v>0</v>
      </c>
      <c r="L1591" s="29" t="n">
        <f aca="false">IF(AND(C1591&gt;=Settings!$B$5-Settings!$B$8+1,C1591&lt;=Settings!$B$5,COUNTIFS($B$5:B1591,B1591,$C$5:C1591,"&gt;="&amp;(Settings!$B$5-Settings!$B$8+1),$C$5:C1591,"&lt;="&amp;Settings!$B$5)=1),1,0)</f>
        <v>0</v>
      </c>
      <c r="M1591" s="29" t="n">
        <f aca="false">IF(AND(C1591&gt;=Settings!$B$5-Settings!$B$9+1,C1591&lt;=Settings!$B$5,COUNTIFS($B$5:B1591,B1591,$C$5:C1591,"&gt;="&amp;(Settings!$B$5-Settings!$B$9+1),$C$5:C1591,"&lt;="&amp;Settings!$B$5)=1),1,0)</f>
        <v>0</v>
      </c>
      <c r="N1591" s="29" t="n">
        <f aca="false">IF(AND(D1591="Feature Use",COUNTIFS($B$5:B1591,B1591,$D$5:D1591,"Feature Use")=1),1,0)</f>
        <v>0</v>
      </c>
    </row>
    <row r="1592" customFormat="false" ht="15" hidden="false" customHeight="false" outlineLevel="0" collapsed="false">
      <c r="A1592" s="22" t="s">
        <v>1899</v>
      </c>
      <c r="B1592" s="22" t="s">
        <v>168</v>
      </c>
      <c r="C1592" s="31" t="n">
        <v>46310</v>
      </c>
      <c r="D1592" s="22" t="s">
        <v>300</v>
      </c>
      <c r="E1592" s="22" t="s">
        <v>305</v>
      </c>
      <c r="F1592" s="29" t="str">
        <f aca="false">IF(COUNTIF(Referral_Data!$C$5:$C$1000,B1592)&gt;0,"Referred",IF(COUNTIF(Referral_Data!$B$5:$B$1000,B1592)&gt;0,"Referrer","Organic"))</f>
        <v>Referred</v>
      </c>
      <c r="G1592" s="29" t="n">
        <f aca="false">IF(COUNTIFS($B$5:B1592,B1592,$C$5:C1592,C1592)=1,1,0)</f>
        <v>0</v>
      </c>
      <c r="H1592" s="29" t="n">
        <f aca="false">IF(AND(G1592=1,COUNTIFS($B$5:$B$1635,B1592,$C$5:$C$1635,"&lt;"&amp;C1592)&gt;0),1,0)</f>
        <v>0</v>
      </c>
      <c r="I1592" s="29" t="n">
        <f aca="false">IF(AND(D1592="Feature Use",COUNTIFS($B$5:B1592,B1592,$D$5:D1592,"Feature Use",$E$5:E1592,E1592)=1),1,0)</f>
        <v>0</v>
      </c>
      <c r="J1592" s="29" t="n">
        <f aca="false">IF(AND(D1592="Feature Use",COUNTIFS($B$5:B1592,B1592,$D$5:D1592,"Feature Use",$E$5:E1592,E1592)=2),1,0)</f>
        <v>0</v>
      </c>
      <c r="K1592" s="29" t="n">
        <f aca="false">IF(COUNTIF($B$5:B1592,B1592)=1,1,0)</f>
        <v>0</v>
      </c>
      <c r="L1592" s="29" t="n">
        <f aca="false">IF(AND(C1592&gt;=Settings!$B$5-Settings!$B$8+1,C1592&lt;=Settings!$B$5,COUNTIFS($B$5:B1592,B1592,$C$5:C1592,"&gt;="&amp;(Settings!$B$5-Settings!$B$8+1),$C$5:C1592,"&lt;="&amp;Settings!$B$5)=1),1,0)</f>
        <v>0</v>
      </c>
      <c r="M1592" s="29" t="n">
        <f aca="false">IF(AND(C1592&gt;=Settings!$B$5-Settings!$B$9+1,C1592&lt;=Settings!$B$5,COUNTIFS($B$5:B1592,B1592,$C$5:C1592,"&gt;="&amp;(Settings!$B$5-Settings!$B$9+1),$C$5:C1592,"&lt;="&amp;Settings!$B$5)=1),1,0)</f>
        <v>0</v>
      </c>
      <c r="N1592" s="29" t="n">
        <f aca="false">IF(AND(D1592="Feature Use",COUNTIFS($B$5:B1592,B1592,$D$5:D1592,"Feature Use")=1),1,0)</f>
        <v>0</v>
      </c>
    </row>
    <row r="1593" customFormat="false" ht="15" hidden="false" customHeight="false" outlineLevel="0" collapsed="false">
      <c r="A1593" s="22" t="s">
        <v>1900</v>
      </c>
      <c r="B1593" s="22" t="s">
        <v>176</v>
      </c>
      <c r="C1593" s="31" t="n">
        <v>46310</v>
      </c>
      <c r="D1593" s="22" t="s">
        <v>297</v>
      </c>
      <c r="E1593" s="22" t="s">
        <v>298</v>
      </c>
      <c r="F1593" s="29" t="str">
        <f aca="false">IF(COUNTIF(Referral_Data!$C$5:$C$1000,B1593)&gt;0,"Referred",IF(COUNTIF(Referral_Data!$B$5:$B$1000,B1593)&gt;0,"Referrer","Organic"))</f>
        <v>Referred</v>
      </c>
      <c r="G1593" s="29" t="n">
        <f aca="false">IF(COUNTIFS($B$5:B1593,B1593,$C$5:C1593,C1593)=1,1,0)</f>
        <v>1</v>
      </c>
      <c r="H1593" s="29" t="n">
        <f aca="false">IF(AND(G1593=1,COUNTIFS($B$5:$B$1635,B1593,$C$5:$C$1635,"&lt;"&amp;C1593)&gt;0),1,0)</f>
        <v>1</v>
      </c>
      <c r="I1593" s="29" t="n">
        <f aca="false">IF(AND(D1593="Feature Use",COUNTIFS($B$5:B1593,B1593,$D$5:D1593,"Feature Use",$E$5:E1593,E1593)=1),1,0)</f>
        <v>0</v>
      </c>
      <c r="J1593" s="29" t="n">
        <f aca="false">IF(AND(D1593="Feature Use",COUNTIFS($B$5:B1593,B1593,$D$5:D1593,"Feature Use",$E$5:E1593,E1593)=2),1,0)</f>
        <v>0</v>
      </c>
      <c r="K1593" s="29" t="n">
        <f aca="false">IF(COUNTIF($B$5:B1593,B1593)=1,1,0)</f>
        <v>0</v>
      </c>
      <c r="L1593" s="29" t="n">
        <f aca="false">IF(AND(C1593&gt;=Settings!$B$5-Settings!$B$8+1,C1593&lt;=Settings!$B$5,COUNTIFS($B$5:B1593,B1593,$C$5:C1593,"&gt;="&amp;(Settings!$B$5-Settings!$B$8+1),$C$5:C1593,"&lt;="&amp;Settings!$B$5)=1),1,0)</f>
        <v>0</v>
      </c>
      <c r="M1593" s="29" t="n">
        <f aca="false">IF(AND(C1593&gt;=Settings!$B$5-Settings!$B$9+1,C1593&lt;=Settings!$B$5,COUNTIFS($B$5:B1593,B1593,$C$5:C1593,"&gt;="&amp;(Settings!$B$5-Settings!$B$9+1),$C$5:C1593,"&lt;="&amp;Settings!$B$5)=1),1,0)</f>
        <v>0</v>
      </c>
      <c r="N1593" s="29" t="n">
        <f aca="false">IF(AND(D1593="Feature Use",COUNTIFS($B$5:B1593,B1593,$D$5:D1593,"Feature Use")=1),1,0)</f>
        <v>0</v>
      </c>
    </row>
    <row r="1594" customFormat="false" ht="15" hidden="false" customHeight="false" outlineLevel="0" collapsed="false">
      <c r="A1594" s="22" t="s">
        <v>1901</v>
      </c>
      <c r="B1594" s="22" t="s">
        <v>176</v>
      </c>
      <c r="C1594" s="31" t="n">
        <v>46310</v>
      </c>
      <c r="D1594" s="22" t="s">
        <v>300</v>
      </c>
      <c r="E1594" s="22" t="s">
        <v>305</v>
      </c>
      <c r="F1594" s="29" t="str">
        <f aca="false">IF(COUNTIF(Referral_Data!$C$5:$C$1000,B1594)&gt;0,"Referred",IF(COUNTIF(Referral_Data!$B$5:$B$1000,B1594)&gt;0,"Referrer","Organic"))</f>
        <v>Referred</v>
      </c>
      <c r="G1594" s="29" t="n">
        <f aca="false">IF(COUNTIFS($B$5:B1594,B1594,$C$5:C1594,C1594)=1,1,0)</f>
        <v>0</v>
      </c>
      <c r="H1594" s="29" t="n">
        <f aca="false">IF(AND(G1594=1,COUNTIFS($B$5:$B$1635,B1594,$C$5:$C$1635,"&lt;"&amp;C1594)&gt;0),1,0)</f>
        <v>0</v>
      </c>
      <c r="I1594" s="29" t="n">
        <f aca="false">IF(AND(D1594="Feature Use",COUNTIFS($B$5:B1594,B1594,$D$5:D1594,"Feature Use",$E$5:E1594,E1594)=1),1,0)</f>
        <v>0</v>
      </c>
      <c r="J1594" s="29" t="n">
        <f aca="false">IF(AND(D1594="Feature Use",COUNTIFS($B$5:B1594,B1594,$D$5:D1594,"Feature Use",$E$5:E1594,E1594)=2),1,0)</f>
        <v>0</v>
      </c>
      <c r="K1594" s="29" t="n">
        <f aca="false">IF(COUNTIF($B$5:B1594,B1594)=1,1,0)</f>
        <v>0</v>
      </c>
      <c r="L1594" s="29" t="n">
        <f aca="false">IF(AND(C1594&gt;=Settings!$B$5-Settings!$B$8+1,C1594&lt;=Settings!$B$5,COUNTIFS($B$5:B1594,B1594,$C$5:C1594,"&gt;="&amp;(Settings!$B$5-Settings!$B$8+1),$C$5:C1594,"&lt;="&amp;Settings!$B$5)=1),1,0)</f>
        <v>0</v>
      </c>
      <c r="M1594" s="29" t="n">
        <f aca="false">IF(AND(C1594&gt;=Settings!$B$5-Settings!$B$9+1,C1594&lt;=Settings!$B$5,COUNTIFS($B$5:B1594,B1594,$C$5:C1594,"&gt;="&amp;(Settings!$B$5-Settings!$B$9+1),$C$5:C1594,"&lt;="&amp;Settings!$B$5)=1),1,0)</f>
        <v>0</v>
      </c>
      <c r="N1594" s="29" t="n">
        <f aca="false">IF(AND(D1594="Feature Use",COUNTIFS($B$5:B1594,B1594,$D$5:D1594,"Feature Use")=1),1,0)</f>
        <v>0</v>
      </c>
    </row>
    <row r="1595" customFormat="false" ht="15" hidden="false" customHeight="false" outlineLevel="0" collapsed="false">
      <c r="A1595" s="22" t="s">
        <v>1902</v>
      </c>
      <c r="B1595" s="22" t="s">
        <v>184</v>
      </c>
      <c r="C1595" s="31" t="n">
        <v>46310</v>
      </c>
      <c r="D1595" s="22" t="s">
        <v>297</v>
      </c>
      <c r="E1595" s="22" t="s">
        <v>298</v>
      </c>
      <c r="F1595" s="29" t="str">
        <f aca="false">IF(COUNTIF(Referral_Data!$C$5:$C$1000,B1595)&gt;0,"Referred",IF(COUNTIF(Referral_Data!$B$5:$B$1000,B1595)&gt;0,"Referrer","Organic"))</f>
        <v>Referred</v>
      </c>
      <c r="G1595" s="29" t="n">
        <f aca="false">IF(COUNTIFS($B$5:B1595,B1595,$C$5:C1595,C1595)=1,1,0)</f>
        <v>1</v>
      </c>
      <c r="H1595" s="29" t="n">
        <f aca="false">IF(AND(G1595=1,COUNTIFS($B$5:$B$1635,B1595,$C$5:$C$1635,"&lt;"&amp;C1595)&gt;0),1,0)</f>
        <v>1</v>
      </c>
      <c r="I1595" s="29" t="n">
        <f aca="false">IF(AND(D1595="Feature Use",COUNTIFS($B$5:B1595,B1595,$D$5:D1595,"Feature Use",$E$5:E1595,E1595)=1),1,0)</f>
        <v>0</v>
      </c>
      <c r="J1595" s="29" t="n">
        <f aca="false">IF(AND(D1595="Feature Use",COUNTIFS($B$5:B1595,B1595,$D$5:D1595,"Feature Use",$E$5:E1595,E1595)=2),1,0)</f>
        <v>0</v>
      </c>
      <c r="K1595" s="29" t="n">
        <f aca="false">IF(COUNTIF($B$5:B1595,B1595)=1,1,0)</f>
        <v>0</v>
      </c>
      <c r="L1595" s="29" t="n">
        <f aca="false">IF(AND(C1595&gt;=Settings!$B$5-Settings!$B$8+1,C1595&lt;=Settings!$B$5,COUNTIFS($B$5:B1595,B1595,$C$5:C1595,"&gt;="&amp;(Settings!$B$5-Settings!$B$8+1),$C$5:C1595,"&lt;="&amp;Settings!$B$5)=1),1,0)</f>
        <v>0</v>
      </c>
      <c r="M1595" s="29" t="n">
        <f aca="false">IF(AND(C1595&gt;=Settings!$B$5-Settings!$B$9+1,C1595&lt;=Settings!$B$5,COUNTIFS($B$5:B1595,B1595,$C$5:C1595,"&gt;="&amp;(Settings!$B$5-Settings!$B$9+1),$C$5:C1595,"&lt;="&amp;Settings!$B$5)=1),1,0)</f>
        <v>0</v>
      </c>
      <c r="N1595" s="29" t="n">
        <f aca="false">IF(AND(D1595="Feature Use",COUNTIFS($B$5:B1595,B1595,$D$5:D1595,"Feature Use")=1),1,0)</f>
        <v>0</v>
      </c>
    </row>
    <row r="1596" customFormat="false" ht="15" hidden="false" customHeight="false" outlineLevel="0" collapsed="false">
      <c r="A1596" s="22" t="s">
        <v>1903</v>
      </c>
      <c r="B1596" s="22" t="s">
        <v>184</v>
      </c>
      <c r="C1596" s="31" t="n">
        <v>46310</v>
      </c>
      <c r="D1596" s="22" t="s">
        <v>300</v>
      </c>
      <c r="E1596" s="22" t="s">
        <v>319</v>
      </c>
      <c r="F1596" s="29" t="str">
        <f aca="false">IF(COUNTIF(Referral_Data!$C$5:$C$1000,B1596)&gt;0,"Referred",IF(COUNTIF(Referral_Data!$B$5:$B$1000,B1596)&gt;0,"Referrer","Organic"))</f>
        <v>Referred</v>
      </c>
      <c r="G1596" s="29" t="n">
        <f aca="false">IF(COUNTIFS($B$5:B1596,B1596,$C$5:C1596,C1596)=1,1,0)</f>
        <v>0</v>
      </c>
      <c r="H1596" s="29" t="n">
        <f aca="false">IF(AND(G1596=1,COUNTIFS($B$5:$B$1635,B1596,$C$5:$C$1635,"&lt;"&amp;C1596)&gt;0),1,0)</f>
        <v>0</v>
      </c>
      <c r="I1596" s="29" t="n">
        <f aca="false">IF(AND(D1596="Feature Use",COUNTIFS($B$5:B1596,B1596,$D$5:D1596,"Feature Use",$E$5:E1596,E1596)=1),1,0)</f>
        <v>0</v>
      </c>
      <c r="J1596" s="29" t="n">
        <f aca="false">IF(AND(D1596="Feature Use",COUNTIFS($B$5:B1596,B1596,$D$5:D1596,"Feature Use",$E$5:E1596,E1596)=2),1,0)</f>
        <v>0</v>
      </c>
      <c r="K1596" s="29" t="n">
        <f aca="false">IF(COUNTIF($B$5:B1596,B1596)=1,1,0)</f>
        <v>0</v>
      </c>
      <c r="L1596" s="29" t="n">
        <f aca="false">IF(AND(C1596&gt;=Settings!$B$5-Settings!$B$8+1,C1596&lt;=Settings!$B$5,COUNTIFS($B$5:B1596,B1596,$C$5:C1596,"&gt;="&amp;(Settings!$B$5-Settings!$B$8+1),$C$5:C1596,"&lt;="&amp;Settings!$B$5)=1),1,0)</f>
        <v>0</v>
      </c>
      <c r="M1596" s="29" t="n">
        <f aca="false">IF(AND(C1596&gt;=Settings!$B$5-Settings!$B$9+1,C1596&lt;=Settings!$B$5,COUNTIFS($B$5:B1596,B1596,$C$5:C1596,"&gt;="&amp;(Settings!$B$5-Settings!$B$9+1),$C$5:C1596,"&lt;="&amp;Settings!$B$5)=1),1,0)</f>
        <v>0</v>
      </c>
      <c r="N1596" s="29" t="n">
        <f aca="false">IF(AND(D1596="Feature Use",COUNTIFS($B$5:B1596,B1596,$D$5:D1596,"Feature Use")=1),1,0)</f>
        <v>0</v>
      </c>
    </row>
    <row r="1597" customFormat="false" ht="15" hidden="false" customHeight="false" outlineLevel="0" collapsed="false">
      <c r="A1597" s="22" t="s">
        <v>1904</v>
      </c>
      <c r="B1597" s="22" t="s">
        <v>184</v>
      </c>
      <c r="C1597" s="31" t="n">
        <v>46310</v>
      </c>
      <c r="D1597" s="22" t="s">
        <v>300</v>
      </c>
      <c r="E1597" s="22" t="s">
        <v>305</v>
      </c>
      <c r="F1597" s="29" t="str">
        <f aca="false">IF(COUNTIF(Referral_Data!$C$5:$C$1000,B1597)&gt;0,"Referred",IF(COUNTIF(Referral_Data!$B$5:$B$1000,B1597)&gt;0,"Referrer","Organic"))</f>
        <v>Referred</v>
      </c>
      <c r="G1597" s="29" t="n">
        <f aca="false">IF(COUNTIFS($B$5:B1597,B1597,$C$5:C1597,C1597)=1,1,0)</f>
        <v>0</v>
      </c>
      <c r="H1597" s="29" t="n">
        <f aca="false">IF(AND(G1597=1,COUNTIFS($B$5:$B$1635,B1597,$C$5:$C$1635,"&lt;"&amp;C1597)&gt;0),1,0)</f>
        <v>0</v>
      </c>
      <c r="I1597" s="29" t="n">
        <f aca="false">IF(AND(D1597="Feature Use",COUNTIFS($B$5:B1597,B1597,$D$5:D1597,"Feature Use",$E$5:E1597,E1597)=1),1,0)</f>
        <v>0</v>
      </c>
      <c r="J1597" s="29" t="n">
        <f aca="false">IF(AND(D1597="Feature Use",COUNTIFS($B$5:B1597,B1597,$D$5:D1597,"Feature Use",$E$5:E1597,E1597)=2),1,0)</f>
        <v>0</v>
      </c>
      <c r="K1597" s="29" t="n">
        <f aca="false">IF(COUNTIF($B$5:B1597,B1597)=1,1,0)</f>
        <v>0</v>
      </c>
      <c r="L1597" s="29" t="n">
        <f aca="false">IF(AND(C1597&gt;=Settings!$B$5-Settings!$B$8+1,C1597&lt;=Settings!$B$5,COUNTIFS($B$5:B1597,B1597,$C$5:C1597,"&gt;="&amp;(Settings!$B$5-Settings!$B$8+1),$C$5:C1597,"&lt;="&amp;Settings!$B$5)=1),1,0)</f>
        <v>0</v>
      </c>
      <c r="M1597" s="29" t="n">
        <f aca="false">IF(AND(C1597&gt;=Settings!$B$5-Settings!$B$9+1,C1597&lt;=Settings!$B$5,COUNTIFS($B$5:B1597,B1597,$C$5:C1597,"&gt;="&amp;(Settings!$B$5-Settings!$B$9+1),$C$5:C1597,"&lt;="&amp;Settings!$B$5)=1),1,0)</f>
        <v>0</v>
      </c>
      <c r="N1597" s="29" t="n">
        <f aca="false">IF(AND(D1597="Feature Use",COUNTIFS($B$5:B1597,B1597,$D$5:D1597,"Feature Use")=1),1,0)</f>
        <v>0</v>
      </c>
    </row>
    <row r="1598" customFormat="false" ht="15" hidden="false" customHeight="false" outlineLevel="0" collapsed="false">
      <c r="A1598" s="22" t="s">
        <v>1905</v>
      </c>
      <c r="B1598" s="22" t="s">
        <v>184</v>
      </c>
      <c r="C1598" s="31" t="n">
        <v>46310</v>
      </c>
      <c r="D1598" s="22" t="s">
        <v>308</v>
      </c>
      <c r="E1598" s="22" t="s">
        <v>305</v>
      </c>
      <c r="F1598" s="29" t="str">
        <f aca="false">IF(COUNTIF(Referral_Data!$C$5:$C$1000,B1598)&gt;0,"Referred",IF(COUNTIF(Referral_Data!$B$5:$B$1000,B1598)&gt;0,"Referrer","Organic"))</f>
        <v>Referred</v>
      </c>
      <c r="G1598" s="29" t="n">
        <f aca="false">IF(COUNTIFS($B$5:B1598,B1598,$C$5:C1598,C1598)=1,1,0)</f>
        <v>0</v>
      </c>
      <c r="H1598" s="29" t="n">
        <f aca="false">IF(AND(G1598=1,COUNTIFS($B$5:$B$1635,B1598,$C$5:$C$1635,"&lt;"&amp;C1598)&gt;0),1,0)</f>
        <v>0</v>
      </c>
      <c r="I1598" s="29" t="n">
        <f aca="false">IF(AND(D1598="Feature Use",COUNTIFS($B$5:B1598,B1598,$D$5:D1598,"Feature Use",$E$5:E1598,E1598)=1),1,0)</f>
        <v>0</v>
      </c>
      <c r="J1598" s="29" t="n">
        <f aca="false">IF(AND(D1598="Feature Use",COUNTIFS($B$5:B1598,B1598,$D$5:D1598,"Feature Use",$E$5:E1598,E1598)=2),1,0)</f>
        <v>0</v>
      </c>
      <c r="K1598" s="29" t="n">
        <f aca="false">IF(COUNTIF($B$5:B1598,B1598)=1,1,0)</f>
        <v>0</v>
      </c>
      <c r="L1598" s="29" t="n">
        <f aca="false">IF(AND(C1598&gt;=Settings!$B$5-Settings!$B$8+1,C1598&lt;=Settings!$B$5,COUNTIFS($B$5:B1598,B1598,$C$5:C1598,"&gt;="&amp;(Settings!$B$5-Settings!$B$8+1),$C$5:C1598,"&lt;="&amp;Settings!$B$5)=1),1,0)</f>
        <v>0</v>
      </c>
      <c r="M1598" s="29" t="n">
        <f aca="false">IF(AND(C1598&gt;=Settings!$B$5-Settings!$B$9+1,C1598&lt;=Settings!$B$5,COUNTIFS($B$5:B1598,B1598,$C$5:C1598,"&gt;="&amp;(Settings!$B$5-Settings!$B$9+1),$C$5:C1598,"&lt;="&amp;Settings!$B$5)=1),1,0)</f>
        <v>0</v>
      </c>
      <c r="N1598" s="29" t="n">
        <f aca="false">IF(AND(D1598="Feature Use",COUNTIFS($B$5:B1598,B1598,$D$5:D1598,"Feature Use")=1),1,0)</f>
        <v>0</v>
      </c>
    </row>
    <row r="1599" customFormat="false" ht="15" hidden="false" customHeight="false" outlineLevel="0" collapsed="false">
      <c r="A1599" s="22" t="s">
        <v>1906</v>
      </c>
      <c r="B1599" s="22" t="s">
        <v>188</v>
      </c>
      <c r="C1599" s="31" t="n">
        <v>46310</v>
      </c>
      <c r="D1599" s="22" t="s">
        <v>297</v>
      </c>
      <c r="E1599" s="22" t="s">
        <v>298</v>
      </c>
      <c r="F1599" s="29" t="str">
        <f aca="false">IF(COUNTIF(Referral_Data!$C$5:$C$1000,B1599)&gt;0,"Referred",IF(COUNTIF(Referral_Data!$B$5:$B$1000,B1599)&gt;0,"Referrer","Organic"))</f>
        <v>Referred</v>
      </c>
      <c r="G1599" s="29" t="n">
        <f aca="false">IF(COUNTIFS($B$5:B1599,B1599,$C$5:C1599,C1599)=1,1,0)</f>
        <v>1</v>
      </c>
      <c r="H1599" s="29" t="n">
        <f aca="false">IF(AND(G1599=1,COUNTIFS($B$5:$B$1635,B1599,$C$5:$C$1635,"&lt;"&amp;C1599)&gt;0),1,0)</f>
        <v>1</v>
      </c>
      <c r="I1599" s="29" t="n">
        <f aca="false">IF(AND(D1599="Feature Use",COUNTIFS($B$5:B1599,B1599,$D$5:D1599,"Feature Use",$E$5:E1599,E1599)=1),1,0)</f>
        <v>0</v>
      </c>
      <c r="J1599" s="29" t="n">
        <f aca="false">IF(AND(D1599="Feature Use",COUNTIFS($B$5:B1599,B1599,$D$5:D1599,"Feature Use",$E$5:E1599,E1599)=2),1,0)</f>
        <v>0</v>
      </c>
      <c r="K1599" s="29" t="n">
        <f aca="false">IF(COUNTIF($B$5:B1599,B1599)=1,1,0)</f>
        <v>0</v>
      </c>
      <c r="L1599" s="29" t="n">
        <f aca="false">IF(AND(C1599&gt;=Settings!$B$5-Settings!$B$8+1,C1599&lt;=Settings!$B$5,COUNTIFS($B$5:B1599,B1599,$C$5:C1599,"&gt;="&amp;(Settings!$B$5-Settings!$B$8+1),$C$5:C1599,"&lt;="&amp;Settings!$B$5)=1),1,0)</f>
        <v>1</v>
      </c>
      <c r="M1599" s="29" t="n">
        <f aca="false">IF(AND(C1599&gt;=Settings!$B$5-Settings!$B$9+1,C1599&lt;=Settings!$B$5,COUNTIFS($B$5:B1599,B1599,$C$5:C1599,"&gt;="&amp;(Settings!$B$5-Settings!$B$9+1),$C$5:C1599,"&lt;="&amp;Settings!$B$5)=1),1,0)</f>
        <v>0</v>
      </c>
      <c r="N1599" s="29" t="n">
        <f aca="false">IF(AND(D1599="Feature Use",COUNTIFS($B$5:B1599,B1599,$D$5:D1599,"Feature Use")=1),1,0)</f>
        <v>0</v>
      </c>
    </row>
    <row r="1600" customFormat="false" ht="15" hidden="false" customHeight="false" outlineLevel="0" collapsed="false">
      <c r="A1600" s="22" t="s">
        <v>1907</v>
      </c>
      <c r="B1600" s="22" t="s">
        <v>188</v>
      </c>
      <c r="C1600" s="31" t="n">
        <v>46310</v>
      </c>
      <c r="D1600" s="22" t="s">
        <v>300</v>
      </c>
      <c r="E1600" s="22" t="s">
        <v>305</v>
      </c>
      <c r="F1600" s="29" t="str">
        <f aca="false">IF(COUNTIF(Referral_Data!$C$5:$C$1000,B1600)&gt;0,"Referred",IF(COUNTIF(Referral_Data!$B$5:$B$1000,B1600)&gt;0,"Referrer","Organic"))</f>
        <v>Referred</v>
      </c>
      <c r="G1600" s="29" t="n">
        <f aca="false">IF(COUNTIFS($B$5:B1600,B1600,$C$5:C1600,C1600)=1,1,0)</f>
        <v>0</v>
      </c>
      <c r="H1600" s="29" t="n">
        <f aca="false">IF(AND(G1600=1,COUNTIFS($B$5:$B$1635,B1600,$C$5:$C$1635,"&lt;"&amp;C1600)&gt;0),1,0)</f>
        <v>0</v>
      </c>
      <c r="I1600" s="29" t="n">
        <f aca="false">IF(AND(D1600="Feature Use",COUNTIFS($B$5:B1600,B1600,$D$5:D1600,"Feature Use",$E$5:E1600,E1600)=1),1,0)</f>
        <v>0</v>
      </c>
      <c r="J1600" s="29" t="n">
        <f aca="false">IF(AND(D1600="Feature Use",COUNTIFS($B$5:B1600,B1600,$D$5:D1600,"Feature Use",$E$5:E1600,E1600)=2),1,0)</f>
        <v>0</v>
      </c>
      <c r="K1600" s="29" t="n">
        <f aca="false">IF(COUNTIF($B$5:B1600,B1600)=1,1,0)</f>
        <v>0</v>
      </c>
      <c r="L1600" s="29" t="n">
        <f aca="false">IF(AND(C1600&gt;=Settings!$B$5-Settings!$B$8+1,C1600&lt;=Settings!$B$5,COUNTIFS($B$5:B1600,B1600,$C$5:C1600,"&gt;="&amp;(Settings!$B$5-Settings!$B$8+1),$C$5:C1600,"&lt;="&amp;Settings!$B$5)=1),1,0)</f>
        <v>0</v>
      </c>
      <c r="M1600" s="29" t="n">
        <f aca="false">IF(AND(C1600&gt;=Settings!$B$5-Settings!$B$9+1,C1600&lt;=Settings!$B$5,COUNTIFS($B$5:B1600,B1600,$C$5:C1600,"&gt;="&amp;(Settings!$B$5-Settings!$B$9+1),$C$5:C1600,"&lt;="&amp;Settings!$B$5)=1),1,0)</f>
        <v>0</v>
      </c>
      <c r="N1600" s="29" t="n">
        <f aca="false">IF(AND(D1600="Feature Use",COUNTIFS($B$5:B1600,B1600,$D$5:D1600,"Feature Use")=1),1,0)</f>
        <v>0</v>
      </c>
    </row>
    <row r="1601" customFormat="false" ht="15" hidden="false" customHeight="false" outlineLevel="0" collapsed="false">
      <c r="A1601" s="22" t="s">
        <v>1908</v>
      </c>
      <c r="B1601" s="22" t="s">
        <v>192</v>
      </c>
      <c r="C1601" s="31" t="n">
        <v>46310</v>
      </c>
      <c r="D1601" s="22" t="s">
        <v>297</v>
      </c>
      <c r="E1601" s="22" t="s">
        <v>298</v>
      </c>
      <c r="F1601" s="29" t="str">
        <f aca="false">IF(COUNTIF(Referral_Data!$C$5:$C$1000,B1601)&gt;0,"Referred",IF(COUNTIF(Referral_Data!$B$5:$B$1000,B1601)&gt;0,"Referrer","Organic"))</f>
        <v>Referred</v>
      </c>
      <c r="G1601" s="29" t="n">
        <f aca="false">IF(COUNTIFS($B$5:B1601,B1601,$C$5:C1601,C1601)=1,1,0)</f>
        <v>1</v>
      </c>
      <c r="H1601" s="29" t="n">
        <f aca="false">IF(AND(G1601=1,COUNTIFS($B$5:$B$1635,B1601,$C$5:$C$1635,"&lt;"&amp;C1601)&gt;0),1,0)</f>
        <v>1</v>
      </c>
      <c r="I1601" s="29" t="n">
        <f aca="false">IF(AND(D1601="Feature Use",COUNTIFS($B$5:B1601,B1601,$D$5:D1601,"Feature Use",$E$5:E1601,E1601)=1),1,0)</f>
        <v>0</v>
      </c>
      <c r="J1601" s="29" t="n">
        <f aca="false">IF(AND(D1601="Feature Use",COUNTIFS($B$5:B1601,B1601,$D$5:D1601,"Feature Use",$E$5:E1601,E1601)=2),1,0)</f>
        <v>0</v>
      </c>
      <c r="K1601" s="29" t="n">
        <f aca="false">IF(COUNTIF($B$5:B1601,B1601)=1,1,0)</f>
        <v>0</v>
      </c>
      <c r="L1601" s="29" t="n">
        <f aca="false">IF(AND(C1601&gt;=Settings!$B$5-Settings!$B$8+1,C1601&lt;=Settings!$B$5,COUNTIFS($B$5:B1601,B1601,$C$5:C1601,"&gt;="&amp;(Settings!$B$5-Settings!$B$8+1),$C$5:C1601,"&lt;="&amp;Settings!$B$5)=1),1,0)</f>
        <v>0</v>
      </c>
      <c r="M1601" s="29" t="n">
        <f aca="false">IF(AND(C1601&gt;=Settings!$B$5-Settings!$B$9+1,C1601&lt;=Settings!$B$5,COUNTIFS($B$5:B1601,B1601,$C$5:C1601,"&gt;="&amp;(Settings!$B$5-Settings!$B$9+1),$C$5:C1601,"&lt;="&amp;Settings!$B$5)=1),1,0)</f>
        <v>0</v>
      </c>
      <c r="N1601" s="29" t="n">
        <f aca="false">IF(AND(D1601="Feature Use",COUNTIFS($B$5:B1601,B1601,$D$5:D1601,"Feature Use")=1),1,0)</f>
        <v>0</v>
      </c>
    </row>
    <row r="1602" customFormat="false" ht="15" hidden="false" customHeight="false" outlineLevel="0" collapsed="false">
      <c r="A1602" s="22" t="s">
        <v>1909</v>
      </c>
      <c r="B1602" s="22" t="s">
        <v>192</v>
      </c>
      <c r="C1602" s="31" t="n">
        <v>46310</v>
      </c>
      <c r="D1602" s="22" t="s">
        <v>300</v>
      </c>
      <c r="E1602" s="22" t="s">
        <v>301</v>
      </c>
      <c r="F1602" s="29" t="str">
        <f aca="false">IF(COUNTIF(Referral_Data!$C$5:$C$1000,B1602)&gt;0,"Referred",IF(COUNTIF(Referral_Data!$B$5:$B$1000,B1602)&gt;0,"Referrer","Organic"))</f>
        <v>Referred</v>
      </c>
      <c r="G1602" s="29" t="n">
        <f aca="false">IF(COUNTIFS($B$5:B1602,B1602,$C$5:C1602,C1602)=1,1,0)</f>
        <v>0</v>
      </c>
      <c r="H1602" s="29" t="n">
        <f aca="false">IF(AND(G1602=1,COUNTIFS($B$5:$B$1635,B1602,$C$5:$C$1635,"&lt;"&amp;C1602)&gt;0),1,0)</f>
        <v>0</v>
      </c>
      <c r="I1602" s="29" t="n">
        <f aca="false">IF(AND(D1602="Feature Use",COUNTIFS($B$5:B1602,B1602,$D$5:D1602,"Feature Use",$E$5:E1602,E1602)=1),1,0)</f>
        <v>0</v>
      </c>
      <c r="J1602" s="29" t="n">
        <f aca="false">IF(AND(D1602="Feature Use",COUNTIFS($B$5:B1602,B1602,$D$5:D1602,"Feature Use",$E$5:E1602,E1602)=2),1,0)</f>
        <v>0</v>
      </c>
      <c r="K1602" s="29" t="n">
        <f aca="false">IF(COUNTIF($B$5:B1602,B1602)=1,1,0)</f>
        <v>0</v>
      </c>
      <c r="L1602" s="29" t="n">
        <f aca="false">IF(AND(C1602&gt;=Settings!$B$5-Settings!$B$8+1,C1602&lt;=Settings!$B$5,COUNTIFS($B$5:B1602,B1602,$C$5:C1602,"&gt;="&amp;(Settings!$B$5-Settings!$B$8+1),$C$5:C1602,"&lt;="&amp;Settings!$B$5)=1),1,0)</f>
        <v>0</v>
      </c>
      <c r="M1602" s="29" t="n">
        <f aca="false">IF(AND(C1602&gt;=Settings!$B$5-Settings!$B$9+1,C1602&lt;=Settings!$B$5,COUNTIFS($B$5:B1602,B1602,$C$5:C1602,"&gt;="&amp;(Settings!$B$5-Settings!$B$9+1),$C$5:C1602,"&lt;="&amp;Settings!$B$5)=1),1,0)</f>
        <v>0</v>
      </c>
      <c r="N1602" s="29" t="n">
        <f aca="false">IF(AND(D1602="Feature Use",COUNTIFS($B$5:B1602,B1602,$D$5:D1602,"Feature Use")=1),1,0)</f>
        <v>0</v>
      </c>
    </row>
    <row r="1603" customFormat="false" ht="15" hidden="false" customHeight="false" outlineLevel="0" collapsed="false">
      <c r="A1603" s="22" t="s">
        <v>1910</v>
      </c>
      <c r="B1603" s="22" t="s">
        <v>209</v>
      </c>
      <c r="C1603" s="31" t="n">
        <v>46310</v>
      </c>
      <c r="D1603" s="22" t="s">
        <v>297</v>
      </c>
      <c r="E1603" s="22" t="s">
        <v>298</v>
      </c>
      <c r="F1603" s="29" t="str">
        <f aca="false">IF(COUNTIF(Referral_Data!$C$5:$C$1000,B1603)&gt;0,"Referred",IF(COUNTIF(Referral_Data!$B$5:$B$1000,B1603)&gt;0,"Referrer","Organic"))</f>
        <v>Referred</v>
      </c>
      <c r="G1603" s="29" t="n">
        <f aca="false">IF(COUNTIFS($B$5:B1603,B1603,$C$5:C1603,C1603)=1,1,0)</f>
        <v>1</v>
      </c>
      <c r="H1603" s="29" t="n">
        <f aca="false">IF(AND(G1603=1,COUNTIFS($B$5:$B$1635,B1603,$C$5:$C$1635,"&lt;"&amp;C1603)&gt;0),1,0)</f>
        <v>0</v>
      </c>
      <c r="I1603" s="29" t="n">
        <f aca="false">IF(AND(D1603="Feature Use",COUNTIFS($B$5:B1603,B1603,$D$5:D1603,"Feature Use",$E$5:E1603,E1603)=1),1,0)</f>
        <v>0</v>
      </c>
      <c r="J1603" s="29" t="n">
        <f aca="false">IF(AND(D1603="Feature Use",COUNTIFS($B$5:B1603,B1603,$D$5:D1603,"Feature Use",$E$5:E1603,E1603)=2),1,0)</f>
        <v>0</v>
      </c>
      <c r="K1603" s="29" t="n">
        <f aca="false">IF(COUNTIF($B$5:B1603,B1603)=1,1,0)</f>
        <v>1</v>
      </c>
      <c r="L1603" s="29" t="n">
        <f aca="false">IF(AND(C1603&gt;=Settings!$B$5-Settings!$B$8+1,C1603&lt;=Settings!$B$5,COUNTIFS($B$5:B1603,B1603,$C$5:C1603,"&gt;="&amp;(Settings!$B$5-Settings!$B$8+1),$C$5:C1603,"&lt;="&amp;Settings!$B$5)=1),1,0)</f>
        <v>1</v>
      </c>
      <c r="M1603" s="29" t="n">
        <f aca="false">IF(AND(C1603&gt;=Settings!$B$5-Settings!$B$9+1,C1603&lt;=Settings!$B$5,COUNTIFS($B$5:B1603,B1603,$C$5:C1603,"&gt;="&amp;(Settings!$B$5-Settings!$B$9+1),$C$5:C1603,"&lt;="&amp;Settings!$B$5)=1),1,0)</f>
        <v>1</v>
      </c>
      <c r="N1603" s="29" t="n">
        <f aca="false">IF(AND(D1603="Feature Use",COUNTIFS($B$5:B1603,B1603,$D$5:D1603,"Feature Use")=1),1,0)</f>
        <v>0</v>
      </c>
    </row>
    <row r="1604" customFormat="false" ht="15" hidden="false" customHeight="false" outlineLevel="0" collapsed="false">
      <c r="A1604" s="22" t="s">
        <v>1911</v>
      </c>
      <c r="B1604" s="22" t="s">
        <v>209</v>
      </c>
      <c r="C1604" s="31" t="n">
        <v>46310</v>
      </c>
      <c r="D1604" s="22" t="s">
        <v>300</v>
      </c>
      <c r="E1604" s="22" t="s">
        <v>305</v>
      </c>
      <c r="F1604" s="29" t="str">
        <f aca="false">IF(COUNTIF(Referral_Data!$C$5:$C$1000,B1604)&gt;0,"Referred",IF(COUNTIF(Referral_Data!$B$5:$B$1000,B1604)&gt;0,"Referrer","Organic"))</f>
        <v>Referred</v>
      </c>
      <c r="G1604" s="29" t="n">
        <f aca="false">IF(COUNTIFS($B$5:B1604,B1604,$C$5:C1604,C1604)=1,1,0)</f>
        <v>0</v>
      </c>
      <c r="H1604" s="29" t="n">
        <f aca="false">IF(AND(G1604=1,COUNTIFS($B$5:$B$1635,B1604,$C$5:$C$1635,"&lt;"&amp;C1604)&gt;0),1,0)</f>
        <v>0</v>
      </c>
      <c r="I1604" s="29" t="n">
        <f aca="false">IF(AND(D1604="Feature Use",COUNTIFS($B$5:B1604,B1604,$D$5:D1604,"Feature Use",$E$5:E1604,E1604)=1),1,0)</f>
        <v>1</v>
      </c>
      <c r="J1604" s="29" t="n">
        <f aca="false">IF(AND(D1604="Feature Use",COUNTIFS($B$5:B1604,B1604,$D$5:D1604,"Feature Use",$E$5:E1604,E1604)=2),1,0)</f>
        <v>0</v>
      </c>
      <c r="K1604" s="29" t="n">
        <f aca="false">IF(COUNTIF($B$5:B1604,B1604)=1,1,0)</f>
        <v>0</v>
      </c>
      <c r="L1604" s="29" t="n">
        <f aca="false">IF(AND(C1604&gt;=Settings!$B$5-Settings!$B$8+1,C1604&lt;=Settings!$B$5,COUNTIFS($B$5:B1604,B1604,$C$5:C1604,"&gt;="&amp;(Settings!$B$5-Settings!$B$8+1),$C$5:C1604,"&lt;="&amp;Settings!$B$5)=1),1,0)</f>
        <v>0</v>
      </c>
      <c r="M1604" s="29" t="n">
        <f aca="false">IF(AND(C1604&gt;=Settings!$B$5-Settings!$B$9+1,C1604&lt;=Settings!$B$5,COUNTIFS($B$5:B1604,B1604,$C$5:C1604,"&gt;="&amp;(Settings!$B$5-Settings!$B$9+1),$C$5:C1604,"&lt;="&amp;Settings!$B$5)=1),1,0)</f>
        <v>0</v>
      </c>
      <c r="N1604" s="29" t="n">
        <f aca="false">IF(AND(D1604="Feature Use",COUNTIFS($B$5:B1604,B1604,$D$5:D1604,"Feature Use")=1),1,0)</f>
        <v>1</v>
      </c>
    </row>
    <row r="1605" customFormat="false" ht="15" hidden="false" customHeight="false" outlineLevel="0" collapsed="false">
      <c r="A1605" s="22" t="s">
        <v>1912</v>
      </c>
      <c r="B1605" s="22" t="s">
        <v>220</v>
      </c>
      <c r="C1605" s="31" t="n">
        <v>46310</v>
      </c>
      <c r="D1605" s="22" t="s">
        <v>297</v>
      </c>
      <c r="E1605" s="22" t="s">
        <v>298</v>
      </c>
      <c r="F1605" s="29" t="str">
        <f aca="false">IF(COUNTIF(Referral_Data!$C$5:$C$1000,B1605)&gt;0,"Referred",IF(COUNTIF(Referral_Data!$B$5:$B$1000,B1605)&gt;0,"Referrer","Organic"))</f>
        <v>Referred</v>
      </c>
      <c r="G1605" s="29" t="n">
        <f aca="false">IF(COUNTIFS($B$5:B1605,B1605,$C$5:C1605,C1605)=1,1,0)</f>
        <v>1</v>
      </c>
      <c r="H1605" s="29" t="n">
        <f aca="false">IF(AND(G1605=1,COUNTIFS($B$5:$B$1635,B1605,$C$5:$C$1635,"&lt;"&amp;C1605)&gt;0),1,0)</f>
        <v>1</v>
      </c>
      <c r="I1605" s="29" t="n">
        <f aca="false">IF(AND(D1605="Feature Use",COUNTIFS($B$5:B1605,B1605,$D$5:D1605,"Feature Use",$E$5:E1605,E1605)=1),1,0)</f>
        <v>0</v>
      </c>
      <c r="J1605" s="29" t="n">
        <f aca="false">IF(AND(D1605="Feature Use",COUNTIFS($B$5:B1605,B1605,$D$5:D1605,"Feature Use",$E$5:E1605,E1605)=2),1,0)</f>
        <v>0</v>
      </c>
      <c r="K1605" s="29" t="n">
        <f aca="false">IF(COUNTIF($B$5:B1605,B1605)=1,1,0)</f>
        <v>0</v>
      </c>
      <c r="L1605" s="29" t="n">
        <f aca="false">IF(AND(C1605&gt;=Settings!$B$5-Settings!$B$8+1,C1605&lt;=Settings!$B$5,COUNTIFS($B$5:B1605,B1605,$C$5:C1605,"&gt;="&amp;(Settings!$B$5-Settings!$B$8+1),$C$5:C1605,"&lt;="&amp;Settings!$B$5)=1),1,0)</f>
        <v>0</v>
      </c>
      <c r="M1605" s="29" t="n">
        <f aca="false">IF(AND(C1605&gt;=Settings!$B$5-Settings!$B$9+1,C1605&lt;=Settings!$B$5,COUNTIFS($B$5:B1605,B1605,$C$5:C1605,"&gt;="&amp;(Settings!$B$5-Settings!$B$9+1),$C$5:C1605,"&lt;="&amp;Settings!$B$5)=1),1,0)</f>
        <v>0</v>
      </c>
      <c r="N1605" s="29" t="n">
        <f aca="false">IF(AND(D1605="Feature Use",COUNTIFS($B$5:B1605,B1605,$D$5:D1605,"Feature Use")=1),1,0)</f>
        <v>0</v>
      </c>
    </row>
    <row r="1606" customFormat="false" ht="15" hidden="false" customHeight="false" outlineLevel="0" collapsed="false">
      <c r="A1606" s="22" t="s">
        <v>1913</v>
      </c>
      <c r="B1606" s="22" t="s">
        <v>220</v>
      </c>
      <c r="C1606" s="31" t="n">
        <v>46310</v>
      </c>
      <c r="D1606" s="22" t="s">
        <v>300</v>
      </c>
      <c r="E1606" s="22" t="s">
        <v>309</v>
      </c>
      <c r="F1606" s="29" t="str">
        <f aca="false">IF(COUNTIF(Referral_Data!$C$5:$C$1000,B1606)&gt;0,"Referred",IF(COUNTIF(Referral_Data!$B$5:$B$1000,B1606)&gt;0,"Referrer","Organic"))</f>
        <v>Referred</v>
      </c>
      <c r="G1606" s="29" t="n">
        <f aca="false">IF(COUNTIFS($B$5:B1606,B1606,$C$5:C1606,C1606)=1,1,0)</f>
        <v>0</v>
      </c>
      <c r="H1606" s="29" t="n">
        <f aca="false">IF(AND(G1606=1,COUNTIFS($B$5:$B$1635,B1606,$C$5:$C$1635,"&lt;"&amp;C1606)&gt;0),1,0)</f>
        <v>0</v>
      </c>
      <c r="I1606" s="29" t="n">
        <f aca="false">IF(AND(D1606="Feature Use",COUNTIFS($B$5:B1606,B1606,$D$5:D1606,"Feature Use",$E$5:E1606,E1606)=1),1,0)</f>
        <v>0</v>
      </c>
      <c r="J1606" s="29" t="n">
        <f aca="false">IF(AND(D1606="Feature Use",COUNTIFS($B$5:B1606,B1606,$D$5:D1606,"Feature Use",$E$5:E1606,E1606)=2),1,0)</f>
        <v>1</v>
      </c>
      <c r="K1606" s="29" t="n">
        <f aca="false">IF(COUNTIF($B$5:B1606,B1606)=1,1,0)</f>
        <v>0</v>
      </c>
      <c r="L1606" s="29" t="n">
        <f aca="false">IF(AND(C1606&gt;=Settings!$B$5-Settings!$B$8+1,C1606&lt;=Settings!$B$5,COUNTIFS($B$5:B1606,B1606,$C$5:C1606,"&gt;="&amp;(Settings!$B$5-Settings!$B$8+1),$C$5:C1606,"&lt;="&amp;Settings!$B$5)=1),1,0)</f>
        <v>0</v>
      </c>
      <c r="M1606" s="29" t="n">
        <f aca="false">IF(AND(C1606&gt;=Settings!$B$5-Settings!$B$9+1,C1606&lt;=Settings!$B$5,COUNTIFS($B$5:B1606,B1606,$C$5:C1606,"&gt;="&amp;(Settings!$B$5-Settings!$B$9+1),$C$5:C1606,"&lt;="&amp;Settings!$B$5)=1),1,0)</f>
        <v>0</v>
      </c>
      <c r="N1606" s="29" t="n">
        <f aca="false">IF(AND(D1606="Feature Use",COUNTIFS($B$5:B1606,B1606,$D$5:D1606,"Feature Use")=1),1,0)</f>
        <v>0</v>
      </c>
    </row>
    <row r="1607" customFormat="false" ht="15" hidden="false" customHeight="false" outlineLevel="0" collapsed="false">
      <c r="A1607" s="22" t="s">
        <v>1914</v>
      </c>
      <c r="B1607" s="22" t="s">
        <v>228</v>
      </c>
      <c r="C1607" s="31" t="n">
        <v>46310</v>
      </c>
      <c r="D1607" s="22" t="s">
        <v>297</v>
      </c>
      <c r="E1607" s="22" t="s">
        <v>298</v>
      </c>
      <c r="F1607" s="29" t="str">
        <f aca="false">IF(COUNTIF(Referral_Data!$C$5:$C$1000,B1607)&gt;0,"Referred",IF(COUNTIF(Referral_Data!$B$5:$B$1000,B1607)&gt;0,"Referrer","Organic"))</f>
        <v>Referred</v>
      </c>
      <c r="G1607" s="29" t="n">
        <f aca="false">IF(COUNTIFS($B$5:B1607,B1607,$C$5:C1607,C1607)=1,1,0)</f>
        <v>1</v>
      </c>
      <c r="H1607" s="29" t="n">
        <f aca="false">IF(AND(G1607=1,COUNTIFS($B$5:$B$1635,B1607,$C$5:$C$1635,"&lt;"&amp;C1607)&gt;0),1,0)</f>
        <v>1</v>
      </c>
      <c r="I1607" s="29" t="n">
        <f aca="false">IF(AND(D1607="Feature Use",COUNTIFS($B$5:B1607,B1607,$D$5:D1607,"Feature Use",$E$5:E1607,E1607)=1),1,0)</f>
        <v>0</v>
      </c>
      <c r="J1607" s="29" t="n">
        <f aca="false">IF(AND(D1607="Feature Use",COUNTIFS($B$5:B1607,B1607,$D$5:D1607,"Feature Use",$E$5:E1607,E1607)=2),1,0)</f>
        <v>0</v>
      </c>
      <c r="K1607" s="29" t="n">
        <f aca="false">IF(COUNTIF($B$5:B1607,B1607)=1,1,0)</f>
        <v>0</v>
      </c>
      <c r="L1607" s="29" t="n">
        <f aca="false">IF(AND(C1607&gt;=Settings!$B$5-Settings!$B$8+1,C1607&lt;=Settings!$B$5,COUNTIFS($B$5:B1607,B1607,$C$5:C1607,"&gt;="&amp;(Settings!$B$5-Settings!$B$8+1),$C$5:C1607,"&lt;="&amp;Settings!$B$5)=1),1,0)</f>
        <v>1</v>
      </c>
      <c r="M1607" s="29" t="n">
        <f aca="false">IF(AND(C1607&gt;=Settings!$B$5-Settings!$B$9+1,C1607&lt;=Settings!$B$5,COUNTIFS($B$5:B1607,B1607,$C$5:C1607,"&gt;="&amp;(Settings!$B$5-Settings!$B$9+1),$C$5:C1607,"&lt;="&amp;Settings!$B$5)=1),1,0)</f>
        <v>0</v>
      </c>
      <c r="N1607" s="29" t="n">
        <f aca="false">IF(AND(D1607="Feature Use",COUNTIFS($B$5:B1607,B1607,$D$5:D1607,"Feature Use")=1),1,0)</f>
        <v>0</v>
      </c>
    </row>
    <row r="1608" customFormat="false" ht="15" hidden="false" customHeight="false" outlineLevel="0" collapsed="false">
      <c r="A1608" s="22" t="s">
        <v>1915</v>
      </c>
      <c r="B1608" s="22" t="s">
        <v>228</v>
      </c>
      <c r="C1608" s="31" t="n">
        <v>46310</v>
      </c>
      <c r="D1608" s="22" t="s">
        <v>300</v>
      </c>
      <c r="E1608" s="22" t="s">
        <v>301</v>
      </c>
      <c r="F1608" s="29" t="str">
        <f aca="false">IF(COUNTIF(Referral_Data!$C$5:$C$1000,B1608)&gt;0,"Referred",IF(COUNTIF(Referral_Data!$B$5:$B$1000,B1608)&gt;0,"Referrer","Organic"))</f>
        <v>Referred</v>
      </c>
      <c r="G1608" s="29" t="n">
        <f aca="false">IF(COUNTIFS($B$5:B1608,B1608,$C$5:C1608,C1608)=1,1,0)</f>
        <v>0</v>
      </c>
      <c r="H1608" s="29" t="n">
        <f aca="false">IF(AND(G1608=1,COUNTIFS($B$5:$B$1635,B1608,$C$5:$C$1635,"&lt;"&amp;C1608)&gt;0),1,0)</f>
        <v>0</v>
      </c>
      <c r="I1608" s="29" t="n">
        <f aca="false">IF(AND(D1608="Feature Use",COUNTIFS($B$5:B1608,B1608,$D$5:D1608,"Feature Use",$E$5:E1608,E1608)=1),1,0)</f>
        <v>0</v>
      </c>
      <c r="J1608" s="29" t="n">
        <f aca="false">IF(AND(D1608="Feature Use",COUNTIFS($B$5:B1608,B1608,$D$5:D1608,"Feature Use",$E$5:E1608,E1608)=2),1,0)</f>
        <v>0</v>
      </c>
      <c r="K1608" s="29" t="n">
        <f aca="false">IF(COUNTIF($B$5:B1608,B1608)=1,1,0)</f>
        <v>0</v>
      </c>
      <c r="L1608" s="29" t="n">
        <f aca="false">IF(AND(C1608&gt;=Settings!$B$5-Settings!$B$8+1,C1608&lt;=Settings!$B$5,COUNTIFS($B$5:B1608,B1608,$C$5:C1608,"&gt;="&amp;(Settings!$B$5-Settings!$B$8+1),$C$5:C1608,"&lt;="&amp;Settings!$B$5)=1),1,0)</f>
        <v>0</v>
      </c>
      <c r="M1608" s="29" t="n">
        <f aca="false">IF(AND(C1608&gt;=Settings!$B$5-Settings!$B$9+1,C1608&lt;=Settings!$B$5,COUNTIFS($B$5:B1608,B1608,$C$5:C1608,"&gt;="&amp;(Settings!$B$5-Settings!$B$9+1),$C$5:C1608,"&lt;="&amp;Settings!$B$5)=1),1,0)</f>
        <v>0</v>
      </c>
      <c r="N1608" s="29" t="n">
        <f aca="false">IF(AND(D1608="Feature Use",COUNTIFS($B$5:B1608,B1608,$D$5:D1608,"Feature Use")=1),1,0)</f>
        <v>0</v>
      </c>
    </row>
    <row r="1609" customFormat="false" ht="15" hidden="false" customHeight="false" outlineLevel="0" collapsed="false">
      <c r="A1609" s="22" t="s">
        <v>1916</v>
      </c>
      <c r="B1609" s="22" t="s">
        <v>228</v>
      </c>
      <c r="C1609" s="31" t="n">
        <v>46310</v>
      </c>
      <c r="D1609" s="22" t="s">
        <v>300</v>
      </c>
      <c r="E1609" s="22" t="s">
        <v>305</v>
      </c>
      <c r="F1609" s="29" t="str">
        <f aca="false">IF(COUNTIF(Referral_Data!$C$5:$C$1000,B1609)&gt;0,"Referred",IF(COUNTIF(Referral_Data!$B$5:$B$1000,B1609)&gt;0,"Referrer","Organic"))</f>
        <v>Referred</v>
      </c>
      <c r="G1609" s="29" t="n">
        <f aca="false">IF(COUNTIFS($B$5:B1609,B1609,$C$5:C1609,C1609)=1,1,0)</f>
        <v>0</v>
      </c>
      <c r="H1609" s="29" t="n">
        <f aca="false">IF(AND(G1609=1,COUNTIFS($B$5:$B$1635,B1609,$C$5:$C$1635,"&lt;"&amp;C1609)&gt;0),1,0)</f>
        <v>0</v>
      </c>
      <c r="I1609" s="29" t="n">
        <f aca="false">IF(AND(D1609="Feature Use",COUNTIFS($B$5:B1609,B1609,$D$5:D1609,"Feature Use",$E$5:E1609,E1609)=1),1,0)</f>
        <v>1</v>
      </c>
      <c r="J1609" s="29" t="n">
        <f aca="false">IF(AND(D1609="Feature Use",COUNTIFS($B$5:B1609,B1609,$D$5:D1609,"Feature Use",$E$5:E1609,E1609)=2),1,0)</f>
        <v>0</v>
      </c>
      <c r="K1609" s="29" t="n">
        <f aca="false">IF(COUNTIF($B$5:B1609,B1609)=1,1,0)</f>
        <v>0</v>
      </c>
      <c r="L1609" s="29" t="n">
        <f aca="false">IF(AND(C1609&gt;=Settings!$B$5-Settings!$B$8+1,C1609&lt;=Settings!$B$5,COUNTIFS($B$5:B1609,B1609,$C$5:C1609,"&gt;="&amp;(Settings!$B$5-Settings!$B$8+1),$C$5:C1609,"&lt;="&amp;Settings!$B$5)=1),1,0)</f>
        <v>0</v>
      </c>
      <c r="M1609" s="29" t="n">
        <f aca="false">IF(AND(C1609&gt;=Settings!$B$5-Settings!$B$9+1,C1609&lt;=Settings!$B$5,COUNTIFS($B$5:B1609,B1609,$C$5:C1609,"&gt;="&amp;(Settings!$B$5-Settings!$B$9+1),$C$5:C1609,"&lt;="&amp;Settings!$B$5)=1),1,0)</f>
        <v>0</v>
      </c>
      <c r="N1609" s="29" t="n">
        <f aca="false">IF(AND(D1609="Feature Use",COUNTIFS($B$5:B1609,B1609,$D$5:D1609,"Feature Use")=1),1,0)</f>
        <v>0</v>
      </c>
    </row>
    <row r="1610" customFormat="false" ht="15" hidden="false" customHeight="false" outlineLevel="0" collapsed="false">
      <c r="A1610" s="22" t="s">
        <v>1917</v>
      </c>
      <c r="B1610" s="22" t="s">
        <v>239</v>
      </c>
      <c r="C1610" s="31" t="n">
        <v>46310</v>
      </c>
      <c r="D1610" s="22" t="s">
        <v>297</v>
      </c>
      <c r="E1610" s="22" t="s">
        <v>298</v>
      </c>
      <c r="F1610" s="29" t="str">
        <f aca="false">IF(COUNTIF(Referral_Data!$C$5:$C$1000,B1610)&gt;0,"Referred",IF(COUNTIF(Referral_Data!$B$5:$B$1000,B1610)&gt;0,"Referrer","Organic"))</f>
        <v>Referred</v>
      </c>
      <c r="G1610" s="29" t="n">
        <f aca="false">IF(COUNTIFS($B$5:B1610,B1610,$C$5:C1610,C1610)=1,1,0)</f>
        <v>1</v>
      </c>
      <c r="H1610" s="29" t="n">
        <f aca="false">IF(AND(G1610=1,COUNTIFS($B$5:$B$1635,B1610,$C$5:$C$1635,"&lt;"&amp;C1610)&gt;0),1,0)</f>
        <v>1</v>
      </c>
      <c r="I1610" s="29" t="n">
        <f aca="false">IF(AND(D1610="Feature Use",COUNTIFS($B$5:B1610,B1610,$D$5:D1610,"Feature Use",$E$5:E1610,E1610)=1),1,0)</f>
        <v>0</v>
      </c>
      <c r="J1610" s="29" t="n">
        <f aca="false">IF(AND(D1610="Feature Use",COUNTIFS($B$5:B1610,B1610,$D$5:D1610,"Feature Use",$E$5:E1610,E1610)=2),1,0)</f>
        <v>0</v>
      </c>
      <c r="K1610" s="29" t="n">
        <f aca="false">IF(COUNTIF($B$5:B1610,B1610)=1,1,0)</f>
        <v>0</v>
      </c>
      <c r="L1610" s="29" t="n">
        <f aca="false">IF(AND(C1610&gt;=Settings!$B$5-Settings!$B$8+1,C1610&lt;=Settings!$B$5,COUNTIFS($B$5:B1610,B1610,$C$5:C1610,"&gt;="&amp;(Settings!$B$5-Settings!$B$8+1),$C$5:C1610,"&lt;="&amp;Settings!$B$5)=1),1,0)</f>
        <v>0</v>
      </c>
      <c r="M1610" s="29" t="n">
        <f aca="false">IF(AND(C1610&gt;=Settings!$B$5-Settings!$B$9+1,C1610&lt;=Settings!$B$5,COUNTIFS($B$5:B1610,B1610,$C$5:C1610,"&gt;="&amp;(Settings!$B$5-Settings!$B$9+1),$C$5:C1610,"&lt;="&amp;Settings!$B$5)=1),1,0)</f>
        <v>0</v>
      </c>
      <c r="N1610" s="29" t="n">
        <f aca="false">IF(AND(D1610="Feature Use",COUNTIFS($B$5:B1610,B1610,$D$5:D1610,"Feature Use")=1),1,0)</f>
        <v>0</v>
      </c>
    </row>
    <row r="1611" customFormat="false" ht="15" hidden="false" customHeight="false" outlineLevel="0" collapsed="false">
      <c r="A1611" s="22" t="s">
        <v>1918</v>
      </c>
      <c r="B1611" s="22" t="s">
        <v>239</v>
      </c>
      <c r="C1611" s="31" t="n">
        <v>46310</v>
      </c>
      <c r="D1611" s="22" t="s">
        <v>300</v>
      </c>
      <c r="E1611" s="22" t="s">
        <v>309</v>
      </c>
      <c r="F1611" s="29" t="str">
        <f aca="false">IF(COUNTIF(Referral_Data!$C$5:$C$1000,B1611)&gt;0,"Referred",IF(COUNTIF(Referral_Data!$B$5:$B$1000,B1611)&gt;0,"Referrer","Organic"))</f>
        <v>Referred</v>
      </c>
      <c r="G1611" s="29" t="n">
        <f aca="false">IF(COUNTIFS($B$5:B1611,B1611,$C$5:C1611,C1611)=1,1,0)</f>
        <v>0</v>
      </c>
      <c r="H1611" s="29" t="n">
        <f aca="false">IF(AND(G1611=1,COUNTIFS($B$5:$B$1635,B1611,$C$5:$C$1635,"&lt;"&amp;C1611)&gt;0),1,0)</f>
        <v>0</v>
      </c>
      <c r="I1611" s="29" t="n">
        <f aca="false">IF(AND(D1611="Feature Use",COUNTIFS($B$5:B1611,B1611,$D$5:D1611,"Feature Use",$E$5:E1611,E1611)=1),1,0)</f>
        <v>1</v>
      </c>
      <c r="J1611" s="29" t="n">
        <f aca="false">IF(AND(D1611="Feature Use",COUNTIFS($B$5:B1611,B1611,$D$5:D1611,"Feature Use",$E$5:E1611,E1611)=2),1,0)</f>
        <v>0</v>
      </c>
      <c r="K1611" s="29" t="n">
        <f aca="false">IF(COUNTIF($B$5:B1611,B1611)=1,1,0)</f>
        <v>0</v>
      </c>
      <c r="L1611" s="29" t="n">
        <f aca="false">IF(AND(C1611&gt;=Settings!$B$5-Settings!$B$8+1,C1611&lt;=Settings!$B$5,COUNTIFS($B$5:B1611,B1611,$C$5:C1611,"&gt;="&amp;(Settings!$B$5-Settings!$B$8+1),$C$5:C1611,"&lt;="&amp;Settings!$B$5)=1),1,0)</f>
        <v>0</v>
      </c>
      <c r="M1611" s="29" t="n">
        <f aca="false">IF(AND(C1611&gt;=Settings!$B$5-Settings!$B$9+1,C1611&lt;=Settings!$B$5,COUNTIFS($B$5:B1611,B1611,$C$5:C1611,"&gt;="&amp;(Settings!$B$5-Settings!$B$9+1),$C$5:C1611,"&lt;="&amp;Settings!$B$5)=1),1,0)</f>
        <v>0</v>
      </c>
      <c r="N1611" s="29" t="n">
        <f aca="false">IF(AND(D1611="Feature Use",COUNTIFS($B$5:B1611,B1611,$D$5:D1611,"Feature Use")=1),1,0)</f>
        <v>0</v>
      </c>
    </row>
    <row r="1612" customFormat="false" ht="15" hidden="false" customHeight="false" outlineLevel="0" collapsed="false">
      <c r="A1612" s="22" t="s">
        <v>1919</v>
      </c>
      <c r="B1612" s="22" t="s">
        <v>241</v>
      </c>
      <c r="C1612" s="31" t="n">
        <v>46310</v>
      </c>
      <c r="D1612" s="22" t="s">
        <v>297</v>
      </c>
      <c r="E1612" s="22" t="s">
        <v>298</v>
      </c>
      <c r="F1612" s="29" t="str">
        <f aca="false">IF(COUNTIF(Referral_Data!$C$5:$C$1000,B1612)&gt;0,"Referred",IF(COUNTIF(Referral_Data!$B$5:$B$1000,B1612)&gt;0,"Referrer","Organic"))</f>
        <v>Referred</v>
      </c>
      <c r="G1612" s="29" t="n">
        <f aca="false">IF(COUNTIFS($B$5:B1612,B1612,$C$5:C1612,C1612)=1,1,0)</f>
        <v>1</v>
      </c>
      <c r="H1612" s="29" t="n">
        <f aca="false">IF(AND(G1612=1,COUNTIFS($B$5:$B$1635,B1612,$C$5:$C$1635,"&lt;"&amp;C1612)&gt;0),1,0)</f>
        <v>1</v>
      </c>
      <c r="I1612" s="29" t="n">
        <f aca="false">IF(AND(D1612="Feature Use",COUNTIFS($B$5:B1612,B1612,$D$5:D1612,"Feature Use",$E$5:E1612,E1612)=1),1,0)</f>
        <v>0</v>
      </c>
      <c r="J1612" s="29" t="n">
        <f aca="false">IF(AND(D1612="Feature Use",COUNTIFS($B$5:B1612,B1612,$D$5:D1612,"Feature Use",$E$5:E1612,E1612)=2),1,0)</f>
        <v>0</v>
      </c>
      <c r="K1612" s="29" t="n">
        <f aca="false">IF(COUNTIF($B$5:B1612,B1612)=1,1,0)</f>
        <v>0</v>
      </c>
      <c r="L1612" s="29" t="n">
        <f aca="false">IF(AND(C1612&gt;=Settings!$B$5-Settings!$B$8+1,C1612&lt;=Settings!$B$5,COUNTIFS($B$5:B1612,B1612,$C$5:C1612,"&gt;="&amp;(Settings!$B$5-Settings!$B$8+1),$C$5:C1612,"&lt;="&amp;Settings!$B$5)=1),1,0)</f>
        <v>0</v>
      </c>
      <c r="M1612" s="29" t="n">
        <f aca="false">IF(AND(C1612&gt;=Settings!$B$5-Settings!$B$9+1,C1612&lt;=Settings!$B$5,COUNTIFS($B$5:B1612,B1612,$C$5:C1612,"&gt;="&amp;(Settings!$B$5-Settings!$B$9+1),$C$5:C1612,"&lt;="&amp;Settings!$B$5)=1),1,0)</f>
        <v>0</v>
      </c>
      <c r="N1612" s="29" t="n">
        <f aca="false">IF(AND(D1612="Feature Use",COUNTIFS($B$5:B1612,B1612,$D$5:D1612,"Feature Use")=1),1,0)</f>
        <v>0</v>
      </c>
    </row>
    <row r="1613" customFormat="false" ht="15" hidden="false" customHeight="false" outlineLevel="0" collapsed="false">
      <c r="A1613" s="22" t="s">
        <v>1920</v>
      </c>
      <c r="B1613" s="22" t="s">
        <v>241</v>
      </c>
      <c r="C1613" s="31" t="n">
        <v>46310</v>
      </c>
      <c r="D1613" s="22" t="s">
        <v>300</v>
      </c>
      <c r="E1613" s="22" t="s">
        <v>305</v>
      </c>
      <c r="F1613" s="29" t="str">
        <f aca="false">IF(COUNTIF(Referral_Data!$C$5:$C$1000,B1613)&gt;0,"Referred",IF(COUNTIF(Referral_Data!$B$5:$B$1000,B1613)&gt;0,"Referrer","Organic"))</f>
        <v>Referred</v>
      </c>
      <c r="G1613" s="29" t="n">
        <f aca="false">IF(COUNTIFS($B$5:B1613,B1613,$C$5:C1613,C1613)=1,1,0)</f>
        <v>0</v>
      </c>
      <c r="H1613" s="29" t="n">
        <f aca="false">IF(AND(G1613=1,COUNTIFS($B$5:$B$1635,B1613,$C$5:$C$1635,"&lt;"&amp;C1613)&gt;0),1,0)</f>
        <v>0</v>
      </c>
      <c r="I1613" s="29" t="n">
        <f aca="false">IF(AND(D1613="Feature Use",COUNTIFS($B$5:B1613,B1613,$D$5:D1613,"Feature Use",$E$5:E1613,E1613)=1),1,0)</f>
        <v>0</v>
      </c>
      <c r="J1613" s="29" t="n">
        <f aca="false">IF(AND(D1613="Feature Use",COUNTIFS($B$5:B1613,B1613,$D$5:D1613,"Feature Use",$E$5:E1613,E1613)=2),1,0)</f>
        <v>0</v>
      </c>
      <c r="K1613" s="29" t="n">
        <f aca="false">IF(COUNTIF($B$5:B1613,B1613)=1,1,0)</f>
        <v>0</v>
      </c>
      <c r="L1613" s="29" t="n">
        <f aca="false">IF(AND(C1613&gt;=Settings!$B$5-Settings!$B$8+1,C1613&lt;=Settings!$B$5,COUNTIFS($B$5:B1613,B1613,$C$5:C1613,"&gt;="&amp;(Settings!$B$5-Settings!$B$8+1),$C$5:C1613,"&lt;="&amp;Settings!$B$5)=1),1,0)</f>
        <v>0</v>
      </c>
      <c r="M1613" s="29" t="n">
        <f aca="false">IF(AND(C1613&gt;=Settings!$B$5-Settings!$B$9+1,C1613&lt;=Settings!$B$5,COUNTIFS($B$5:B1613,B1613,$C$5:C1613,"&gt;="&amp;(Settings!$B$5-Settings!$B$9+1),$C$5:C1613,"&lt;="&amp;Settings!$B$5)=1),1,0)</f>
        <v>0</v>
      </c>
      <c r="N1613" s="29" t="n">
        <f aca="false">IF(AND(D1613="Feature Use",COUNTIFS($B$5:B1613,B1613,$D$5:D1613,"Feature Use")=1),1,0)</f>
        <v>0</v>
      </c>
    </row>
    <row r="1614" customFormat="false" ht="15" hidden="false" customHeight="false" outlineLevel="0" collapsed="false">
      <c r="A1614" s="22" t="s">
        <v>1921</v>
      </c>
      <c r="B1614" s="22" t="s">
        <v>241</v>
      </c>
      <c r="C1614" s="31" t="n">
        <v>46310</v>
      </c>
      <c r="D1614" s="22" t="s">
        <v>308</v>
      </c>
      <c r="E1614" s="22" t="s">
        <v>309</v>
      </c>
      <c r="F1614" s="29" t="str">
        <f aca="false">IF(COUNTIF(Referral_Data!$C$5:$C$1000,B1614)&gt;0,"Referred",IF(COUNTIF(Referral_Data!$B$5:$B$1000,B1614)&gt;0,"Referrer","Organic"))</f>
        <v>Referred</v>
      </c>
      <c r="G1614" s="29" t="n">
        <f aca="false">IF(COUNTIFS($B$5:B1614,B1614,$C$5:C1614,C1614)=1,1,0)</f>
        <v>0</v>
      </c>
      <c r="H1614" s="29" t="n">
        <f aca="false">IF(AND(G1614=1,COUNTIFS($B$5:$B$1635,B1614,$C$5:$C$1635,"&lt;"&amp;C1614)&gt;0),1,0)</f>
        <v>0</v>
      </c>
      <c r="I1614" s="29" t="n">
        <f aca="false">IF(AND(D1614="Feature Use",COUNTIFS($B$5:B1614,B1614,$D$5:D1614,"Feature Use",$E$5:E1614,E1614)=1),1,0)</f>
        <v>0</v>
      </c>
      <c r="J1614" s="29" t="n">
        <f aca="false">IF(AND(D1614="Feature Use",COUNTIFS($B$5:B1614,B1614,$D$5:D1614,"Feature Use",$E$5:E1614,E1614)=2),1,0)</f>
        <v>0</v>
      </c>
      <c r="K1614" s="29" t="n">
        <f aca="false">IF(COUNTIF($B$5:B1614,B1614)=1,1,0)</f>
        <v>0</v>
      </c>
      <c r="L1614" s="29" t="n">
        <f aca="false">IF(AND(C1614&gt;=Settings!$B$5-Settings!$B$8+1,C1614&lt;=Settings!$B$5,COUNTIFS($B$5:B1614,B1614,$C$5:C1614,"&gt;="&amp;(Settings!$B$5-Settings!$B$8+1),$C$5:C1614,"&lt;="&amp;Settings!$B$5)=1),1,0)</f>
        <v>0</v>
      </c>
      <c r="M1614" s="29" t="n">
        <f aca="false">IF(AND(C1614&gt;=Settings!$B$5-Settings!$B$9+1,C1614&lt;=Settings!$B$5,COUNTIFS($B$5:B1614,B1614,$C$5:C1614,"&gt;="&amp;(Settings!$B$5-Settings!$B$9+1),$C$5:C1614,"&lt;="&amp;Settings!$B$5)=1),1,0)</f>
        <v>0</v>
      </c>
      <c r="N1614" s="29" t="n">
        <f aca="false">IF(AND(D1614="Feature Use",COUNTIFS($B$5:B1614,B1614,$D$5:D1614,"Feature Use")=1),1,0)</f>
        <v>0</v>
      </c>
    </row>
    <row r="1615" customFormat="false" ht="15" hidden="false" customHeight="false" outlineLevel="0" collapsed="false">
      <c r="A1615" s="22" t="s">
        <v>1922</v>
      </c>
      <c r="B1615" s="22" t="s">
        <v>245</v>
      </c>
      <c r="C1615" s="31" t="n">
        <v>46310</v>
      </c>
      <c r="D1615" s="22" t="s">
        <v>297</v>
      </c>
      <c r="E1615" s="22" t="s">
        <v>298</v>
      </c>
      <c r="F1615" s="29" t="str">
        <f aca="false">IF(COUNTIF(Referral_Data!$C$5:$C$1000,B1615)&gt;0,"Referred",IF(COUNTIF(Referral_Data!$B$5:$B$1000,B1615)&gt;0,"Referrer","Organic"))</f>
        <v>Referred</v>
      </c>
      <c r="G1615" s="29" t="n">
        <f aca="false">IF(COUNTIFS($B$5:B1615,B1615,$C$5:C1615,C1615)=1,1,0)</f>
        <v>1</v>
      </c>
      <c r="H1615" s="29" t="n">
        <f aca="false">IF(AND(G1615=1,COUNTIFS($B$5:$B$1635,B1615,$C$5:$C$1635,"&lt;"&amp;C1615)&gt;0),1,0)</f>
        <v>1</v>
      </c>
      <c r="I1615" s="29" t="n">
        <f aca="false">IF(AND(D1615="Feature Use",COUNTIFS($B$5:B1615,B1615,$D$5:D1615,"Feature Use",$E$5:E1615,E1615)=1),1,0)</f>
        <v>0</v>
      </c>
      <c r="J1615" s="29" t="n">
        <f aca="false">IF(AND(D1615="Feature Use",COUNTIFS($B$5:B1615,B1615,$D$5:D1615,"Feature Use",$E$5:E1615,E1615)=2),1,0)</f>
        <v>0</v>
      </c>
      <c r="K1615" s="29" t="n">
        <f aca="false">IF(COUNTIF($B$5:B1615,B1615)=1,1,0)</f>
        <v>0</v>
      </c>
      <c r="L1615" s="29" t="n">
        <f aca="false">IF(AND(C1615&gt;=Settings!$B$5-Settings!$B$8+1,C1615&lt;=Settings!$B$5,COUNTIFS($B$5:B1615,B1615,$C$5:C1615,"&gt;="&amp;(Settings!$B$5-Settings!$B$8+1),$C$5:C1615,"&lt;="&amp;Settings!$B$5)=1),1,0)</f>
        <v>1</v>
      </c>
      <c r="M1615" s="29" t="n">
        <f aca="false">IF(AND(C1615&gt;=Settings!$B$5-Settings!$B$9+1,C1615&lt;=Settings!$B$5,COUNTIFS($B$5:B1615,B1615,$C$5:C1615,"&gt;="&amp;(Settings!$B$5-Settings!$B$9+1),$C$5:C1615,"&lt;="&amp;Settings!$B$5)=1),1,0)</f>
        <v>0</v>
      </c>
      <c r="N1615" s="29" t="n">
        <f aca="false">IF(AND(D1615="Feature Use",COUNTIFS($B$5:B1615,B1615,$D$5:D1615,"Feature Use")=1),1,0)</f>
        <v>0</v>
      </c>
    </row>
    <row r="1616" customFormat="false" ht="15" hidden="false" customHeight="false" outlineLevel="0" collapsed="false">
      <c r="A1616" s="22" t="s">
        <v>1923</v>
      </c>
      <c r="B1616" s="22" t="s">
        <v>245</v>
      </c>
      <c r="C1616" s="31" t="n">
        <v>46310</v>
      </c>
      <c r="D1616" s="22" t="s">
        <v>300</v>
      </c>
      <c r="E1616" s="22" t="s">
        <v>305</v>
      </c>
      <c r="F1616" s="29" t="str">
        <f aca="false">IF(COUNTIF(Referral_Data!$C$5:$C$1000,B1616)&gt;0,"Referred",IF(COUNTIF(Referral_Data!$B$5:$B$1000,B1616)&gt;0,"Referrer","Organic"))</f>
        <v>Referred</v>
      </c>
      <c r="G1616" s="29" t="n">
        <f aca="false">IF(COUNTIFS($B$5:B1616,B1616,$C$5:C1616,C1616)=1,1,0)</f>
        <v>0</v>
      </c>
      <c r="H1616" s="29" t="n">
        <f aca="false">IF(AND(G1616=1,COUNTIFS($B$5:$B$1635,B1616,$C$5:$C$1635,"&lt;"&amp;C1616)&gt;0),1,0)</f>
        <v>0</v>
      </c>
      <c r="I1616" s="29" t="n">
        <f aca="false">IF(AND(D1616="Feature Use",COUNTIFS($B$5:B1616,B1616,$D$5:D1616,"Feature Use",$E$5:E1616,E1616)=1),1,0)</f>
        <v>1</v>
      </c>
      <c r="J1616" s="29" t="n">
        <f aca="false">IF(AND(D1616="Feature Use",COUNTIFS($B$5:B1616,B1616,$D$5:D1616,"Feature Use",$E$5:E1616,E1616)=2),1,0)</f>
        <v>0</v>
      </c>
      <c r="K1616" s="29" t="n">
        <f aca="false">IF(COUNTIF($B$5:B1616,B1616)=1,1,0)</f>
        <v>0</v>
      </c>
      <c r="L1616" s="29" t="n">
        <f aca="false">IF(AND(C1616&gt;=Settings!$B$5-Settings!$B$8+1,C1616&lt;=Settings!$B$5,COUNTIFS($B$5:B1616,B1616,$C$5:C1616,"&gt;="&amp;(Settings!$B$5-Settings!$B$8+1),$C$5:C1616,"&lt;="&amp;Settings!$B$5)=1),1,0)</f>
        <v>0</v>
      </c>
      <c r="M1616" s="29" t="n">
        <f aca="false">IF(AND(C1616&gt;=Settings!$B$5-Settings!$B$9+1,C1616&lt;=Settings!$B$5,COUNTIFS($B$5:B1616,B1616,$C$5:C1616,"&gt;="&amp;(Settings!$B$5-Settings!$B$9+1),$C$5:C1616,"&lt;="&amp;Settings!$B$5)=1),1,0)</f>
        <v>0</v>
      </c>
      <c r="N1616" s="29" t="n">
        <f aca="false">IF(AND(D1616="Feature Use",COUNTIFS($B$5:B1616,B1616,$D$5:D1616,"Feature Use")=1),1,0)</f>
        <v>0</v>
      </c>
    </row>
    <row r="1617" customFormat="false" ht="15" hidden="false" customHeight="false" outlineLevel="0" collapsed="false">
      <c r="A1617" s="22" t="s">
        <v>1924</v>
      </c>
      <c r="B1617" s="22" t="s">
        <v>263</v>
      </c>
      <c r="C1617" s="31" t="n">
        <v>46310</v>
      </c>
      <c r="D1617" s="22" t="s">
        <v>297</v>
      </c>
      <c r="E1617" s="22" t="s">
        <v>298</v>
      </c>
      <c r="F1617" s="29" t="str">
        <f aca="false">IF(COUNTIF(Referral_Data!$C$5:$C$1000,B1617)&gt;0,"Referred",IF(COUNTIF(Referral_Data!$B$5:$B$1000,B1617)&gt;0,"Referrer","Organic"))</f>
        <v>Referred</v>
      </c>
      <c r="G1617" s="29" t="n">
        <f aca="false">IF(COUNTIFS($B$5:B1617,B1617,$C$5:C1617,C1617)=1,1,0)</f>
        <v>1</v>
      </c>
      <c r="H1617" s="29" t="n">
        <f aca="false">IF(AND(G1617=1,COUNTIFS($B$5:$B$1635,B1617,$C$5:$C$1635,"&lt;"&amp;C1617)&gt;0),1,0)</f>
        <v>1</v>
      </c>
      <c r="I1617" s="29" t="n">
        <f aca="false">IF(AND(D1617="Feature Use",COUNTIFS($B$5:B1617,B1617,$D$5:D1617,"Feature Use",$E$5:E1617,E1617)=1),1,0)</f>
        <v>0</v>
      </c>
      <c r="J1617" s="29" t="n">
        <f aca="false">IF(AND(D1617="Feature Use",COUNTIFS($B$5:B1617,B1617,$D$5:D1617,"Feature Use",$E$5:E1617,E1617)=2),1,0)</f>
        <v>0</v>
      </c>
      <c r="K1617" s="29" t="n">
        <f aca="false">IF(COUNTIF($B$5:B1617,B1617)=1,1,0)</f>
        <v>0</v>
      </c>
      <c r="L1617" s="29" t="n">
        <f aca="false">IF(AND(C1617&gt;=Settings!$B$5-Settings!$B$8+1,C1617&lt;=Settings!$B$5,COUNTIFS($B$5:B1617,B1617,$C$5:C1617,"&gt;="&amp;(Settings!$B$5-Settings!$B$8+1),$C$5:C1617,"&lt;="&amp;Settings!$B$5)=1),1,0)</f>
        <v>0</v>
      </c>
      <c r="M1617" s="29" t="n">
        <f aca="false">IF(AND(C1617&gt;=Settings!$B$5-Settings!$B$9+1,C1617&lt;=Settings!$B$5,COUNTIFS($B$5:B1617,B1617,$C$5:C1617,"&gt;="&amp;(Settings!$B$5-Settings!$B$9+1),$C$5:C1617,"&lt;="&amp;Settings!$B$5)=1),1,0)</f>
        <v>0</v>
      </c>
      <c r="N1617" s="29" t="n">
        <f aca="false">IF(AND(D1617="Feature Use",COUNTIFS($B$5:B1617,B1617,$D$5:D1617,"Feature Use")=1),1,0)</f>
        <v>0</v>
      </c>
    </row>
    <row r="1618" customFormat="false" ht="15" hidden="false" customHeight="false" outlineLevel="0" collapsed="false">
      <c r="A1618" s="22" t="s">
        <v>1925</v>
      </c>
      <c r="B1618" s="22" t="s">
        <v>263</v>
      </c>
      <c r="C1618" s="31" t="n">
        <v>46310</v>
      </c>
      <c r="D1618" s="22" t="s">
        <v>300</v>
      </c>
      <c r="E1618" s="22" t="s">
        <v>305</v>
      </c>
      <c r="F1618" s="29" t="str">
        <f aca="false">IF(COUNTIF(Referral_Data!$C$5:$C$1000,B1618)&gt;0,"Referred",IF(COUNTIF(Referral_Data!$B$5:$B$1000,B1618)&gt;0,"Referrer","Organic"))</f>
        <v>Referred</v>
      </c>
      <c r="G1618" s="29" t="n">
        <f aca="false">IF(COUNTIFS($B$5:B1618,B1618,$C$5:C1618,C1618)=1,1,0)</f>
        <v>0</v>
      </c>
      <c r="H1618" s="29" t="n">
        <f aca="false">IF(AND(G1618=1,COUNTIFS($B$5:$B$1635,B1618,$C$5:$C$1635,"&lt;"&amp;C1618)&gt;0),1,0)</f>
        <v>0</v>
      </c>
      <c r="I1618" s="29" t="n">
        <f aca="false">IF(AND(D1618="Feature Use",COUNTIFS($B$5:B1618,B1618,$D$5:D1618,"Feature Use",$E$5:E1618,E1618)=1),1,0)</f>
        <v>0</v>
      </c>
      <c r="J1618" s="29" t="n">
        <f aca="false">IF(AND(D1618="Feature Use",COUNTIFS($B$5:B1618,B1618,$D$5:D1618,"Feature Use",$E$5:E1618,E1618)=2),1,0)</f>
        <v>0</v>
      </c>
      <c r="K1618" s="29" t="n">
        <f aca="false">IF(COUNTIF($B$5:B1618,B1618)=1,1,0)</f>
        <v>0</v>
      </c>
      <c r="L1618" s="29" t="n">
        <f aca="false">IF(AND(C1618&gt;=Settings!$B$5-Settings!$B$8+1,C1618&lt;=Settings!$B$5,COUNTIFS($B$5:B1618,B1618,$C$5:C1618,"&gt;="&amp;(Settings!$B$5-Settings!$B$8+1),$C$5:C1618,"&lt;="&amp;Settings!$B$5)=1),1,0)</f>
        <v>0</v>
      </c>
      <c r="M1618" s="29" t="n">
        <f aca="false">IF(AND(C1618&gt;=Settings!$B$5-Settings!$B$9+1,C1618&lt;=Settings!$B$5,COUNTIFS($B$5:B1618,B1618,$C$5:C1618,"&gt;="&amp;(Settings!$B$5-Settings!$B$9+1),$C$5:C1618,"&lt;="&amp;Settings!$B$5)=1),1,0)</f>
        <v>0</v>
      </c>
      <c r="N1618" s="29" t="n">
        <f aca="false">IF(AND(D1618="Feature Use",COUNTIFS($B$5:B1618,B1618,$D$5:D1618,"Feature Use")=1),1,0)</f>
        <v>0</v>
      </c>
    </row>
    <row r="1619" customFormat="false" ht="15" hidden="false" customHeight="false" outlineLevel="0" collapsed="false">
      <c r="A1619" s="22" t="s">
        <v>1926</v>
      </c>
      <c r="B1619" s="22" t="s">
        <v>263</v>
      </c>
      <c r="C1619" s="31" t="n">
        <v>46310</v>
      </c>
      <c r="D1619" s="22" t="s">
        <v>300</v>
      </c>
      <c r="E1619" s="22" t="s">
        <v>301</v>
      </c>
      <c r="F1619" s="29" t="str">
        <f aca="false">IF(COUNTIF(Referral_Data!$C$5:$C$1000,B1619)&gt;0,"Referred",IF(COUNTIF(Referral_Data!$B$5:$B$1000,B1619)&gt;0,"Referrer","Organic"))</f>
        <v>Referred</v>
      </c>
      <c r="G1619" s="29" t="n">
        <f aca="false">IF(COUNTIFS($B$5:B1619,B1619,$C$5:C1619,C1619)=1,1,0)</f>
        <v>0</v>
      </c>
      <c r="H1619" s="29" t="n">
        <f aca="false">IF(AND(G1619=1,COUNTIFS($B$5:$B$1635,B1619,$C$5:$C$1635,"&lt;"&amp;C1619)&gt;0),1,0)</f>
        <v>0</v>
      </c>
      <c r="I1619" s="29" t="n">
        <f aca="false">IF(AND(D1619="Feature Use",COUNTIFS($B$5:B1619,B1619,$D$5:D1619,"Feature Use",$E$5:E1619,E1619)=1),1,0)</f>
        <v>0</v>
      </c>
      <c r="J1619" s="29" t="n">
        <f aca="false">IF(AND(D1619="Feature Use",COUNTIFS($B$5:B1619,B1619,$D$5:D1619,"Feature Use",$E$5:E1619,E1619)=2),1,0)</f>
        <v>1</v>
      </c>
      <c r="K1619" s="29" t="n">
        <f aca="false">IF(COUNTIF($B$5:B1619,B1619)=1,1,0)</f>
        <v>0</v>
      </c>
      <c r="L1619" s="29" t="n">
        <f aca="false">IF(AND(C1619&gt;=Settings!$B$5-Settings!$B$8+1,C1619&lt;=Settings!$B$5,COUNTIFS($B$5:B1619,B1619,$C$5:C1619,"&gt;="&amp;(Settings!$B$5-Settings!$B$8+1),$C$5:C1619,"&lt;="&amp;Settings!$B$5)=1),1,0)</f>
        <v>0</v>
      </c>
      <c r="M1619" s="29" t="n">
        <f aca="false">IF(AND(C1619&gt;=Settings!$B$5-Settings!$B$9+1,C1619&lt;=Settings!$B$5,COUNTIFS($B$5:B1619,B1619,$C$5:C1619,"&gt;="&amp;(Settings!$B$5-Settings!$B$9+1),$C$5:C1619,"&lt;="&amp;Settings!$B$5)=1),1,0)</f>
        <v>0</v>
      </c>
      <c r="N1619" s="29" t="n">
        <f aca="false">IF(AND(D1619="Feature Use",COUNTIFS($B$5:B1619,B1619,$D$5:D1619,"Feature Use")=1),1,0)</f>
        <v>0</v>
      </c>
    </row>
    <row r="1620" customFormat="false" ht="15" hidden="false" customHeight="false" outlineLevel="0" collapsed="false">
      <c r="A1620" s="22" t="s">
        <v>1927</v>
      </c>
      <c r="B1620" s="22" t="s">
        <v>263</v>
      </c>
      <c r="C1620" s="31" t="n">
        <v>46310</v>
      </c>
      <c r="D1620" s="22" t="s">
        <v>308</v>
      </c>
      <c r="E1620" s="22" t="s">
        <v>319</v>
      </c>
      <c r="F1620" s="29" t="str">
        <f aca="false">IF(COUNTIF(Referral_Data!$C$5:$C$1000,B1620)&gt;0,"Referred",IF(COUNTIF(Referral_Data!$B$5:$B$1000,B1620)&gt;0,"Referrer","Organic"))</f>
        <v>Referred</v>
      </c>
      <c r="G1620" s="29" t="n">
        <f aca="false">IF(COUNTIFS($B$5:B1620,B1620,$C$5:C1620,C1620)=1,1,0)</f>
        <v>0</v>
      </c>
      <c r="H1620" s="29" t="n">
        <f aca="false">IF(AND(G1620=1,COUNTIFS($B$5:$B$1635,B1620,$C$5:$C$1635,"&lt;"&amp;C1620)&gt;0),1,0)</f>
        <v>0</v>
      </c>
      <c r="I1620" s="29" t="n">
        <f aca="false">IF(AND(D1620="Feature Use",COUNTIFS($B$5:B1620,B1620,$D$5:D1620,"Feature Use",$E$5:E1620,E1620)=1),1,0)</f>
        <v>0</v>
      </c>
      <c r="J1620" s="29" t="n">
        <f aca="false">IF(AND(D1620="Feature Use",COUNTIFS($B$5:B1620,B1620,$D$5:D1620,"Feature Use",$E$5:E1620,E1620)=2),1,0)</f>
        <v>0</v>
      </c>
      <c r="K1620" s="29" t="n">
        <f aca="false">IF(COUNTIF($B$5:B1620,B1620)=1,1,0)</f>
        <v>0</v>
      </c>
      <c r="L1620" s="29" t="n">
        <f aca="false">IF(AND(C1620&gt;=Settings!$B$5-Settings!$B$8+1,C1620&lt;=Settings!$B$5,COUNTIFS($B$5:B1620,B1620,$C$5:C1620,"&gt;="&amp;(Settings!$B$5-Settings!$B$8+1),$C$5:C1620,"&lt;="&amp;Settings!$B$5)=1),1,0)</f>
        <v>0</v>
      </c>
      <c r="M1620" s="29" t="n">
        <f aca="false">IF(AND(C1620&gt;=Settings!$B$5-Settings!$B$9+1,C1620&lt;=Settings!$B$5,COUNTIFS($B$5:B1620,B1620,$C$5:C1620,"&gt;="&amp;(Settings!$B$5-Settings!$B$9+1),$C$5:C1620,"&lt;="&amp;Settings!$B$5)=1),1,0)</f>
        <v>0</v>
      </c>
      <c r="N1620" s="29" t="n">
        <f aca="false">IF(AND(D1620="Feature Use",COUNTIFS($B$5:B1620,B1620,$D$5:D1620,"Feature Use")=1),1,0)</f>
        <v>0</v>
      </c>
    </row>
    <row r="1621" customFormat="false" ht="15" hidden="false" customHeight="false" outlineLevel="0" collapsed="false">
      <c r="A1621" s="22" t="s">
        <v>1928</v>
      </c>
      <c r="B1621" s="22" t="s">
        <v>263</v>
      </c>
      <c r="C1621" s="31" t="n">
        <v>46310</v>
      </c>
      <c r="D1621" s="22" t="s">
        <v>308</v>
      </c>
      <c r="E1621" s="22" t="s">
        <v>319</v>
      </c>
      <c r="F1621" s="29" t="str">
        <f aca="false">IF(COUNTIF(Referral_Data!$C$5:$C$1000,B1621)&gt;0,"Referred",IF(COUNTIF(Referral_Data!$B$5:$B$1000,B1621)&gt;0,"Referrer","Organic"))</f>
        <v>Referred</v>
      </c>
      <c r="G1621" s="29" t="n">
        <f aca="false">IF(COUNTIFS($B$5:B1621,B1621,$C$5:C1621,C1621)=1,1,0)</f>
        <v>0</v>
      </c>
      <c r="H1621" s="29" t="n">
        <f aca="false">IF(AND(G1621=1,COUNTIFS($B$5:$B$1635,B1621,$C$5:$C$1635,"&lt;"&amp;C1621)&gt;0),1,0)</f>
        <v>0</v>
      </c>
      <c r="I1621" s="29" t="n">
        <f aca="false">IF(AND(D1621="Feature Use",COUNTIFS($B$5:B1621,B1621,$D$5:D1621,"Feature Use",$E$5:E1621,E1621)=1),1,0)</f>
        <v>0</v>
      </c>
      <c r="J1621" s="29" t="n">
        <f aca="false">IF(AND(D1621="Feature Use",COUNTIFS($B$5:B1621,B1621,$D$5:D1621,"Feature Use",$E$5:E1621,E1621)=2),1,0)</f>
        <v>0</v>
      </c>
      <c r="K1621" s="29" t="n">
        <f aca="false">IF(COUNTIF($B$5:B1621,B1621)=1,1,0)</f>
        <v>0</v>
      </c>
      <c r="L1621" s="29" t="n">
        <f aca="false">IF(AND(C1621&gt;=Settings!$B$5-Settings!$B$8+1,C1621&lt;=Settings!$B$5,COUNTIFS($B$5:B1621,B1621,$C$5:C1621,"&gt;="&amp;(Settings!$B$5-Settings!$B$8+1),$C$5:C1621,"&lt;="&amp;Settings!$B$5)=1),1,0)</f>
        <v>0</v>
      </c>
      <c r="M1621" s="29" t="n">
        <f aca="false">IF(AND(C1621&gt;=Settings!$B$5-Settings!$B$9+1,C1621&lt;=Settings!$B$5,COUNTIFS($B$5:B1621,B1621,$C$5:C1621,"&gt;="&amp;(Settings!$B$5-Settings!$B$9+1),$C$5:C1621,"&lt;="&amp;Settings!$B$5)=1),1,0)</f>
        <v>0</v>
      </c>
      <c r="N1621" s="29" t="n">
        <f aca="false">IF(AND(D1621="Feature Use",COUNTIFS($B$5:B1621,B1621,$D$5:D1621,"Feature Use")=1),1,0)</f>
        <v>0</v>
      </c>
    </row>
    <row r="1622" customFormat="false" ht="15" hidden="false" customHeight="false" outlineLevel="0" collapsed="false">
      <c r="A1622" s="22" t="s">
        <v>1929</v>
      </c>
      <c r="B1622" s="22" t="s">
        <v>196</v>
      </c>
      <c r="C1622" s="31" t="n">
        <v>46310</v>
      </c>
      <c r="D1622" s="22" t="s">
        <v>297</v>
      </c>
      <c r="E1622" s="22" t="s">
        <v>298</v>
      </c>
      <c r="F1622" s="29" t="str">
        <f aca="false">IF(COUNTIF(Referral_Data!$C$5:$C$1000,B1622)&gt;0,"Referred",IF(COUNTIF(Referral_Data!$B$5:$B$1000,B1622)&gt;0,"Referrer","Organic"))</f>
        <v>Referrer</v>
      </c>
      <c r="G1622" s="29" t="n">
        <f aca="false">IF(COUNTIFS($B$5:B1622,B1622,$C$5:C1622,C1622)=1,1,0)</f>
        <v>1</v>
      </c>
      <c r="H1622" s="29" t="n">
        <f aca="false">IF(AND(G1622=1,COUNTIFS($B$5:$B$1635,B1622,$C$5:$C$1635,"&lt;"&amp;C1622)&gt;0),1,0)</f>
        <v>1</v>
      </c>
      <c r="I1622" s="29" t="n">
        <f aca="false">IF(AND(D1622="Feature Use",COUNTIFS($B$5:B1622,B1622,$D$5:D1622,"Feature Use",$E$5:E1622,E1622)=1),1,0)</f>
        <v>0</v>
      </c>
      <c r="J1622" s="29" t="n">
        <f aca="false">IF(AND(D1622="Feature Use",COUNTIFS($B$5:B1622,B1622,$D$5:D1622,"Feature Use",$E$5:E1622,E1622)=2),1,0)</f>
        <v>0</v>
      </c>
      <c r="K1622" s="29" t="n">
        <f aca="false">IF(COUNTIF($B$5:B1622,B1622)=1,1,0)</f>
        <v>0</v>
      </c>
      <c r="L1622" s="29" t="n">
        <f aca="false">IF(AND(C1622&gt;=Settings!$B$5-Settings!$B$8+1,C1622&lt;=Settings!$B$5,COUNTIFS($B$5:B1622,B1622,$C$5:C1622,"&gt;="&amp;(Settings!$B$5-Settings!$B$8+1),$C$5:C1622,"&lt;="&amp;Settings!$B$5)=1),1,0)</f>
        <v>0</v>
      </c>
      <c r="M1622" s="29" t="n">
        <f aca="false">IF(AND(C1622&gt;=Settings!$B$5-Settings!$B$9+1,C1622&lt;=Settings!$B$5,COUNTIFS($B$5:B1622,B1622,$C$5:C1622,"&gt;="&amp;(Settings!$B$5-Settings!$B$9+1),$C$5:C1622,"&lt;="&amp;Settings!$B$5)=1),1,0)</f>
        <v>0</v>
      </c>
      <c r="N1622" s="29" t="n">
        <f aca="false">IF(AND(D1622="Feature Use",COUNTIFS($B$5:B1622,B1622,$D$5:D1622,"Feature Use")=1),1,0)</f>
        <v>0</v>
      </c>
    </row>
    <row r="1623" customFormat="false" ht="15" hidden="false" customHeight="false" outlineLevel="0" collapsed="false">
      <c r="A1623" s="22" t="s">
        <v>1930</v>
      </c>
      <c r="B1623" s="22" t="s">
        <v>196</v>
      </c>
      <c r="C1623" s="31" t="n">
        <v>46310</v>
      </c>
      <c r="D1623" s="22" t="s">
        <v>300</v>
      </c>
      <c r="E1623" s="22" t="s">
        <v>311</v>
      </c>
      <c r="F1623" s="29" t="str">
        <f aca="false">IF(COUNTIF(Referral_Data!$C$5:$C$1000,B1623)&gt;0,"Referred",IF(COUNTIF(Referral_Data!$B$5:$B$1000,B1623)&gt;0,"Referrer","Organic"))</f>
        <v>Referrer</v>
      </c>
      <c r="G1623" s="29" t="n">
        <f aca="false">IF(COUNTIFS($B$5:B1623,B1623,$C$5:C1623,C1623)=1,1,0)</f>
        <v>0</v>
      </c>
      <c r="H1623" s="29" t="n">
        <f aca="false">IF(AND(G1623=1,COUNTIFS($B$5:$B$1635,B1623,$C$5:$C$1635,"&lt;"&amp;C1623)&gt;0),1,0)</f>
        <v>0</v>
      </c>
      <c r="I1623" s="29" t="n">
        <f aca="false">IF(AND(D1623="Feature Use",COUNTIFS($B$5:B1623,B1623,$D$5:D1623,"Feature Use",$E$5:E1623,E1623)=1),1,0)</f>
        <v>0</v>
      </c>
      <c r="J1623" s="29" t="n">
        <f aca="false">IF(AND(D1623="Feature Use",COUNTIFS($B$5:B1623,B1623,$D$5:D1623,"Feature Use",$E$5:E1623,E1623)=2),1,0)</f>
        <v>0</v>
      </c>
      <c r="K1623" s="29" t="n">
        <f aca="false">IF(COUNTIF($B$5:B1623,B1623)=1,1,0)</f>
        <v>0</v>
      </c>
      <c r="L1623" s="29" t="n">
        <f aca="false">IF(AND(C1623&gt;=Settings!$B$5-Settings!$B$8+1,C1623&lt;=Settings!$B$5,COUNTIFS($B$5:B1623,B1623,$C$5:C1623,"&gt;="&amp;(Settings!$B$5-Settings!$B$8+1),$C$5:C1623,"&lt;="&amp;Settings!$B$5)=1),1,0)</f>
        <v>0</v>
      </c>
      <c r="M1623" s="29" t="n">
        <f aca="false">IF(AND(C1623&gt;=Settings!$B$5-Settings!$B$9+1,C1623&lt;=Settings!$B$5,COUNTIFS($B$5:B1623,B1623,$C$5:C1623,"&gt;="&amp;(Settings!$B$5-Settings!$B$9+1),$C$5:C1623,"&lt;="&amp;Settings!$B$5)=1),1,0)</f>
        <v>0</v>
      </c>
      <c r="N1623" s="29" t="n">
        <f aca="false">IF(AND(D1623="Feature Use",COUNTIFS($B$5:B1623,B1623,$D$5:D1623,"Feature Use")=1),1,0)</f>
        <v>0</v>
      </c>
    </row>
    <row r="1624" customFormat="false" ht="15" hidden="false" customHeight="false" outlineLevel="0" collapsed="false">
      <c r="A1624" s="22" t="s">
        <v>1931</v>
      </c>
      <c r="B1624" s="22" t="s">
        <v>178</v>
      </c>
      <c r="C1624" s="31" t="n">
        <v>46310</v>
      </c>
      <c r="D1624" s="22" t="s">
        <v>297</v>
      </c>
      <c r="E1624" s="22" t="s">
        <v>298</v>
      </c>
      <c r="F1624" s="29" t="str">
        <f aca="false">IF(COUNTIF(Referral_Data!$C$5:$C$1000,B1624)&gt;0,"Referred",IF(COUNTIF(Referral_Data!$B$5:$B$1000,B1624)&gt;0,"Referrer","Organic"))</f>
        <v>Referrer</v>
      </c>
      <c r="G1624" s="29" t="n">
        <f aca="false">IF(COUNTIFS($B$5:B1624,B1624,$C$5:C1624,C1624)=1,1,0)</f>
        <v>1</v>
      </c>
      <c r="H1624" s="29" t="n">
        <f aca="false">IF(AND(G1624=1,COUNTIFS($B$5:$B$1635,B1624,$C$5:$C$1635,"&lt;"&amp;C1624)&gt;0),1,0)</f>
        <v>1</v>
      </c>
      <c r="I1624" s="29" t="n">
        <f aca="false">IF(AND(D1624="Feature Use",COUNTIFS($B$5:B1624,B1624,$D$5:D1624,"Feature Use",$E$5:E1624,E1624)=1),1,0)</f>
        <v>0</v>
      </c>
      <c r="J1624" s="29" t="n">
        <f aca="false">IF(AND(D1624="Feature Use",COUNTIFS($B$5:B1624,B1624,$D$5:D1624,"Feature Use",$E$5:E1624,E1624)=2),1,0)</f>
        <v>0</v>
      </c>
      <c r="K1624" s="29" t="n">
        <f aca="false">IF(COUNTIF($B$5:B1624,B1624)=1,1,0)</f>
        <v>0</v>
      </c>
      <c r="L1624" s="29" t="n">
        <f aca="false">IF(AND(C1624&gt;=Settings!$B$5-Settings!$B$8+1,C1624&lt;=Settings!$B$5,COUNTIFS($B$5:B1624,B1624,$C$5:C1624,"&gt;="&amp;(Settings!$B$5-Settings!$B$8+1),$C$5:C1624,"&lt;="&amp;Settings!$B$5)=1),1,0)</f>
        <v>0</v>
      </c>
      <c r="M1624" s="29" t="n">
        <f aca="false">IF(AND(C1624&gt;=Settings!$B$5-Settings!$B$9+1,C1624&lt;=Settings!$B$5,COUNTIFS($B$5:B1624,B1624,$C$5:C1624,"&gt;="&amp;(Settings!$B$5-Settings!$B$9+1),$C$5:C1624,"&lt;="&amp;Settings!$B$5)=1),1,0)</f>
        <v>0</v>
      </c>
      <c r="N1624" s="29" t="n">
        <f aca="false">IF(AND(D1624="Feature Use",COUNTIFS($B$5:B1624,B1624,$D$5:D1624,"Feature Use")=1),1,0)</f>
        <v>0</v>
      </c>
    </row>
    <row r="1625" customFormat="false" ht="15" hidden="false" customHeight="false" outlineLevel="0" collapsed="false">
      <c r="A1625" s="22" t="s">
        <v>1932</v>
      </c>
      <c r="B1625" s="22" t="s">
        <v>178</v>
      </c>
      <c r="C1625" s="31" t="n">
        <v>46310</v>
      </c>
      <c r="D1625" s="22" t="s">
        <v>300</v>
      </c>
      <c r="E1625" s="22" t="s">
        <v>319</v>
      </c>
      <c r="F1625" s="29" t="str">
        <f aca="false">IF(COUNTIF(Referral_Data!$C$5:$C$1000,B1625)&gt;0,"Referred",IF(COUNTIF(Referral_Data!$B$5:$B$1000,B1625)&gt;0,"Referrer","Organic"))</f>
        <v>Referrer</v>
      </c>
      <c r="G1625" s="29" t="n">
        <f aca="false">IF(COUNTIFS($B$5:B1625,B1625,$C$5:C1625,C1625)=1,1,0)</f>
        <v>0</v>
      </c>
      <c r="H1625" s="29" t="n">
        <f aca="false">IF(AND(G1625=1,COUNTIFS($B$5:$B$1635,B1625,$C$5:$C$1635,"&lt;"&amp;C1625)&gt;0),1,0)</f>
        <v>0</v>
      </c>
      <c r="I1625" s="29" t="n">
        <f aca="false">IF(AND(D1625="Feature Use",COUNTIFS($B$5:B1625,B1625,$D$5:D1625,"Feature Use",$E$5:E1625,E1625)=1),1,0)</f>
        <v>0</v>
      </c>
      <c r="J1625" s="29" t="n">
        <f aca="false">IF(AND(D1625="Feature Use",COUNTIFS($B$5:B1625,B1625,$D$5:D1625,"Feature Use",$E$5:E1625,E1625)=2),1,0)</f>
        <v>0</v>
      </c>
      <c r="K1625" s="29" t="n">
        <f aca="false">IF(COUNTIF($B$5:B1625,B1625)=1,1,0)</f>
        <v>0</v>
      </c>
      <c r="L1625" s="29" t="n">
        <f aca="false">IF(AND(C1625&gt;=Settings!$B$5-Settings!$B$8+1,C1625&lt;=Settings!$B$5,COUNTIFS($B$5:B1625,B1625,$C$5:C1625,"&gt;="&amp;(Settings!$B$5-Settings!$B$8+1),$C$5:C1625,"&lt;="&amp;Settings!$B$5)=1),1,0)</f>
        <v>0</v>
      </c>
      <c r="M1625" s="29" t="n">
        <f aca="false">IF(AND(C1625&gt;=Settings!$B$5-Settings!$B$9+1,C1625&lt;=Settings!$B$5,COUNTIFS($B$5:B1625,B1625,$C$5:C1625,"&gt;="&amp;(Settings!$B$5-Settings!$B$9+1),$C$5:C1625,"&lt;="&amp;Settings!$B$5)=1),1,0)</f>
        <v>0</v>
      </c>
      <c r="N1625" s="29" t="n">
        <f aca="false">IF(AND(D1625="Feature Use",COUNTIFS($B$5:B1625,B1625,$D$5:D1625,"Feature Use")=1),1,0)</f>
        <v>0</v>
      </c>
    </row>
    <row r="1626" customFormat="false" ht="15" hidden="false" customHeight="false" outlineLevel="0" collapsed="false">
      <c r="A1626" s="22" t="s">
        <v>1933</v>
      </c>
      <c r="B1626" s="22" t="s">
        <v>178</v>
      </c>
      <c r="C1626" s="31" t="n">
        <v>46310</v>
      </c>
      <c r="D1626" s="22" t="s">
        <v>308</v>
      </c>
      <c r="E1626" s="22" t="s">
        <v>319</v>
      </c>
      <c r="F1626" s="29" t="str">
        <f aca="false">IF(COUNTIF(Referral_Data!$C$5:$C$1000,B1626)&gt;0,"Referred",IF(COUNTIF(Referral_Data!$B$5:$B$1000,B1626)&gt;0,"Referrer","Organic"))</f>
        <v>Referrer</v>
      </c>
      <c r="G1626" s="29" t="n">
        <f aca="false">IF(COUNTIFS($B$5:B1626,B1626,$C$5:C1626,C1626)=1,1,0)</f>
        <v>0</v>
      </c>
      <c r="H1626" s="29" t="n">
        <f aca="false">IF(AND(G1626=1,COUNTIFS($B$5:$B$1635,B1626,$C$5:$C$1635,"&lt;"&amp;C1626)&gt;0),1,0)</f>
        <v>0</v>
      </c>
      <c r="I1626" s="29" t="n">
        <f aca="false">IF(AND(D1626="Feature Use",COUNTIFS($B$5:B1626,B1626,$D$5:D1626,"Feature Use",$E$5:E1626,E1626)=1),1,0)</f>
        <v>0</v>
      </c>
      <c r="J1626" s="29" t="n">
        <f aca="false">IF(AND(D1626="Feature Use",COUNTIFS($B$5:B1626,B1626,$D$5:D1626,"Feature Use",$E$5:E1626,E1626)=2),1,0)</f>
        <v>0</v>
      </c>
      <c r="K1626" s="29" t="n">
        <f aca="false">IF(COUNTIF($B$5:B1626,B1626)=1,1,0)</f>
        <v>0</v>
      </c>
      <c r="L1626" s="29" t="n">
        <f aca="false">IF(AND(C1626&gt;=Settings!$B$5-Settings!$B$8+1,C1626&lt;=Settings!$B$5,COUNTIFS($B$5:B1626,B1626,$C$5:C1626,"&gt;="&amp;(Settings!$B$5-Settings!$B$8+1),$C$5:C1626,"&lt;="&amp;Settings!$B$5)=1),1,0)</f>
        <v>0</v>
      </c>
      <c r="M1626" s="29" t="n">
        <f aca="false">IF(AND(C1626&gt;=Settings!$B$5-Settings!$B$9+1,C1626&lt;=Settings!$B$5,COUNTIFS($B$5:B1626,B1626,$C$5:C1626,"&gt;="&amp;(Settings!$B$5-Settings!$B$9+1),$C$5:C1626,"&lt;="&amp;Settings!$B$5)=1),1,0)</f>
        <v>0</v>
      </c>
      <c r="N1626" s="29" t="n">
        <f aca="false">IF(AND(D1626="Feature Use",COUNTIFS($B$5:B1626,B1626,$D$5:D1626,"Feature Use")=1),1,0)</f>
        <v>0</v>
      </c>
    </row>
    <row r="1627" customFormat="false" ht="15" hidden="false" customHeight="false" outlineLevel="0" collapsed="false">
      <c r="A1627" s="22" t="s">
        <v>1934</v>
      </c>
      <c r="B1627" s="22" t="s">
        <v>178</v>
      </c>
      <c r="C1627" s="31" t="n">
        <v>46310</v>
      </c>
      <c r="D1627" s="22" t="s">
        <v>308</v>
      </c>
      <c r="E1627" s="22" t="s">
        <v>309</v>
      </c>
      <c r="F1627" s="29" t="str">
        <f aca="false">IF(COUNTIF(Referral_Data!$C$5:$C$1000,B1627)&gt;0,"Referred",IF(COUNTIF(Referral_Data!$B$5:$B$1000,B1627)&gt;0,"Referrer","Organic"))</f>
        <v>Referrer</v>
      </c>
      <c r="G1627" s="29" t="n">
        <f aca="false">IF(COUNTIFS($B$5:B1627,B1627,$C$5:C1627,C1627)=1,1,0)</f>
        <v>0</v>
      </c>
      <c r="H1627" s="29" t="n">
        <f aca="false">IF(AND(G1627=1,COUNTIFS($B$5:$B$1635,B1627,$C$5:$C$1635,"&lt;"&amp;C1627)&gt;0),1,0)</f>
        <v>0</v>
      </c>
      <c r="I1627" s="29" t="n">
        <f aca="false">IF(AND(D1627="Feature Use",COUNTIFS($B$5:B1627,B1627,$D$5:D1627,"Feature Use",$E$5:E1627,E1627)=1),1,0)</f>
        <v>0</v>
      </c>
      <c r="J1627" s="29" t="n">
        <f aca="false">IF(AND(D1627="Feature Use",COUNTIFS($B$5:B1627,B1627,$D$5:D1627,"Feature Use",$E$5:E1627,E1627)=2),1,0)</f>
        <v>0</v>
      </c>
      <c r="K1627" s="29" t="n">
        <f aca="false">IF(COUNTIF($B$5:B1627,B1627)=1,1,0)</f>
        <v>0</v>
      </c>
      <c r="L1627" s="29" t="n">
        <f aca="false">IF(AND(C1627&gt;=Settings!$B$5-Settings!$B$8+1,C1627&lt;=Settings!$B$5,COUNTIFS($B$5:B1627,B1627,$C$5:C1627,"&gt;="&amp;(Settings!$B$5-Settings!$B$8+1),$C$5:C1627,"&lt;="&amp;Settings!$B$5)=1),1,0)</f>
        <v>0</v>
      </c>
      <c r="M1627" s="29" t="n">
        <f aca="false">IF(AND(C1627&gt;=Settings!$B$5-Settings!$B$9+1,C1627&lt;=Settings!$B$5,COUNTIFS($B$5:B1627,B1627,$C$5:C1627,"&gt;="&amp;(Settings!$B$5-Settings!$B$9+1),$C$5:C1627,"&lt;="&amp;Settings!$B$5)=1),1,0)</f>
        <v>0</v>
      </c>
      <c r="N1627" s="29" t="n">
        <f aca="false">IF(AND(D1627="Feature Use",COUNTIFS($B$5:B1627,B1627,$D$5:D1627,"Feature Use")=1),1,0)</f>
        <v>0</v>
      </c>
    </row>
    <row r="1628" customFormat="false" ht="15" hidden="false" customHeight="false" outlineLevel="0" collapsed="false">
      <c r="A1628" s="22" t="s">
        <v>1935</v>
      </c>
      <c r="B1628" s="22" t="s">
        <v>200</v>
      </c>
      <c r="C1628" s="31" t="n">
        <v>46310</v>
      </c>
      <c r="D1628" s="22" t="s">
        <v>297</v>
      </c>
      <c r="E1628" s="22" t="s">
        <v>298</v>
      </c>
      <c r="F1628" s="29" t="str">
        <f aca="false">IF(COUNTIF(Referral_Data!$C$5:$C$1000,B1628)&gt;0,"Referred",IF(COUNTIF(Referral_Data!$B$5:$B$1000,B1628)&gt;0,"Referrer","Organic"))</f>
        <v>Referrer</v>
      </c>
      <c r="G1628" s="29" t="n">
        <f aca="false">IF(COUNTIFS($B$5:B1628,B1628,$C$5:C1628,C1628)=1,1,0)</f>
        <v>1</v>
      </c>
      <c r="H1628" s="29" t="n">
        <f aca="false">IF(AND(G1628=1,COUNTIFS($B$5:$B$1635,B1628,$C$5:$C$1635,"&lt;"&amp;C1628)&gt;0),1,0)</f>
        <v>1</v>
      </c>
      <c r="I1628" s="29" t="n">
        <f aca="false">IF(AND(D1628="Feature Use",COUNTIFS($B$5:B1628,B1628,$D$5:D1628,"Feature Use",$E$5:E1628,E1628)=1),1,0)</f>
        <v>0</v>
      </c>
      <c r="J1628" s="29" t="n">
        <f aca="false">IF(AND(D1628="Feature Use",COUNTIFS($B$5:B1628,B1628,$D$5:D1628,"Feature Use",$E$5:E1628,E1628)=2),1,0)</f>
        <v>0</v>
      </c>
      <c r="K1628" s="29" t="n">
        <f aca="false">IF(COUNTIF($B$5:B1628,B1628)=1,1,0)</f>
        <v>0</v>
      </c>
      <c r="L1628" s="29" t="n">
        <f aca="false">IF(AND(C1628&gt;=Settings!$B$5-Settings!$B$8+1,C1628&lt;=Settings!$B$5,COUNTIFS($B$5:B1628,B1628,$C$5:C1628,"&gt;="&amp;(Settings!$B$5-Settings!$B$8+1),$C$5:C1628,"&lt;="&amp;Settings!$B$5)=1),1,0)</f>
        <v>0</v>
      </c>
      <c r="M1628" s="29" t="n">
        <f aca="false">IF(AND(C1628&gt;=Settings!$B$5-Settings!$B$9+1,C1628&lt;=Settings!$B$5,COUNTIFS($B$5:B1628,B1628,$C$5:C1628,"&gt;="&amp;(Settings!$B$5-Settings!$B$9+1),$C$5:C1628,"&lt;="&amp;Settings!$B$5)=1),1,0)</f>
        <v>0</v>
      </c>
      <c r="N1628" s="29" t="n">
        <f aca="false">IF(AND(D1628="Feature Use",COUNTIFS($B$5:B1628,B1628,$D$5:D1628,"Feature Use")=1),1,0)</f>
        <v>0</v>
      </c>
    </row>
    <row r="1629" customFormat="false" ht="15" hidden="false" customHeight="false" outlineLevel="0" collapsed="false">
      <c r="A1629" s="22" t="s">
        <v>1936</v>
      </c>
      <c r="B1629" s="22" t="s">
        <v>200</v>
      </c>
      <c r="C1629" s="31" t="n">
        <v>46310</v>
      </c>
      <c r="D1629" s="22" t="s">
        <v>300</v>
      </c>
      <c r="E1629" s="22" t="s">
        <v>305</v>
      </c>
      <c r="F1629" s="29" t="str">
        <f aca="false">IF(COUNTIF(Referral_Data!$C$5:$C$1000,B1629)&gt;0,"Referred",IF(COUNTIF(Referral_Data!$B$5:$B$1000,B1629)&gt;0,"Referrer","Organic"))</f>
        <v>Referrer</v>
      </c>
      <c r="G1629" s="29" t="n">
        <f aca="false">IF(COUNTIFS($B$5:B1629,B1629,$C$5:C1629,C1629)=1,1,0)</f>
        <v>0</v>
      </c>
      <c r="H1629" s="29" t="n">
        <f aca="false">IF(AND(G1629=1,COUNTIFS($B$5:$B$1635,B1629,$C$5:$C$1635,"&lt;"&amp;C1629)&gt;0),1,0)</f>
        <v>0</v>
      </c>
      <c r="I1629" s="29" t="n">
        <f aca="false">IF(AND(D1629="Feature Use",COUNTIFS($B$5:B1629,B1629,$D$5:D1629,"Feature Use",$E$5:E1629,E1629)=1),1,0)</f>
        <v>0</v>
      </c>
      <c r="J1629" s="29" t="n">
        <f aca="false">IF(AND(D1629="Feature Use",COUNTIFS($B$5:B1629,B1629,$D$5:D1629,"Feature Use",$E$5:E1629,E1629)=2),1,0)</f>
        <v>0</v>
      </c>
      <c r="K1629" s="29" t="n">
        <f aca="false">IF(COUNTIF($B$5:B1629,B1629)=1,1,0)</f>
        <v>0</v>
      </c>
      <c r="L1629" s="29" t="n">
        <f aca="false">IF(AND(C1629&gt;=Settings!$B$5-Settings!$B$8+1,C1629&lt;=Settings!$B$5,COUNTIFS($B$5:B1629,B1629,$C$5:C1629,"&gt;="&amp;(Settings!$B$5-Settings!$B$8+1),$C$5:C1629,"&lt;="&amp;Settings!$B$5)=1),1,0)</f>
        <v>0</v>
      </c>
      <c r="M1629" s="29" t="n">
        <f aca="false">IF(AND(C1629&gt;=Settings!$B$5-Settings!$B$9+1,C1629&lt;=Settings!$B$5,COUNTIFS($B$5:B1629,B1629,$C$5:C1629,"&gt;="&amp;(Settings!$B$5-Settings!$B$9+1),$C$5:C1629,"&lt;="&amp;Settings!$B$5)=1),1,0)</f>
        <v>0</v>
      </c>
      <c r="N1629" s="29" t="n">
        <f aca="false">IF(AND(D1629="Feature Use",COUNTIFS($B$5:B1629,B1629,$D$5:D1629,"Feature Use")=1),1,0)</f>
        <v>0</v>
      </c>
    </row>
    <row r="1630" customFormat="false" ht="15" hidden="false" customHeight="false" outlineLevel="0" collapsed="false">
      <c r="A1630" s="22" t="s">
        <v>1937</v>
      </c>
      <c r="B1630" s="22" t="s">
        <v>200</v>
      </c>
      <c r="C1630" s="31" t="n">
        <v>46310</v>
      </c>
      <c r="D1630" s="22" t="s">
        <v>300</v>
      </c>
      <c r="E1630" s="22" t="s">
        <v>305</v>
      </c>
      <c r="F1630" s="29" t="str">
        <f aca="false">IF(COUNTIF(Referral_Data!$C$5:$C$1000,B1630)&gt;0,"Referred",IF(COUNTIF(Referral_Data!$B$5:$B$1000,B1630)&gt;0,"Referrer","Organic"))</f>
        <v>Referrer</v>
      </c>
      <c r="G1630" s="29" t="n">
        <f aca="false">IF(COUNTIFS($B$5:B1630,B1630,$C$5:C1630,C1630)=1,1,0)</f>
        <v>0</v>
      </c>
      <c r="H1630" s="29" t="n">
        <f aca="false">IF(AND(G1630=1,COUNTIFS($B$5:$B$1635,B1630,$C$5:$C$1635,"&lt;"&amp;C1630)&gt;0),1,0)</f>
        <v>0</v>
      </c>
      <c r="I1630" s="29" t="n">
        <f aca="false">IF(AND(D1630="Feature Use",COUNTIFS($B$5:B1630,B1630,$D$5:D1630,"Feature Use",$E$5:E1630,E1630)=1),1,0)</f>
        <v>0</v>
      </c>
      <c r="J1630" s="29" t="n">
        <f aca="false">IF(AND(D1630="Feature Use",COUNTIFS($B$5:B1630,B1630,$D$5:D1630,"Feature Use",$E$5:E1630,E1630)=2),1,0)</f>
        <v>0</v>
      </c>
      <c r="K1630" s="29" t="n">
        <f aca="false">IF(COUNTIF($B$5:B1630,B1630)=1,1,0)</f>
        <v>0</v>
      </c>
      <c r="L1630" s="29" t="n">
        <f aca="false">IF(AND(C1630&gt;=Settings!$B$5-Settings!$B$8+1,C1630&lt;=Settings!$B$5,COUNTIFS($B$5:B1630,B1630,$C$5:C1630,"&gt;="&amp;(Settings!$B$5-Settings!$B$8+1),$C$5:C1630,"&lt;="&amp;Settings!$B$5)=1),1,0)</f>
        <v>0</v>
      </c>
      <c r="M1630" s="29" t="n">
        <f aca="false">IF(AND(C1630&gt;=Settings!$B$5-Settings!$B$9+1,C1630&lt;=Settings!$B$5,COUNTIFS($B$5:B1630,B1630,$C$5:C1630,"&gt;="&amp;(Settings!$B$5-Settings!$B$9+1),$C$5:C1630,"&lt;="&amp;Settings!$B$5)=1),1,0)</f>
        <v>0</v>
      </c>
      <c r="N1630" s="29" t="n">
        <f aca="false">IF(AND(D1630="Feature Use",COUNTIFS($B$5:B1630,B1630,$D$5:D1630,"Feature Use")=1),1,0)</f>
        <v>0</v>
      </c>
    </row>
    <row r="1631" customFormat="false" ht="15" hidden="false" customHeight="false" outlineLevel="0" collapsed="false">
      <c r="A1631" s="22" t="s">
        <v>1938</v>
      </c>
      <c r="B1631" s="22" t="s">
        <v>200</v>
      </c>
      <c r="C1631" s="31" t="n">
        <v>46310</v>
      </c>
      <c r="D1631" s="22" t="s">
        <v>308</v>
      </c>
      <c r="E1631" s="22" t="s">
        <v>319</v>
      </c>
      <c r="F1631" s="29" t="str">
        <f aca="false">IF(COUNTIF(Referral_Data!$C$5:$C$1000,B1631)&gt;0,"Referred",IF(COUNTIF(Referral_Data!$B$5:$B$1000,B1631)&gt;0,"Referrer","Organic"))</f>
        <v>Referrer</v>
      </c>
      <c r="G1631" s="29" t="n">
        <f aca="false">IF(COUNTIFS($B$5:B1631,B1631,$C$5:C1631,C1631)=1,1,0)</f>
        <v>0</v>
      </c>
      <c r="H1631" s="29" t="n">
        <f aca="false">IF(AND(G1631=1,COUNTIFS($B$5:$B$1635,B1631,$C$5:$C$1635,"&lt;"&amp;C1631)&gt;0),1,0)</f>
        <v>0</v>
      </c>
      <c r="I1631" s="29" t="n">
        <f aca="false">IF(AND(D1631="Feature Use",COUNTIFS($B$5:B1631,B1631,$D$5:D1631,"Feature Use",$E$5:E1631,E1631)=1),1,0)</f>
        <v>0</v>
      </c>
      <c r="J1631" s="29" t="n">
        <f aca="false">IF(AND(D1631="Feature Use",COUNTIFS($B$5:B1631,B1631,$D$5:D1631,"Feature Use",$E$5:E1631,E1631)=2),1,0)</f>
        <v>0</v>
      </c>
      <c r="K1631" s="29" t="n">
        <f aca="false">IF(COUNTIF($B$5:B1631,B1631)=1,1,0)</f>
        <v>0</v>
      </c>
      <c r="L1631" s="29" t="n">
        <f aca="false">IF(AND(C1631&gt;=Settings!$B$5-Settings!$B$8+1,C1631&lt;=Settings!$B$5,COUNTIFS($B$5:B1631,B1631,$C$5:C1631,"&gt;="&amp;(Settings!$B$5-Settings!$B$8+1),$C$5:C1631,"&lt;="&amp;Settings!$B$5)=1),1,0)</f>
        <v>0</v>
      </c>
      <c r="M1631" s="29" t="n">
        <f aca="false">IF(AND(C1631&gt;=Settings!$B$5-Settings!$B$9+1,C1631&lt;=Settings!$B$5,COUNTIFS($B$5:B1631,B1631,$C$5:C1631,"&gt;="&amp;(Settings!$B$5-Settings!$B$9+1),$C$5:C1631,"&lt;="&amp;Settings!$B$5)=1),1,0)</f>
        <v>0</v>
      </c>
      <c r="N1631" s="29" t="n">
        <f aca="false">IF(AND(D1631="Feature Use",COUNTIFS($B$5:B1631,B1631,$D$5:D1631,"Feature Use")=1),1,0)</f>
        <v>0</v>
      </c>
    </row>
    <row r="1632" customFormat="false" ht="15" hidden="false" customHeight="false" outlineLevel="0" collapsed="false">
      <c r="A1632" s="22" t="s">
        <v>1939</v>
      </c>
      <c r="B1632" s="22" t="s">
        <v>175</v>
      </c>
      <c r="C1632" s="31" t="n">
        <v>46310</v>
      </c>
      <c r="D1632" s="22" t="s">
        <v>297</v>
      </c>
      <c r="E1632" s="22" t="s">
        <v>298</v>
      </c>
      <c r="F1632" s="29" t="str">
        <f aca="false">IF(COUNTIF(Referral_Data!$C$5:$C$1000,B1632)&gt;0,"Referred",IF(COUNTIF(Referral_Data!$B$5:$B$1000,B1632)&gt;0,"Referrer","Organic"))</f>
        <v>Referrer</v>
      </c>
      <c r="G1632" s="29" t="n">
        <f aca="false">IF(COUNTIFS($B$5:B1632,B1632,$C$5:C1632,C1632)=1,1,0)</f>
        <v>1</v>
      </c>
      <c r="H1632" s="29" t="n">
        <f aca="false">IF(AND(G1632=1,COUNTIFS($B$5:$B$1635,B1632,$C$5:$C$1635,"&lt;"&amp;C1632)&gt;0),1,0)</f>
        <v>1</v>
      </c>
      <c r="I1632" s="29" t="n">
        <f aca="false">IF(AND(D1632="Feature Use",COUNTIFS($B$5:B1632,B1632,$D$5:D1632,"Feature Use",$E$5:E1632,E1632)=1),1,0)</f>
        <v>0</v>
      </c>
      <c r="J1632" s="29" t="n">
        <f aca="false">IF(AND(D1632="Feature Use",COUNTIFS($B$5:B1632,B1632,$D$5:D1632,"Feature Use",$E$5:E1632,E1632)=2),1,0)</f>
        <v>0</v>
      </c>
      <c r="K1632" s="29" t="n">
        <f aca="false">IF(COUNTIF($B$5:B1632,B1632)=1,1,0)</f>
        <v>0</v>
      </c>
      <c r="L1632" s="29" t="n">
        <f aca="false">IF(AND(C1632&gt;=Settings!$B$5-Settings!$B$8+1,C1632&lt;=Settings!$B$5,COUNTIFS($B$5:B1632,B1632,$C$5:C1632,"&gt;="&amp;(Settings!$B$5-Settings!$B$8+1),$C$5:C1632,"&lt;="&amp;Settings!$B$5)=1),1,0)</f>
        <v>0</v>
      </c>
      <c r="M1632" s="29" t="n">
        <f aca="false">IF(AND(C1632&gt;=Settings!$B$5-Settings!$B$9+1,C1632&lt;=Settings!$B$5,COUNTIFS($B$5:B1632,B1632,$C$5:C1632,"&gt;="&amp;(Settings!$B$5-Settings!$B$9+1),$C$5:C1632,"&lt;="&amp;Settings!$B$5)=1),1,0)</f>
        <v>0</v>
      </c>
      <c r="N1632" s="29" t="n">
        <f aca="false">IF(AND(D1632="Feature Use",COUNTIFS($B$5:B1632,B1632,$D$5:D1632,"Feature Use")=1),1,0)</f>
        <v>0</v>
      </c>
    </row>
    <row r="1633" customFormat="false" ht="15" hidden="false" customHeight="false" outlineLevel="0" collapsed="false">
      <c r="A1633" s="22" t="s">
        <v>1940</v>
      </c>
      <c r="B1633" s="22" t="s">
        <v>175</v>
      </c>
      <c r="C1633" s="31" t="n">
        <v>46310</v>
      </c>
      <c r="D1633" s="22" t="s">
        <v>300</v>
      </c>
      <c r="E1633" s="22" t="s">
        <v>301</v>
      </c>
      <c r="F1633" s="29" t="str">
        <f aca="false">IF(COUNTIF(Referral_Data!$C$5:$C$1000,B1633)&gt;0,"Referred",IF(COUNTIF(Referral_Data!$B$5:$B$1000,B1633)&gt;0,"Referrer","Organic"))</f>
        <v>Referrer</v>
      </c>
      <c r="G1633" s="29" t="n">
        <f aca="false">IF(COUNTIFS($B$5:B1633,B1633,$C$5:C1633,C1633)=1,1,0)</f>
        <v>0</v>
      </c>
      <c r="H1633" s="29" t="n">
        <f aca="false">IF(AND(G1633=1,COUNTIFS($B$5:$B$1635,B1633,$C$5:$C$1635,"&lt;"&amp;C1633)&gt;0),1,0)</f>
        <v>0</v>
      </c>
      <c r="I1633" s="29" t="n">
        <f aca="false">IF(AND(D1633="Feature Use",COUNTIFS($B$5:B1633,B1633,$D$5:D1633,"Feature Use",$E$5:E1633,E1633)=1),1,0)</f>
        <v>0</v>
      </c>
      <c r="J1633" s="29" t="n">
        <f aca="false">IF(AND(D1633="Feature Use",COUNTIFS($B$5:B1633,B1633,$D$5:D1633,"Feature Use",$E$5:E1633,E1633)=2),1,0)</f>
        <v>0</v>
      </c>
      <c r="K1633" s="29" t="n">
        <f aca="false">IF(COUNTIF($B$5:B1633,B1633)=1,1,0)</f>
        <v>0</v>
      </c>
      <c r="L1633" s="29" t="n">
        <f aca="false">IF(AND(C1633&gt;=Settings!$B$5-Settings!$B$8+1,C1633&lt;=Settings!$B$5,COUNTIFS($B$5:B1633,B1633,$C$5:C1633,"&gt;="&amp;(Settings!$B$5-Settings!$B$8+1),$C$5:C1633,"&lt;="&amp;Settings!$B$5)=1),1,0)</f>
        <v>0</v>
      </c>
      <c r="M1633" s="29" t="n">
        <f aca="false">IF(AND(C1633&gt;=Settings!$B$5-Settings!$B$9+1,C1633&lt;=Settings!$B$5,COUNTIFS($B$5:B1633,B1633,$C$5:C1633,"&gt;="&amp;(Settings!$B$5-Settings!$B$9+1),$C$5:C1633,"&lt;="&amp;Settings!$B$5)=1),1,0)</f>
        <v>0</v>
      </c>
      <c r="N1633" s="29" t="n">
        <f aca="false">IF(AND(D1633="Feature Use",COUNTIFS($B$5:B1633,B1633,$D$5:D1633,"Feature Use")=1),1,0)</f>
        <v>0</v>
      </c>
    </row>
    <row r="1634" customFormat="false" ht="15" hidden="false" customHeight="false" outlineLevel="0" collapsed="false">
      <c r="A1634" s="22" t="s">
        <v>1941</v>
      </c>
      <c r="B1634" s="22" t="s">
        <v>175</v>
      </c>
      <c r="C1634" s="31" t="n">
        <v>46310</v>
      </c>
      <c r="D1634" s="22" t="s">
        <v>300</v>
      </c>
      <c r="E1634" s="22" t="s">
        <v>301</v>
      </c>
      <c r="F1634" s="29" t="str">
        <f aca="false">IF(COUNTIF(Referral_Data!$C$5:$C$1000,B1634)&gt;0,"Referred",IF(COUNTIF(Referral_Data!$B$5:$B$1000,B1634)&gt;0,"Referrer","Organic"))</f>
        <v>Referrer</v>
      </c>
      <c r="G1634" s="29" t="n">
        <f aca="false">IF(COUNTIFS($B$5:B1634,B1634,$C$5:C1634,C1634)=1,1,0)</f>
        <v>0</v>
      </c>
      <c r="H1634" s="29" t="n">
        <f aca="false">IF(AND(G1634=1,COUNTIFS($B$5:$B$1635,B1634,$C$5:$C$1635,"&lt;"&amp;C1634)&gt;0),1,0)</f>
        <v>0</v>
      </c>
      <c r="I1634" s="29" t="n">
        <f aca="false">IF(AND(D1634="Feature Use",COUNTIFS($B$5:B1634,B1634,$D$5:D1634,"Feature Use",$E$5:E1634,E1634)=1),1,0)</f>
        <v>0</v>
      </c>
      <c r="J1634" s="29" t="n">
        <f aca="false">IF(AND(D1634="Feature Use",COUNTIFS($B$5:B1634,B1634,$D$5:D1634,"Feature Use",$E$5:E1634,E1634)=2),1,0)</f>
        <v>0</v>
      </c>
      <c r="K1634" s="29" t="n">
        <f aca="false">IF(COUNTIF($B$5:B1634,B1634)=1,1,0)</f>
        <v>0</v>
      </c>
      <c r="L1634" s="29" t="n">
        <f aca="false">IF(AND(C1634&gt;=Settings!$B$5-Settings!$B$8+1,C1634&lt;=Settings!$B$5,COUNTIFS($B$5:B1634,B1634,$C$5:C1634,"&gt;="&amp;(Settings!$B$5-Settings!$B$8+1),$C$5:C1634,"&lt;="&amp;Settings!$B$5)=1),1,0)</f>
        <v>0</v>
      </c>
      <c r="M1634" s="29" t="n">
        <f aca="false">IF(AND(C1634&gt;=Settings!$B$5-Settings!$B$9+1,C1634&lt;=Settings!$B$5,COUNTIFS($B$5:B1634,B1634,$C$5:C1634,"&gt;="&amp;(Settings!$B$5-Settings!$B$9+1),$C$5:C1634,"&lt;="&amp;Settings!$B$5)=1),1,0)</f>
        <v>0</v>
      </c>
      <c r="N1634" s="29" t="n">
        <f aca="false">IF(AND(D1634="Feature Use",COUNTIFS($B$5:B1634,B1634,$D$5:D1634,"Feature Use")=1),1,0)</f>
        <v>0</v>
      </c>
    </row>
    <row r="1635" customFormat="false" ht="15" hidden="false" customHeight="false" outlineLevel="0" collapsed="false">
      <c r="A1635" s="22" t="s">
        <v>1942</v>
      </c>
      <c r="B1635" s="22" t="s">
        <v>175</v>
      </c>
      <c r="C1635" s="31" t="n">
        <v>46310</v>
      </c>
      <c r="D1635" s="22" t="s">
        <v>308</v>
      </c>
      <c r="E1635" s="22" t="s">
        <v>305</v>
      </c>
      <c r="F1635" s="29" t="str">
        <f aca="false">IF(COUNTIF(Referral_Data!$C$5:$C$1000,B1635)&gt;0,"Referred",IF(COUNTIF(Referral_Data!$B$5:$B$1000,B1635)&gt;0,"Referrer","Organic"))</f>
        <v>Referrer</v>
      </c>
      <c r="G1635" s="29" t="n">
        <f aca="false">IF(COUNTIFS($B$5:B1635,B1635,$C$5:C1635,C1635)=1,1,0)</f>
        <v>0</v>
      </c>
      <c r="H1635" s="29" t="n">
        <f aca="false">IF(AND(G1635=1,COUNTIFS($B$5:$B$1635,B1635,$C$5:$C$1635,"&lt;"&amp;C1635)&gt;0),1,0)</f>
        <v>0</v>
      </c>
      <c r="I1635" s="29" t="n">
        <f aca="false">IF(AND(D1635="Feature Use",COUNTIFS($B$5:B1635,B1635,$D$5:D1635,"Feature Use",$E$5:E1635,E1635)=1),1,0)</f>
        <v>0</v>
      </c>
      <c r="J1635" s="29" t="n">
        <f aca="false">IF(AND(D1635="Feature Use",COUNTIFS($B$5:B1635,B1635,$D$5:D1635,"Feature Use",$E$5:E1635,E1635)=2),1,0)</f>
        <v>0</v>
      </c>
      <c r="K1635" s="29" t="n">
        <f aca="false">IF(COUNTIF($B$5:B1635,B1635)=1,1,0)</f>
        <v>0</v>
      </c>
      <c r="L1635" s="29" t="n">
        <f aca="false">IF(AND(C1635&gt;=Settings!$B$5-Settings!$B$8+1,C1635&lt;=Settings!$B$5,COUNTIFS($B$5:B1635,B1635,$C$5:C1635,"&gt;="&amp;(Settings!$B$5-Settings!$B$8+1),$C$5:C1635,"&lt;="&amp;Settings!$B$5)=1),1,0)</f>
        <v>0</v>
      </c>
      <c r="M1635" s="29" t="n">
        <f aca="false">IF(AND(C1635&gt;=Settings!$B$5-Settings!$B$9+1,C1635&lt;=Settings!$B$5,COUNTIFS($B$5:B1635,B1635,$C$5:C1635,"&gt;="&amp;(Settings!$B$5-Settings!$B$9+1),$C$5:C1635,"&lt;="&amp;Settings!$B$5)=1),1,0)</f>
        <v>0</v>
      </c>
      <c r="N1635" s="29" t="n">
        <f aca="false">IF(AND(D1635="Feature Use",COUNTIFS($B$5:B1635,B1635,$D$5:D1635,"Feature Use")=1),1,0)</f>
        <v>0</v>
      </c>
    </row>
  </sheetData>
  <autoFilter ref="A4:N1635"/>
  <dataValidations count="1">
    <dataValidation allowBlank="true" errorStyle="stop" operator="between" showDropDown="false" showErrorMessage="false" showInputMessage="false" sqref="D5:D2635" type="list">
      <formula1>"Login,Feature Use,Task 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17.35" hidden="false" customHeight="false" outlineLevel="0" collapsed="false">
      <c r="A1" s="1" t="s">
        <v>1943</v>
      </c>
    </row>
    <row r="2" customFormat="false" ht="15" hidden="false" customHeight="false" outlineLevel="0" collapsed="false">
      <c r="A2" s="27" t="s">
        <v>1944</v>
      </c>
    </row>
    <row r="4" customFormat="false" ht="31.5" hidden="false" customHeight="true" outlineLevel="0" collapsed="false">
      <c r="A4" s="11" t="s">
        <v>1945</v>
      </c>
      <c r="B4" s="11" t="s">
        <v>1946</v>
      </c>
      <c r="C4" s="11" t="s">
        <v>1947</v>
      </c>
      <c r="D4" s="11" t="s">
        <v>1948</v>
      </c>
      <c r="E4" s="11" t="s">
        <v>1949</v>
      </c>
      <c r="F4" s="11" t="s">
        <v>1950</v>
      </c>
      <c r="G4" s="11" t="s">
        <v>1951</v>
      </c>
      <c r="H4" s="11" t="s">
        <v>1952</v>
      </c>
      <c r="I4" s="11" t="s">
        <v>1953</v>
      </c>
      <c r="J4" s="11" t="s">
        <v>1954</v>
      </c>
      <c r="K4" s="11" t="s">
        <v>126</v>
      </c>
      <c r="L4" s="11" t="s">
        <v>1955</v>
      </c>
      <c r="M4" s="11" t="s">
        <v>1956</v>
      </c>
      <c r="N4" s="11" t="s">
        <v>1957</v>
      </c>
    </row>
    <row r="5" customFormat="false" ht="15" hidden="false" customHeight="false" outlineLevel="0" collapsed="false">
      <c r="A5" s="32" t="n">
        <f aca="false">Settings!$B$4</f>
        <v>46266</v>
      </c>
      <c r="B5" s="13" t="n">
        <f aca="false">COUNTIFS(Referral_Data!$E$5:$E$1000,"&gt;="&amp;$A5,Referral_Data!$E$5:$E$1000,"&lt;"&amp;($A5+1))</f>
        <v>2</v>
      </c>
      <c r="C5" s="13" t="n">
        <f aca="false">COUNTIFS(Referral_Data!$F$5:$F$1000,"&gt;="&amp;$A5,Referral_Data!$F$5:$F$1000,"&lt;"&amp;($A5+1))</f>
        <v>0</v>
      </c>
      <c r="D5" s="13" t="n">
        <f aca="false">COUNTIFS(Referral_Data!$G$5:$G$1000,"&gt;="&amp;$A5,Referral_Data!$G$5:$G$1000,"&lt;"&amp;($A5+1))</f>
        <v>0</v>
      </c>
      <c r="E5" s="13" t="n">
        <f aca="false">COUNTIFS(Referral_Data!$H$5:$H$1000,"&gt;="&amp;$A5,Referral_Data!$H$5:$H$1000,"&lt;"&amp;($A5+1))</f>
        <v>0</v>
      </c>
      <c r="F5" s="13" t="n">
        <f aca="false">SUMIFS(Engagement_Events!$G$5:$G$3000,Engagement_Events!$C$5:$C$3000,$A5)</f>
        <v>6</v>
      </c>
      <c r="G5" s="13" t="n">
        <f aca="false">SUMIFS(Engagement_Events!$K$5:$K$3000,Engagement_Events!$C$5:$C$3000,$A5)</f>
        <v>6</v>
      </c>
      <c r="H5" s="13" t="n">
        <f aca="false">SUMIFS(Engagement_Events!$H$5:$H$3000,Engagement_Events!$C$5:$C$3000,$A5)</f>
        <v>0</v>
      </c>
      <c r="I5" s="13" t="n">
        <f aca="false">COUNTIFS(Engagement_Events!$C$5:$C$3000,$A5,Engagement_Events!$D$5:$D$3000,"Login")</f>
        <v>6</v>
      </c>
      <c r="J5" s="13" t="n">
        <f aca="false">COUNTIFS(Engagement_Events!$C$5:$C$3000,$A5,Engagement_Events!$D$5:$D$3000,"Feature Use")</f>
        <v>8</v>
      </c>
      <c r="K5" s="13" t="n">
        <f aca="false">COUNTIFS(Engagement_Events!$C$5:$C$3000,$A5,Engagement_Events!$D$5:$D$3000,"Task Completed")</f>
        <v>5</v>
      </c>
      <c r="L5" s="13" t="n">
        <f aca="false">SUM($B$5:B5)</f>
        <v>2</v>
      </c>
      <c r="M5" s="13" t="n">
        <f aca="false">SUM($E$5:E5)</f>
        <v>0</v>
      </c>
      <c r="N5" s="14" t="n">
        <f aca="false">IF(L5=0,0,M5/L5)</f>
        <v>0</v>
      </c>
    </row>
    <row r="6" customFormat="false" ht="15" hidden="false" customHeight="false" outlineLevel="0" collapsed="false">
      <c r="A6" s="32" t="n">
        <f aca="false">A5+1</f>
        <v>46267</v>
      </c>
      <c r="B6" s="13" t="n">
        <f aca="false">COUNTIFS(Referral_Data!$E$5:$E$1000,"&gt;="&amp;$A6,Referral_Data!$E$5:$E$1000,"&lt;"&amp;($A6+1))</f>
        <v>1</v>
      </c>
      <c r="C6" s="13" t="n">
        <f aca="false">COUNTIFS(Referral_Data!$F$5:$F$1000,"&gt;="&amp;$A6,Referral_Data!$F$5:$F$1000,"&lt;"&amp;($A6+1))</f>
        <v>1</v>
      </c>
      <c r="D6" s="13" t="n">
        <f aca="false">COUNTIFS(Referral_Data!$G$5:$G$1000,"&gt;="&amp;$A6,Referral_Data!$G$5:$G$1000,"&lt;"&amp;($A6+1))</f>
        <v>0</v>
      </c>
      <c r="E6" s="13" t="n">
        <f aca="false">COUNTIFS(Referral_Data!$H$5:$H$1000,"&gt;="&amp;$A6,Referral_Data!$H$5:$H$1000,"&lt;"&amp;($A6+1))</f>
        <v>0</v>
      </c>
      <c r="F6" s="13" t="n">
        <f aca="false">SUMIFS(Engagement_Events!$G$5:$G$3000,Engagement_Events!$C$5:$C$3000,$A6)</f>
        <v>7</v>
      </c>
      <c r="G6" s="13" t="n">
        <f aca="false">SUMIFS(Engagement_Events!$K$5:$K$3000,Engagement_Events!$C$5:$C$3000,$A6)</f>
        <v>5</v>
      </c>
      <c r="H6" s="13" t="n">
        <f aca="false">SUMIFS(Engagement_Events!$H$5:$H$3000,Engagement_Events!$C$5:$C$3000,$A6)</f>
        <v>2</v>
      </c>
      <c r="I6" s="13" t="n">
        <f aca="false">COUNTIFS(Engagement_Events!$C$5:$C$3000,$A6,Engagement_Events!$D$5:$D$3000,"Login")</f>
        <v>7</v>
      </c>
      <c r="J6" s="13" t="n">
        <f aca="false">COUNTIFS(Engagement_Events!$C$5:$C$3000,$A6,Engagement_Events!$D$5:$D$3000,"Feature Use")</f>
        <v>10</v>
      </c>
      <c r="K6" s="13" t="n">
        <f aca="false">COUNTIFS(Engagement_Events!$C$5:$C$3000,$A6,Engagement_Events!$D$5:$D$3000,"Task Completed")</f>
        <v>4</v>
      </c>
      <c r="L6" s="13" t="n">
        <f aca="false">SUM($B$5:B6)</f>
        <v>3</v>
      </c>
      <c r="M6" s="13" t="n">
        <f aca="false">SUM($E$5:E6)</f>
        <v>0</v>
      </c>
      <c r="N6" s="14" t="n">
        <f aca="false">IF(L6=0,0,M6/L6)</f>
        <v>0</v>
      </c>
    </row>
    <row r="7" customFormat="false" ht="15" hidden="false" customHeight="false" outlineLevel="0" collapsed="false">
      <c r="A7" s="32" t="n">
        <f aca="false">A6+1</f>
        <v>46268</v>
      </c>
      <c r="B7" s="13" t="n">
        <f aca="false">COUNTIFS(Referral_Data!$E$5:$E$1000,"&gt;="&amp;$A7,Referral_Data!$E$5:$E$1000,"&lt;"&amp;($A7+1))</f>
        <v>2</v>
      </c>
      <c r="C7" s="13" t="n">
        <f aca="false">COUNTIFS(Referral_Data!$F$5:$F$1000,"&gt;="&amp;$A7,Referral_Data!$F$5:$F$1000,"&lt;"&amp;($A7+1))</f>
        <v>1</v>
      </c>
      <c r="D7" s="13" t="n">
        <f aca="false">COUNTIFS(Referral_Data!$G$5:$G$1000,"&gt;="&amp;$A7,Referral_Data!$G$5:$G$1000,"&lt;"&amp;($A7+1))</f>
        <v>0</v>
      </c>
      <c r="E7" s="13" t="n">
        <f aca="false">COUNTIFS(Referral_Data!$H$5:$H$1000,"&gt;="&amp;$A7,Referral_Data!$H$5:$H$1000,"&lt;"&amp;($A7+1))</f>
        <v>0</v>
      </c>
      <c r="F7" s="13" t="n">
        <f aca="false">SUMIFS(Engagement_Events!$G$5:$G$3000,Engagement_Events!$C$5:$C$3000,$A7)</f>
        <v>10</v>
      </c>
      <c r="G7" s="13" t="n">
        <f aca="false">SUMIFS(Engagement_Events!$K$5:$K$3000,Engagement_Events!$C$5:$C$3000,$A7)</f>
        <v>4</v>
      </c>
      <c r="H7" s="13" t="n">
        <f aca="false">SUMIFS(Engagement_Events!$H$5:$H$3000,Engagement_Events!$C$5:$C$3000,$A7)</f>
        <v>6</v>
      </c>
      <c r="I7" s="13" t="n">
        <f aca="false">COUNTIFS(Engagement_Events!$C$5:$C$3000,$A7,Engagement_Events!$D$5:$D$3000,"Login")</f>
        <v>10</v>
      </c>
      <c r="J7" s="13" t="n">
        <f aca="false">COUNTIFS(Engagement_Events!$C$5:$C$3000,$A7,Engagement_Events!$D$5:$D$3000,"Feature Use")</f>
        <v>15</v>
      </c>
      <c r="K7" s="13" t="n">
        <f aca="false">COUNTIFS(Engagement_Events!$C$5:$C$3000,$A7,Engagement_Events!$D$5:$D$3000,"Task Completed")</f>
        <v>7</v>
      </c>
      <c r="L7" s="13" t="n">
        <f aca="false">SUM($B$5:B7)</f>
        <v>5</v>
      </c>
      <c r="M7" s="13" t="n">
        <f aca="false">SUM($E$5:E7)</f>
        <v>0</v>
      </c>
      <c r="N7" s="14" t="n">
        <f aca="false">IF(L7=0,0,M7/L7)</f>
        <v>0</v>
      </c>
    </row>
    <row r="8" customFormat="false" ht="15" hidden="false" customHeight="false" outlineLevel="0" collapsed="false">
      <c r="A8" s="32" t="n">
        <f aca="false">A7+1</f>
        <v>46269</v>
      </c>
      <c r="B8" s="13" t="n">
        <f aca="false">COUNTIFS(Referral_Data!$E$5:$E$1000,"&gt;="&amp;$A8,Referral_Data!$E$5:$E$1000,"&lt;"&amp;($A8+1))</f>
        <v>2</v>
      </c>
      <c r="C8" s="13" t="n">
        <f aca="false">COUNTIFS(Referral_Data!$F$5:$F$1000,"&gt;="&amp;$A8,Referral_Data!$F$5:$F$1000,"&lt;"&amp;($A8+1))</f>
        <v>0</v>
      </c>
      <c r="D8" s="13" t="n">
        <f aca="false">COUNTIFS(Referral_Data!$G$5:$G$1000,"&gt;="&amp;$A8,Referral_Data!$G$5:$G$1000,"&lt;"&amp;($A8+1))</f>
        <v>1</v>
      </c>
      <c r="E8" s="13" t="n">
        <f aca="false">COUNTIFS(Referral_Data!$H$5:$H$1000,"&gt;="&amp;$A8,Referral_Data!$H$5:$H$1000,"&lt;"&amp;($A8+1))</f>
        <v>0</v>
      </c>
      <c r="F8" s="13" t="n">
        <f aca="false">SUMIFS(Engagement_Events!$G$5:$G$3000,Engagement_Events!$C$5:$C$3000,$A8)</f>
        <v>9</v>
      </c>
      <c r="G8" s="13" t="n">
        <f aca="false">SUMIFS(Engagement_Events!$K$5:$K$3000,Engagement_Events!$C$5:$C$3000,$A8)</f>
        <v>4</v>
      </c>
      <c r="H8" s="13" t="n">
        <f aca="false">SUMIFS(Engagement_Events!$H$5:$H$3000,Engagement_Events!$C$5:$C$3000,$A8)</f>
        <v>5</v>
      </c>
      <c r="I8" s="13" t="n">
        <f aca="false">COUNTIFS(Engagement_Events!$C$5:$C$3000,$A8,Engagement_Events!$D$5:$D$3000,"Login")</f>
        <v>9</v>
      </c>
      <c r="J8" s="13" t="n">
        <f aca="false">COUNTIFS(Engagement_Events!$C$5:$C$3000,$A8,Engagement_Events!$D$5:$D$3000,"Feature Use")</f>
        <v>13</v>
      </c>
      <c r="K8" s="13" t="n">
        <f aca="false">COUNTIFS(Engagement_Events!$C$5:$C$3000,$A8,Engagement_Events!$D$5:$D$3000,"Task Completed")</f>
        <v>2</v>
      </c>
      <c r="L8" s="13" t="n">
        <f aca="false">SUM($B$5:B8)</f>
        <v>7</v>
      </c>
      <c r="M8" s="13" t="n">
        <f aca="false">SUM($E$5:E8)</f>
        <v>0</v>
      </c>
      <c r="N8" s="14" t="n">
        <f aca="false">IF(L8=0,0,M8/L8)</f>
        <v>0</v>
      </c>
    </row>
    <row r="9" customFormat="false" ht="15" hidden="false" customHeight="false" outlineLevel="0" collapsed="false">
      <c r="A9" s="32" t="n">
        <f aca="false">A8+1</f>
        <v>46270</v>
      </c>
      <c r="B9" s="13" t="n">
        <f aca="false">COUNTIFS(Referral_Data!$E$5:$E$1000,"&gt;="&amp;$A9,Referral_Data!$E$5:$E$1000,"&lt;"&amp;($A9+1))</f>
        <v>2</v>
      </c>
      <c r="C9" s="13" t="n">
        <f aca="false">COUNTIFS(Referral_Data!$F$5:$F$1000,"&gt;="&amp;$A9,Referral_Data!$F$5:$F$1000,"&lt;"&amp;($A9+1))</f>
        <v>0</v>
      </c>
      <c r="D9" s="13" t="n">
        <f aca="false">COUNTIFS(Referral_Data!$G$5:$G$1000,"&gt;="&amp;$A9,Referral_Data!$G$5:$G$1000,"&lt;"&amp;($A9+1))</f>
        <v>0</v>
      </c>
      <c r="E9" s="13" t="n">
        <f aca="false">COUNTIFS(Referral_Data!$H$5:$H$1000,"&gt;="&amp;$A9,Referral_Data!$H$5:$H$1000,"&lt;"&amp;($A9+1))</f>
        <v>0</v>
      </c>
      <c r="F9" s="13" t="n">
        <f aca="false">SUMIFS(Engagement_Events!$G$5:$G$3000,Engagement_Events!$C$5:$C$3000,$A9)</f>
        <v>6</v>
      </c>
      <c r="G9" s="13" t="n">
        <f aca="false">SUMIFS(Engagement_Events!$K$5:$K$3000,Engagement_Events!$C$5:$C$3000,$A9)</f>
        <v>0</v>
      </c>
      <c r="H9" s="13" t="n">
        <f aca="false">SUMIFS(Engagement_Events!$H$5:$H$3000,Engagement_Events!$C$5:$C$3000,$A9)</f>
        <v>6</v>
      </c>
      <c r="I9" s="13" t="n">
        <f aca="false">COUNTIFS(Engagement_Events!$C$5:$C$3000,$A9,Engagement_Events!$D$5:$D$3000,"Login")</f>
        <v>6</v>
      </c>
      <c r="J9" s="13" t="n">
        <f aca="false">COUNTIFS(Engagement_Events!$C$5:$C$3000,$A9,Engagement_Events!$D$5:$D$3000,"Feature Use")</f>
        <v>10</v>
      </c>
      <c r="K9" s="13" t="n">
        <f aca="false">COUNTIFS(Engagement_Events!$C$5:$C$3000,$A9,Engagement_Events!$D$5:$D$3000,"Task Completed")</f>
        <v>4</v>
      </c>
      <c r="L9" s="13" t="n">
        <f aca="false">SUM($B$5:B9)</f>
        <v>9</v>
      </c>
      <c r="M9" s="13" t="n">
        <f aca="false">SUM($E$5:E9)</f>
        <v>0</v>
      </c>
      <c r="N9" s="14" t="n">
        <f aca="false">IF(L9=0,0,M9/L9)</f>
        <v>0</v>
      </c>
    </row>
    <row r="10" customFormat="false" ht="15" hidden="false" customHeight="false" outlineLevel="0" collapsed="false">
      <c r="A10" s="32" t="n">
        <f aca="false">A9+1</f>
        <v>46271</v>
      </c>
      <c r="B10" s="13" t="n">
        <f aca="false">COUNTIFS(Referral_Data!$E$5:$E$1000,"&gt;="&amp;$A10,Referral_Data!$E$5:$E$1000,"&lt;"&amp;($A10+1))</f>
        <v>0</v>
      </c>
      <c r="C10" s="13" t="n">
        <f aca="false">COUNTIFS(Referral_Data!$F$5:$F$1000,"&gt;="&amp;$A10,Referral_Data!$F$5:$F$1000,"&lt;"&amp;($A10+1))</f>
        <v>1</v>
      </c>
      <c r="D10" s="13" t="n">
        <f aca="false">COUNTIFS(Referral_Data!$G$5:$G$1000,"&gt;="&amp;$A10,Referral_Data!$G$5:$G$1000,"&lt;"&amp;($A10+1))</f>
        <v>0</v>
      </c>
      <c r="E10" s="13" t="n">
        <f aca="false">COUNTIFS(Referral_Data!$H$5:$H$1000,"&gt;="&amp;$A10,Referral_Data!$H$5:$H$1000,"&lt;"&amp;($A10+1))</f>
        <v>0</v>
      </c>
      <c r="F10" s="13" t="n">
        <f aca="false">SUMIFS(Engagement_Events!$G$5:$G$3000,Engagement_Events!$C$5:$C$3000,$A10)</f>
        <v>5</v>
      </c>
      <c r="G10" s="13" t="n">
        <f aca="false">SUMIFS(Engagement_Events!$K$5:$K$3000,Engagement_Events!$C$5:$C$3000,$A10)</f>
        <v>1</v>
      </c>
      <c r="H10" s="13" t="n">
        <f aca="false">SUMIFS(Engagement_Events!$H$5:$H$3000,Engagement_Events!$C$5:$C$3000,$A10)</f>
        <v>4</v>
      </c>
      <c r="I10" s="13" t="n">
        <f aca="false">COUNTIFS(Engagement_Events!$C$5:$C$3000,$A10,Engagement_Events!$D$5:$D$3000,"Login")</f>
        <v>5</v>
      </c>
      <c r="J10" s="13" t="n">
        <f aca="false">COUNTIFS(Engagement_Events!$C$5:$C$3000,$A10,Engagement_Events!$D$5:$D$3000,"Feature Use")</f>
        <v>6</v>
      </c>
      <c r="K10" s="13" t="n">
        <f aca="false">COUNTIFS(Engagement_Events!$C$5:$C$3000,$A10,Engagement_Events!$D$5:$D$3000,"Task Completed")</f>
        <v>2</v>
      </c>
      <c r="L10" s="13" t="n">
        <f aca="false">SUM($B$5:B10)</f>
        <v>9</v>
      </c>
      <c r="M10" s="13" t="n">
        <f aca="false">SUM($E$5:E10)</f>
        <v>0</v>
      </c>
      <c r="N10" s="14" t="n">
        <f aca="false">IF(L10=0,0,M10/L10)</f>
        <v>0</v>
      </c>
    </row>
    <row r="11" customFormat="false" ht="15" hidden="false" customHeight="false" outlineLevel="0" collapsed="false">
      <c r="A11" s="32" t="n">
        <f aca="false">A10+1</f>
        <v>46272</v>
      </c>
      <c r="B11" s="13" t="n">
        <f aca="false">COUNTIFS(Referral_Data!$E$5:$E$1000,"&gt;="&amp;$A11,Referral_Data!$E$5:$E$1000,"&lt;"&amp;($A11+1))</f>
        <v>1</v>
      </c>
      <c r="C11" s="13" t="n">
        <f aca="false">COUNTIFS(Referral_Data!$F$5:$F$1000,"&gt;="&amp;$A11,Referral_Data!$F$5:$F$1000,"&lt;"&amp;($A11+1))</f>
        <v>1</v>
      </c>
      <c r="D11" s="13" t="n">
        <f aca="false">COUNTIFS(Referral_Data!$G$5:$G$1000,"&gt;="&amp;$A11,Referral_Data!$G$5:$G$1000,"&lt;"&amp;($A11+1))</f>
        <v>1</v>
      </c>
      <c r="E11" s="13" t="n">
        <f aca="false">COUNTIFS(Referral_Data!$H$5:$H$1000,"&gt;="&amp;$A11,Referral_Data!$H$5:$H$1000,"&lt;"&amp;($A11+1))</f>
        <v>0</v>
      </c>
      <c r="F11" s="13" t="n">
        <f aca="false">SUMIFS(Engagement_Events!$G$5:$G$3000,Engagement_Events!$C$5:$C$3000,$A11)</f>
        <v>10</v>
      </c>
      <c r="G11" s="13" t="n">
        <f aca="false">SUMIFS(Engagement_Events!$K$5:$K$3000,Engagement_Events!$C$5:$C$3000,$A11)</f>
        <v>3</v>
      </c>
      <c r="H11" s="13" t="n">
        <f aca="false">SUMIFS(Engagement_Events!$H$5:$H$3000,Engagement_Events!$C$5:$C$3000,$A11)</f>
        <v>7</v>
      </c>
      <c r="I11" s="13" t="n">
        <f aca="false">COUNTIFS(Engagement_Events!$C$5:$C$3000,$A11,Engagement_Events!$D$5:$D$3000,"Login")</f>
        <v>10</v>
      </c>
      <c r="J11" s="13" t="n">
        <f aca="false">COUNTIFS(Engagement_Events!$C$5:$C$3000,$A11,Engagement_Events!$D$5:$D$3000,"Feature Use")</f>
        <v>14</v>
      </c>
      <c r="K11" s="13" t="n">
        <f aca="false">COUNTIFS(Engagement_Events!$C$5:$C$3000,$A11,Engagement_Events!$D$5:$D$3000,"Task Completed")</f>
        <v>4</v>
      </c>
      <c r="L11" s="13" t="n">
        <f aca="false">SUM($B$5:B11)</f>
        <v>10</v>
      </c>
      <c r="M11" s="13" t="n">
        <f aca="false">SUM($E$5:E11)</f>
        <v>0</v>
      </c>
      <c r="N11" s="14" t="n">
        <f aca="false">IF(L11=0,0,M11/L11)</f>
        <v>0</v>
      </c>
    </row>
    <row r="12" customFormat="false" ht="15" hidden="false" customHeight="false" outlineLevel="0" collapsed="false">
      <c r="A12" s="32" t="n">
        <f aca="false">A11+1</f>
        <v>46273</v>
      </c>
      <c r="B12" s="13" t="n">
        <f aca="false">COUNTIFS(Referral_Data!$E$5:$E$1000,"&gt;="&amp;$A12,Referral_Data!$E$5:$E$1000,"&lt;"&amp;($A12+1))</f>
        <v>2</v>
      </c>
      <c r="C12" s="13" t="n">
        <f aca="false">COUNTIFS(Referral_Data!$F$5:$F$1000,"&gt;="&amp;$A12,Referral_Data!$F$5:$F$1000,"&lt;"&amp;($A12+1))</f>
        <v>0</v>
      </c>
      <c r="D12" s="13" t="n">
        <f aca="false">COUNTIFS(Referral_Data!$G$5:$G$1000,"&gt;="&amp;$A12,Referral_Data!$G$5:$G$1000,"&lt;"&amp;($A12+1))</f>
        <v>0</v>
      </c>
      <c r="E12" s="13" t="n">
        <f aca="false">COUNTIFS(Referral_Data!$H$5:$H$1000,"&gt;="&amp;$A12,Referral_Data!$H$5:$H$1000,"&lt;"&amp;($A12+1))</f>
        <v>0</v>
      </c>
      <c r="F12" s="13" t="n">
        <f aca="false">SUMIFS(Engagement_Events!$G$5:$G$3000,Engagement_Events!$C$5:$C$3000,$A12)</f>
        <v>5</v>
      </c>
      <c r="G12" s="13" t="n">
        <f aca="false">SUMIFS(Engagement_Events!$K$5:$K$3000,Engagement_Events!$C$5:$C$3000,$A12)</f>
        <v>0</v>
      </c>
      <c r="H12" s="13" t="n">
        <f aca="false">SUMIFS(Engagement_Events!$H$5:$H$3000,Engagement_Events!$C$5:$C$3000,$A12)</f>
        <v>5</v>
      </c>
      <c r="I12" s="13" t="n">
        <f aca="false">COUNTIFS(Engagement_Events!$C$5:$C$3000,$A12,Engagement_Events!$D$5:$D$3000,"Login")</f>
        <v>5</v>
      </c>
      <c r="J12" s="13" t="n">
        <f aca="false">COUNTIFS(Engagement_Events!$C$5:$C$3000,$A12,Engagement_Events!$D$5:$D$3000,"Feature Use")</f>
        <v>8</v>
      </c>
      <c r="K12" s="13" t="n">
        <f aca="false">COUNTIFS(Engagement_Events!$C$5:$C$3000,$A12,Engagement_Events!$D$5:$D$3000,"Task Completed")</f>
        <v>0</v>
      </c>
      <c r="L12" s="13" t="n">
        <f aca="false">SUM($B$5:B12)</f>
        <v>12</v>
      </c>
      <c r="M12" s="13" t="n">
        <f aca="false">SUM($E$5:E12)</f>
        <v>0</v>
      </c>
      <c r="N12" s="14" t="n">
        <f aca="false">IF(L12=0,0,M12/L12)</f>
        <v>0</v>
      </c>
    </row>
    <row r="13" customFormat="false" ht="15" hidden="false" customHeight="false" outlineLevel="0" collapsed="false">
      <c r="A13" s="32" t="n">
        <f aca="false">A12+1</f>
        <v>46274</v>
      </c>
      <c r="B13" s="13" t="n">
        <f aca="false">COUNTIFS(Referral_Data!$E$5:$E$1000,"&gt;="&amp;$A13,Referral_Data!$E$5:$E$1000,"&lt;"&amp;($A13+1))</f>
        <v>2</v>
      </c>
      <c r="C13" s="13" t="n">
        <f aca="false">COUNTIFS(Referral_Data!$F$5:$F$1000,"&gt;="&amp;$A13,Referral_Data!$F$5:$F$1000,"&lt;"&amp;($A13+1))</f>
        <v>2</v>
      </c>
      <c r="D13" s="13" t="n">
        <f aca="false">COUNTIFS(Referral_Data!$G$5:$G$1000,"&gt;="&amp;$A13,Referral_Data!$G$5:$G$1000,"&lt;"&amp;($A13+1))</f>
        <v>1</v>
      </c>
      <c r="E13" s="13" t="n">
        <f aca="false">COUNTIFS(Referral_Data!$H$5:$H$1000,"&gt;="&amp;$A13,Referral_Data!$H$5:$H$1000,"&lt;"&amp;($A13+1))</f>
        <v>0</v>
      </c>
      <c r="F13" s="13" t="n">
        <f aca="false">SUMIFS(Engagement_Events!$G$5:$G$3000,Engagement_Events!$C$5:$C$3000,$A13)</f>
        <v>3</v>
      </c>
      <c r="G13" s="13" t="n">
        <f aca="false">SUMIFS(Engagement_Events!$K$5:$K$3000,Engagement_Events!$C$5:$C$3000,$A13)</f>
        <v>0</v>
      </c>
      <c r="H13" s="13" t="n">
        <f aca="false">SUMIFS(Engagement_Events!$H$5:$H$3000,Engagement_Events!$C$5:$C$3000,$A13)</f>
        <v>3</v>
      </c>
      <c r="I13" s="13" t="n">
        <f aca="false">COUNTIFS(Engagement_Events!$C$5:$C$3000,$A13,Engagement_Events!$D$5:$D$3000,"Login")</f>
        <v>3</v>
      </c>
      <c r="J13" s="13" t="n">
        <f aca="false">COUNTIFS(Engagement_Events!$C$5:$C$3000,$A13,Engagement_Events!$D$5:$D$3000,"Feature Use")</f>
        <v>4</v>
      </c>
      <c r="K13" s="13" t="n">
        <f aca="false">COUNTIFS(Engagement_Events!$C$5:$C$3000,$A13,Engagement_Events!$D$5:$D$3000,"Task Completed")</f>
        <v>4</v>
      </c>
      <c r="L13" s="13" t="n">
        <f aca="false">SUM($B$5:B13)</f>
        <v>14</v>
      </c>
      <c r="M13" s="13" t="n">
        <f aca="false">SUM($E$5:E13)</f>
        <v>0</v>
      </c>
      <c r="N13" s="14" t="n">
        <f aca="false">IF(L13=0,0,M13/L13)</f>
        <v>0</v>
      </c>
    </row>
    <row r="14" customFormat="false" ht="15" hidden="false" customHeight="false" outlineLevel="0" collapsed="false">
      <c r="A14" s="32" t="n">
        <f aca="false">A13+1</f>
        <v>46275</v>
      </c>
      <c r="B14" s="13" t="n">
        <f aca="false">COUNTIFS(Referral_Data!$E$5:$E$1000,"&gt;="&amp;$A14,Referral_Data!$E$5:$E$1000,"&lt;"&amp;($A14+1))</f>
        <v>1</v>
      </c>
      <c r="C14" s="13" t="n">
        <f aca="false">COUNTIFS(Referral_Data!$F$5:$F$1000,"&gt;="&amp;$A14,Referral_Data!$F$5:$F$1000,"&lt;"&amp;($A14+1))</f>
        <v>2</v>
      </c>
      <c r="D14" s="13" t="n">
        <f aca="false">COUNTIFS(Referral_Data!$G$5:$G$1000,"&gt;="&amp;$A14,Referral_Data!$G$5:$G$1000,"&lt;"&amp;($A14+1))</f>
        <v>1</v>
      </c>
      <c r="E14" s="13" t="n">
        <f aca="false">COUNTIFS(Referral_Data!$H$5:$H$1000,"&gt;="&amp;$A14,Referral_Data!$H$5:$H$1000,"&lt;"&amp;($A14+1))</f>
        <v>0</v>
      </c>
      <c r="F14" s="13" t="n">
        <f aca="false">SUMIFS(Engagement_Events!$G$5:$G$3000,Engagement_Events!$C$5:$C$3000,$A14)</f>
        <v>9</v>
      </c>
      <c r="G14" s="13" t="n">
        <f aca="false">SUMIFS(Engagement_Events!$K$5:$K$3000,Engagement_Events!$C$5:$C$3000,$A14)</f>
        <v>2</v>
      </c>
      <c r="H14" s="13" t="n">
        <f aca="false">SUMIFS(Engagement_Events!$H$5:$H$3000,Engagement_Events!$C$5:$C$3000,$A14)</f>
        <v>7</v>
      </c>
      <c r="I14" s="13" t="n">
        <f aca="false">COUNTIFS(Engagement_Events!$C$5:$C$3000,$A14,Engagement_Events!$D$5:$D$3000,"Login")</f>
        <v>9</v>
      </c>
      <c r="J14" s="13" t="n">
        <f aca="false">COUNTIFS(Engagement_Events!$C$5:$C$3000,$A14,Engagement_Events!$D$5:$D$3000,"Feature Use")</f>
        <v>12</v>
      </c>
      <c r="K14" s="13" t="n">
        <f aca="false">COUNTIFS(Engagement_Events!$C$5:$C$3000,$A14,Engagement_Events!$D$5:$D$3000,"Task Completed")</f>
        <v>11</v>
      </c>
      <c r="L14" s="13" t="n">
        <f aca="false">SUM($B$5:B14)</f>
        <v>15</v>
      </c>
      <c r="M14" s="13" t="n">
        <f aca="false">SUM($E$5:E14)</f>
        <v>0</v>
      </c>
      <c r="N14" s="14" t="n">
        <f aca="false">IF(L14=0,0,M14/L14)</f>
        <v>0</v>
      </c>
    </row>
    <row r="15" customFormat="false" ht="15" hidden="false" customHeight="false" outlineLevel="0" collapsed="false">
      <c r="A15" s="32" t="n">
        <f aca="false">A14+1</f>
        <v>46276</v>
      </c>
      <c r="B15" s="13" t="n">
        <f aca="false">COUNTIFS(Referral_Data!$E$5:$E$1000,"&gt;="&amp;$A15,Referral_Data!$E$5:$E$1000,"&lt;"&amp;($A15+1))</f>
        <v>1</v>
      </c>
      <c r="C15" s="13" t="n">
        <f aca="false">COUNTIFS(Referral_Data!$F$5:$F$1000,"&gt;="&amp;$A15,Referral_Data!$F$5:$F$1000,"&lt;"&amp;($A15+1))</f>
        <v>3</v>
      </c>
      <c r="D15" s="13" t="n">
        <f aca="false">COUNTIFS(Referral_Data!$G$5:$G$1000,"&gt;="&amp;$A15,Referral_Data!$G$5:$G$1000,"&lt;"&amp;($A15+1))</f>
        <v>0</v>
      </c>
      <c r="E15" s="13" t="n">
        <f aca="false">COUNTIFS(Referral_Data!$H$5:$H$1000,"&gt;="&amp;$A15,Referral_Data!$H$5:$H$1000,"&lt;"&amp;($A15+1))</f>
        <v>0</v>
      </c>
      <c r="F15" s="13" t="n">
        <f aca="false">SUMIFS(Engagement_Events!$G$5:$G$3000,Engagement_Events!$C$5:$C$3000,$A15)</f>
        <v>11</v>
      </c>
      <c r="G15" s="13" t="n">
        <f aca="false">SUMIFS(Engagement_Events!$K$5:$K$3000,Engagement_Events!$C$5:$C$3000,$A15)</f>
        <v>3</v>
      </c>
      <c r="H15" s="13" t="n">
        <f aca="false">SUMIFS(Engagement_Events!$H$5:$H$3000,Engagement_Events!$C$5:$C$3000,$A15)</f>
        <v>8</v>
      </c>
      <c r="I15" s="13" t="n">
        <f aca="false">COUNTIFS(Engagement_Events!$C$5:$C$3000,$A15,Engagement_Events!$D$5:$D$3000,"Login")</f>
        <v>11</v>
      </c>
      <c r="J15" s="13" t="n">
        <f aca="false">COUNTIFS(Engagement_Events!$C$5:$C$3000,$A15,Engagement_Events!$D$5:$D$3000,"Feature Use")</f>
        <v>16</v>
      </c>
      <c r="K15" s="13" t="n">
        <f aca="false">COUNTIFS(Engagement_Events!$C$5:$C$3000,$A15,Engagement_Events!$D$5:$D$3000,"Task Completed")</f>
        <v>2</v>
      </c>
      <c r="L15" s="13" t="n">
        <f aca="false">SUM($B$5:B15)</f>
        <v>16</v>
      </c>
      <c r="M15" s="13" t="n">
        <f aca="false">SUM($E$5:E15)</f>
        <v>0</v>
      </c>
      <c r="N15" s="14" t="n">
        <f aca="false">IF(L15=0,0,M15/L15)</f>
        <v>0</v>
      </c>
    </row>
    <row r="16" customFormat="false" ht="15" hidden="false" customHeight="false" outlineLevel="0" collapsed="false">
      <c r="A16" s="32" t="n">
        <f aca="false">A15+1</f>
        <v>46277</v>
      </c>
      <c r="B16" s="13" t="n">
        <f aca="false">COUNTIFS(Referral_Data!$E$5:$E$1000,"&gt;="&amp;$A16,Referral_Data!$E$5:$E$1000,"&lt;"&amp;($A16+1))</f>
        <v>0</v>
      </c>
      <c r="C16" s="13" t="n">
        <f aca="false">COUNTIFS(Referral_Data!$F$5:$F$1000,"&gt;="&amp;$A16,Referral_Data!$F$5:$F$1000,"&lt;"&amp;($A16+1))</f>
        <v>1</v>
      </c>
      <c r="D16" s="13" t="n">
        <f aca="false">COUNTIFS(Referral_Data!$G$5:$G$1000,"&gt;="&amp;$A16,Referral_Data!$G$5:$G$1000,"&lt;"&amp;($A16+1))</f>
        <v>0</v>
      </c>
      <c r="E16" s="13" t="n">
        <f aca="false">COUNTIFS(Referral_Data!$H$5:$H$1000,"&gt;="&amp;$A16,Referral_Data!$H$5:$H$1000,"&lt;"&amp;($A16+1))</f>
        <v>0</v>
      </c>
      <c r="F16" s="13" t="n">
        <f aca="false">SUMIFS(Engagement_Events!$G$5:$G$3000,Engagement_Events!$C$5:$C$3000,$A16)</f>
        <v>12</v>
      </c>
      <c r="G16" s="13" t="n">
        <f aca="false">SUMIFS(Engagement_Events!$K$5:$K$3000,Engagement_Events!$C$5:$C$3000,$A16)</f>
        <v>0</v>
      </c>
      <c r="H16" s="13" t="n">
        <f aca="false">SUMIFS(Engagement_Events!$H$5:$H$3000,Engagement_Events!$C$5:$C$3000,$A16)</f>
        <v>12</v>
      </c>
      <c r="I16" s="13" t="n">
        <f aca="false">COUNTIFS(Engagement_Events!$C$5:$C$3000,$A16,Engagement_Events!$D$5:$D$3000,"Login")</f>
        <v>12</v>
      </c>
      <c r="J16" s="13" t="n">
        <f aca="false">COUNTIFS(Engagement_Events!$C$5:$C$3000,$A16,Engagement_Events!$D$5:$D$3000,"Feature Use")</f>
        <v>18</v>
      </c>
      <c r="K16" s="13" t="n">
        <f aca="false">COUNTIFS(Engagement_Events!$C$5:$C$3000,$A16,Engagement_Events!$D$5:$D$3000,"Task Completed")</f>
        <v>9</v>
      </c>
      <c r="L16" s="13" t="n">
        <f aca="false">SUM($B$5:B16)</f>
        <v>16</v>
      </c>
      <c r="M16" s="13" t="n">
        <f aca="false">SUM($E$5:E16)</f>
        <v>0</v>
      </c>
      <c r="N16" s="14" t="n">
        <f aca="false">IF(L16=0,0,M16/L16)</f>
        <v>0</v>
      </c>
    </row>
    <row r="17" customFormat="false" ht="15" hidden="false" customHeight="false" outlineLevel="0" collapsed="false">
      <c r="A17" s="32" t="n">
        <f aca="false">A16+1</f>
        <v>46278</v>
      </c>
      <c r="B17" s="13" t="n">
        <f aca="false">COUNTIFS(Referral_Data!$E$5:$E$1000,"&gt;="&amp;$A17,Referral_Data!$E$5:$E$1000,"&lt;"&amp;($A17+1))</f>
        <v>2</v>
      </c>
      <c r="C17" s="13" t="n">
        <f aca="false">COUNTIFS(Referral_Data!$F$5:$F$1000,"&gt;="&amp;$A17,Referral_Data!$F$5:$F$1000,"&lt;"&amp;($A17+1))</f>
        <v>1</v>
      </c>
      <c r="D17" s="13" t="n">
        <f aca="false">COUNTIFS(Referral_Data!$G$5:$G$1000,"&gt;="&amp;$A17,Referral_Data!$G$5:$G$1000,"&lt;"&amp;($A17+1))</f>
        <v>0</v>
      </c>
      <c r="E17" s="13" t="n">
        <f aca="false">COUNTIFS(Referral_Data!$H$5:$H$1000,"&gt;="&amp;$A17,Referral_Data!$H$5:$H$1000,"&lt;"&amp;($A17+1))</f>
        <v>0</v>
      </c>
      <c r="F17" s="13" t="n">
        <f aca="false">SUMIFS(Engagement_Events!$G$5:$G$3000,Engagement_Events!$C$5:$C$3000,$A17)</f>
        <v>8</v>
      </c>
      <c r="G17" s="13" t="n">
        <f aca="false">SUMIFS(Engagement_Events!$K$5:$K$3000,Engagement_Events!$C$5:$C$3000,$A17)</f>
        <v>1</v>
      </c>
      <c r="H17" s="13" t="n">
        <f aca="false">SUMIFS(Engagement_Events!$H$5:$H$3000,Engagement_Events!$C$5:$C$3000,$A17)</f>
        <v>7</v>
      </c>
      <c r="I17" s="13" t="n">
        <f aca="false">COUNTIFS(Engagement_Events!$C$5:$C$3000,$A17,Engagement_Events!$D$5:$D$3000,"Login")</f>
        <v>8</v>
      </c>
      <c r="J17" s="13" t="n">
        <f aca="false">COUNTIFS(Engagement_Events!$C$5:$C$3000,$A17,Engagement_Events!$D$5:$D$3000,"Feature Use")</f>
        <v>13</v>
      </c>
      <c r="K17" s="13" t="n">
        <f aca="false">COUNTIFS(Engagement_Events!$C$5:$C$3000,$A17,Engagement_Events!$D$5:$D$3000,"Task Completed")</f>
        <v>6</v>
      </c>
      <c r="L17" s="13" t="n">
        <f aca="false">SUM($B$5:B17)</f>
        <v>18</v>
      </c>
      <c r="M17" s="13" t="n">
        <f aca="false">SUM($E$5:E17)</f>
        <v>0</v>
      </c>
      <c r="N17" s="14" t="n">
        <f aca="false">IF(L17=0,0,M17/L17)</f>
        <v>0</v>
      </c>
    </row>
    <row r="18" customFormat="false" ht="15" hidden="false" customHeight="false" outlineLevel="0" collapsed="false">
      <c r="A18" s="32" t="n">
        <f aca="false">A17+1</f>
        <v>46279</v>
      </c>
      <c r="B18" s="13" t="n">
        <f aca="false">COUNTIFS(Referral_Data!$E$5:$E$1000,"&gt;="&amp;$A18,Referral_Data!$E$5:$E$1000,"&lt;"&amp;($A18+1))</f>
        <v>3</v>
      </c>
      <c r="C18" s="13" t="n">
        <f aca="false">COUNTIFS(Referral_Data!$F$5:$F$1000,"&gt;="&amp;$A18,Referral_Data!$F$5:$F$1000,"&lt;"&amp;($A18+1))</f>
        <v>1</v>
      </c>
      <c r="D18" s="13" t="n">
        <f aca="false">COUNTIFS(Referral_Data!$G$5:$G$1000,"&gt;="&amp;$A18,Referral_Data!$G$5:$G$1000,"&lt;"&amp;($A18+1))</f>
        <v>1</v>
      </c>
      <c r="E18" s="13" t="n">
        <f aca="false">COUNTIFS(Referral_Data!$H$5:$H$1000,"&gt;="&amp;$A18,Referral_Data!$H$5:$H$1000,"&lt;"&amp;($A18+1))</f>
        <v>0</v>
      </c>
      <c r="F18" s="13" t="n">
        <f aca="false">SUMIFS(Engagement_Events!$G$5:$G$3000,Engagement_Events!$C$5:$C$3000,$A18)</f>
        <v>11</v>
      </c>
      <c r="G18" s="13" t="n">
        <f aca="false">SUMIFS(Engagement_Events!$K$5:$K$3000,Engagement_Events!$C$5:$C$3000,$A18)</f>
        <v>2</v>
      </c>
      <c r="H18" s="13" t="n">
        <f aca="false">SUMIFS(Engagement_Events!$H$5:$H$3000,Engagement_Events!$C$5:$C$3000,$A18)</f>
        <v>9</v>
      </c>
      <c r="I18" s="13" t="n">
        <f aca="false">COUNTIFS(Engagement_Events!$C$5:$C$3000,$A18,Engagement_Events!$D$5:$D$3000,"Login")</f>
        <v>11</v>
      </c>
      <c r="J18" s="13" t="n">
        <f aca="false">COUNTIFS(Engagement_Events!$C$5:$C$3000,$A18,Engagement_Events!$D$5:$D$3000,"Feature Use")</f>
        <v>16</v>
      </c>
      <c r="K18" s="13" t="n">
        <f aca="false">COUNTIFS(Engagement_Events!$C$5:$C$3000,$A18,Engagement_Events!$D$5:$D$3000,"Task Completed")</f>
        <v>6</v>
      </c>
      <c r="L18" s="13" t="n">
        <f aca="false">SUM($B$5:B18)</f>
        <v>21</v>
      </c>
      <c r="M18" s="13" t="n">
        <f aca="false">SUM($E$5:E18)</f>
        <v>0</v>
      </c>
      <c r="N18" s="14" t="n">
        <f aca="false">IF(L18=0,0,M18/L18)</f>
        <v>0</v>
      </c>
    </row>
    <row r="19" customFormat="false" ht="15" hidden="false" customHeight="false" outlineLevel="0" collapsed="false">
      <c r="A19" s="32" t="n">
        <f aca="false">A18+1</f>
        <v>46280</v>
      </c>
      <c r="B19" s="13" t="n">
        <f aca="false">COUNTIFS(Referral_Data!$E$5:$E$1000,"&gt;="&amp;$A19,Referral_Data!$E$5:$E$1000,"&lt;"&amp;($A19+1))</f>
        <v>3</v>
      </c>
      <c r="C19" s="13" t="n">
        <f aca="false">COUNTIFS(Referral_Data!$F$5:$F$1000,"&gt;="&amp;$A19,Referral_Data!$F$5:$F$1000,"&lt;"&amp;($A19+1))</f>
        <v>0</v>
      </c>
      <c r="D19" s="13" t="n">
        <f aca="false">COUNTIFS(Referral_Data!$G$5:$G$1000,"&gt;="&amp;$A19,Referral_Data!$G$5:$G$1000,"&lt;"&amp;($A19+1))</f>
        <v>1</v>
      </c>
      <c r="E19" s="13" t="n">
        <f aca="false">COUNTIFS(Referral_Data!$H$5:$H$1000,"&gt;="&amp;$A19,Referral_Data!$H$5:$H$1000,"&lt;"&amp;($A19+1))</f>
        <v>0</v>
      </c>
      <c r="F19" s="13" t="n">
        <f aca="false">SUMIFS(Engagement_Events!$G$5:$G$3000,Engagement_Events!$C$5:$C$3000,$A19)</f>
        <v>11</v>
      </c>
      <c r="G19" s="13" t="n">
        <f aca="false">SUMIFS(Engagement_Events!$K$5:$K$3000,Engagement_Events!$C$5:$C$3000,$A19)</f>
        <v>0</v>
      </c>
      <c r="H19" s="13" t="n">
        <f aca="false">SUMIFS(Engagement_Events!$H$5:$H$3000,Engagement_Events!$C$5:$C$3000,$A19)</f>
        <v>11</v>
      </c>
      <c r="I19" s="13" t="n">
        <f aca="false">COUNTIFS(Engagement_Events!$C$5:$C$3000,$A19,Engagement_Events!$D$5:$D$3000,"Login")</f>
        <v>11</v>
      </c>
      <c r="J19" s="13" t="n">
        <f aca="false">COUNTIFS(Engagement_Events!$C$5:$C$3000,$A19,Engagement_Events!$D$5:$D$3000,"Feature Use")</f>
        <v>16</v>
      </c>
      <c r="K19" s="13" t="n">
        <f aca="false">COUNTIFS(Engagement_Events!$C$5:$C$3000,$A19,Engagement_Events!$D$5:$D$3000,"Task Completed")</f>
        <v>10</v>
      </c>
      <c r="L19" s="13" t="n">
        <f aca="false">SUM($B$5:B19)</f>
        <v>24</v>
      </c>
      <c r="M19" s="13" t="n">
        <f aca="false">SUM($E$5:E19)</f>
        <v>0</v>
      </c>
      <c r="N19" s="14" t="n">
        <f aca="false">IF(L19=0,0,M19/L19)</f>
        <v>0</v>
      </c>
    </row>
    <row r="20" customFormat="false" ht="15" hidden="false" customHeight="false" outlineLevel="0" collapsed="false">
      <c r="A20" s="32" t="n">
        <f aca="false">A19+1</f>
        <v>46281</v>
      </c>
      <c r="B20" s="13" t="n">
        <f aca="false">COUNTIFS(Referral_Data!$E$5:$E$1000,"&gt;="&amp;$A20,Referral_Data!$E$5:$E$1000,"&lt;"&amp;($A20+1))</f>
        <v>5</v>
      </c>
      <c r="C20" s="13" t="n">
        <f aca="false">COUNTIFS(Referral_Data!$F$5:$F$1000,"&gt;="&amp;$A20,Referral_Data!$F$5:$F$1000,"&lt;"&amp;($A20+1))</f>
        <v>2</v>
      </c>
      <c r="D20" s="13" t="n">
        <f aca="false">COUNTIFS(Referral_Data!$G$5:$G$1000,"&gt;="&amp;$A20,Referral_Data!$G$5:$G$1000,"&lt;"&amp;($A20+1))</f>
        <v>1</v>
      </c>
      <c r="E20" s="13" t="n">
        <f aca="false">COUNTIFS(Referral_Data!$H$5:$H$1000,"&gt;="&amp;$A20,Referral_Data!$H$5:$H$1000,"&lt;"&amp;($A20+1))</f>
        <v>0</v>
      </c>
      <c r="F20" s="13" t="n">
        <f aca="false">SUMIFS(Engagement_Events!$G$5:$G$3000,Engagement_Events!$C$5:$C$3000,$A20)</f>
        <v>13</v>
      </c>
      <c r="G20" s="13" t="n">
        <f aca="false">SUMIFS(Engagement_Events!$K$5:$K$3000,Engagement_Events!$C$5:$C$3000,$A20)</f>
        <v>1</v>
      </c>
      <c r="H20" s="13" t="n">
        <f aca="false">SUMIFS(Engagement_Events!$H$5:$H$3000,Engagement_Events!$C$5:$C$3000,$A20)</f>
        <v>12</v>
      </c>
      <c r="I20" s="13" t="n">
        <f aca="false">COUNTIFS(Engagement_Events!$C$5:$C$3000,$A20,Engagement_Events!$D$5:$D$3000,"Login")</f>
        <v>13</v>
      </c>
      <c r="J20" s="13" t="n">
        <f aca="false">COUNTIFS(Engagement_Events!$C$5:$C$3000,$A20,Engagement_Events!$D$5:$D$3000,"Feature Use")</f>
        <v>18</v>
      </c>
      <c r="K20" s="13" t="n">
        <f aca="false">COUNTIFS(Engagement_Events!$C$5:$C$3000,$A20,Engagement_Events!$D$5:$D$3000,"Task Completed")</f>
        <v>12</v>
      </c>
      <c r="L20" s="13" t="n">
        <f aca="false">SUM($B$5:B20)</f>
        <v>29</v>
      </c>
      <c r="M20" s="13" t="n">
        <f aca="false">SUM($E$5:E20)</f>
        <v>0</v>
      </c>
      <c r="N20" s="14" t="n">
        <f aca="false">IF(L20=0,0,M20/L20)</f>
        <v>0</v>
      </c>
    </row>
    <row r="21" customFormat="false" ht="15" hidden="false" customHeight="false" outlineLevel="0" collapsed="false">
      <c r="A21" s="32" t="n">
        <f aca="false">A20+1</f>
        <v>46282</v>
      </c>
      <c r="B21" s="13" t="n">
        <f aca="false">COUNTIFS(Referral_Data!$E$5:$E$1000,"&gt;="&amp;$A21,Referral_Data!$E$5:$E$1000,"&lt;"&amp;($A21+1))</f>
        <v>1</v>
      </c>
      <c r="C21" s="13" t="n">
        <f aca="false">COUNTIFS(Referral_Data!$F$5:$F$1000,"&gt;="&amp;$A21,Referral_Data!$F$5:$F$1000,"&lt;"&amp;($A21+1))</f>
        <v>3</v>
      </c>
      <c r="D21" s="13" t="n">
        <f aca="false">COUNTIFS(Referral_Data!$G$5:$G$1000,"&gt;="&amp;$A21,Referral_Data!$G$5:$G$1000,"&lt;"&amp;($A21+1))</f>
        <v>0</v>
      </c>
      <c r="E21" s="13" t="n">
        <f aca="false">COUNTIFS(Referral_Data!$H$5:$H$1000,"&gt;="&amp;$A21,Referral_Data!$H$5:$H$1000,"&lt;"&amp;($A21+1))</f>
        <v>0</v>
      </c>
      <c r="F21" s="13" t="n">
        <f aca="false">SUMIFS(Engagement_Events!$G$5:$G$3000,Engagement_Events!$C$5:$C$3000,$A21)</f>
        <v>14</v>
      </c>
      <c r="G21" s="13" t="n">
        <f aca="false">SUMIFS(Engagement_Events!$K$5:$K$3000,Engagement_Events!$C$5:$C$3000,$A21)</f>
        <v>2</v>
      </c>
      <c r="H21" s="13" t="n">
        <f aca="false">SUMIFS(Engagement_Events!$H$5:$H$3000,Engagement_Events!$C$5:$C$3000,$A21)</f>
        <v>12</v>
      </c>
      <c r="I21" s="13" t="n">
        <f aca="false">COUNTIFS(Engagement_Events!$C$5:$C$3000,$A21,Engagement_Events!$D$5:$D$3000,"Login")</f>
        <v>14</v>
      </c>
      <c r="J21" s="13" t="n">
        <f aca="false">COUNTIFS(Engagement_Events!$C$5:$C$3000,$A21,Engagement_Events!$D$5:$D$3000,"Feature Use")</f>
        <v>20</v>
      </c>
      <c r="K21" s="13" t="n">
        <f aca="false">COUNTIFS(Engagement_Events!$C$5:$C$3000,$A21,Engagement_Events!$D$5:$D$3000,"Task Completed")</f>
        <v>6</v>
      </c>
      <c r="L21" s="13" t="n">
        <f aca="false">SUM($B$5:B21)</f>
        <v>30</v>
      </c>
      <c r="M21" s="13" t="n">
        <f aca="false">SUM($E$5:E21)</f>
        <v>0</v>
      </c>
      <c r="N21" s="14" t="n">
        <f aca="false">IF(L21=0,0,M21/L21)</f>
        <v>0</v>
      </c>
    </row>
    <row r="22" customFormat="false" ht="15" hidden="false" customHeight="false" outlineLevel="0" collapsed="false">
      <c r="A22" s="32" t="n">
        <f aca="false">A21+1</f>
        <v>46283</v>
      </c>
      <c r="B22" s="13" t="n">
        <f aca="false">COUNTIFS(Referral_Data!$E$5:$E$1000,"&gt;="&amp;$A22,Referral_Data!$E$5:$E$1000,"&lt;"&amp;($A22+1))</f>
        <v>0</v>
      </c>
      <c r="C22" s="13" t="n">
        <f aca="false">COUNTIFS(Referral_Data!$F$5:$F$1000,"&gt;="&amp;$A22,Referral_Data!$F$5:$F$1000,"&lt;"&amp;($A22+1))</f>
        <v>0</v>
      </c>
      <c r="D22" s="13" t="n">
        <f aca="false">COUNTIFS(Referral_Data!$G$5:$G$1000,"&gt;="&amp;$A22,Referral_Data!$G$5:$G$1000,"&lt;"&amp;($A22+1))</f>
        <v>0</v>
      </c>
      <c r="E22" s="13" t="n">
        <f aca="false">COUNTIFS(Referral_Data!$H$5:$H$1000,"&gt;="&amp;$A22,Referral_Data!$H$5:$H$1000,"&lt;"&amp;($A22+1))</f>
        <v>2</v>
      </c>
      <c r="F22" s="13" t="n">
        <f aca="false">SUMIFS(Engagement_Events!$G$5:$G$3000,Engagement_Events!$C$5:$C$3000,$A22)</f>
        <v>8</v>
      </c>
      <c r="G22" s="13" t="n">
        <f aca="false">SUMIFS(Engagement_Events!$K$5:$K$3000,Engagement_Events!$C$5:$C$3000,$A22)</f>
        <v>1</v>
      </c>
      <c r="H22" s="13" t="n">
        <f aca="false">SUMIFS(Engagement_Events!$H$5:$H$3000,Engagement_Events!$C$5:$C$3000,$A22)</f>
        <v>7</v>
      </c>
      <c r="I22" s="13" t="n">
        <f aca="false">COUNTIFS(Engagement_Events!$C$5:$C$3000,$A22,Engagement_Events!$D$5:$D$3000,"Login")</f>
        <v>8</v>
      </c>
      <c r="J22" s="13" t="n">
        <f aca="false">COUNTIFS(Engagement_Events!$C$5:$C$3000,$A22,Engagement_Events!$D$5:$D$3000,"Feature Use")</f>
        <v>13</v>
      </c>
      <c r="K22" s="13" t="n">
        <f aca="false">COUNTIFS(Engagement_Events!$C$5:$C$3000,$A22,Engagement_Events!$D$5:$D$3000,"Task Completed")</f>
        <v>2</v>
      </c>
      <c r="L22" s="13" t="n">
        <f aca="false">SUM($B$5:B22)</f>
        <v>30</v>
      </c>
      <c r="M22" s="13" t="n">
        <f aca="false">SUM($E$5:E22)</f>
        <v>2</v>
      </c>
      <c r="N22" s="14" t="n">
        <f aca="false">IF(L22=0,0,M22/L22)</f>
        <v>0.0666666666666667</v>
      </c>
    </row>
    <row r="23" customFormat="false" ht="15" hidden="false" customHeight="false" outlineLevel="0" collapsed="false">
      <c r="A23" s="32" t="n">
        <f aca="false">A22+1</f>
        <v>46284</v>
      </c>
      <c r="B23" s="13" t="n">
        <f aca="false">COUNTIFS(Referral_Data!$E$5:$E$1000,"&gt;="&amp;$A23,Referral_Data!$E$5:$E$1000,"&lt;"&amp;($A23+1))</f>
        <v>0</v>
      </c>
      <c r="C23" s="13" t="n">
        <f aca="false">COUNTIFS(Referral_Data!$F$5:$F$1000,"&gt;="&amp;$A23,Referral_Data!$F$5:$F$1000,"&lt;"&amp;($A23+1))</f>
        <v>0</v>
      </c>
      <c r="D23" s="13" t="n">
        <f aca="false">COUNTIFS(Referral_Data!$G$5:$G$1000,"&gt;="&amp;$A23,Referral_Data!$G$5:$G$1000,"&lt;"&amp;($A23+1))</f>
        <v>2</v>
      </c>
      <c r="E23" s="13" t="n">
        <f aca="false">COUNTIFS(Referral_Data!$H$5:$H$1000,"&gt;="&amp;$A23,Referral_Data!$H$5:$H$1000,"&lt;"&amp;($A23+1))</f>
        <v>0</v>
      </c>
      <c r="F23" s="13" t="n">
        <f aca="false">SUMIFS(Engagement_Events!$G$5:$G$3000,Engagement_Events!$C$5:$C$3000,$A23)</f>
        <v>10</v>
      </c>
      <c r="G23" s="13" t="n">
        <f aca="false">SUMIFS(Engagement_Events!$K$5:$K$3000,Engagement_Events!$C$5:$C$3000,$A23)</f>
        <v>0</v>
      </c>
      <c r="H23" s="13" t="n">
        <f aca="false">SUMIFS(Engagement_Events!$H$5:$H$3000,Engagement_Events!$C$5:$C$3000,$A23)</f>
        <v>10</v>
      </c>
      <c r="I23" s="13" t="n">
        <f aca="false">COUNTIFS(Engagement_Events!$C$5:$C$3000,$A23,Engagement_Events!$D$5:$D$3000,"Login")</f>
        <v>10</v>
      </c>
      <c r="J23" s="13" t="n">
        <f aca="false">COUNTIFS(Engagement_Events!$C$5:$C$3000,$A23,Engagement_Events!$D$5:$D$3000,"Feature Use")</f>
        <v>16</v>
      </c>
      <c r="K23" s="13" t="n">
        <f aca="false">COUNTIFS(Engagement_Events!$C$5:$C$3000,$A23,Engagement_Events!$D$5:$D$3000,"Task Completed")</f>
        <v>9</v>
      </c>
      <c r="L23" s="13" t="n">
        <f aca="false">SUM($B$5:B23)</f>
        <v>30</v>
      </c>
      <c r="M23" s="13" t="n">
        <f aca="false">SUM($E$5:E23)</f>
        <v>2</v>
      </c>
      <c r="N23" s="14" t="n">
        <f aca="false">IF(L23=0,0,M23/L23)</f>
        <v>0.0666666666666667</v>
      </c>
    </row>
    <row r="24" customFormat="false" ht="15" hidden="false" customHeight="false" outlineLevel="0" collapsed="false">
      <c r="A24" s="32" t="n">
        <f aca="false">A23+1</f>
        <v>46285</v>
      </c>
      <c r="B24" s="13" t="n">
        <f aca="false">COUNTIFS(Referral_Data!$E$5:$E$1000,"&gt;="&amp;$A24,Referral_Data!$E$5:$E$1000,"&lt;"&amp;($A24+1))</f>
        <v>1</v>
      </c>
      <c r="C24" s="13" t="n">
        <f aca="false">COUNTIFS(Referral_Data!$F$5:$F$1000,"&gt;="&amp;$A24,Referral_Data!$F$5:$F$1000,"&lt;"&amp;($A24+1))</f>
        <v>0</v>
      </c>
      <c r="D24" s="13" t="n">
        <f aca="false">COUNTIFS(Referral_Data!$G$5:$G$1000,"&gt;="&amp;$A24,Referral_Data!$G$5:$G$1000,"&lt;"&amp;($A24+1))</f>
        <v>1</v>
      </c>
      <c r="E24" s="13" t="n">
        <f aca="false">COUNTIFS(Referral_Data!$H$5:$H$1000,"&gt;="&amp;$A24,Referral_Data!$H$5:$H$1000,"&lt;"&amp;($A24+1))</f>
        <v>1</v>
      </c>
      <c r="F24" s="13" t="n">
        <f aca="false">SUMIFS(Engagement_Events!$G$5:$G$3000,Engagement_Events!$C$5:$C$3000,$A24)</f>
        <v>14</v>
      </c>
      <c r="G24" s="13" t="n">
        <f aca="false">SUMIFS(Engagement_Events!$K$5:$K$3000,Engagement_Events!$C$5:$C$3000,$A24)</f>
        <v>0</v>
      </c>
      <c r="H24" s="13" t="n">
        <f aca="false">SUMIFS(Engagement_Events!$H$5:$H$3000,Engagement_Events!$C$5:$C$3000,$A24)</f>
        <v>14</v>
      </c>
      <c r="I24" s="13" t="n">
        <f aca="false">COUNTIFS(Engagement_Events!$C$5:$C$3000,$A24,Engagement_Events!$D$5:$D$3000,"Login")</f>
        <v>14</v>
      </c>
      <c r="J24" s="13" t="n">
        <f aca="false">COUNTIFS(Engagement_Events!$C$5:$C$3000,$A24,Engagement_Events!$D$5:$D$3000,"Feature Use")</f>
        <v>21</v>
      </c>
      <c r="K24" s="13" t="n">
        <f aca="false">COUNTIFS(Engagement_Events!$C$5:$C$3000,$A24,Engagement_Events!$D$5:$D$3000,"Task Completed")</f>
        <v>7</v>
      </c>
      <c r="L24" s="13" t="n">
        <f aca="false">SUM($B$5:B24)</f>
        <v>31</v>
      </c>
      <c r="M24" s="13" t="n">
        <f aca="false">SUM($E$5:E24)</f>
        <v>3</v>
      </c>
      <c r="N24" s="14" t="n">
        <f aca="false">IF(L24=0,0,M24/L24)</f>
        <v>0.0967741935483871</v>
      </c>
    </row>
    <row r="25" customFormat="false" ht="15" hidden="false" customHeight="false" outlineLevel="0" collapsed="false">
      <c r="A25" s="32" t="n">
        <f aca="false">A24+1</f>
        <v>46286</v>
      </c>
      <c r="B25" s="13" t="n">
        <f aca="false">COUNTIFS(Referral_Data!$E$5:$E$1000,"&gt;="&amp;$A25,Referral_Data!$E$5:$E$1000,"&lt;"&amp;($A25+1))</f>
        <v>0</v>
      </c>
      <c r="C25" s="13" t="n">
        <f aca="false">COUNTIFS(Referral_Data!$F$5:$F$1000,"&gt;="&amp;$A25,Referral_Data!$F$5:$F$1000,"&lt;"&amp;($A25+1))</f>
        <v>0</v>
      </c>
      <c r="D25" s="13" t="n">
        <f aca="false">COUNTIFS(Referral_Data!$G$5:$G$1000,"&gt;="&amp;$A25,Referral_Data!$G$5:$G$1000,"&lt;"&amp;($A25+1))</f>
        <v>0</v>
      </c>
      <c r="E25" s="13" t="n">
        <f aca="false">COUNTIFS(Referral_Data!$H$5:$H$1000,"&gt;="&amp;$A25,Referral_Data!$H$5:$H$1000,"&lt;"&amp;($A25+1))</f>
        <v>1</v>
      </c>
      <c r="F25" s="13" t="n">
        <f aca="false">SUMIFS(Engagement_Events!$G$5:$G$3000,Engagement_Events!$C$5:$C$3000,$A25)</f>
        <v>9</v>
      </c>
      <c r="G25" s="13" t="n">
        <f aca="false">SUMIFS(Engagement_Events!$K$5:$K$3000,Engagement_Events!$C$5:$C$3000,$A25)</f>
        <v>0</v>
      </c>
      <c r="H25" s="13" t="n">
        <f aca="false">SUMIFS(Engagement_Events!$H$5:$H$3000,Engagement_Events!$C$5:$C$3000,$A25)</f>
        <v>9</v>
      </c>
      <c r="I25" s="13" t="n">
        <f aca="false">COUNTIFS(Engagement_Events!$C$5:$C$3000,$A25,Engagement_Events!$D$5:$D$3000,"Login")</f>
        <v>9</v>
      </c>
      <c r="J25" s="13" t="n">
        <f aca="false">COUNTIFS(Engagement_Events!$C$5:$C$3000,$A25,Engagement_Events!$D$5:$D$3000,"Feature Use")</f>
        <v>12</v>
      </c>
      <c r="K25" s="13" t="n">
        <f aca="false">COUNTIFS(Engagement_Events!$C$5:$C$3000,$A25,Engagement_Events!$D$5:$D$3000,"Task Completed")</f>
        <v>6</v>
      </c>
      <c r="L25" s="13" t="n">
        <f aca="false">SUM($B$5:B25)</f>
        <v>31</v>
      </c>
      <c r="M25" s="13" t="n">
        <f aca="false">SUM($E$5:E25)</f>
        <v>4</v>
      </c>
      <c r="N25" s="14" t="n">
        <f aca="false">IF(L25=0,0,M25/L25)</f>
        <v>0.129032258064516</v>
      </c>
    </row>
    <row r="26" customFormat="false" ht="15" hidden="false" customHeight="false" outlineLevel="0" collapsed="false">
      <c r="A26" s="32" t="n">
        <f aca="false">A25+1</f>
        <v>46287</v>
      </c>
      <c r="B26" s="13" t="n">
        <f aca="false">COUNTIFS(Referral_Data!$E$5:$E$1000,"&gt;="&amp;$A26,Referral_Data!$E$5:$E$1000,"&lt;"&amp;($A26+1))</f>
        <v>2</v>
      </c>
      <c r="C26" s="13" t="n">
        <f aca="false">COUNTIFS(Referral_Data!$F$5:$F$1000,"&gt;="&amp;$A26,Referral_Data!$F$5:$F$1000,"&lt;"&amp;($A26+1))</f>
        <v>0</v>
      </c>
      <c r="D26" s="13" t="n">
        <f aca="false">COUNTIFS(Referral_Data!$G$5:$G$1000,"&gt;="&amp;$A26,Referral_Data!$G$5:$G$1000,"&lt;"&amp;($A26+1))</f>
        <v>0</v>
      </c>
      <c r="E26" s="13" t="n">
        <f aca="false">COUNTIFS(Referral_Data!$H$5:$H$1000,"&gt;="&amp;$A26,Referral_Data!$H$5:$H$1000,"&lt;"&amp;($A26+1))</f>
        <v>1</v>
      </c>
      <c r="F26" s="13" t="n">
        <f aca="false">SUMIFS(Engagement_Events!$G$5:$G$3000,Engagement_Events!$C$5:$C$3000,$A26)</f>
        <v>10</v>
      </c>
      <c r="G26" s="13" t="n">
        <f aca="false">SUMIFS(Engagement_Events!$K$5:$K$3000,Engagement_Events!$C$5:$C$3000,$A26)</f>
        <v>0</v>
      </c>
      <c r="H26" s="13" t="n">
        <f aca="false">SUMIFS(Engagement_Events!$H$5:$H$3000,Engagement_Events!$C$5:$C$3000,$A26)</f>
        <v>10</v>
      </c>
      <c r="I26" s="13" t="n">
        <f aca="false">COUNTIFS(Engagement_Events!$C$5:$C$3000,$A26,Engagement_Events!$D$5:$D$3000,"Login")</f>
        <v>10</v>
      </c>
      <c r="J26" s="13" t="n">
        <f aca="false">COUNTIFS(Engagement_Events!$C$5:$C$3000,$A26,Engagement_Events!$D$5:$D$3000,"Feature Use")</f>
        <v>14</v>
      </c>
      <c r="K26" s="13" t="n">
        <f aca="false">COUNTIFS(Engagement_Events!$C$5:$C$3000,$A26,Engagement_Events!$D$5:$D$3000,"Task Completed")</f>
        <v>6</v>
      </c>
      <c r="L26" s="13" t="n">
        <f aca="false">SUM($B$5:B26)</f>
        <v>33</v>
      </c>
      <c r="M26" s="13" t="n">
        <f aca="false">SUM($E$5:E26)</f>
        <v>5</v>
      </c>
      <c r="N26" s="14" t="n">
        <f aca="false">IF(L26=0,0,M26/L26)</f>
        <v>0.151515151515152</v>
      </c>
    </row>
    <row r="27" customFormat="false" ht="15" hidden="false" customHeight="false" outlineLevel="0" collapsed="false">
      <c r="A27" s="32" t="n">
        <f aca="false">A26+1</f>
        <v>46288</v>
      </c>
      <c r="B27" s="13" t="n">
        <f aca="false">COUNTIFS(Referral_Data!$E$5:$E$1000,"&gt;="&amp;$A27,Referral_Data!$E$5:$E$1000,"&lt;"&amp;($A27+1))</f>
        <v>1</v>
      </c>
      <c r="C27" s="13" t="n">
        <f aca="false">COUNTIFS(Referral_Data!$F$5:$F$1000,"&gt;="&amp;$A27,Referral_Data!$F$5:$F$1000,"&lt;"&amp;($A27+1))</f>
        <v>2</v>
      </c>
      <c r="D27" s="13" t="n">
        <f aca="false">COUNTIFS(Referral_Data!$G$5:$G$1000,"&gt;="&amp;$A27,Referral_Data!$G$5:$G$1000,"&lt;"&amp;($A27+1))</f>
        <v>0</v>
      </c>
      <c r="E27" s="13" t="n">
        <f aca="false">COUNTIFS(Referral_Data!$H$5:$H$1000,"&gt;="&amp;$A27,Referral_Data!$H$5:$H$1000,"&lt;"&amp;($A27+1))</f>
        <v>0</v>
      </c>
      <c r="F27" s="13" t="n">
        <f aca="false">SUMIFS(Engagement_Events!$G$5:$G$3000,Engagement_Events!$C$5:$C$3000,$A27)</f>
        <v>16</v>
      </c>
      <c r="G27" s="13" t="n">
        <f aca="false">SUMIFS(Engagement_Events!$K$5:$K$3000,Engagement_Events!$C$5:$C$3000,$A27)</f>
        <v>0</v>
      </c>
      <c r="H27" s="13" t="n">
        <f aca="false">SUMIFS(Engagement_Events!$H$5:$H$3000,Engagement_Events!$C$5:$C$3000,$A27)</f>
        <v>16</v>
      </c>
      <c r="I27" s="13" t="n">
        <f aca="false">COUNTIFS(Engagement_Events!$C$5:$C$3000,$A27,Engagement_Events!$D$5:$D$3000,"Login")</f>
        <v>16</v>
      </c>
      <c r="J27" s="13" t="n">
        <f aca="false">COUNTIFS(Engagement_Events!$C$5:$C$3000,$A27,Engagement_Events!$D$5:$D$3000,"Feature Use")</f>
        <v>24</v>
      </c>
      <c r="K27" s="13" t="n">
        <f aca="false">COUNTIFS(Engagement_Events!$C$5:$C$3000,$A27,Engagement_Events!$D$5:$D$3000,"Task Completed")</f>
        <v>12</v>
      </c>
      <c r="L27" s="13" t="n">
        <f aca="false">SUM($B$5:B27)</f>
        <v>34</v>
      </c>
      <c r="M27" s="13" t="n">
        <f aca="false">SUM($E$5:E27)</f>
        <v>5</v>
      </c>
      <c r="N27" s="14" t="n">
        <f aca="false">IF(L27=0,0,M27/L27)</f>
        <v>0.147058823529412</v>
      </c>
    </row>
    <row r="28" customFormat="false" ht="15" hidden="false" customHeight="false" outlineLevel="0" collapsed="false">
      <c r="A28" s="32" t="n">
        <f aca="false">A27+1</f>
        <v>46289</v>
      </c>
      <c r="B28" s="13" t="n">
        <f aca="false">COUNTIFS(Referral_Data!$E$5:$E$1000,"&gt;="&amp;$A28,Referral_Data!$E$5:$E$1000,"&lt;"&amp;($A28+1))</f>
        <v>0</v>
      </c>
      <c r="C28" s="13" t="n">
        <f aca="false">COUNTIFS(Referral_Data!$F$5:$F$1000,"&gt;="&amp;$A28,Referral_Data!$F$5:$F$1000,"&lt;"&amp;($A28+1))</f>
        <v>0</v>
      </c>
      <c r="D28" s="13" t="n">
        <f aca="false">COUNTIFS(Referral_Data!$G$5:$G$1000,"&gt;="&amp;$A28,Referral_Data!$G$5:$G$1000,"&lt;"&amp;($A28+1))</f>
        <v>1</v>
      </c>
      <c r="E28" s="13" t="n">
        <f aca="false">COUNTIFS(Referral_Data!$H$5:$H$1000,"&gt;="&amp;$A28,Referral_Data!$H$5:$H$1000,"&lt;"&amp;($A28+1))</f>
        <v>0</v>
      </c>
      <c r="F28" s="13" t="n">
        <f aca="false">SUMIFS(Engagement_Events!$G$5:$G$3000,Engagement_Events!$C$5:$C$3000,$A28)</f>
        <v>11</v>
      </c>
      <c r="G28" s="13" t="n">
        <f aca="false">SUMIFS(Engagement_Events!$K$5:$K$3000,Engagement_Events!$C$5:$C$3000,$A28)</f>
        <v>3</v>
      </c>
      <c r="H28" s="13" t="n">
        <f aca="false">SUMIFS(Engagement_Events!$H$5:$H$3000,Engagement_Events!$C$5:$C$3000,$A28)</f>
        <v>8</v>
      </c>
      <c r="I28" s="13" t="n">
        <f aca="false">COUNTIFS(Engagement_Events!$C$5:$C$3000,$A28,Engagement_Events!$D$5:$D$3000,"Login")</f>
        <v>11</v>
      </c>
      <c r="J28" s="13" t="n">
        <f aca="false">COUNTIFS(Engagement_Events!$C$5:$C$3000,$A28,Engagement_Events!$D$5:$D$3000,"Feature Use")</f>
        <v>14</v>
      </c>
      <c r="K28" s="13" t="n">
        <f aca="false">COUNTIFS(Engagement_Events!$C$5:$C$3000,$A28,Engagement_Events!$D$5:$D$3000,"Task Completed")</f>
        <v>4</v>
      </c>
      <c r="L28" s="13" t="n">
        <f aca="false">SUM($B$5:B28)</f>
        <v>34</v>
      </c>
      <c r="M28" s="13" t="n">
        <f aca="false">SUM($E$5:E28)</f>
        <v>5</v>
      </c>
      <c r="N28" s="14" t="n">
        <f aca="false">IF(L28=0,0,M28/L28)</f>
        <v>0.147058823529412</v>
      </c>
    </row>
    <row r="29" customFormat="false" ht="15" hidden="false" customHeight="false" outlineLevel="0" collapsed="false">
      <c r="A29" s="32" t="n">
        <f aca="false">A28+1</f>
        <v>46290</v>
      </c>
      <c r="B29" s="13" t="n">
        <f aca="false">COUNTIFS(Referral_Data!$E$5:$E$1000,"&gt;="&amp;$A29,Referral_Data!$E$5:$E$1000,"&lt;"&amp;($A29+1))</f>
        <v>0</v>
      </c>
      <c r="C29" s="13" t="n">
        <f aca="false">COUNTIFS(Referral_Data!$F$5:$F$1000,"&gt;="&amp;$A29,Referral_Data!$F$5:$F$1000,"&lt;"&amp;($A29+1))</f>
        <v>1</v>
      </c>
      <c r="D29" s="13" t="n">
        <f aca="false">COUNTIFS(Referral_Data!$G$5:$G$1000,"&gt;="&amp;$A29,Referral_Data!$G$5:$G$1000,"&lt;"&amp;($A29+1))</f>
        <v>0</v>
      </c>
      <c r="E29" s="13" t="n">
        <f aca="false">COUNTIFS(Referral_Data!$H$5:$H$1000,"&gt;="&amp;$A29,Referral_Data!$H$5:$H$1000,"&lt;"&amp;($A29+1))</f>
        <v>0</v>
      </c>
      <c r="F29" s="13" t="n">
        <f aca="false">SUMIFS(Engagement_Events!$G$5:$G$3000,Engagement_Events!$C$5:$C$3000,$A29)</f>
        <v>14</v>
      </c>
      <c r="G29" s="13" t="n">
        <f aca="false">SUMIFS(Engagement_Events!$K$5:$K$3000,Engagement_Events!$C$5:$C$3000,$A29)</f>
        <v>0</v>
      </c>
      <c r="H29" s="13" t="n">
        <f aca="false">SUMIFS(Engagement_Events!$H$5:$H$3000,Engagement_Events!$C$5:$C$3000,$A29)</f>
        <v>14</v>
      </c>
      <c r="I29" s="13" t="n">
        <f aca="false">COUNTIFS(Engagement_Events!$C$5:$C$3000,$A29,Engagement_Events!$D$5:$D$3000,"Login")</f>
        <v>14</v>
      </c>
      <c r="J29" s="13" t="n">
        <f aca="false">COUNTIFS(Engagement_Events!$C$5:$C$3000,$A29,Engagement_Events!$D$5:$D$3000,"Feature Use")</f>
        <v>23</v>
      </c>
      <c r="K29" s="13" t="n">
        <f aca="false">COUNTIFS(Engagement_Events!$C$5:$C$3000,$A29,Engagement_Events!$D$5:$D$3000,"Task Completed")</f>
        <v>5</v>
      </c>
      <c r="L29" s="13" t="n">
        <f aca="false">SUM($B$5:B29)</f>
        <v>34</v>
      </c>
      <c r="M29" s="13" t="n">
        <f aca="false">SUM($E$5:E29)</f>
        <v>5</v>
      </c>
      <c r="N29" s="14" t="n">
        <f aca="false">IF(L29=0,0,M29/L29)</f>
        <v>0.147058823529412</v>
      </c>
    </row>
    <row r="30" customFormat="false" ht="15" hidden="false" customHeight="false" outlineLevel="0" collapsed="false">
      <c r="A30" s="32" t="n">
        <f aca="false">A29+1</f>
        <v>46291</v>
      </c>
      <c r="B30" s="13" t="n">
        <f aca="false">COUNTIFS(Referral_Data!$E$5:$E$1000,"&gt;="&amp;$A30,Referral_Data!$E$5:$E$1000,"&lt;"&amp;($A30+1))</f>
        <v>1</v>
      </c>
      <c r="C30" s="13" t="n">
        <f aca="false">COUNTIFS(Referral_Data!$F$5:$F$1000,"&gt;="&amp;$A30,Referral_Data!$F$5:$F$1000,"&lt;"&amp;($A30+1))</f>
        <v>0</v>
      </c>
      <c r="D30" s="13" t="n">
        <f aca="false">COUNTIFS(Referral_Data!$G$5:$G$1000,"&gt;="&amp;$A30,Referral_Data!$G$5:$G$1000,"&lt;"&amp;($A30+1))</f>
        <v>1</v>
      </c>
      <c r="E30" s="13" t="n">
        <f aca="false">COUNTIFS(Referral_Data!$H$5:$H$1000,"&gt;="&amp;$A30,Referral_Data!$H$5:$H$1000,"&lt;"&amp;($A30+1))</f>
        <v>0</v>
      </c>
      <c r="F30" s="13" t="n">
        <f aca="false">SUMIFS(Engagement_Events!$G$5:$G$3000,Engagement_Events!$C$5:$C$3000,$A30)</f>
        <v>14</v>
      </c>
      <c r="G30" s="13" t="n">
        <f aca="false">SUMIFS(Engagement_Events!$K$5:$K$3000,Engagement_Events!$C$5:$C$3000,$A30)</f>
        <v>1</v>
      </c>
      <c r="H30" s="13" t="n">
        <f aca="false">SUMIFS(Engagement_Events!$H$5:$H$3000,Engagement_Events!$C$5:$C$3000,$A30)</f>
        <v>13</v>
      </c>
      <c r="I30" s="13" t="n">
        <f aca="false">COUNTIFS(Engagement_Events!$C$5:$C$3000,$A30,Engagement_Events!$D$5:$D$3000,"Login")</f>
        <v>14</v>
      </c>
      <c r="J30" s="13" t="n">
        <f aca="false">COUNTIFS(Engagement_Events!$C$5:$C$3000,$A30,Engagement_Events!$D$5:$D$3000,"Feature Use")</f>
        <v>25</v>
      </c>
      <c r="K30" s="13" t="n">
        <f aca="false">COUNTIFS(Engagement_Events!$C$5:$C$3000,$A30,Engagement_Events!$D$5:$D$3000,"Task Completed")</f>
        <v>9</v>
      </c>
      <c r="L30" s="13" t="n">
        <f aca="false">SUM($B$5:B30)</f>
        <v>35</v>
      </c>
      <c r="M30" s="13" t="n">
        <f aca="false">SUM($E$5:E30)</f>
        <v>5</v>
      </c>
      <c r="N30" s="14" t="n">
        <f aca="false">IF(L30=0,0,M30/L30)</f>
        <v>0.142857142857143</v>
      </c>
    </row>
    <row r="31" customFormat="false" ht="15" hidden="false" customHeight="false" outlineLevel="0" collapsed="false">
      <c r="A31" s="32" t="n">
        <f aca="false">A30+1</f>
        <v>46292</v>
      </c>
      <c r="B31" s="13" t="n">
        <f aca="false">COUNTIFS(Referral_Data!$E$5:$E$1000,"&gt;="&amp;$A31,Referral_Data!$E$5:$E$1000,"&lt;"&amp;($A31+1))</f>
        <v>0</v>
      </c>
      <c r="C31" s="13" t="n">
        <f aca="false">COUNTIFS(Referral_Data!$F$5:$F$1000,"&gt;="&amp;$A31,Referral_Data!$F$5:$F$1000,"&lt;"&amp;($A31+1))</f>
        <v>0</v>
      </c>
      <c r="D31" s="13" t="n">
        <f aca="false">COUNTIFS(Referral_Data!$G$5:$G$1000,"&gt;="&amp;$A31,Referral_Data!$G$5:$G$1000,"&lt;"&amp;($A31+1))</f>
        <v>1</v>
      </c>
      <c r="E31" s="13" t="n">
        <f aca="false">COUNTIFS(Referral_Data!$H$5:$H$1000,"&gt;="&amp;$A31,Referral_Data!$H$5:$H$1000,"&lt;"&amp;($A31+1))</f>
        <v>1</v>
      </c>
      <c r="F31" s="13" t="n">
        <f aca="false">SUMIFS(Engagement_Events!$G$5:$G$3000,Engagement_Events!$C$5:$C$3000,$A31)</f>
        <v>13</v>
      </c>
      <c r="G31" s="13" t="n">
        <f aca="false">SUMIFS(Engagement_Events!$K$5:$K$3000,Engagement_Events!$C$5:$C$3000,$A31)</f>
        <v>0</v>
      </c>
      <c r="H31" s="13" t="n">
        <f aca="false">SUMIFS(Engagement_Events!$H$5:$H$3000,Engagement_Events!$C$5:$C$3000,$A31)</f>
        <v>13</v>
      </c>
      <c r="I31" s="13" t="n">
        <f aca="false">COUNTIFS(Engagement_Events!$C$5:$C$3000,$A31,Engagement_Events!$D$5:$D$3000,"Login")</f>
        <v>13</v>
      </c>
      <c r="J31" s="13" t="n">
        <f aca="false">COUNTIFS(Engagement_Events!$C$5:$C$3000,$A31,Engagement_Events!$D$5:$D$3000,"Feature Use")</f>
        <v>16</v>
      </c>
      <c r="K31" s="13" t="n">
        <f aca="false">COUNTIFS(Engagement_Events!$C$5:$C$3000,$A31,Engagement_Events!$D$5:$D$3000,"Task Completed")</f>
        <v>11</v>
      </c>
      <c r="L31" s="13" t="n">
        <f aca="false">SUM($B$5:B31)</f>
        <v>35</v>
      </c>
      <c r="M31" s="13" t="n">
        <f aca="false">SUM($E$5:E31)</f>
        <v>6</v>
      </c>
      <c r="N31" s="14" t="n">
        <f aca="false">IF(L31=0,0,M31/L31)</f>
        <v>0.171428571428571</v>
      </c>
    </row>
    <row r="32" customFormat="false" ht="15" hidden="false" customHeight="false" outlineLevel="0" collapsed="false">
      <c r="A32" s="32" t="n">
        <f aca="false">A31+1</f>
        <v>46293</v>
      </c>
      <c r="B32" s="13" t="n">
        <f aca="false">COUNTIFS(Referral_Data!$E$5:$E$1000,"&gt;="&amp;$A32,Referral_Data!$E$5:$E$1000,"&lt;"&amp;($A32+1))</f>
        <v>2</v>
      </c>
      <c r="C32" s="13" t="n">
        <f aca="false">COUNTIFS(Referral_Data!$F$5:$F$1000,"&gt;="&amp;$A32,Referral_Data!$F$5:$F$1000,"&lt;"&amp;($A32+1))</f>
        <v>1</v>
      </c>
      <c r="D32" s="13" t="n">
        <f aca="false">COUNTIFS(Referral_Data!$G$5:$G$1000,"&gt;="&amp;$A32,Referral_Data!$G$5:$G$1000,"&lt;"&amp;($A32+1))</f>
        <v>0</v>
      </c>
      <c r="E32" s="13" t="n">
        <f aca="false">COUNTIFS(Referral_Data!$H$5:$H$1000,"&gt;="&amp;$A32,Referral_Data!$H$5:$H$1000,"&lt;"&amp;($A32+1))</f>
        <v>0</v>
      </c>
      <c r="F32" s="13" t="n">
        <f aca="false">SUMIFS(Engagement_Events!$G$5:$G$3000,Engagement_Events!$C$5:$C$3000,$A32)</f>
        <v>12</v>
      </c>
      <c r="G32" s="13" t="n">
        <f aca="false">SUMIFS(Engagement_Events!$K$5:$K$3000,Engagement_Events!$C$5:$C$3000,$A32)</f>
        <v>0</v>
      </c>
      <c r="H32" s="13" t="n">
        <f aca="false">SUMIFS(Engagement_Events!$H$5:$H$3000,Engagement_Events!$C$5:$C$3000,$A32)</f>
        <v>12</v>
      </c>
      <c r="I32" s="13" t="n">
        <f aca="false">COUNTIFS(Engagement_Events!$C$5:$C$3000,$A32,Engagement_Events!$D$5:$D$3000,"Login")</f>
        <v>12</v>
      </c>
      <c r="J32" s="13" t="n">
        <f aca="false">COUNTIFS(Engagement_Events!$C$5:$C$3000,$A32,Engagement_Events!$D$5:$D$3000,"Feature Use")</f>
        <v>19</v>
      </c>
      <c r="K32" s="13" t="n">
        <f aca="false">COUNTIFS(Engagement_Events!$C$5:$C$3000,$A32,Engagement_Events!$D$5:$D$3000,"Task Completed")</f>
        <v>8</v>
      </c>
      <c r="L32" s="13" t="n">
        <f aca="false">SUM($B$5:B32)</f>
        <v>37</v>
      </c>
      <c r="M32" s="13" t="n">
        <f aca="false">SUM($E$5:E32)</f>
        <v>6</v>
      </c>
      <c r="N32" s="14" t="n">
        <f aca="false">IF(L32=0,0,M32/L32)</f>
        <v>0.162162162162162</v>
      </c>
    </row>
    <row r="33" customFormat="false" ht="15" hidden="false" customHeight="false" outlineLevel="0" collapsed="false">
      <c r="A33" s="32" t="n">
        <f aca="false">A32+1</f>
        <v>46294</v>
      </c>
      <c r="B33" s="13" t="n">
        <f aca="false">COUNTIFS(Referral_Data!$E$5:$E$1000,"&gt;="&amp;$A33,Referral_Data!$E$5:$E$1000,"&lt;"&amp;($A33+1))</f>
        <v>5</v>
      </c>
      <c r="C33" s="13" t="n">
        <f aca="false">COUNTIFS(Referral_Data!$F$5:$F$1000,"&gt;="&amp;$A33,Referral_Data!$F$5:$F$1000,"&lt;"&amp;($A33+1))</f>
        <v>1</v>
      </c>
      <c r="D33" s="13" t="n">
        <f aca="false">COUNTIFS(Referral_Data!$G$5:$G$1000,"&gt;="&amp;$A33,Referral_Data!$G$5:$G$1000,"&lt;"&amp;($A33+1))</f>
        <v>0</v>
      </c>
      <c r="E33" s="13" t="n">
        <f aca="false">COUNTIFS(Referral_Data!$H$5:$H$1000,"&gt;="&amp;$A33,Referral_Data!$H$5:$H$1000,"&lt;"&amp;($A33+1))</f>
        <v>0</v>
      </c>
      <c r="F33" s="13" t="n">
        <f aca="false">SUMIFS(Engagement_Events!$G$5:$G$3000,Engagement_Events!$C$5:$C$3000,$A33)</f>
        <v>8</v>
      </c>
      <c r="G33" s="13" t="n">
        <f aca="false">SUMIFS(Engagement_Events!$K$5:$K$3000,Engagement_Events!$C$5:$C$3000,$A33)</f>
        <v>0</v>
      </c>
      <c r="H33" s="13" t="n">
        <f aca="false">SUMIFS(Engagement_Events!$H$5:$H$3000,Engagement_Events!$C$5:$C$3000,$A33)</f>
        <v>8</v>
      </c>
      <c r="I33" s="13" t="n">
        <f aca="false">COUNTIFS(Engagement_Events!$C$5:$C$3000,$A33,Engagement_Events!$D$5:$D$3000,"Login")</f>
        <v>8</v>
      </c>
      <c r="J33" s="13" t="n">
        <f aca="false">COUNTIFS(Engagement_Events!$C$5:$C$3000,$A33,Engagement_Events!$D$5:$D$3000,"Feature Use")</f>
        <v>11</v>
      </c>
      <c r="K33" s="13" t="n">
        <f aca="false">COUNTIFS(Engagement_Events!$C$5:$C$3000,$A33,Engagement_Events!$D$5:$D$3000,"Task Completed")</f>
        <v>10</v>
      </c>
      <c r="L33" s="13" t="n">
        <f aca="false">SUM($B$5:B33)</f>
        <v>42</v>
      </c>
      <c r="M33" s="13" t="n">
        <f aca="false">SUM($E$5:E33)</f>
        <v>6</v>
      </c>
      <c r="N33" s="14" t="n">
        <f aca="false">IF(L33=0,0,M33/L33)</f>
        <v>0.142857142857143</v>
      </c>
    </row>
    <row r="34" customFormat="false" ht="15" hidden="false" customHeight="false" outlineLevel="0" collapsed="false">
      <c r="A34" s="32" t="n">
        <f aca="false">A33+1</f>
        <v>46295</v>
      </c>
      <c r="B34" s="13" t="n">
        <f aca="false">COUNTIFS(Referral_Data!$E$5:$E$1000,"&gt;="&amp;$A34,Referral_Data!$E$5:$E$1000,"&lt;"&amp;($A34+1))</f>
        <v>1</v>
      </c>
      <c r="C34" s="13" t="n">
        <f aca="false">COUNTIFS(Referral_Data!$F$5:$F$1000,"&gt;="&amp;$A34,Referral_Data!$F$5:$F$1000,"&lt;"&amp;($A34+1))</f>
        <v>2</v>
      </c>
      <c r="D34" s="13" t="n">
        <f aca="false">COUNTIFS(Referral_Data!$G$5:$G$1000,"&gt;="&amp;$A34,Referral_Data!$G$5:$G$1000,"&lt;"&amp;($A34+1))</f>
        <v>0</v>
      </c>
      <c r="E34" s="13" t="n">
        <f aca="false">COUNTIFS(Referral_Data!$H$5:$H$1000,"&gt;="&amp;$A34,Referral_Data!$H$5:$H$1000,"&lt;"&amp;($A34+1))</f>
        <v>1</v>
      </c>
      <c r="F34" s="13" t="n">
        <f aca="false">SUMIFS(Engagement_Events!$G$5:$G$3000,Engagement_Events!$C$5:$C$3000,$A34)</f>
        <v>17</v>
      </c>
      <c r="G34" s="13" t="n">
        <f aca="false">SUMIFS(Engagement_Events!$K$5:$K$3000,Engagement_Events!$C$5:$C$3000,$A34)</f>
        <v>3</v>
      </c>
      <c r="H34" s="13" t="n">
        <f aca="false">SUMIFS(Engagement_Events!$H$5:$H$3000,Engagement_Events!$C$5:$C$3000,$A34)</f>
        <v>14</v>
      </c>
      <c r="I34" s="13" t="n">
        <f aca="false">COUNTIFS(Engagement_Events!$C$5:$C$3000,$A34,Engagement_Events!$D$5:$D$3000,"Login")</f>
        <v>17</v>
      </c>
      <c r="J34" s="13" t="n">
        <f aca="false">COUNTIFS(Engagement_Events!$C$5:$C$3000,$A34,Engagement_Events!$D$5:$D$3000,"Feature Use")</f>
        <v>25</v>
      </c>
      <c r="K34" s="13" t="n">
        <f aca="false">COUNTIFS(Engagement_Events!$C$5:$C$3000,$A34,Engagement_Events!$D$5:$D$3000,"Task Completed")</f>
        <v>14</v>
      </c>
      <c r="L34" s="13" t="n">
        <f aca="false">SUM($B$5:B34)</f>
        <v>43</v>
      </c>
      <c r="M34" s="13" t="n">
        <f aca="false">SUM($E$5:E34)</f>
        <v>7</v>
      </c>
      <c r="N34" s="14" t="n">
        <f aca="false">IF(L34=0,0,M34/L34)</f>
        <v>0.162790697674419</v>
      </c>
    </row>
    <row r="35" customFormat="false" ht="15" hidden="false" customHeight="false" outlineLevel="0" collapsed="false">
      <c r="A35" s="32" t="n">
        <f aca="false">A34+1</f>
        <v>46296</v>
      </c>
      <c r="B35" s="13" t="n">
        <f aca="false">COUNTIFS(Referral_Data!$E$5:$E$1000,"&gt;="&amp;$A35,Referral_Data!$E$5:$E$1000,"&lt;"&amp;($A35+1))</f>
        <v>0</v>
      </c>
      <c r="C35" s="13" t="n">
        <f aca="false">COUNTIFS(Referral_Data!$F$5:$F$1000,"&gt;="&amp;$A35,Referral_Data!$F$5:$F$1000,"&lt;"&amp;($A35+1))</f>
        <v>1</v>
      </c>
      <c r="D35" s="13" t="n">
        <f aca="false">COUNTIFS(Referral_Data!$G$5:$G$1000,"&gt;="&amp;$A35,Referral_Data!$G$5:$G$1000,"&lt;"&amp;($A35+1))</f>
        <v>0</v>
      </c>
      <c r="E35" s="13" t="n">
        <f aca="false">COUNTIFS(Referral_Data!$H$5:$H$1000,"&gt;="&amp;$A35,Referral_Data!$H$5:$H$1000,"&lt;"&amp;($A35+1))</f>
        <v>0</v>
      </c>
      <c r="F35" s="13" t="n">
        <f aca="false">SUMIFS(Engagement_Events!$G$5:$G$3000,Engagement_Events!$C$5:$C$3000,$A35)</f>
        <v>13</v>
      </c>
      <c r="G35" s="13" t="n">
        <f aca="false">SUMIFS(Engagement_Events!$K$5:$K$3000,Engagement_Events!$C$5:$C$3000,$A35)</f>
        <v>1</v>
      </c>
      <c r="H35" s="13" t="n">
        <f aca="false">SUMIFS(Engagement_Events!$H$5:$H$3000,Engagement_Events!$C$5:$C$3000,$A35)</f>
        <v>12</v>
      </c>
      <c r="I35" s="13" t="n">
        <f aca="false">COUNTIFS(Engagement_Events!$C$5:$C$3000,$A35,Engagement_Events!$D$5:$D$3000,"Login")</f>
        <v>13</v>
      </c>
      <c r="J35" s="13" t="n">
        <f aca="false">COUNTIFS(Engagement_Events!$C$5:$C$3000,$A35,Engagement_Events!$D$5:$D$3000,"Feature Use")</f>
        <v>19</v>
      </c>
      <c r="K35" s="13" t="n">
        <f aca="false">COUNTIFS(Engagement_Events!$C$5:$C$3000,$A35,Engagement_Events!$D$5:$D$3000,"Task Completed")</f>
        <v>5</v>
      </c>
      <c r="L35" s="13" t="n">
        <f aca="false">SUM($B$5:B35)</f>
        <v>43</v>
      </c>
      <c r="M35" s="13" t="n">
        <f aca="false">SUM($E$5:E35)</f>
        <v>7</v>
      </c>
      <c r="N35" s="14" t="n">
        <f aca="false">IF(L35=0,0,M35/L35)</f>
        <v>0.162790697674419</v>
      </c>
    </row>
    <row r="36" customFormat="false" ht="15" hidden="false" customHeight="false" outlineLevel="0" collapsed="false">
      <c r="A36" s="32" t="n">
        <f aca="false">A35+1</f>
        <v>46297</v>
      </c>
      <c r="B36" s="13" t="n">
        <f aca="false">COUNTIFS(Referral_Data!$E$5:$E$1000,"&gt;="&amp;$A36,Referral_Data!$E$5:$E$1000,"&lt;"&amp;($A36+1))</f>
        <v>2</v>
      </c>
      <c r="C36" s="13" t="n">
        <f aca="false">COUNTIFS(Referral_Data!$F$5:$F$1000,"&gt;="&amp;$A36,Referral_Data!$F$5:$F$1000,"&lt;"&amp;($A36+1))</f>
        <v>0</v>
      </c>
      <c r="D36" s="13" t="n">
        <f aca="false">COUNTIFS(Referral_Data!$G$5:$G$1000,"&gt;="&amp;$A36,Referral_Data!$G$5:$G$1000,"&lt;"&amp;($A36+1))</f>
        <v>0</v>
      </c>
      <c r="E36" s="13" t="n">
        <f aca="false">COUNTIFS(Referral_Data!$H$5:$H$1000,"&gt;="&amp;$A36,Referral_Data!$H$5:$H$1000,"&lt;"&amp;($A36+1))</f>
        <v>2</v>
      </c>
      <c r="F36" s="13" t="n">
        <f aca="false">SUMIFS(Engagement_Events!$G$5:$G$3000,Engagement_Events!$C$5:$C$3000,$A36)</f>
        <v>12</v>
      </c>
      <c r="G36" s="13" t="n">
        <f aca="false">SUMIFS(Engagement_Events!$K$5:$K$3000,Engagement_Events!$C$5:$C$3000,$A36)</f>
        <v>0</v>
      </c>
      <c r="H36" s="13" t="n">
        <f aca="false">SUMIFS(Engagement_Events!$H$5:$H$3000,Engagement_Events!$C$5:$C$3000,$A36)</f>
        <v>12</v>
      </c>
      <c r="I36" s="13" t="n">
        <f aca="false">COUNTIFS(Engagement_Events!$C$5:$C$3000,$A36,Engagement_Events!$D$5:$D$3000,"Login")</f>
        <v>12</v>
      </c>
      <c r="J36" s="13" t="n">
        <f aca="false">COUNTIFS(Engagement_Events!$C$5:$C$3000,$A36,Engagement_Events!$D$5:$D$3000,"Feature Use")</f>
        <v>21</v>
      </c>
      <c r="K36" s="13" t="n">
        <f aca="false">COUNTIFS(Engagement_Events!$C$5:$C$3000,$A36,Engagement_Events!$D$5:$D$3000,"Task Completed")</f>
        <v>7</v>
      </c>
      <c r="L36" s="13" t="n">
        <f aca="false">SUM($B$5:B36)</f>
        <v>45</v>
      </c>
      <c r="M36" s="13" t="n">
        <f aca="false">SUM($E$5:E36)</f>
        <v>9</v>
      </c>
      <c r="N36" s="14" t="n">
        <f aca="false">IF(L36=0,0,M36/L36)</f>
        <v>0.2</v>
      </c>
    </row>
    <row r="37" customFormat="false" ht="15" hidden="false" customHeight="false" outlineLevel="0" collapsed="false">
      <c r="A37" s="32" t="n">
        <f aca="false">A36+1</f>
        <v>46298</v>
      </c>
      <c r="B37" s="13" t="n">
        <f aca="false">COUNTIFS(Referral_Data!$E$5:$E$1000,"&gt;="&amp;$A37,Referral_Data!$E$5:$E$1000,"&lt;"&amp;($A37+1))</f>
        <v>3</v>
      </c>
      <c r="C37" s="13" t="n">
        <f aca="false">COUNTIFS(Referral_Data!$F$5:$F$1000,"&gt;="&amp;$A37,Referral_Data!$F$5:$F$1000,"&lt;"&amp;($A37+1))</f>
        <v>2</v>
      </c>
      <c r="D37" s="13" t="n">
        <f aca="false">COUNTIFS(Referral_Data!$G$5:$G$1000,"&gt;="&amp;$A37,Referral_Data!$G$5:$G$1000,"&lt;"&amp;($A37+1))</f>
        <v>1</v>
      </c>
      <c r="E37" s="13" t="n">
        <f aca="false">COUNTIFS(Referral_Data!$H$5:$H$1000,"&gt;="&amp;$A37,Referral_Data!$H$5:$H$1000,"&lt;"&amp;($A37+1))</f>
        <v>0</v>
      </c>
      <c r="F37" s="13" t="n">
        <f aca="false">SUMIFS(Engagement_Events!$G$5:$G$3000,Engagement_Events!$C$5:$C$3000,$A37)</f>
        <v>22</v>
      </c>
      <c r="G37" s="13" t="n">
        <f aca="false">SUMIFS(Engagement_Events!$K$5:$K$3000,Engagement_Events!$C$5:$C$3000,$A37)</f>
        <v>1</v>
      </c>
      <c r="H37" s="13" t="n">
        <f aca="false">SUMIFS(Engagement_Events!$H$5:$H$3000,Engagement_Events!$C$5:$C$3000,$A37)</f>
        <v>21</v>
      </c>
      <c r="I37" s="13" t="n">
        <f aca="false">COUNTIFS(Engagement_Events!$C$5:$C$3000,$A37,Engagement_Events!$D$5:$D$3000,"Login")</f>
        <v>22</v>
      </c>
      <c r="J37" s="13" t="n">
        <f aca="false">COUNTIFS(Engagement_Events!$C$5:$C$3000,$A37,Engagement_Events!$D$5:$D$3000,"Feature Use")</f>
        <v>31</v>
      </c>
      <c r="K37" s="13" t="n">
        <f aca="false">COUNTIFS(Engagement_Events!$C$5:$C$3000,$A37,Engagement_Events!$D$5:$D$3000,"Task Completed")</f>
        <v>9</v>
      </c>
      <c r="L37" s="13" t="n">
        <f aca="false">SUM($B$5:B37)</f>
        <v>48</v>
      </c>
      <c r="M37" s="13" t="n">
        <f aca="false">SUM($E$5:E37)</f>
        <v>9</v>
      </c>
      <c r="N37" s="14" t="n">
        <f aca="false">IF(L37=0,0,M37/L37)</f>
        <v>0.1875</v>
      </c>
    </row>
    <row r="38" customFormat="false" ht="15" hidden="false" customHeight="false" outlineLevel="0" collapsed="false">
      <c r="A38" s="32" t="n">
        <f aca="false">A37+1</f>
        <v>46299</v>
      </c>
      <c r="B38" s="13" t="n">
        <f aca="false">COUNTIFS(Referral_Data!$E$5:$E$1000,"&gt;="&amp;$A38,Referral_Data!$E$5:$E$1000,"&lt;"&amp;($A38+1))</f>
        <v>0</v>
      </c>
      <c r="C38" s="13" t="n">
        <f aca="false">COUNTIFS(Referral_Data!$F$5:$F$1000,"&gt;="&amp;$A38,Referral_Data!$F$5:$F$1000,"&lt;"&amp;($A38+1))</f>
        <v>2</v>
      </c>
      <c r="D38" s="13" t="n">
        <f aca="false">COUNTIFS(Referral_Data!$G$5:$G$1000,"&gt;="&amp;$A38,Referral_Data!$G$5:$G$1000,"&lt;"&amp;($A38+1))</f>
        <v>0</v>
      </c>
      <c r="E38" s="13" t="n">
        <f aca="false">COUNTIFS(Referral_Data!$H$5:$H$1000,"&gt;="&amp;$A38,Referral_Data!$H$5:$H$1000,"&lt;"&amp;($A38+1))</f>
        <v>0</v>
      </c>
      <c r="F38" s="13" t="n">
        <f aca="false">SUMIFS(Engagement_Events!$G$5:$G$3000,Engagement_Events!$C$5:$C$3000,$A38)</f>
        <v>6</v>
      </c>
      <c r="G38" s="13" t="n">
        <f aca="false">SUMIFS(Engagement_Events!$K$5:$K$3000,Engagement_Events!$C$5:$C$3000,$A38)</f>
        <v>0</v>
      </c>
      <c r="H38" s="13" t="n">
        <f aca="false">SUMIFS(Engagement_Events!$H$5:$H$3000,Engagement_Events!$C$5:$C$3000,$A38)</f>
        <v>6</v>
      </c>
      <c r="I38" s="13" t="n">
        <f aca="false">COUNTIFS(Engagement_Events!$C$5:$C$3000,$A38,Engagement_Events!$D$5:$D$3000,"Login")</f>
        <v>6</v>
      </c>
      <c r="J38" s="13" t="n">
        <f aca="false">COUNTIFS(Engagement_Events!$C$5:$C$3000,$A38,Engagement_Events!$D$5:$D$3000,"Feature Use")</f>
        <v>10</v>
      </c>
      <c r="K38" s="13" t="n">
        <f aca="false">COUNTIFS(Engagement_Events!$C$5:$C$3000,$A38,Engagement_Events!$D$5:$D$3000,"Task Completed")</f>
        <v>2</v>
      </c>
      <c r="L38" s="13" t="n">
        <f aca="false">SUM($B$5:B38)</f>
        <v>48</v>
      </c>
      <c r="M38" s="13" t="n">
        <f aca="false">SUM($E$5:E38)</f>
        <v>9</v>
      </c>
      <c r="N38" s="14" t="n">
        <f aca="false">IF(L38=0,0,M38/L38)</f>
        <v>0.1875</v>
      </c>
    </row>
    <row r="39" customFormat="false" ht="15" hidden="false" customHeight="false" outlineLevel="0" collapsed="false">
      <c r="A39" s="32" t="n">
        <f aca="false">A38+1</f>
        <v>46300</v>
      </c>
      <c r="B39" s="13" t="n">
        <f aca="false">COUNTIFS(Referral_Data!$E$5:$E$1000,"&gt;="&amp;$A39,Referral_Data!$E$5:$E$1000,"&lt;"&amp;($A39+1))</f>
        <v>2</v>
      </c>
      <c r="C39" s="13" t="n">
        <f aca="false">COUNTIFS(Referral_Data!$F$5:$F$1000,"&gt;="&amp;$A39,Referral_Data!$F$5:$F$1000,"&lt;"&amp;($A39+1))</f>
        <v>0</v>
      </c>
      <c r="D39" s="13" t="n">
        <f aca="false">COUNTIFS(Referral_Data!$G$5:$G$1000,"&gt;="&amp;$A39,Referral_Data!$G$5:$G$1000,"&lt;"&amp;($A39+1))</f>
        <v>2</v>
      </c>
      <c r="E39" s="13" t="n">
        <f aca="false">COUNTIFS(Referral_Data!$H$5:$H$1000,"&gt;="&amp;$A39,Referral_Data!$H$5:$H$1000,"&lt;"&amp;($A39+1))</f>
        <v>0</v>
      </c>
      <c r="F39" s="13" t="n">
        <f aca="false">SUMIFS(Engagement_Events!$G$5:$G$3000,Engagement_Events!$C$5:$C$3000,$A39)</f>
        <v>15</v>
      </c>
      <c r="G39" s="13" t="n">
        <f aca="false">SUMIFS(Engagement_Events!$K$5:$K$3000,Engagement_Events!$C$5:$C$3000,$A39)</f>
        <v>1</v>
      </c>
      <c r="H39" s="13" t="n">
        <f aca="false">SUMIFS(Engagement_Events!$H$5:$H$3000,Engagement_Events!$C$5:$C$3000,$A39)</f>
        <v>14</v>
      </c>
      <c r="I39" s="13" t="n">
        <f aca="false">COUNTIFS(Engagement_Events!$C$5:$C$3000,$A39,Engagement_Events!$D$5:$D$3000,"Login")</f>
        <v>15</v>
      </c>
      <c r="J39" s="13" t="n">
        <f aca="false">COUNTIFS(Engagement_Events!$C$5:$C$3000,$A39,Engagement_Events!$D$5:$D$3000,"Feature Use")</f>
        <v>23</v>
      </c>
      <c r="K39" s="13" t="n">
        <f aca="false">COUNTIFS(Engagement_Events!$C$5:$C$3000,$A39,Engagement_Events!$D$5:$D$3000,"Task Completed")</f>
        <v>6</v>
      </c>
      <c r="L39" s="13" t="n">
        <f aca="false">SUM($B$5:B39)</f>
        <v>50</v>
      </c>
      <c r="M39" s="13" t="n">
        <f aca="false">SUM($E$5:E39)</f>
        <v>9</v>
      </c>
      <c r="N39" s="14" t="n">
        <f aca="false">IF(L39=0,0,M39/L39)</f>
        <v>0.18</v>
      </c>
    </row>
    <row r="40" customFormat="false" ht="15" hidden="false" customHeight="false" outlineLevel="0" collapsed="false">
      <c r="A40" s="32" t="n">
        <f aca="false">A39+1</f>
        <v>46301</v>
      </c>
      <c r="B40" s="13" t="n">
        <f aca="false">COUNTIFS(Referral_Data!$E$5:$E$1000,"&gt;="&amp;$A40,Referral_Data!$E$5:$E$1000,"&lt;"&amp;($A40+1))</f>
        <v>5</v>
      </c>
      <c r="C40" s="13" t="n">
        <f aca="false">COUNTIFS(Referral_Data!$F$5:$F$1000,"&gt;="&amp;$A40,Referral_Data!$F$5:$F$1000,"&lt;"&amp;($A40+1))</f>
        <v>2</v>
      </c>
      <c r="D40" s="13" t="n">
        <f aca="false">COUNTIFS(Referral_Data!$G$5:$G$1000,"&gt;="&amp;$A40,Referral_Data!$G$5:$G$1000,"&lt;"&amp;($A40+1))</f>
        <v>1</v>
      </c>
      <c r="E40" s="13" t="n">
        <f aca="false">COUNTIFS(Referral_Data!$H$5:$H$1000,"&gt;="&amp;$A40,Referral_Data!$H$5:$H$1000,"&lt;"&amp;($A40+1))</f>
        <v>0</v>
      </c>
      <c r="F40" s="13" t="n">
        <f aca="false">SUMIFS(Engagement_Events!$G$5:$G$3000,Engagement_Events!$C$5:$C$3000,$A40)</f>
        <v>16</v>
      </c>
      <c r="G40" s="13" t="n">
        <f aca="false">SUMIFS(Engagement_Events!$K$5:$K$3000,Engagement_Events!$C$5:$C$3000,$A40)</f>
        <v>1</v>
      </c>
      <c r="H40" s="13" t="n">
        <f aca="false">SUMIFS(Engagement_Events!$H$5:$H$3000,Engagement_Events!$C$5:$C$3000,$A40)</f>
        <v>15</v>
      </c>
      <c r="I40" s="13" t="n">
        <f aca="false">COUNTIFS(Engagement_Events!$C$5:$C$3000,$A40,Engagement_Events!$D$5:$D$3000,"Login")</f>
        <v>16</v>
      </c>
      <c r="J40" s="13" t="n">
        <f aca="false">COUNTIFS(Engagement_Events!$C$5:$C$3000,$A40,Engagement_Events!$D$5:$D$3000,"Feature Use")</f>
        <v>22</v>
      </c>
      <c r="K40" s="13" t="n">
        <f aca="false">COUNTIFS(Engagement_Events!$C$5:$C$3000,$A40,Engagement_Events!$D$5:$D$3000,"Task Completed")</f>
        <v>8</v>
      </c>
      <c r="L40" s="13" t="n">
        <f aca="false">SUM($B$5:B40)</f>
        <v>55</v>
      </c>
      <c r="M40" s="13" t="n">
        <f aca="false">SUM($E$5:E40)</f>
        <v>9</v>
      </c>
      <c r="N40" s="14" t="n">
        <f aca="false">IF(L40=0,0,M40/L40)</f>
        <v>0.163636363636364</v>
      </c>
    </row>
    <row r="41" customFormat="false" ht="15" hidden="false" customHeight="false" outlineLevel="0" collapsed="false">
      <c r="A41" s="32" t="n">
        <f aca="false">A40+1</f>
        <v>46302</v>
      </c>
      <c r="B41" s="13" t="n">
        <f aca="false">COUNTIFS(Referral_Data!$E$5:$E$1000,"&gt;="&amp;$A41,Referral_Data!$E$5:$E$1000,"&lt;"&amp;($A41+1))</f>
        <v>2</v>
      </c>
      <c r="C41" s="13" t="n">
        <f aca="false">COUNTIFS(Referral_Data!$F$5:$F$1000,"&gt;="&amp;$A41,Referral_Data!$F$5:$F$1000,"&lt;"&amp;($A41+1))</f>
        <v>4</v>
      </c>
      <c r="D41" s="13" t="n">
        <f aca="false">COUNTIFS(Referral_Data!$G$5:$G$1000,"&gt;="&amp;$A41,Referral_Data!$G$5:$G$1000,"&lt;"&amp;($A41+1))</f>
        <v>0</v>
      </c>
      <c r="E41" s="13" t="n">
        <f aca="false">COUNTIFS(Referral_Data!$H$5:$H$1000,"&gt;="&amp;$A41,Referral_Data!$H$5:$H$1000,"&lt;"&amp;($A41+1))</f>
        <v>0</v>
      </c>
      <c r="F41" s="13" t="n">
        <f aca="false">SUMIFS(Engagement_Events!$G$5:$G$3000,Engagement_Events!$C$5:$C$3000,$A41)</f>
        <v>7</v>
      </c>
      <c r="G41" s="13" t="n">
        <f aca="false">SUMIFS(Engagement_Events!$K$5:$K$3000,Engagement_Events!$C$5:$C$3000,$A41)</f>
        <v>1</v>
      </c>
      <c r="H41" s="13" t="n">
        <f aca="false">SUMIFS(Engagement_Events!$H$5:$H$3000,Engagement_Events!$C$5:$C$3000,$A41)</f>
        <v>6</v>
      </c>
      <c r="I41" s="13" t="n">
        <f aca="false">COUNTIFS(Engagement_Events!$C$5:$C$3000,$A41,Engagement_Events!$D$5:$D$3000,"Login")</f>
        <v>7</v>
      </c>
      <c r="J41" s="13" t="n">
        <f aca="false">COUNTIFS(Engagement_Events!$C$5:$C$3000,$A41,Engagement_Events!$D$5:$D$3000,"Feature Use")</f>
        <v>10</v>
      </c>
      <c r="K41" s="13" t="n">
        <f aca="false">COUNTIFS(Engagement_Events!$C$5:$C$3000,$A41,Engagement_Events!$D$5:$D$3000,"Task Completed")</f>
        <v>1</v>
      </c>
      <c r="L41" s="13" t="n">
        <f aca="false">SUM($B$5:B41)</f>
        <v>57</v>
      </c>
      <c r="M41" s="13" t="n">
        <f aca="false">SUM($E$5:E41)</f>
        <v>9</v>
      </c>
      <c r="N41" s="14" t="n">
        <f aca="false">IF(L41=0,0,M41/L41)</f>
        <v>0.157894736842105</v>
      </c>
    </row>
    <row r="42" customFormat="false" ht="15" hidden="false" customHeight="false" outlineLevel="0" collapsed="false">
      <c r="A42" s="32" t="n">
        <f aca="false">A41+1</f>
        <v>46303</v>
      </c>
      <c r="B42" s="13" t="n">
        <f aca="false">COUNTIFS(Referral_Data!$E$5:$E$1000,"&gt;="&amp;$A42,Referral_Data!$E$5:$E$1000,"&lt;"&amp;($A42+1))</f>
        <v>2</v>
      </c>
      <c r="C42" s="13" t="n">
        <f aca="false">COUNTIFS(Referral_Data!$F$5:$F$1000,"&gt;="&amp;$A42,Referral_Data!$F$5:$F$1000,"&lt;"&amp;($A42+1))</f>
        <v>0</v>
      </c>
      <c r="D42" s="13" t="n">
        <f aca="false">COUNTIFS(Referral_Data!$G$5:$G$1000,"&gt;="&amp;$A42,Referral_Data!$G$5:$G$1000,"&lt;"&amp;($A42+1))</f>
        <v>1</v>
      </c>
      <c r="E42" s="13" t="n">
        <f aca="false">COUNTIFS(Referral_Data!$H$5:$H$1000,"&gt;="&amp;$A42,Referral_Data!$H$5:$H$1000,"&lt;"&amp;($A42+1))</f>
        <v>0</v>
      </c>
      <c r="F42" s="13" t="n">
        <f aca="false">SUMIFS(Engagement_Events!$G$5:$G$3000,Engagement_Events!$C$5:$C$3000,$A42)</f>
        <v>18</v>
      </c>
      <c r="G42" s="13" t="n">
        <f aca="false">SUMIFS(Engagement_Events!$K$5:$K$3000,Engagement_Events!$C$5:$C$3000,$A42)</f>
        <v>1</v>
      </c>
      <c r="H42" s="13" t="n">
        <f aca="false">SUMIFS(Engagement_Events!$H$5:$H$3000,Engagement_Events!$C$5:$C$3000,$A42)</f>
        <v>17</v>
      </c>
      <c r="I42" s="13" t="n">
        <f aca="false">COUNTIFS(Engagement_Events!$C$5:$C$3000,$A42,Engagement_Events!$D$5:$D$3000,"Login")</f>
        <v>18</v>
      </c>
      <c r="J42" s="13" t="n">
        <f aca="false">COUNTIFS(Engagement_Events!$C$5:$C$3000,$A42,Engagement_Events!$D$5:$D$3000,"Feature Use")</f>
        <v>29</v>
      </c>
      <c r="K42" s="13" t="n">
        <f aca="false">COUNTIFS(Engagement_Events!$C$5:$C$3000,$A42,Engagement_Events!$D$5:$D$3000,"Task Completed")</f>
        <v>8</v>
      </c>
      <c r="L42" s="13" t="n">
        <f aca="false">SUM($B$5:B42)</f>
        <v>59</v>
      </c>
      <c r="M42" s="13" t="n">
        <f aca="false">SUM($E$5:E42)</f>
        <v>9</v>
      </c>
      <c r="N42" s="14" t="n">
        <f aca="false">IF(L42=0,0,M42/L42)</f>
        <v>0.152542372881356</v>
      </c>
    </row>
    <row r="43" customFormat="false" ht="15" hidden="false" customHeight="false" outlineLevel="0" collapsed="false">
      <c r="A43" s="32" t="n">
        <f aca="false">A42+1</f>
        <v>46304</v>
      </c>
      <c r="B43" s="13" t="n">
        <f aca="false">COUNTIFS(Referral_Data!$E$5:$E$1000,"&gt;="&amp;$A43,Referral_Data!$E$5:$E$1000,"&lt;"&amp;($A43+1))</f>
        <v>1</v>
      </c>
      <c r="C43" s="13" t="n">
        <f aca="false">COUNTIFS(Referral_Data!$F$5:$F$1000,"&gt;="&amp;$A43,Referral_Data!$F$5:$F$1000,"&lt;"&amp;($A43+1))</f>
        <v>0</v>
      </c>
      <c r="D43" s="13" t="n">
        <f aca="false">COUNTIFS(Referral_Data!$G$5:$G$1000,"&gt;="&amp;$A43,Referral_Data!$G$5:$G$1000,"&lt;"&amp;($A43+1))</f>
        <v>1</v>
      </c>
      <c r="E43" s="13" t="n">
        <f aca="false">COUNTIFS(Referral_Data!$H$5:$H$1000,"&gt;="&amp;$A43,Referral_Data!$H$5:$H$1000,"&lt;"&amp;($A43+1))</f>
        <v>0</v>
      </c>
      <c r="F43" s="13" t="n">
        <f aca="false">SUMIFS(Engagement_Events!$G$5:$G$3000,Engagement_Events!$C$5:$C$3000,$A43)</f>
        <v>20</v>
      </c>
      <c r="G43" s="13" t="n">
        <f aca="false">SUMIFS(Engagement_Events!$K$5:$K$3000,Engagement_Events!$C$5:$C$3000,$A43)</f>
        <v>2</v>
      </c>
      <c r="H43" s="13" t="n">
        <f aca="false">SUMIFS(Engagement_Events!$H$5:$H$3000,Engagement_Events!$C$5:$C$3000,$A43)</f>
        <v>18</v>
      </c>
      <c r="I43" s="13" t="n">
        <f aca="false">COUNTIFS(Engagement_Events!$C$5:$C$3000,$A43,Engagement_Events!$D$5:$D$3000,"Login")</f>
        <v>20</v>
      </c>
      <c r="J43" s="13" t="n">
        <f aca="false">COUNTIFS(Engagement_Events!$C$5:$C$3000,$A43,Engagement_Events!$D$5:$D$3000,"Feature Use")</f>
        <v>33</v>
      </c>
      <c r="K43" s="13" t="n">
        <f aca="false">COUNTIFS(Engagement_Events!$C$5:$C$3000,$A43,Engagement_Events!$D$5:$D$3000,"Task Completed")</f>
        <v>8</v>
      </c>
      <c r="L43" s="13" t="n">
        <f aca="false">SUM($B$5:B43)</f>
        <v>60</v>
      </c>
      <c r="M43" s="13" t="n">
        <f aca="false">SUM($E$5:E43)</f>
        <v>9</v>
      </c>
      <c r="N43" s="14" t="n">
        <f aca="false">IF(L43=0,0,M43/L43)</f>
        <v>0.15</v>
      </c>
    </row>
    <row r="44" customFormat="false" ht="15" hidden="false" customHeight="false" outlineLevel="0" collapsed="false">
      <c r="A44" s="32" t="n">
        <f aca="false">A43+1</f>
        <v>46305</v>
      </c>
      <c r="B44" s="13" t="n">
        <f aca="false">COUNTIFS(Referral_Data!$E$5:$E$1000,"&gt;="&amp;$A44,Referral_Data!$E$5:$E$1000,"&lt;"&amp;($A44+1))</f>
        <v>0</v>
      </c>
      <c r="C44" s="13" t="n">
        <f aca="false">COUNTIFS(Referral_Data!$F$5:$F$1000,"&gt;="&amp;$A44,Referral_Data!$F$5:$F$1000,"&lt;"&amp;($A44+1))</f>
        <v>1</v>
      </c>
      <c r="D44" s="13" t="n">
        <f aca="false">COUNTIFS(Referral_Data!$G$5:$G$1000,"&gt;="&amp;$A44,Referral_Data!$G$5:$G$1000,"&lt;"&amp;($A44+1))</f>
        <v>0</v>
      </c>
      <c r="E44" s="13" t="n">
        <f aca="false">COUNTIFS(Referral_Data!$H$5:$H$1000,"&gt;="&amp;$A44,Referral_Data!$H$5:$H$1000,"&lt;"&amp;($A44+1))</f>
        <v>0</v>
      </c>
      <c r="F44" s="13" t="n">
        <f aca="false">SUMIFS(Engagement_Events!$G$5:$G$3000,Engagement_Events!$C$5:$C$3000,$A44)</f>
        <v>16</v>
      </c>
      <c r="G44" s="13" t="n">
        <f aca="false">SUMIFS(Engagement_Events!$K$5:$K$3000,Engagement_Events!$C$5:$C$3000,$A44)</f>
        <v>3</v>
      </c>
      <c r="H44" s="13" t="n">
        <f aca="false">SUMIFS(Engagement_Events!$H$5:$H$3000,Engagement_Events!$C$5:$C$3000,$A44)</f>
        <v>13</v>
      </c>
      <c r="I44" s="13" t="n">
        <f aca="false">COUNTIFS(Engagement_Events!$C$5:$C$3000,$A44,Engagement_Events!$D$5:$D$3000,"Login")</f>
        <v>16</v>
      </c>
      <c r="J44" s="13" t="n">
        <f aca="false">COUNTIFS(Engagement_Events!$C$5:$C$3000,$A44,Engagement_Events!$D$5:$D$3000,"Feature Use")</f>
        <v>26</v>
      </c>
      <c r="K44" s="13" t="n">
        <f aca="false">COUNTIFS(Engagement_Events!$C$5:$C$3000,$A44,Engagement_Events!$D$5:$D$3000,"Task Completed")</f>
        <v>5</v>
      </c>
      <c r="L44" s="13" t="n">
        <f aca="false">SUM($B$5:B44)</f>
        <v>60</v>
      </c>
      <c r="M44" s="13" t="n">
        <f aca="false">SUM($E$5:E44)</f>
        <v>9</v>
      </c>
      <c r="N44" s="14" t="n">
        <f aca="false">IF(L44=0,0,M44/L44)</f>
        <v>0.15</v>
      </c>
    </row>
    <row r="45" customFormat="false" ht="15" hidden="false" customHeight="false" outlineLevel="0" collapsed="false">
      <c r="A45" s="32" t="n">
        <f aca="false">A44+1</f>
        <v>46306</v>
      </c>
      <c r="B45" s="13" t="n">
        <f aca="false">COUNTIFS(Referral_Data!$E$5:$E$1000,"&gt;="&amp;$A45,Referral_Data!$E$5:$E$1000,"&lt;"&amp;($A45+1))</f>
        <v>0</v>
      </c>
      <c r="C45" s="13" t="n">
        <f aca="false">COUNTIFS(Referral_Data!$F$5:$F$1000,"&gt;="&amp;$A45,Referral_Data!$F$5:$F$1000,"&lt;"&amp;($A45+1))</f>
        <v>1</v>
      </c>
      <c r="D45" s="13" t="n">
        <f aca="false">COUNTIFS(Referral_Data!$G$5:$G$1000,"&gt;="&amp;$A45,Referral_Data!$G$5:$G$1000,"&lt;"&amp;($A45+1))</f>
        <v>0</v>
      </c>
      <c r="E45" s="13" t="n">
        <f aca="false">COUNTIFS(Referral_Data!$H$5:$H$1000,"&gt;="&amp;$A45,Referral_Data!$H$5:$H$1000,"&lt;"&amp;($A45+1))</f>
        <v>0</v>
      </c>
      <c r="F45" s="13" t="n">
        <f aca="false">SUMIFS(Engagement_Events!$G$5:$G$3000,Engagement_Events!$C$5:$C$3000,$A45)</f>
        <v>21</v>
      </c>
      <c r="G45" s="13" t="n">
        <f aca="false">SUMIFS(Engagement_Events!$K$5:$K$3000,Engagement_Events!$C$5:$C$3000,$A45)</f>
        <v>1</v>
      </c>
      <c r="H45" s="13" t="n">
        <f aca="false">SUMIFS(Engagement_Events!$H$5:$H$3000,Engagement_Events!$C$5:$C$3000,$A45)</f>
        <v>20</v>
      </c>
      <c r="I45" s="13" t="n">
        <f aca="false">COUNTIFS(Engagement_Events!$C$5:$C$3000,$A45,Engagement_Events!$D$5:$D$3000,"Login")</f>
        <v>21</v>
      </c>
      <c r="J45" s="13" t="n">
        <f aca="false">COUNTIFS(Engagement_Events!$C$5:$C$3000,$A45,Engagement_Events!$D$5:$D$3000,"Feature Use")</f>
        <v>28</v>
      </c>
      <c r="K45" s="13" t="n">
        <f aca="false">COUNTIFS(Engagement_Events!$C$5:$C$3000,$A45,Engagement_Events!$D$5:$D$3000,"Task Completed")</f>
        <v>7</v>
      </c>
      <c r="L45" s="13" t="n">
        <f aca="false">SUM($B$5:B45)</f>
        <v>60</v>
      </c>
      <c r="M45" s="13" t="n">
        <f aca="false">SUM($E$5:E45)</f>
        <v>9</v>
      </c>
      <c r="N45" s="14" t="n">
        <f aca="false">IF(L45=0,0,M45/L45)</f>
        <v>0.15</v>
      </c>
    </row>
    <row r="46" customFormat="false" ht="15" hidden="false" customHeight="false" outlineLevel="0" collapsed="false">
      <c r="A46" s="32" t="n">
        <f aca="false">A45+1</f>
        <v>46307</v>
      </c>
      <c r="B46" s="13" t="n">
        <f aca="false">COUNTIFS(Referral_Data!$E$5:$E$1000,"&gt;="&amp;$A46,Referral_Data!$E$5:$E$1000,"&lt;"&amp;($A46+1))</f>
        <v>0</v>
      </c>
      <c r="C46" s="13" t="n">
        <f aca="false">COUNTIFS(Referral_Data!$F$5:$F$1000,"&gt;="&amp;$A46,Referral_Data!$F$5:$F$1000,"&lt;"&amp;($A46+1))</f>
        <v>0</v>
      </c>
      <c r="D46" s="13" t="n">
        <f aca="false">COUNTIFS(Referral_Data!$G$5:$G$1000,"&gt;="&amp;$A46,Referral_Data!$G$5:$G$1000,"&lt;"&amp;($A46+1))</f>
        <v>0</v>
      </c>
      <c r="E46" s="13" t="n">
        <f aca="false">COUNTIFS(Referral_Data!$H$5:$H$1000,"&gt;="&amp;$A46,Referral_Data!$H$5:$H$1000,"&lt;"&amp;($A46+1))</f>
        <v>0</v>
      </c>
      <c r="F46" s="13" t="n">
        <f aca="false">SUMIFS(Engagement_Events!$G$5:$G$3000,Engagement_Events!$C$5:$C$3000,$A46)</f>
        <v>17</v>
      </c>
      <c r="G46" s="13" t="n">
        <f aca="false">SUMIFS(Engagement_Events!$K$5:$K$3000,Engagement_Events!$C$5:$C$3000,$A46)</f>
        <v>1</v>
      </c>
      <c r="H46" s="13" t="n">
        <f aca="false">SUMIFS(Engagement_Events!$H$5:$H$3000,Engagement_Events!$C$5:$C$3000,$A46)</f>
        <v>16</v>
      </c>
      <c r="I46" s="13" t="n">
        <f aca="false">COUNTIFS(Engagement_Events!$C$5:$C$3000,$A46,Engagement_Events!$D$5:$D$3000,"Login")</f>
        <v>17</v>
      </c>
      <c r="J46" s="13" t="n">
        <f aca="false">COUNTIFS(Engagement_Events!$C$5:$C$3000,$A46,Engagement_Events!$D$5:$D$3000,"Feature Use")</f>
        <v>27</v>
      </c>
      <c r="K46" s="13" t="n">
        <f aca="false">COUNTIFS(Engagement_Events!$C$5:$C$3000,$A46,Engagement_Events!$D$5:$D$3000,"Task Completed")</f>
        <v>3</v>
      </c>
      <c r="L46" s="13" t="n">
        <f aca="false">SUM($B$5:B46)</f>
        <v>60</v>
      </c>
      <c r="M46" s="13" t="n">
        <f aca="false">SUM($E$5:E46)</f>
        <v>9</v>
      </c>
      <c r="N46" s="14" t="n">
        <f aca="false">IF(L46=0,0,M46/L46)</f>
        <v>0.15</v>
      </c>
    </row>
    <row r="47" customFormat="false" ht="15" hidden="false" customHeight="false" outlineLevel="0" collapsed="false">
      <c r="A47" s="32" t="n">
        <f aca="false">A46+1</f>
        <v>46308</v>
      </c>
      <c r="B47" s="13" t="n">
        <f aca="false">COUNTIFS(Referral_Data!$E$5:$E$1000,"&gt;="&amp;$A47,Referral_Data!$E$5:$E$1000,"&lt;"&amp;($A47+1))</f>
        <v>0</v>
      </c>
      <c r="C47" s="13" t="n">
        <f aca="false">COUNTIFS(Referral_Data!$F$5:$F$1000,"&gt;="&amp;$A47,Referral_Data!$F$5:$F$1000,"&lt;"&amp;($A47+1))</f>
        <v>0</v>
      </c>
      <c r="D47" s="13" t="n">
        <f aca="false">COUNTIFS(Referral_Data!$G$5:$G$1000,"&gt;="&amp;$A47,Referral_Data!$G$5:$G$1000,"&lt;"&amp;($A47+1))</f>
        <v>1</v>
      </c>
      <c r="E47" s="13" t="n">
        <f aca="false">COUNTIFS(Referral_Data!$H$5:$H$1000,"&gt;="&amp;$A47,Referral_Data!$H$5:$H$1000,"&lt;"&amp;($A47+1))</f>
        <v>1</v>
      </c>
      <c r="F47" s="13" t="n">
        <f aca="false">SUMIFS(Engagement_Events!$G$5:$G$3000,Engagement_Events!$C$5:$C$3000,$A47)</f>
        <v>15</v>
      </c>
      <c r="G47" s="13" t="n">
        <f aca="false">SUMIFS(Engagement_Events!$K$5:$K$3000,Engagement_Events!$C$5:$C$3000,$A47)</f>
        <v>1</v>
      </c>
      <c r="H47" s="13" t="n">
        <f aca="false">SUMIFS(Engagement_Events!$H$5:$H$3000,Engagement_Events!$C$5:$C$3000,$A47)</f>
        <v>14</v>
      </c>
      <c r="I47" s="13" t="n">
        <f aca="false">COUNTIFS(Engagement_Events!$C$5:$C$3000,$A47,Engagement_Events!$D$5:$D$3000,"Login")</f>
        <v>15</v>
      </c>
      <c r="J47" s="13" t="n">
        <f aca="false">COUNTIFS(Engagement_Events!$C$5:$C$3000,$A47,Engagement_Events!$D$5:$D$3000,"Feature Use")</f>
        <v>21</v>
      </c>
      <c r="K47" s="13" t="n">
        <f aca="false">COUNTIFS(Engagement_Events!$C$5:$C$3000,$A47,Engagement_Events!$D$5:$D$3000,"Task Completed")</f>
        <v>7</v>
      </c>
      <c r="L47" s="13" t="n">
        <f aca="false">SUM($B$5:B47)</f>
        <v>60</v>
      </c>
      <c r="M47" s="13" t="n">
        <f aca="false">SUM($E$5:E47)</f>
        <v>10</v>
      </c>
      <c r="N47" s="14" t="n">
        <f aca="false">IF(L47=0,0,M47/L47)</f>
        <v>0.166666666666667</v>
      </c>
    </row>
    <row r="48" customFormat="false" ht="15" hidden="false" customHeight="false" outlineLevel="0" collapsed="false">
      <c r="A48" s="32" t="n">
        <f aca="false">A47+1</f>
        <v>46309</v>
      </c>
      <c r="B48" s="13" t="n">
        <f aca="false">COUNTIFS(Referral_Data!$E$5:$E$1000,"&gt;="&amp;$A48,Referral_Data!$E$5:$E$1000,"&lt;"&amp;($A48+1))</f>
        <v>0</v>
      </c>
      <c r="C48" s="13" t="n">
        <f aca="false">COUNTIFS(Referral_Data!$F$5:$F$1000,"&gt;="&amp;$A48,Referral_Data!$F$5:$F$1000,"&lt;"&amp;($A48+1))</f>
        <v>1</v>
      </c>
      <c r="D48" s="13" t="n">
        <f aca="false">COUNTIFS(Referral_Data!$G$5:$G$1000,"&gt;="&amp;$A48,Referral_Data!$G$5:$G$1000,"&lt;"&amp;($A48+1))</f>
        <v>0</v>
      </c>
      <c r="E48" s="13" t="n">
        <f aca="false">COUNTIFS(Referral_Data!$H$5:$H$1000,"&gt;="&amp;$A48,Referral_Data!$H$5:$H$1000,"&lt;"&amp;($A48+1))</f>
        <v>0</v>
      </c>
      <c r="F48" s="13" t="n">
        <f aca="false">SUMIFS(Engagement_Events!$G$5:$G$3000,Engagement_Events!$C$5:$C$3000,$A48)</f>
        <v>17</v>
      </c>
      <c r="G48" s="13" t="n">
        <f aca="false">SUMIFS(Engagement_Events!$K$5:$K$3000,Engagement_Events!$C$5:$C$3000,$A48)</f>
        <v>1</v>
      </c>
      <c r="H48" s="13" t="n">
        <f aca="false">SUMIFS(Engagement_Events!$H$5:$H$3000,Engagement_Events!$C$5:$C$3000,$A48)</f>
        <v>16</v>
      </c>
      <c r="I48" s="13" t="n">
        <f aca="false">COUNTIFS(Engagement_Events!$C$5:$C$3000,$A48,Engagement_Events!$D$5:$D$3000,"Login")</f>
        <v>17</v>
      </c>
      <c r="J48" s="13" t="n">
        <f aca="false">COUNTIFS(Engagement_Events!$C$5:$C$3000,$A48,Engagement_Events!$D$5:$D$3000,"Feature Use")</f>
        <v>27</v>
      </c>
      <c r="K48" s="13" t="n">
        <f aca="false">COUNTIFS(Engagement_Events!$C$5:$C$3000,$A48,Engagement_Events!$D$5:$D$3000,"Task Completed")</f>
        <v>6</v>
      </c>
      <c r="L48" s="13" t="n">
        <f aca="false">SUM($B$5:B48)</f>
        <v>60</v>
      </c>
      <c r="M48" s="13" t="n">
        <f aca="false">SUM($E$5:E48)</f>
        <v>10</v>
      </c>
      <c r="N48" s="14" t="n">
        <f aca="false">IF(L48=0,0,M48/L48)</f>
        <v>0.166666666666667</v>
      </c>
    </row>
    <row r="49" customFormat="false" ht="15" hidden="false" customHeight="false" outlineLevel="0" collapsed="false">
      <c r="A49" s="32" t="n">
        <f aca="false">A48+1</f>
        <v>46310</v>
      </c>
      <c r="B49" s="13" t="n">
        <f aca="false">COUNTIFS(Referral_Data!$E$5:$E$1000,"&gt;="&amp;$A49,Referral_Data!$E$5:$E$1000,"&lt;"&amp;($A49+1))</f>
        <v>0</v>
      </c>
      <c r="C49" s="13" t="n">
        <f aca="false">COUNTIFS(Referral_Data!$F$5:$F$1000,"&gt;="&amp;$A49,Referral_Data!$F$5:$F$1000,"&lt;"&amp;($A49+1))</f>
        <v>0</v>
      </c>
      <c r="D49" s="13" t="n">
        <f aca="false">COUNTIFS(Referral_Data!$G$5:$G$1000,"&gt;="&amp;$A49,Referral_Data!$G$5:$G$1000,"&lt;"&amp;($A49+1))</f>
        <v>0</v>
      </c>
      <c r="E49" s="13" t="n">
        <f aca="false">COUNTIFS(Referral_Data!$H$5:$H$1000,"&gt;="&amp;$A49,Referral_Data!$H$5:$H$1000,"&lt;"&amp;($A49+1))</f>
        <v>0</v>
      </c>
      <c r="F49" s="13" t="n">
        <f aca="false">SUMIFS(Engagement_Events!$G$5:$G$3000,Engagement_Events!$C$5:$C$3000,$A49)</f>
        <v>19</v>
      </c>
      <c r="G49" s="13" t="n">
        <f aca="false">SUMIFS(Engagement_Events!$K$5:$K$3000,Engagement_Events!$C$5:$C$3000,$A49)</f>
        <v>1</v>
      </c>
      <c r="H49" s="13" t="n">
        <f aca="false">SUMIFS(Engagement_Events!$H$5:$H$3000,Engagement_Events!$C$5:$C$3000,$A49)</f>
        <v>18</v>
      </c>
      <c r="I49" s="13" t="n">
        <f aca="false">COUNTIFS(Engagement_Events!$C$5:$C$3000,$A49,Engagement_Events!$D$5:$D$3000,"Login")</f>
        <v>19</v>
      </c>
      <c r="J49" s="13" t="n">
        <f aca="false">COUNTIFS(Engagement_Events!$C$5:$C$3000,$A49,Engagement_Events!$D$5:$D$3000,"Feature Use")</f>
        <v>27</v>
      </c>
      <c r="K49" s="13" t="n">
        <f aca="false">COUNTIFS(Engagement_Events!$C$5:$C$3000,$A49,Engagement_Events!$D$5:$D$3000,"Task Completed")</f>
        <v>8</v>
      </c>
      <c r="L49" s="13" t="n">
        <f aca="false">SUM($B$5:B49)</f>
        <v>60</v>
      </c>
      <c r="M49" s="13" t="n">
        <f aca="false">SUM($E$5:E49)</f>
        <v>10</v>
      </c>
      <c r="N49" s="14" t="n">
        <f aca="false">IF(L49=0,0,M49/L49)</f>
        <v>0.166666666666667</v>
      </c>
    </row>
    <row r="51" customFormat="false" ht="15" hidden="false" customHeight="false" outlineLevel="0" collapsed="false">
      <c r="A51" s="27" t="s">
        <v>1958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1959</v>
      </c>
    </row>
    <row r="2" customFormat="false" ht="15" hidden="false" customHeight="false" outlineLevel="0" collapsed="false">
      <c r="A2" s="27" t="s">
        <v>1960</v>
      </c>
    </row>
    <row r="4" customFormat="false" ht="31.5" hidden="false" customHeight="true" outlineLevel="0" collapsed="false">
      <c r="A4" s="11" t="s">
        <v>285</v>
      </c>
      <c r="B4" s="11" t="s">
        <v>1961</v>
      </c>
      <c r="C4" s="11" t="s">
        <v>1962</v>
      </c>
      <c r="D4" s="11" t="s">
        <v>1963</v>
      </c>
      <c r="E4" s="11" t="s">
        <v>1964</v>
      </c>
      <c r="F4" s="11" t="s">
        <v>1965</v>
      </c>
      <c r="G4" s="11" t="s">
        <v>1966</v>
      </c>
      <c r="H4" s="11" t="s">
        <v>1967</v>
      </c>
    </row>
    <row r="5" customFormat="false" ht="15" hidden="false" customHeight="false" outlineLevel="0" collapsed="false">
      <c r="A5" s="22" t="s">
        <v>305</v>
      </c>
      <c r="B5" s="13" t="n">
        <f aca="false">SUMIFS(Engagement_Events!$I$5:$I$3000,Engagement_Events!$E$5:$E$3000,$A5)</f>
        <v>54</v>
      </c>
      <c r="C5" s="14" t="n">
        <f aca="false">IFERROR(B5/SUM(Engagement_Events!$K$5:$K$3000),0)</f>
        <v>0.931034482758621</v>
      </c>
      <c r="D5" s="13" t="n">
        <f aca="false">COUNTIFS(Engagement_Events!$D$5:$D$3000,"Feature Use",Engagement_Events!$E$5:$E$3000,$A5)</f>
        <v>276</v>
      </c>
      <c r="E5" s="21" t="n">
        <f aca="false">IFERROR(D5/B5,0)</f>
        <v>5.11111111111111</v>
      </c>
      <c r="F5" s="13" t="n">
        <f aca="false">SUMIFS(Engagement_Events!$J$5:$J$3000,Engagement_Events!$E$5:$E$3000,$A5)</f>
        <v>41</v>
      </c>
      <c r="G5" s="14" t="n">
        <f aca="false">IFERROR(F5/B5,0)</f>
        <v>0.759259259259259</v>
      </c>
      <c r="H5" s="13" t="n">
        <f aca="false">COUNTIFS(Engagement_Events!$D$5:$D$3000,"Task Completed",Engagement_Events!$E$5:$E$3000,$A5)</f>
        <v>93</v>
      </c>
    </row>
    <row r="6" customFormat="false" ht="15" hidden="false" customHeight="false" outlineLevel="0" collapsed="false">
      <c r="A6" s="22" t="s">
        <v>311</v>
      </c>
      <c r="B6" s="13" t="n">
        <f aca="false">SUMIFS(Engagement_Events!$I$5:$I$3000,Engagement_Events!$E$5:$E$3000,$A6)</f>
        <v>44</v>
      </c>
      <c r="C6" s="14" t="n">
        <f aca="false">IFERROR(B6/SUM(Engagement_Events!$K$5:$K$3000),0)</f>
        <v>0.758620689655172</v>
      </c>
      <c r="D6" s="13" t="n">
        <f aca="false">COUNTIFS(Engagement_Events!$D$5:$D$3000,"Feature Use",Engagement_Events!$E$5:$E$3000,$A6)</f>
        <v>168</v>
      </c>
      <c r="E6" s="21" t="n">
        <f aca="false">IFERROR(D6/B6,0)</f>
        <v>3.81818181818182</v>
      </c>
      <c r="F6" s="13" t="n">
        <f aca="false">SUMIFS(Engagement_Events!$J$5:$J$3000,Engagement_Events!$E$5:$E$3000,$A6)</f>
        <v>39</v>
      </c>
      <c r="G6" s="14" t="n">
        <f aca="false">IFERROR(F6/B6,0)</f>
        <v>0.886363636363636</v>
      </c>
      <c r="H6" s="13" t="n">
        <f aca="false">COUNTIFS(Engagement_Events!$D$5:$D$3000,"Task Completed",Engagement_Events!$E$5:$E$3000,$A6)</f>
        <v>63</v>
      </c>
    </row>
    <row r="7" customFormat="false" ht="15" hidden="false" customHeight="false" outlineLevel="0" collapsed="false">
      <c r="A7" s="22" t="s">
        <v>319</v>
      </c>
      <c r="B7" s="13" t="n">
        <f aca="false">SUMIFS(Engagement_Events!$I$5:$I$3000,Engagement_Events!$E$5:$E$3000,$A7)</f>
        <v>47</v>
      </c>
      <c r="C7" s="14" t="n">
        <f aca="false">IFERROR(B7/SUM(Engagement_Events!$K$5:$K$3000),0)</f>
        <v>0.810344827586207</v>
      </c>
      <c r="D7" s="13" t="n">
        <f aca="false">COUNTIFS(Engagement_Events!$D$5:$D$3000,"Feature Use",Engagement_Events!$E$5:$E$3000,$A7)</f>
        <v>133</v>
      </c>
      <c r="E7" s="21" t="n">
        <f aca="false">IFERROR(D7/B7,0)</f>
        <v>2.82978723404255</v>
      </c>
      <c r="F7" s="13" t="n">
        <f aca="false">SUMIFS(Engagement_Events!$J$5:$J$3000,Engagement_Events!$E$5:$E$3000,$A7)</f>
        <v>34</v>
      </c>
      <c r="G7" s="14" t="n">
        <f aca="false">IFERROR(F7/B7,0)</f>
        <v>0.723404255319149</v>
      </c>
      <c r="H7" s="13" t="n">
        <f aca="false">COUNTIFS(Engagement_Events!$D$5:$D$3000,"Task Completed",Engagement_Events!$E$5:$E$3000,$A7)</f>
        <v>43</v>
      </c>
    </row>
    <row r="8" customFormat="false" ht="15" hidden="false" customHeight="false" outlineLevel="0" collapsed="false">
      <c r="A8" s="22" t="s">
        <v>301</v>
      </c>
      <c r="B8" s="13" t="n">
        <f aca="false">SUMIFS(Engagement_Events!$I$5:$I$3000,Engagement_Events!$E$5:$E$3000,$A8)</f>
        <v>46</v>
      </c>
      <c r="C8" s="14" t="n">
        <f aca="false">IFERROR(B8/SUM(Engagement_Events!$K$5:$K$3000),0)</f>
        <v>0.793103448275862</v>
      </c>
      <c r="D8" s="13" t="n">
        <f aca="false">COUNTIFS(Engagement_Events!$D$5:$D$3000,"Feature Use",Engagement_Events!$E$5:$E$3000,$A8)</f>
        <v>156</v>
      </c>
      <c r="E8" s="21" t="n">
        <f aca="false">IFERROR(D8/B8,0)</f>
        <v>3.39130434782609</v>
      </c>
      <c r="F8" s="13" t="n">
        <f aca="false">SUMIFS(Engagement_Events!$J$5:$J$3000,Engagement_Events!$E$5:$E$3000,$A8)</f>
        <v>34</v>
      </c>
      <c r="G8" s="14" t="n">
        <f aca="false">IFERROR(F8/B8,0)</f>
        <v>0.739130434782609</v>
      </c>
      <c r="H8" s="13" t="n">
        <f aca="false">COUNTIFS(Engagement_Events!$D$5:$D$3000,"Task Completed",Engagement_Events!$E$5:$E$3000,$A8)</f>
        <v>58</v>
      </c>
    </row>
    <row r="9" customFormat="false" ht="15" hidden="false" customHeight="false" outlineLevel="0" collapsed="false">
      <c r="A9" s="22" t="s">
        <v>309</v>
      </c>
      <c r="B9" s="13" t="n">
        <f aca="false">SUMIFS(Engagement_Events!$I$5:$I$3000,Engagement_Events!$E$5:$E$3000,$A9)</f>
        <v>34</v>
      </c>
      <c r="C9" s="14" t="n">
        <f aca="false">IFERROR(B9/SUM(Engagement_Events!$K$5:$K$3000),0)</f>
        <v>0.586206896551724</v>
      </c>
      <c r="D9" s="13" t="n">
        <f aca="false">COUNTIFS(Engagement_Events!$D$5:$D$3000,"Feature Use",Engagement_Events!$E$5:$E$3000,$A9)</f>
        <v>71</v>
      </c>
      <c r="E9" s="21" t="n">
        <f aca="false">IFERROR(D9/B9,0)</f>
        <v>2.08823529411765</v>
      </c>
      <c r="F9" s="13" t="n">
        <f aca="false">SUMIFS(Engagement_Events!$J$5:$J$3000,Engagement_Events!$E$5:$E$3000,$A9)</f>
        <v>19</v>
      </c>
      <c r="G9" s="14" t="n">
        <f aca="false">IFERROR(F9/B9,0)</f>
        <v>0.558823529411765</v>
      </c>
      <c r="H9" s="13" t="n">
        <f aca="false">COUNTIFS(Engagement_Events!$D$5:$D$3000,"Task Completed",Engagement_Events!$E$5:$E$3000,$A9)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1968</v>
      </c>
    </row>
    <row r="2" customFormat="false" ht="15" hidden="false" customHeight="false" outlineLevel="0" collapsed="false">
      <c r="A2" s="27" t="s">
        <v>1969</v>
      </c>
    </row>
    <row r="3" customFormat="false" ht="31.5" hidden="false" customHeight="true" outlineLevel="0" collapsed="false">
      <c r="A3" s="11" t="s">
        <v>1970</v>
      </c>
      <c r="B3" s="11" t="s">
        <v>67</v>
      </c>
      <c r="C3" s="11" t="s">
        <v>1971</v>
      </c>
    </row>
    <row r="4" customFormat="false" ht="15" hidden="false" customHeight="false" outlineLevel="0" collapsed="false">
      <c r="A4" s="17" t="s">
        <v>1972</v>
      </c>
      <c r="B4" s="33" t="n">
        <v>46266</v>
      </c>
      <c r="C4" s="16" t="s">
        <v>1973</v>
      </c>
    </row>
    <row r="5" customFormat="false" ht="15" hidden="false" customHeight="false" outlineLevel="0" collapsed="false">
      <c r="A5" s="17" t="s">
        <v>1974</v>
      </c>
      <c r="B5" s="33" t="n">
        <v>46310</v>
      </c>
      <c r="C5" s="16" t="s">
        <v>1975</v>
      </c>
    </row>
    <row r="6" customFormat="false" ht="15" hidden="false" customHeight="false" outlineLevel="0" collapsed="false">
      <c r="A6" s="17" t="s">
        <v>1976</v>
      </c>
      <c r="B6" s="34" t="n">
        <v>7</v>
      </c>
      <c r="C6" s="16" t="s">
        <v>1977</v>
      </c>
    </row>
    <row r="7" customFormat="false" ht="15" hidden="false" customHeight="false" outlineLevel="0" collapsed="false">
      <c r="A7" s="17" t="s">
        <v>1978</v>
      </c>
      <c r="B7" s="34" t="n">
        <v>30</v>
      </c>
      <c r="C7" s="16" t="s">
        <v>1979</v>
      </c>
    </row>
    <row r="8" customFormat="false" ht="15" hidden="false" customHeight="false" outlineLevel="0" collapsed="false">
      <c r="A8" s="17" t="s">
        <v>1980</v>
      </c>
      <c r="B8" s="34" t="n">
        <v>7</v>
      </c>
      <c r="C8" s="16" t="s">
        <v>1981</v>
      </c>
    </row>
    <row r="9" customFormat="false" ht="15" hidden="false" customHeight="false" outlineLevel="0" collapsed="false">
      <c r="A9" s="17" t="s">
        <v>1982</v>
      </c>
      <c r="B9" s="34" t="n">
        <v>30</v>
      </c>
      <c r="C9" s="16" t="s">
        <v>1981</v>
      </c>
    </row>
    <row r="11" customFormat="false" ht="31.5" hidden="false" customHeight="true" outlineLevel="0" collapsed="false">
      <c r="A11" s="11" t="s">
        <v>1983</v>
      </c>
      <c r="B11" s="11" t="s">
        <v>67</v>
      </c>
      <c r="C11" s="11" t="s">
        <v>1971</v>
      </c>
    </row>
    <row r="12" customFormat="false" ht="15" hidden="false" customHeight="false" outlineLevel="0" collapsed="false">
      <c r="A12" s="17" t="s">
        <v>1984</v>
      </c>
      <c r="B12" s="35" t="n">
        <v>0.6</v>
      </c>
      <c r="C12" s="16" t="s">
        <v>1985</v>
      </c>
    </row>
    <row r="13" customFormat="false" ht="15" hidden="false" customHeight="false" outlineLevel="0" collapsed="false">
      <c r="A13" s="17" t="s">
        <v>1986</v>
      </c>
      <c r="B13" s="35" t="n">
        <v>0.5</v>
      </c>
      <c r="C13" s="16" t="s">
        <v>1985</v>
      </c>
    </row>
    <row r="14" customFormat="false" ht="15" hidden="false" customHeight="false" outlineLevel="0" collapsed="false">
      <c r="A14" s="17" t="s">
        <v>1987</v>
      </c>
      <c r="B14" s="35" t="n">
        <v>0.5</v>
      </c>
      <c r="C14" s="16" t="s">
        <v>1985</v>
      </c>
    </row>
    <row r="15" customFormat="false" ht="15" hidden="false" customHeight="false" outlineLevel="0" collapsed="false">
      <c r="A15" s="17" t="s">
        <v>1988</v>
      </c>
      <c r="B15" s="35" t="n">
        <v>0.15</v>
      </c>
      <c r="C15" s="16" t="s">
        <v>1985</v>
      </c>
    </row>
    <row r="16" customFormat="false" ht="15" hidden="false" customHeight="false" outlineLevel="0" collapsed="false">
      <c r="A16" s="17" t="s">
        <v>104</v>
      </c>
      <c r="B16" s="35" t="n">
        <v>0.2</v>
      </c>
      <c r="C16" s="16" t="s">
        <v>1985</v>
      </c>
    </row>
    <row r="17" customFormat="false" ht="15" hidden="false" customHeight="false" outlineLevel="0" collapsed="false">
      <c r="A17" s="17" t="s">
        <v>1989</v>
      </c>
      <c r="B17" s="35" t="n">
        <v>0.4</v>
      </c>
      <c r="C17" s="16" t="s">
        <v>1985</v>
      </c>
    </row>
    <row r="18" customFormat="false" ht="15" hidden="false" customHeight="false" outlineLevel="0" collapsed="false">
      <c r="A18" s="17" t="s">
        <v>1990</v>
      </c>
      <c r="B18" s="35" t="n">
        <v>0.5</v>
      </c>
      <c r="C18" s="16" t="s">
        <v>1985</v>
      </c>
    </row>
    <row r="20" customFormat="false" ht="31.5" hidden="false" customHeight="true" outlineLevel="0" collapsed="false">
      <c r="A20" s="11" t="s">
        <v>1991</v>
      </c>
      <c r="B20" s="11" t="s">
        <v>67</v>
      </c>
      <c r="C20" s="11" t="s">
        <v>1971</v>
      </c>
    </row>
    <row r="21" customFormat="false" ht="27.75" hidden="false" customHeight="true" outlineLevel="0" collapsed="false">
      <c r="A21" s="17" t="s">
        <v>1992</v>
      </c>
      <c r="B21" s="36" t="s">
        <v>1993</v>
      </c>
      <c r="C21" s="16" t="s">
        <v>1994</v>
      </c>
    </row>
    <row r="22" customFormat="false" ht="39.75" hidden="false" customHeight="true" outlineLevel="0" collapsed="false">
      <c r="A22" s="17" t="s">
        <v>1995</v>
      </c>
      <c r="B22" s="36" t="s">
        <v>1996</v>
      </c>
      <c r="C22" s="16" t="s">
        <v>1997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58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1998</v>
      </c>
    </row>
    <row r="3" customFormat="false" ht="31.5" hidden="false" customHeight="true" outlineLevel="0" collapsed="false">
      <c r="A3" s="11" t="s">
        <v>1999</v>
      </c>
      <c r="B3" s="11" t="s">
        <v>2000</v>
      </c>
      <c r="C3" s="11" t="s">
        <v>2001</v>
      </c>
      <c r="D3" s="11" t="s">
        <v>2002</v>
      </c>
      <c r="E3" s="11" t="s">
        <v>70</v>
      </c>
      <c r="F3" s="11" t="s">
        <v>2003</v>
      </c>
    </row>
    <row r="4" customFormat="false" ht="15" hidden="false" customHeight="false" outlineLevel="0" collapsed="false">
      <c r="A4" s="37" t="s">
        <v>149</v>
      </c>
      <c r="B4" s="37" t="s">
        <v>2004</v>
      </c>
      <c r="C4" s="37" t="s">
        <v>2005</v>
      </c>
      <c r="D4" s="37" t="s">
        <v>2006</v>
      </c>
      <c r="E4" s="37" t="s">
        <v>2007</v>
      </c>
      <c r="F4" s="37" t="s">
        <v>2008</v>
      </c>
    </row>
    <row r="5" customFormat="false" ht="15" hidden="false" customHeight="false" outlineLevel="0" collapsed="false">
      <c r="A5" s="37" t="s">
        <v>150</v>
      </c>
      <c r="B5" s="37" t="s">
        <v>2009</v>
      </c>
      <c r="C5" s="37" t="s">
        <v>2010</v>
      </c>
      <c r="D5" s="37" t="s">
        <v>2006</v>
      </c>
      <c r="E5" s="37" t="s">
        <v>2011</v>
      </c>
      <c r="F5" s="37" t="s">
        <v>2012</v>
      </c>
    </row>
    <row r="6" customFormat="false" ht="15" hidden="false" customHeight="false" outlineLevel="0" collapsed="false">
      <c r="A6" s="37" t="s">
        <v>151</v>
      </c>
      <c r="B6" s="37" t="s">
        <v>2013</v>
      </c>
      <c r="C6" s="37" t="s">
        <v>2010</v>
      </c>
      <c r="D6" s="37" t="s">
        <v>2014</v>
      </c>
      <c r="E6" s="37" t="s">
        <v>2015</v>
      </c>
      <c r="F6" s="37" t="s">
        <v>2016</v>
      </c>
    </row>
    <row r="7" customFormat="false" ht="15" hidden="false" customHeight="false" outlineLevel="0" collapsed="false">
      <c r="A7" s="37" t="s">
        <v>152</v>
      </c>
      <c r="B7" s="37" t="s">
        <v>2017</v>
      </c>
      <c r="C7" s="37" t="s">
        <v>2018</v>
      </c>
      <c r="D7" s="37" t="s">
        <v>2006</v>
      </c>
      <c r="E7" s="37" t="s">
        <v>2019</v>
      </c>
      <c r="F7" s="37" t="s">
        <v>2020</v>
      </c>
    </row>
    <row r="8" customFormat="false" ht="15" hidden="false" customHeight="false" outlineLevel="0" collapsed="false">
      <c r="A8" s="37" t="s">
        <v>153</v>
      </c>
      <c r="B8" s="37" t="s">
        <v>2021</v>
      </c>
      <c r="C8" s="37" t="s">
        <v>2022</v>
      </c>
      <c r="D8" s="37" t="s">
        <v>2006</v>
      </c>
      <c r="E8" s="37" t="s">
        <v>2023</v>
      </c>
      <c r="F8" s="37" t="s">
        <v>2024</v>
      </c>
    </row>
    <row r="9" customFormat="false" ht="15" hidden="false" customHeight="false" outlineLevel="0" collapsed="false">
      <c r="A9" s="37" t="s">
        <v>154</v>
      </c>
      <c r="B9" s="37" t="s">
        <v>2025</v>
      </c>
      <c r="C9" s="37" t="s">
        <v>2022</v>
      </c>
      <c r="D9" s="37" t="s">
        <v>2026</v>
      </c>
      <c r="E9" s="37" t="s">
        <v>2027</v>
      </c>
      <c r="F9" s="37" t="s">
        <v>2028</v>
      </c>
    </row>
    <row r="10" customFormat="false" ht="23.85" hidden="false" customHeight="false" outlineLevel="0" collapsed="false">
      <c r="A10" s="37" t="s">
        <v>155</v>
      </c>
      <c r="B10" s="37" t="s">
        <v>2029</v>
      </c>
      <c r="C10" s="37" t="s">
        <v>2022</v>
      </c>
      <c r="D10" s="37" t="s">
        <v>2026</v>
      </c>
      <c r="E10" s="37" t="s">
        <v>2030</v>
      </c>
      <c r="F10" s="37" t="s">
        <v>2031</v>
      </c>
    </row>
    <row r="11" customFormat="false" ht="35.05" hidden="false" customHeight="false" outlineLevel="0" collapsed="false">
      <c r="A11" s="37" t="s">
        <v>2032</v>
      </c>
      <c r="B11" s="37" t="s">
        <v>2033</v>
      </c>
      <c r="C11" s="37" t="s">
        <v>2022</v>
      </c>
      <c r="D11" s="37" t="s">
        <v>2026</v>
      </c>
      <c r="E11" s="37" t="s">
        <v>2034</v>
      </c>
      <c r="F11" s="37" t="s">
        <v>2035</v>
      </c>
    </row>
    <row r="12" customFormat="false" ht="15" hidden="false" customHeight="false" outlineLevel="0" collapsed="false">
      <c r="A12" s="37" t="s">
        <v>69</v>
      </c>
      <c r="B12" s="37" t="s">
        <v>2036</v>
      </c>
      <c r="C12" s="37" t="s">
        <v>2018</v>
      </c>
      <c r="D12" s="37" t="s">
        <v>2006</v>
      </c>
      <c r="E12" s="37" t="s">
        <v>2037</v>
      </c>
      <c r="F12" s="37" t="s">
        <v>2038</v>
      </c>
    </row>
    <row r="14" customFormat="false" ht="31.5" hidden="false" customHeight="true" outlineLevel="0" collapsed="false">
      <c r="A14" s="11" t="s">
        <v>2039</v>
      </c>
      <c r="B14" s="11" t="s">
        <v>2040</v>
      </c>
      <c r="C14" s="11" t="s">
        <v>2041</v>
      </c>
      <c r="D14" s="11" t="s">
        <v>2042</v>
      </c>
      <c r="E14" s="11" t="s">
        <v>70</v>
      </c>
      <c r="F14" s="11" t="s">
        <v>1971</v>
      </c>
    </row>
    <row r="15" customFormat="false" ht="15" hidden="false" customHeight="false" outlineLevel="0" collapsed="false">
      <c r="A15" s="37" t="s">
        <v>47</v>
      </c>
      <c r="B15" s="37" t="s">
        <v>2043</v>
      </c>
      <c r="C15" s="37" t="s">
        <v>153</v>
      </c>
      <c r="D15" s="37" t="s">
        <v>2044</v>
      </c>
      <c r="E15" s="37" t="s">
        <v>2045</v>
      </c>
      <c r="F15" s="37" t="s">
        <v>2046</v>
      </c>
    </row>
    <row r="16" customFormat="false" ht="15" hidden="false" customHeight="false" outlineLevel="0" collapsed="false">
      <c r="A16" s="37" t="s">
        <v>50</v>
      </c>
      <c r="B16" s="37" t="s">
        <v>2047</v>
      </c>
      <c r="C16" s="37" t="s">
        <v>154</v>
      </c>
      <c r="D16" s="37" t="s">
        <v>2044</v>
      </c>
      <c r="E16" s="37" t="s">
        <v>2048</v>
      </c>
      <c r="F16" s="37" t="s">
        <v>2049</v>
      </c>
    </row>
    <row r="17" customFormat="false" ht="23.85" hidden="false" customHeight="false" outlineLevel="0" collapsed="false">
      <c r="A17" s="37" t="s">
        <v>52</v>
      </c>
      <c r="B17" s="37" t="s">
        <v>2050</v>
      </c>
      <c r="C17" s="37" t="s">
        <v>155</v>
      </c>
      <c r="D17" s="37" t="s">
        <v>2044</v>
      </c>
      <c r="E17" s="37" t="s">
        <v>2051</v>
      </c>
      <c r="F17" s="37" t="s">
        <v>2052</v>
      </c>
    </row>
    <row r="18" customFormat="false" ht="15" hidden="false" customHeight="false" outlineLevel="0" collapsed="false">
      <c r="A18" s="37" t="s">
        <v>54</v>
      </c>
      <c r="B18" s="37" t="s">
        <v>2053</v>
      </c>
      <c r="C18" s="37" t="s">
        <v>156</v>
      </c>
      <c r="D18" s="37" t="s">
        <v>2054</v>
      </c>
      <c r="E18" s="37" t="s">
        <v>2055</v>
      </c>
      <c r="F18" s="37" t="s">
        <v>2056</v>
      </c>
    </row>
    <row r="19" customFormat="false" ht="15" hidden="false" customHeight="false" outlineLevel="0" collapsed="false">
      <c r="A19" s="37" t="s">
        <v>186</v>
      </c>
      <c r="B19" s="37" t="s">
        <v>2057</v>
      </c>
      <c r="C19" s="37" t="s">
        <v>2058</v>
      </c>
      <c r="D19" s="37" t="s">
        <v>2044</v>
      </c>
      <c r="E19" s="37" t="s">
        <v>2059</v>
      </c>
      <c r="F19" s="37" t="s">
        <v>2060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58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2061</v>
      </c>
    </row>
    <row r="3" customFormat="false" ht="31.5" hidden="false" customHeight="true" outlineLevel="0" collapsed="false">
      <c r="A3" s="11" t="s">
        <v>2062</v>
      </c>
      <c r="B3" s="11" t="s">
        <v>2063</v>
      </c>
      <c r="C3" s="11" t="s">
        <v>70</v>
      </c>
      <c r="D3" s="11" t="s">
        <v>2064</v>
      </c>
      <c r="E3" s="11" t="s">
        <v>2065</v>
      </c>
      <c r="F3" s="11" t="s">
        <v>2066</v>
      </c>
    </row>
    <row r="4" customFormat="false" ht="23.85" hidden="false" customHeight="false" outlineLevel="0" collapsed="false">
      <c r="A4" s="37" t="s">
        <v>2067</v>
      </c>
      <c r="B4" s="37" t="s">
        <v>2068</v>
      </c>
      <c r="C4" s="37" t="s">
        <v>2069</v>
      </c>
      <c r="D4" s="37" t="s">
        <v>2070</v>
      </c>
      <c r="E4" s="37" t="s">
        <v>2071</v>
      </c>
      <c r="F4" s="37" t="s">
        <v>2072</v>
      </c>
    </row>
    <row r="5" customFormat="false" ht="23.85" hidden="false" customHeight="false" outlineLevel="0" collapsed="false">
      <c r="A5" s="37" t="s">
        <v>2067</v>
      </c>
      <c r="B5" s="37" t="s">
        <v>2073</v>
      </c>
      <c r="C5" s="37" t="s">
        <v>2074</v>
      </c>
      <c r="D5" s="37" t="s">
        <v>2075</v>
      </c>
      <c r="E5" s="37" t="s">
        <v>2076</v>
      </c>
      <c r="F5" s="37" t="s">
        <v>2077</v>
      </c>
    </row>
    <row r="6" customFormat="false" ht="15" hidden="false" customHeight="false" outlineLevel="0" collapsed="false">
      <c r="A6" s="37" t="s">
        <v>2067</v>
      </c>
      <c r="B6" s="37" t="s">
        <v>2078</v>
      </c>
      <c r="C6" s="37" t="s">
        <v>2079</v>
      </c>
      <c r="D6" s="37" t="s">
        <v>2080</v>
      </c>
      <c r="E6" s="37" t="s">
        <v>2081</v>
      </c>
      <c r="F6" s="37" t="s">
        <v>2082</v>
      </c>
    </row>
    <row r="7" customFormat="false" ht="15" hidden="false" customHeight="false" outlineLevel="0" collapsed="false">
      <c r="A7" s="37" t="s">
        <v>2083</v>
      </c>
      <c r="B7" s="37" t="s">
        <v>2084</v>
      </c>
      <c r="C7" s="37" t="s">
        <v>2085</v>
      </c>
      <c r="D7" s="37" t="s">
        <v>2086</v>
      </c>
      <c r="E7" s="37" t="s">
        <v>2087</v>
      </c>
      <c r="F7" s="37" t="s">
        <v>2088</v>
      </c>
    </row>
    <row r="8" customFormat="false" ht="15" hidden="false" customHeight="false" outlineLevel="0" collapsed="false">
      <c r="A8" s="37" t="s">
        <v>2089</v>
      </c>
      <c r="B8" s="37" t="s">
        <v>2090</v>
      </c>
      <c r="C8" s="37" t="s">
        <v>2091</v>
      </c>
      <c r="D8" s="37" t="s">
        <v>2092</v>
      </c>
      <c r="E8" s="37" t="s">
        <v>2093</v>
      </c>
      <c r="F8" s="37" t="s">
        <v>2088</v>
      </c>
    </row>
    <row r="9" customFormat="false" ht="15" hidden="false" customHeight="false" outlineLevel="0" collapsed="false">
      <c r="A9" s="37" t="s">
        <v>2094</v>
      </c>
      <c r="B9" s="37" t="s">
        <v>2095</v>
      </c>
      <c r="C9" s="37" t="s">
        <v>2096</v>
      </c>
      <c r="D9" s="37" t="s">
        <v>2097</v>
      </c>
      <c r="E9" s="37" t="s">
        <v>2098</v>
      </c>
      <c r="F9" s="37" t="s">
        <v>2088</v>
      </c>
    </row>
    <row r="10" customFormat="false" ht="15" hidden="false" customHeight="false" outlineLevel="0" collapsed="false">
      <c r="A10" s="37" t="s">
        <v>2099</v>
      </c>
      <c r="B10" s="37" t="s">
        <v>2100</v>
      </c>
      <c r="C10" s="37" t="s">
        <v>2101</v>
      </c>
      <c r="D10" s="37" t="s">
        <v>2102</v>
      </c>
      <c r="E10" s="37" t="s">
        <v>2103</v>
      </c>
      <c r="F10" s="37" t="s">
        <v>2104</v>
      </c>
    </row>
    <row r="11" customFormat="false" ht="15" hidden="false" customHeight="false" outlineLevel="0" collapsed="false">
      <c r="A11" s="37" t="s">
        <v>2105</v>
      </c>
      <c r="B11" s="37" t="s">
        <v>2106</v>
      </c>
      <c r="C11" s="37" t="s">
        <v>2107</v>
      </c>
      <c r="D11" s="37" t="s">
        <v>2108</v>
      </c>
      <c r="E11" s="37" t="s">
        <v>2109</v>
      </c>
      <c r="F11" s="37" t="s">
        <v>2082</v>
      </c>
    </row>
    <row r="12" customFormat="false" ht="15" hidden="false" customHeight="false" outlineLevel="0" collapsed="false">
      <c r="A12" s="37" t="s">
        <v>2110</v>
      </c>
      <c r="B12" s="37" t="s">
        <v>2111</v>
      </c>
      <c r="C12" s="37" t="s">
        <v>2112</v>
      </c>
      <c r="D12" s="37" t="s">
        <v>2113</v>
      </c>
      <c r="E12" s="37" t="s">
        <v>2114</v>
      </c>
      <c r="F12" s="37" t="s">
        <v>2115</v>
      </c>
    </row>
    <row r="13" customFormat="false" ht="15" hidden="false" customHeight="false" outlineLevel="0" collapsed="false">
      <c r="A13" s="37" t="s">
        <v>2110</v>
      </c>
      <c r="B13" s="37" t="s">
        <v>2116</v>
      </c>
      <c r="C13" s="37" t="s">
        <v>2117</v>
      </c>
      <c r="D13" s="37" t="s">
        <v>2118</v>
      </c>
      <c r="E13" s="37" t="s">
        <v>2119</v>
      </c>
      <c r="F13" s="37" t="s">
        <v>2120</v>
      </c>
    </row>
    <row r="14" customFormat="false" ht="15" hidden="false" customHeight="false" outlineLevel="0" collapsed="false">
      <c r="A14" s="37" t="s">
        <v>2121</v>
      </c>
      <c r="B14" s="37" t="s">
        <v>2122</v>
      </c>
      <c r="C14" s="37" t="s">
        <v>2123</v>
      </c>
      <c r="D14" s="37" t="s">
        <v>2124</v>
      </c>
      <c r="E14" s="37" t="s">
        <v>2125</v>
      </c>
      <c r="F14" s="37" t="s">
        <v>2082</v>
      </c>
    </row>
    <row r="15" customFormat="false" ht="15" hidden="false" customHeight="false" outlineLevel="0" collapsed="false">
      <c r="A15" s="37" t="s">
        <v>2121</v>
      </c>
      <c r="B15" s="37" t="s">
        <v>2126</v>
      </c>
      <c r="C15" s="37" t="s">
        <v>2127</v>
      </c>
      <c r="D15" s="37" t="s">
        <v>2128</v>
      </c>
      <c r="E15" s="37" t="s">
        <v>2129</v>
      </c>
      <c r="F15" s="37" t="s">
        <v>2082</v>
      </c>
    </row>
    <row r="16" customFormat="false" ht="15" hidden="false" customHeight="false" outlineLevel="0" collapsed="false">
      <c r="A16" s="37" t="s">
        <v>2130</v>
      </c>
      <c r="B16" s="37" t="s">
        <v>2131</v>
      </c>
      <c r="C16" s="37" t="s">
        <v>2132</v>
      </c>
      <c r="D16" s="37" t="s">
        <v>2133</v>
      </c>
      <c r="E16" s="37" t="s">
        <v>2134</v>
      </c>
      <c r="F16" s="37" t="s">
        <v>2135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2026-10-17T12:48:28Z</dcterms:created>
  <dc:creator>openpyxl</dc:creator>
  <dc:description/>
  <dc:language>en-US</dc:language>
  <cp:lastModifiedBy/>
  <dcterms:modified xsi:type="dcterms:W3CDTF">2026-10-17T12:48:35Z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