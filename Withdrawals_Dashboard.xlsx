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8_{B7A09F0F-0A76-304D-9D05-5C80D796610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shboard" sheetId="1" r:id="rId1"/>
    <sheet name="Data" sheetId="2" r:id="rId2"/>
  </sheets>
  <definedNames>
    <definedName name="_xlnm._FilterDatabase" localSheetId="1" hidden="1">Data!$A$1:$G$6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24" i="1" l="1"/>
  <c r="K19" i="1"/>
  <c r="K20" i="1"/>
  <c r="K21" i="1"/>
  <c r="K22" i="1"/>
  <c r="K23" i="1"/>
  <c r="K24" i="1"/>
  <c r="J19" i="1"/>
  <c r="J20" i="1"/>
  <c r="J21" i="1"/>
  <c r="J22" i="1"/>
  <c r="J23" i="1"/>
  <c r="J24" i="1"/>
  <c r="I19" i="1"/>
  <c r="I20" i="1"/>
  <c r="I21" i="1"/>
  <c r="I22" i="1"/>
  <c r="I23" i="1"/>
  <c r="I24" i="1"/>
  <c r="L23" i="1"/>
  <c r="F19" i="1"/>
  <c r="F20" i="1"/>
  <c r="F21" i="1"/>
  <c r="F22" i="1"/>
  <c r="F23" i="1"/>
  <c r="E19" i="1"/>
  <c r="E20" i="1"/>
  <c r="E21" i="1"/>
  <c r="E22" i="1"/>
  <c r="E23" i="1"/>
  <c r="D19" i="1"/>
  <c r="D20" i="1"/>
  <c r="D21" i="1"/>
  <c r="D22" i="1"/>
  <c r="D23" i="1"/>
  <c r="C19" i="1"/>
  <c r="C20" i="1"/>
  <c r="C21" i="1"/>
  <c r="C22" i="1"/>
  <c r="C23" i="1"/>
  <c r="L22" i="1"/>
  <c r="L21" i="1"/>
  <c r="L20" i="1"/>
  <c r="L19" i="1"/>
  <c r="F15" i="1"/>
  <c r="D12" i="1"/>
  <c r="D13" i="1"/>
  <c r="D14" i="1"/>
  <c r="D15" i="1"/>
  <c r="E12" i="1"/>
  <c r="E13" i="1"/>
  <c r="E14" i="1"/>
  <c r="E15" i="1"/>
  <c r="C12" i="1"/>
  <c r="C13" i="1"/>
  <c r="C14" i="1"/>
  <c r="C15" i="1"/>
  <c r="I12" i="1"/>
  <c r="I13" i="1"/>
  <c r="I14" i="1"/>
  <c r="L14" i="1"/>
  <c r="K12" i="1"/>
  <c r="K13" i="1"/>
  <c r="K14" i="1"/>
  <c r="J12" i="1"/>
  <c r="J13" i="1"/>
  <c r="J14" i="1"/>
  <c r="F14" i="1"/>
  <c r="L13" i="1"/>
  <c r="F13" i="1"/>
  <c r="L12" i="1"/>
  <c r="F12" i="1"/>
  <c r="K8" i="1"/>
  <c r="I8" i="1"/>
  <c r="F8" i="1"/>
  <c r="D8" i="1"/>
  <c r="B8" i="1"/>
  <c r="K5" i="1"/>
  <c r="I5" i="1"/>
  <c r="F5" i="1"/>
  <c r="D5" i="1"/>
  <c r="B5" i="1"/>
  <c r="B2" i="1"/>
</calcChain>
</file>

<file path=xl/sharedStrings.xml><?xml version="1.0" encoding="utf-8"?>
<sst xmlns="http://schemas.openxmlformats.org/spreadsheetml/2006/main" count="81" uniqueCount="55">
  <si>
    <t>Withdrawals Dashboard</t>
  </si>
  <si>
    <t>Total Requests</t>
  </si>
  <si>
    <t>Total Requested</t>
  </si>
  <si>
    <t>Completed Amount</t>
  </si>
  <si>
    <t>Pending Amount</t>
  </si>
  <si>
    <t>Rejected Amount</t>
  </si>
  <si>
    <t>Completion Rate</t>
  </si>
  <si>
    <t>Rejection Rate</t>
  </si>
  <si>
    <t>Avg Hours (Completed)</t>
  </si>
  <si>
    <t>Max Processing Hrs</t>
  </si>
  <si>
    <t>Avg Request Amount</t>
  </si>
  <si>
    <t>Summary by Status</t>
  </si>
  <si>
    <t>Summary by Payout Method</t>
  </si>
  <si>
    <t>Status</t>
  </si>
  <si>
    <t>Count</t>
  </si>
  <si>
    <t>Total Amount</t>
  </si>
  <si>
    <t>% of Amount</t>
  </si>
  <si>
    <t>Avg Hours</t>
  </si>
  <si>
    <t>Method</t>
  </si>
  <si>
    <t>Completed Amt</t>
  </si>
  <si>
    <t>Completed</t>
  </si>
  <si>
    <t>Bank</t>
  </si>
  <si>
    <t>Pending</t>
  </si>
  <si>
    <t>UPI</t>
  </si>
  <si>
    <t>Rejected</t>
  </si>
  <si>
    <t>Total</t>
  </si>
  <si>
    <t>Daily Trend</t>
  </si>
  <si>
    <t>Summary by User</t>
  </si>
  <si>
    <t>Date</t>
  </si>
  <si>
    <t>Requests</t>
  </si>
  <si>
    <t>Requested Amt</t>
  </si>
  <si>
    <t>Rejected Amt</t>
  </si>
  <si>
    <t>User</t>
  </si>
  <si>
    <t>U001</t>
  </si>
  <si>
    <t>U002</t>
  </si>
  <si>
    <t>U004</t>
  </si>
  <si>
    <t>U005</t>
  </si>
  <si>
    <t>U008</t>
  </si>
  <si>
    <t>Notes &amp; assumptions</t>
  </si>
  <si>
    <t>Completion Rate = Completed requests / all requests; Rejection Rate likewise. Avg Hours (Completed) excludes Pending and Rejected requests.</t>
  </si>
  <si>
    <t>Pending requests have Processing_Hours = 0 in the source (not yet processed), so they pull down 'Avg Hours' in the status/user totals. User list is typed in; add a row for any new user ID.</t>
  </si>
  <si>
    <t>Withdrawal_ID</t>
  </si>
  <si>
    <t>User_ID</t>
  </si>
  <si>
    <t>Request_Date</t>
  </si>
  <si>
    <t>Amount</t>
  </si>
  <si>
    <t>Payout_Method</t>
  </si>
  <si>
    <t>Processing_Hours</t>
  </si>
  <si>
    <t>WD001</t>
  </si>
  <si>
    <t>WD002</t>
  </si>
  <si>
    <t>WD003</t>
  </si>
  <si>
    <t>WD004</t>
  </si>
  <si>
    <t>WD005</t>
  </si>
  <si>
    <t>Source: dataset provided by user (5 withdrawal requests, 2026-10-08 to 2026-10-11). Processing_Hours = 0 for Pending requests (not yet processed).</t>
  </si>
  <si>
    <t xml:space="preserve">               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</si>
</sst>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0.0"/>
    <numFmt numFmtId="166" formatCode="#,##0.0"/>
    <numFmt numFmtId="167" formatCode="#,##0;\(#,##0\);\-"/>
    <numFmt numFmtId="168" formatCode="dd\ mmm\ yyyy"/>
    <numFmt numFmtId="169" formatCode="yyyy\-mm\-dd"/>
  </numFmts>
  <fonts count="1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22"/>
      <color rgb="FF1F3864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F3864"/>
      <name val="Arial"/>
      <charset val="1"/>
    </font>
    <font>
      <i/>
      <sz val="9"/>
      <color rgb="FF595959"/>
      <name val="Arial"/>
      <charset val="1"/>
    </font>
    <font>
      <i/>
      <sz val="9"/>
      <color rgb="FF7F7F7F"/>
      <name val="Arial"/>
      <charset val="1"/>
    </font>
    <font>
      <b/>
      <sz val="28"/>
      <color rgb="FFFFFFFF"/>
      <name val="Arial"/>
      <charset val="1"/>
    </font>
    <font>
      <i/>
      <sz val="16"/>
      <color rgb="FF595959"/>
      <name val="Arial"/>
      <charset val="1"/>
    </font>
    <font>
      <b/>
      <sz val="28"/>
      <color rgb="FF1F386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505050"/>
      </right>
      <top style="thin">
        <color rgb="FFBFBFBF"/>
      </top>
      <bottom style="thin">
        <color rgb="FFBFBFBF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8" fillId="0" borderId="0" xfId="0" applyFont="1" applyBorder="1" applyAlignment="1">
      <alignment vertical="top" wrapText="1"/>
    </xf>
    <xf numFmtId="166" fontId="2" fillId="4" borderId="0" xfId="0" applyNumberFormat="1" applyFont="1" applyFill="1" applyBorder="1" applyAlignment="1">
      <alignment horizontal="center" vertical="center"/>
    </xf>
    <xf numFmtId="1" fontId="2" fillId="4" borderId="0" xfId="0" applyNumberFormat="1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4" fontId="2" fillId="4" borderId="0" xfId="0" applyNumberFormat="1" applyFont="1" applyFill="1" applyBorder="1" applyAlignment="1">
      <alignment horizontal="center" vertical="center"/>
    </xf>
    <xf numFmtId="3" fontId="2" fillId="4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3" fontId="5" fillId="0" borderId="1" xfId="0" applyNumberFormat="1" applyFont="1" applyBorder="1"/>
    <xf numFmtId="167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6" fillId="5" borderId="1" xfId="0" applyFont="1" applyFill="1" applyBorder="1"/>
    <xf numFmtId="3" fontId="6" fillId="5" borderId="1" xfId="0" applyNumberFormat="1" applyFont="1" applyFill="1" applyBorder="1"/>
    <xf numFmtId="167" fontId="6" fillId="5" borderId="1" xfId="0" applyNumberFormat="1" applyFont="1" applyFill="1" applyBorder="1"/>
    <xf numFmtId="164" fontId="6" fillId="5" borderId="1" xfId="0" applyNumberFormat="1" applyFont="1" applyFill="1" applyBorder="1"/>
    <xf numFmtId="165" fontId="6" fillId="5" borderId="1" xfId="0" applyNumberFormat="1" applyFont="1" applyFill="1" applyBorder="1"/>
    <xf numFmtId="0" fontId="4" fillId="2" borderId="0" xfId="0" applyFont="1" applyFill="1" applyAlignment="1">
      <alignment horizontal="center" vertical="center"/>
    </xf>
    <xf numFmtId="169" fontId="5" fillId="0" borderId="1" xfId="0" applyNumberFormat="1" applyFont="1" applyBorder="1" applyAlignment="1">
      <alignment horizontal="center"/>
    </xf>
    <xf numFmtId="0" fontId="9" fillId="0" borderId="0" xfId="0" applyFont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3" fontId="2" fillId="4" borderId="5" xfId="0" applyNumberFormat="1" applyFont="1" applyFill="1" applyBorder="1" applyAlignment="1">
      <alignment horizontal="center" vertical="center"/>
    </xf>
    <xf numFmtId="3" fontId="2" fillId="4" borderId="6" xfId="0" applyNumberFormat="1" applyFont="1" applyFill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center" vertical="center"/>
    </xf>
    <xf numFmtId="166" fontId="2" fillId="4" borderId="6" xfId="0" applyNumberFormat="1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0" xfId="0" applyFont="1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7" xfId="0" applyFont="1" applyBorder="1"/>
    <xf numFmtId="164" fontId="5" fillId="0" borderId="8" xfId="0" applyNumberFormat="1" applyFont="1" applyBorder="1"/>
    <xf numFmtId="164" fontId="6" fillId="5" borderId="8" xfId="0" applyNumberFormat="1" applyFont="1" applyFill="1" applyBorder="1"/>
    <xf numFmtId="0" fontId="6" fillId="5" borderId="7" xfId="0" applyFont="1" applyFill="1" applyBorder="1"/>
    <xf numFmtId="168" fontId="5" fillId="0" borderId="7" xfId="0" applyNumberFormat="1" applyFont="1" applyBorder="1" applyAlignment="1">
      <alignment horizontal="left"/>
    </xf>
    <xf numFmtId="165" fontId="5" fillId="0" borderId="8" xfId="0" applyNumberFormat="1" applyFont="1" applyBorder="1"/>
    <xf numFmtId="165" fontId="6" fillId="5" borderId="8" xfId="0" applyNumberFormat="1" applyFont="1" applyFill="1" applyBorder="1"/>
    <xf numFmtId="0" fontId="7" fillId="0" borderId="5" xfId="0" applyFont="1" applyBorder="1"/>
    <xf numFmtId="0" fontId="8" fillId="0" borderId="5" xfId="0" applyFont="1" applyBorder="1" applyAlignment="1">
      <alignment vertical="top" wrapText="1"/>
    </xf>
    <xf numFmtId="0" fontId="8" fillId="0" borderId="6" xfId="0" applyFont="1" applyBorder="1" applyAlignment="1">
      <alignment vertical="top"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0" fillId="2" borderId="2" xfId="0" applyFont="1" applyFill="1" applyBorder="1" applyAlignment="1">
      <alignment horizontal="center" vertical="center" indent="1"/>
    </xf>
    <xf numFmtId="0" fontId="10" fillId="2" borderId="3" xfId="0" applyFont="1" applyFill="1" applyBorder="1" applyAlignment="1">
      <alignment horizontal="center" vertical="center" indent="1"/>
    </xf>
    <xf numFmtId="0" fontId="10" fillId="2" borderId="4" xfId="0" applyFont="1" applyFill="1" applyBorder="1" applyAlignment="1">
      <alignment horizontal="center" vertical="center" indent="1"/>
    </xf>
    <xf numFmtId="0" fontId="11" fillId="0" borderId="5" xfId="0" applyFont="1" applyBorder="1" applyAlignment="1">
      <alignment indent="1"/>
    </xf>
    <xf numFmtId="0" fontId="11" fillId="0" borderId="0" xfId="0" applyFont="1" applyBorder="1" applyAlignment="1">
      <alignment indent="1"/>
    </xf>
    <xf numFmtId="0" fontId="11" fillId="0" borderId="6" xfId="0" applyFont="1" applyBorder="1" applyAlignment="1">
      <alignment indent="1"/>
    </xf>
    <xf numFmtId="0" fontId="12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</cellXfs>
  <cellStyles count="1">
    <cellStyle name="Normal" xfId="0" builtinId="0"/>
  </cellStyles>
  <dxfs count="3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5700"/>
        <name val="Arial"/>
        <charset val="1"/>
      </font>
      <fill>
        <patternFill>
          <bgColor rgb="FFFFEB9C"/>
        </patternFill>
      </fill>
    </dxf>
    <dxf>
      <font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70AD47"/>
      <rgbColor rgb="FFFFC000"/>
      <rgbColor rgb="FFFF9900"/>
      <rgbColor rgb="FFED7D31"/>
      <rgbColor rgb="FF595959"/>
      <rgbColor rgb="FF878787"/>
      <rgbColor rgb="FF1F3864"/>
      <rgbColor rgb="FF4F81BD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Requested Amount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Dashboard!D11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70AD47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FFC000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C00000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Dashboard!$B$12:$B$14</c:f>
              <c:strCache>
                <c:ptCount val="3"/>
                <c:pt idx="0">
                  <c:v>Completed</c:v>
                </c:pt>
                <c:pt idx="1">
                  <c:v>Pending</c:v>
                </c:pt>
                <c:pt idx="2">
                  <c:v>Rejected</c:v>
                </c:pt>
              </c:strCache>
            </c:strRef>
          </c:cat>
          <c:val>
            <c:numRef>
              <c:f>Dashboard!$D$12:$D$14</c:f>
              <c:numCache>
                <c:formatCode>#,##0;\(#,##0\);\-</c:formatCode>
                <c:ptCount val="3"/>
                <c:pt idx="0">
                  <c:v>1150</c:v>
                </c:pt>
                <c:pt idx="1">
                  <c:v>300</c:v>
                </c:pt>
                <c:pt idx="2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50-674E-8FBE-B1AE3842D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Method: Total vs Completed Amount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Dashboard!J11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Dashboard!$H$12:$H$13</c:f>
              <c:strCache>
                <c:ptCount val="2"/>
                <c:pt idx="0">
                  <c:v>Bank</c:v>
                </c:pt>
                <c:pt idx="1">
                  <c:v>UPI</c:v>
                </c:pt>
              </c:strCache>
            </c:strRef>
          </c:cat>
          <c:val>
            <c:numRef>
              <c:f>Dashboard!$J$12:$J$13</c:f>
              <c:numCache>
                <c:formatCode>#,##0;\(#,##0\);\-</c:formatCode>
                <c:ptCount val="2"/>
                <c:pt idx="0">
                  <c:v>700</c:v>
                </c:pt>
                <c:pt idx="1">
                  <c:v>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BB-D54F-B5EF-FA04330AA9C1}"/>
            </c:ext>
          </c:extLst>
        </c:ser>
        <c:ser>
          <c:idx val="1"/>
          <c:order val="1"/>
          <c:tx>
            <c:strRef>
              <c:f>Dashboard!K11</c:f>
              <c:strCache>
                <c:ptCount val="1"/>
                <c:pt idx="0">
                  <c:v>Completed Amt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Dashboard!$H$12:$H$13</c:f>
              <c:strCache>
                <c:ptCount val="2"/>
                <c:pt idx="0">
                  <c:v>Bank</c:v>
                </c:pt>
                <c:pt idx="1">
                  <c:v>UPI</c:v>
                </c:pt>
              </c:strCache>
            </c:strRef>
          </c:cat>
          <c:val>
            <c:numRef>
              <c:f>Dashboard!$K$12:$K$13</c:f>
              <c:numCache>
                <c:formatCode>#,##0;\(#,##0\);\-</c:formatCode>
                <c:ptCount val="2"/>
                <c:pt idx="0">
                  <c:v>500</c:v>
                </c:pt>
                <c:pt idx="1">
                  <c:v>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BB-D54F-B5EF-FA04330AA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725157"/>
        <c:axId val="33642277"/>
      </c:barChart>
      <c:catAx>
        <c:axId val="137251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642277"/>
        <c:crosses val="autoZero"/>
        <c:auto val="1"/>
        <c:lblAlgn val="ctr"/>
        <c:lblOffset val="100"/>
        <c:noMultiLvlLbl val="0"/>
      </c:catAx>
      <c:valAx>
        <c:axId val="33642277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72515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Daily Requested vs Completed Amount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Dashboard!D18</c:f>
              <c:strCache>
                <c:ptCount val="1"/>
                <c:pt idx="0">
                  <c:v>Requested Amt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Dashboard!$B$19:$B$22</c:f>
              <c:numCache>
                <c:formatCode>dd\ mmm\ yyyy</c:formatCode>
                <c:ptCount val="4"/>
                <c:pt idx="0">
                  <c:v>46303</c:v>
                </c:pt>
                <c:pt idx="1">
                  <c:v>46304</c:v>
                </c:pt>
                <c:pt idx="2">
                  <c:v>46305</c:v>
                </c:pt>
                <c:pt idx="3">
                  <c:v>46306</c:v>
                </c:pt>
              </c:numCache>
            </c:numRef>
          </c:cat>
          <c:val>
            <c:numRef>
              <c:f>Dashboard!$D$19:$D$22</c:f>
              <c:numCache>
                <c:formatCode>#,##0;\(#,##0\);\-</c:formatCode>
                <c:ptCount val="4"/>
                <c:pt idx="0">
                  <c:v>800</c:v>
                </c:pt>
                <c:pt idx="1">
                  <c:v>250</c:v>
                </c:pt>
                <c:pt idx="2">
                  <c:v>200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A-E647-AAC9-13ECDBBB6A6E}"/>
            </c:ext>
          </c:extLst>
        </c:ser>
        <c:ser>
          <c:idx val="1"/>
          <c:order val="1"/>
          <c:tx>
            <c:strRef>
              <c:f>Dashboard!E18</c:f>
              <c:strCache>
                <c:ptCount val="1"/>
                <c:pt idx="0">
                  <c:v>Completed Amt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Dashboard!$B$19:$B$22</c:f>
              <c:numCache>
                <c:formatCode>dd\ mmm\ yyyy</c:formatCode>
                <c:ptCount val="4"/>
                <c:pt idx="0">
                  <c:v>46303</c:v>
                </c:pt>
                <c:pt idx="1">
                  <c:v>46304</c:v>
                </c:pt>
                <c:pt idx="2">
                  <c:v>46305</c:v>
                </c:pt>
                <c:pt idx="3">
                  <c:v>46306</c:v>
                </c:pt>
              </c:numCache>
            </c:numRef>
          </c:cat>
          <c:val>
            <c:numRef>
              <c:f>Dashboard!$E$19:$E$22</c:f>
              <c:numCache>
                <c:formatCode>#,##0;\(#,##0\);\-</c:formatCode>
                <c:ptCount val="4"/>
                <c:pt idx="0">
                  <c:v>500</c:v>
                </c:pt>
                <c:pt idx="1">
                  <c:v>250</c:v>
                </c:pt>
                <c:pt idx="2">
                  <c:v>0</c:v>
                </c:pt>
                <c:pt idx="3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A-E647-AAC9-13ECDBBB6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852578"/>
        <c:axId val="96303924"/>
      </c:barChart>
      <c:dateAx>
        <c:axId val="26852578"/>
        <c:scaling>
          <c:orientation val="minMax"/>
        </c:scaling>
        <c:delete val="0"/>
        <c:axPos val="b"/>
        <c:numFmt formatCode="dd\ 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303924"/>
        <c:crosses val="autoZero"/>
        <c:auto val="1"/>
        <c:lblOffset val="100"/>
        <c:baseTimeUnit val="days"/>
      </c:dateAx>
      <c:valAx>
        <c:axId val="96303924"/>
        <c:scaling>
          <c:orientation val="minMax"/>
        </c:scaling>
        <c:delete val="0"/>
        <c:axPos val="l"/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85257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GB" sz="1800" b="1" strike="noStrike" spc="-1">
                <a:solidFill>
                  <a:srgbClr val="000000"/>
                </a:solidFill>
                <a:latin typeface="Calibri"/>
              </a:rPr>
              <a:t>Processing Hours by Request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Data!G1</c:f>
              <c:strCache>
                <c:ptCount val="1"/>
                <c:pt idx="0">
                  <c:v>Processing_Hours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Data!$A$2:$A$6</c:f>
              <c:strCache>
                <c:ptCount val="5"/>
                <c:pt idx="0">
                  <c:v>WD001</c:v>
                </c:pt>
                <c:pt idx="1">
                  <c:v>WD002</c:v>
                </c:pt>
                <c:pt idx="2">
                  <c:v>WD003</c:v>
                </c:pt>
                <c:pt idx="3">
                  <c:v>WD004</c:v>
                </c:pt>
                <c:pt idx="4">
                  <c:v>WD005</c:v>
                </c:pt>
              </c:strCache>
            </c:strRef>
          </c:cat>
          <c:val>
            <c:numRef>
              <c:f>Data!$G$2:$G$6</c:f>
              <c:numCache>
                <c:formatCode>General</c:formatCode>
                <c:ptCount val="5"/>
                <c:pt idx="0">
                  <c:v>12</c:v>
                </c:pt>
                <c:pt idx="1">
                  <c:v>0</c:v>
                </c:pt>
                <c:pt idx="2">
                  <c:v>6</c:v>
                </c:pt>
                <c:pt idx="3">
                  <c:v>24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1D-B944-9255-8035B37FF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238915"/>
        <c:axId val="80106099"/>
      </c:barChart>
      <c:catAx>
        <c:axId val="242389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106099"/>
        <c:crosses val="autoZero"/>
        <c:auto val="1"/>
        <c:lblAlgn val="ctr"/>
        <c:lblOffset val="100"/>
        <c:noMultiLvlLbl val="0"/>
      </c:catAx>
      <c:valAx>
        <c:axId val="801060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23891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839391</xdr:colOff>
      <xdr:row>30</xdr:row>
      <xdr:rowOff>53578</xdr:rowOff>
    </xdr:from>
    <xdr:to>
      <xdr:col>5</xdr:col>
      <xdr:colOff>570111</xdr:colOff>
      <xdr:row>44</xdr:row>
      <xdr:rowOff>85979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30</xdr:row>
      <xdr:rowOff>0</xdr:rowOff>
    </xdr:from>
    <xdr:to>
      <xdr:col>10</xdr:col>
      <xdr:colOff>333360</xdr:colOff>
      <xdr:row>44</xdr:row>
      <xdr:rowOff>32401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1053703</xdr:colOff>
      <xdr:row>46</xdr:row>
      <xdr:rowOff>17859</xdr:rowOff>
    </xdr:from>
    <xdr:to>
      <xdr:col>5</xdr:col>
      <xdr:colOff>784423</xdr:colOff>
      <xdr:row>60</xdr:row>
      <xdr:rowOff>50620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46</xdr:row>
      <xdr:rowOff>0</xdr:rowOff>
    </xdr:from>
    <xdr:to>
      <xdr:col>10</xdr:col>
      <xdr:colOff>333360</xdr:colOff>
      <xdr:row>60</xdr:row>
      <xdr:rowOff>32761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L65"/>
  <sheetViews>
    <sheetView showGridLines="0" tabSelected="1" zoomScaleNormal="100" workbookViewId="0">
      <selection activeCell="K50" sqref="K50"/>
    </sheetView>
  </sheetViews>
  <sheetFormatPr defaultColWidth="8.7421875" defaultRowHeight="15" x14ac:dyDescent="0.2"/>
  <cols>
    <col min="1" max="1" width="2.015625" customWidth="1"/>
    <col min="2" max="2" width="22.05859375" customWidth="1"/>
    <col min="3" max="6" width="16.0078125" customWidth="1"/>
    <col min="7" max="7" width="2.95703125" customWidth="1"/>
    <col min="8" max="8" width="22.05859375" customWidth="1"/>
    <col min="9" max="12" width="16.0078125" customWidth="1"/>
    <col min="13" max="13" width="2.015625" customWidth="1"/>
  </cols>
  <sheetData>
    <row r="1" spans="2:12" ht="37.5" customHeight="1" x14ac:dyDescent="0.2">
      <c r="B1" s="48" t="s">
        <v>0</v>
      </c>
      <c r="C1" s="49"/>
      <c r="D1" s="49"/>
      <c r="E1" s="49"/>
      <c r="F1" s="49"/>
      <c r="G1" s="49"/>
      <c r="H1" s="49"/>
      <c r="I1" s="49"/>
      <c r="J1" s="49"/>
      <c r="K1" s="49"/>
      <c r="L1" s="50"/>
    </row>
    <row r="2" spans="2:12" ht="20.25" x14ac:dyDescent="0.25">
      <c r="B2" s="51" t="str">
        <f>"Period: "&amp;TEXT(MIN(Data!$C$2:$C$6),"dd mmm yyyy")&amp;" to "&amp;TEXT(MAX(Data!$C$2:$C$6),"dd mmm yyyy")&amp;"   |   All figures update from the Data sheet"</f>
        <v>Period: 08 Oct 2026 to 11 Oct 2026   |   All figures update from the Data sheet</v>
      </c>
      <c r="C2" s="52"/>
      <c r="D2" s="52"/>
      <c r="E2" s="52"/>
      <c r="F2" s="52"/>
      <c r="G2" s="52"/>
      <c r="H2" s="52"/>
      <c r="I2" s="52"/>
      <c r="J2" s="52"/>
      <c r="K2" s="52"/>
      <c r="L2" s="53"/>
    </row>
    <row r="3" spans="2:12" x14ac:dyDescent="0.2">
      <c r="B3" s="22"/>
      <c r="C3" s="23"/>
      <c r="D3" s="23"/>
      <c r="E3" s="23"/>
      <c r="F3" s="23"/>
      <c r="G3" s="23"/>
      <c r="H3" s="23"/>
      <c r="I3" s="23"/>
      <c r="J3" s="23"/>
      <c r="K3" s="23"/>
      <c r="L3" s="24"/>
    </row>
    <row r="4" spans="2:12" x14ac:dyDescent="0.2">
      <c r="B4" s="25" t="s">
        <v>1</v>
      </c>
      <c r="C4" s="7"/>
      <c r="D4" s="7" t="s">
        <v>2</v>
      </c>
      <c r="E4" s="7"/>
      <c r="F4" s="7" t="s">
        <v>3</v>
      </c>
      <c r="G4" s="7"/>
      <c r="H4" s="7"/>
      <c r="I4" s="7" t="s">
        <v>4</v>
      </c>
      <c r="J4" s="7"/>
      <c r="K4" s="7" t="s">
        <v>5</v>
      </c>
      <c r="L4" s="26"/>
    </row>
    <row r="5" spans="2:12" ht="39.75" customHeight="1" x14ac:dyDescent="0.2">
      <c r="B5" s="27">
        <f>COUNTA(Data!$A$2:$A$6)</f>
        <v>5</v>
      </c>
      <c r="C5" s="6"/>
      <c r="D5" s="6">
        <f>SUM(Data!$E$2:$E$6)</f>
        <v>1650</v>
      </c>
      <c r="E5" s="6"/>
      <c r="F5" s="6">
        <f>SUMIFS(Data!$E$2:$E$6,Data!$D$2:$D$6,"Completed")</f>
        <v>1150</v>
      </c>
      <c r="G5" s="6"/>
      <c r="H5" s="6"/>
      <c r="I5" s="6">
        <f>SUMIFS(Data!$E$2:$E$6,Data!$D$2:$D$6,"Pending")</f>
        <v>300</v>
      </c>
      <c r="J5" s="6"/>
      <c r="K5" s="6">
        <f>SUMIFS(Data!$E$2:$E$6,Data!$D$2:$D$6,"Rejected")</f>
        <v>200</v>
      </c>
      <c r="L5" s="28"/>
    </row>
    <row r="6" spans="2:12" x14ac:dyDescent="0.2">
      <c r="B6" s="22"/>
      <c r="C6" s="23"/>
      <c r="D6" s="23"/>
      <c r="E6" s="23"/>
      <c r="F6" s="23"/>
      <c r="G6" s="23"/>
      <c r="H6" s="23"/>
      <c r="I6" s="23"/>
      <c r="J6" s="23"/>
      <c r="K6" s="23"/>
      <c r="L6" s="24"/>
    </row>
    <row r="7" spans="2:12" x14ac:dyDescent="0.2">
      <c r="B7" s="25" t="s">
        <v>6</v>
      </c>
      <c r="C7" s="7"/>
      <c r="D7" s="7" t="s">
        <v>7</v>
      </c>
      <c r="E7" s="7"/>
      <c r="F7" s="7" t="s">
        <v>8</v>
      </c>
      <c r="G7" s="7"/>
      <c r="H7" s="7"/>
      <c r="I7" s="7" t="s">
        <v>9</v>
      </c>
      <c r="J7" s="7"/>
      <c r="K7" s="7" t="s">
        <v>10</v>
      </c>
      <c r="L7" s="26"/>
    </row>
    <row r="8" spans="2:12" ht="39.75" customHeight="1" x14ac:dyDescent="0.2">
      <c r="B8" s="29">
        <f>COUNTIFS(Data!$D$2:$D$6,"Completed")/COUNTA(Data!$A$2:$A$6)</f>
        <v>0.6</v>
      </c>
      <c r="C8" s="5"/>
      <c r="D8" s="5">
        <f>COUNTIFS(Data!$D$2:$D$6,"Rejected")/COUNTA(Data!$A$2:$A$6)</f>
        <v>0.2</v>
      </c>
      <c r="E8" s="5"/>
      <c r="F8" s="4">
        <f>IFERROR(AVERAGEIFS(Data!$G$2:$G$6,Data!$D$2:$D$6,"Completed"),0)</f>
        <v>8.6666666666666661</v>
      </c>
      <c r="G8" s="4"/>
      <c r="H8" s="4"/>
      <c r="I8" s="3">
        <f>MAX(Data!$G$2:$G$6)</f>
        <v>24</v>
      </c>
      <c r="J8" s="3"/>
      <c r="K8" s="2">
        <f>AVERAGE(Data!$E$2:$E$6)</f>
        <v>330</v>
      </c>
      <c r="L8" s="30"/>
    </row>
    <row r="9" spans="2:12" x14ac:dyDescent="0.2">
      <c r="B9" s="22"/>
      <c r="C9" s="23"/>
      <c r="D9" s="23"/>
      <c r="E9" s="23"/>
      <c r="F9" s="23"/>
      <c r="G9" s="23"/>
      <c r="H9" s="23"/>
      <c r="I9" s="23"/>
      <c r="J9" s="23"/>
      <c r="K9" s="23"/>
      <c r="L9" s="24"/>
    </row>
    <row r="10" spans="2:12" x14ac:dyDescent="0.2">
      <c r="B10" s="31" t="s">
        <v>11</v>
      </c>
      <c r="C10" s="23"/>
      <c r="D10" s="23"/>
      <c r="E10" s="23"/>
      <c r="F10" s="23"/>
      <c r="G10" s="23"/>
      <c r="H10" s="32" t="s">
        <v>12</v>
      </c>
      <c r="I10" s="23"/>
      <c r="J10" s="23"/>
      <c r="K10" s="23"/>
      <c r="L10" s="24"/>
    </row>
    <row r="11" spans="2:12" ht="30" customHeight="1" x14ac:dyDescent="0.2">
      <c r="B11" s="33" t="s">
        <v>13</v>
      </c>
      <c r="C11" s="8" t="s">
        <v>14</v>
      </c>
      <c r="D11" s="8" t="s">
        <v>15</v>
      </c>
      <c r="E11" s="8" t="s">
        <v>16</v>
      </c>
      <c r="F11" s="8" t="s">
        <v>17</v>
      </c>
      <c r="G11" s="23"/>
      <c r="H11" s="8" t="s">
        <v>18</v>
      </c>
      <c r="I11" s="8" t="s">
        <v>14</v>
      </c>
      <c r="J11" s="8" t="s">
        <v>15</v>
      </c>
      <c r="K11" s="8" t="s">
        <v>19</v>
      </c>
      <c r="L11" s="34" t="s">
        <v>6</v>
      </c>
    </row>
    <row r="12" spans="2:12" x14ac:dyDescent="0.2">
      <c r="B12" s="35" t="s">
        <v>20</v>
      </c>
      <c r="C12" s="10">
        <f>COUNTIFS(Data!$D$2:$D$6,B12)</f>
        <v>3</v>
      </c>
      <c r="D12" s="11">
        <f>SUMIFS(Data!$E$2:$E$6,Data!$D$2:$D$6,B12)</f>
        <v>1150</v>
      </c>
      <c r="E12" s="12">
        <f>D12/D$15</f>
        <v>0.69696969696969702</v>
      </c>
      <c r="F12" s="13">
        <f>IFERROR(AVERAGEIFS(Data!$G$2:$G$6,Data!$D$2:$D$6,B12),0)</f>
        <v>8.6666666666666661</v>
      </c>
      <c r="G12" s="23"/>
      <c r="H12" s="9" t="s">
        <v>21</v>
      </c>
      <c r="I12" s="10">
        <f>COUNTIFS(Data!$F$2:$F$6,H12)</f>
        <v>2</v>
      </c>
      <c r="J12" s="11">
        <f>SUMIFS(Data!$E$2:$E$6,Data!$F$2:$F$6,H12)</f>
        <v>700</v>
      </c>
      <c r="K12" s="11">
        <f>SUMIFS(Data!$E$2:$E$6,Data!$F$2:$F$6,H12,Data!$D$2:$D$6,"Completed")</f>
        <v>500</v>
      </c>
      <c r="L12" s="36">
        <f>IFERROR(COUNTIFS(Data!$F$2:$F$6,H12,Data!$D$2:$D$6,"Completed")/I12,0)</f>
        <v>0.5</v>
      </c>
    </row>
    <row r="13" spans="2:12" x14ac:dyDescent="0.2">
      <c r="B13" s="35" t="s">
        <v>22</v>
      </c>
      <c r="C13" s="10">
        <f>COUNTIFS(Data!$D$2:$D$6,B13)</f>
        <v>1</v>
      </c>
      <c r="D13" s="11">
        <f>SUMIFS(Data!$E$2:$E$6,Data!$D$2:$D$6,B13)</f>
        <v>300</v>
      </c>
      <c r="E13" s="12">
        <f>D13/D$15</f>
        <v>0.18181818181818182</v>
      </c>
      <c r="F13" s="13">
        <f>IFERROR(AVERAGEIFS(Data!$G$2:$G$6,Data!$D$2:$D$6,B13),0)</f>
        <v>0</v>
      </c>
      <c r="G13" s="23"/>
      <c r="H13" s="9" t="s">
        <v>23</v>
      </c>
      <c r="I13" s="10">
        <f>COUNTIFS(Data!$F$2:$F$6,H13)</f>
        <v>3</v>
      </c>
      <c r="J13" s="11">
        <f>SUMIFS(Data!$E$2:$E$6,Data!$F$2:$F$6,H13)</f>
        <v>950</v>
      </c>
      <c r="K13" s="11">
        <f>SUMIFS(Data!$E$2:$E$6,Data!$F$2:$F$6,H13,Data!$D$2:$D$6,"Completed")</f>
        <v>650</v>
      </c>
      <c r="L13" s="36">
        <f>IFERROR(COUNTIFS(Data!$F$2:$F$6,H13,Data!$D$2:$D$6,"Completed")/I13,0)</f>
        <v>0.66666666666666663</v>
      </c>
    </row>
    <row r="14" spans="2:12" x14ac:dyDescent="0.2">
      <c r="B14" s="35" t="s">
        <v>24</v>
      </c>
      <c r="C14" s="10">
        <f>COUNTIFS(Data!$D$2:$D$6,B14)</f>
        <v>1</v>
      </c>
      <c r="D14" s="11">
        <f>SUMIFS(Data!$E$2:$E$6,Data!$D$2:$D$6,B14)</f>
        <v>200</v>
      </c>
      <c r="E14" s="12">
        <f>D14/D$15</f>
        <v>0.12121212121212122</v>
      </c>
      <c r="F14" s="13">
        <f>IFERROR(AVERAGEIFS(Data!$G$2:$G$6,Data!$D$2:$D$6,B14),0)</f>
        <v>24</v>
      </c>
      <c r="G14" s="23"/>
      <c r="H14" s="14" t="s">
        <v>25</v>
      </c>
      <c r="I14" s="15">
        <f>SUM(I12:I13)</f>
        <v>5</v>
      </c>
      <c r="J14" s="16">
        <f>SUM(J12:J13)</f>
        <v>1650</v>
      </c>
      <c r="K14" s="16">
        <f>SUM(K12:K13)</f>
        <v>1150</v>
      </c>
      <c r="L14" s="37">
        <f>COUNTIFS(Data!$D$2:$D$6,"Completed")/I14</f>
        <v>0.6</v>
      </c>
    </row>
    <row r="15" spans="2:12" x14ac:dyDescent="0.2">
      <c r="B15" s="38" t="s">
        <v>25</v>
      </c>
      <c r="C15" s="15">
        <f>SUM(C12:C14)</f>
        <v>5</v>
      </c>
      <c r="D15" s="16">
        <f>SUM(D12:D14)</f>
        <v>1650</v>
      </c>
      <c r="E15" s="17">
        <f>SUM(E12:E14)</f>
        <v>1</v>
      </c>
      <c r="F15" s="18">
        <f>AVERAGE(Data!$G$2:$G$6)</f>
        <v>10</v>
      </c>
      <c r="G15" s="23"/>
      <c r="H15" s="23"/>
      <c r="I15" s="23"/>
      <c r="J15" s="23"/>
      <c r="K15" s="23"/>
      <c r="L15" s="24"/>
    </row>
    <row r="16" spans="2:12" x14ac:dyDescent="0.2">
      <c r="B16" s="22"/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2:12" x14ac:dyDescent="0.2">
      <c r="B17" s="31" t="s">
        <v>26</v>
      </c>
      <c r="C17" s="23"/>
      <c r="D17" s="23"/>
      <c r="E17" s="23"/>
      <c r="F17" s="23"/>
      <c r="G17" s="23"/>
      <c r="H17" s="32" t="s">
        <v>27</v>
      </c>
      <c r="I17" s="23"/>
      <c r="J17" s="23"/>
      <c r="K17" s="23"/>
      <c r="L17" s="24"/>
    </row>
    <row r="18" spans="2:12" ht="30" customHeight="1" x14ac:dyDescent="0.2">
      <c r="B18" s="33" t="s">
        <v>28</v>
      </c>
      <c r="C18" s="8" t="s">
        <v>29</v>
      </c>
      <c r="D18" s="8" t="s">
        <v>30</v>
      </c>
      <c r="E18" s="8" t="s">
        <v>19</v>
      </c>
      <c r="F18" s="8" t="s">
        <v>31</v>
      </c>
      <c r="G18" s="23"/>
      <c r="H18" s="8" t="s">
        <v>32</v>
      </c>
      <c r="I18" s="8" t="s">
        <v>29</v>
      </c>
      <c r="J18" s="8" t="s">
        <v>30</v>
      </c>
      <c r="K18" s="8" t="s">
        <v>19</v>
      </c>
      <c r="L18" s="34" t="s">
        <v>17</v>
      </c>
    </row>
    <row r="19" spans="2:12" x14ac:dyDescent="0.2">
      <c r="B19" s="39">
        <v>46303</v>
      </c>
      <c r="C19" s="9">
        <f>COUNTIFS(Data!$C$2:$C$6,B19)</f>
        <v>2</v>
      </c>
      <c r="D19" s="11">
        <f>SUMIFS(Data!$E$2:$E$6,Data!$C$2:$C$6,B19)</f>
        <v>800</v>
      </c>
      <c r="E19" s="11">
        <f>SUMIFS(Data!$E$2:$E$6,Data!$C$2:$C$6,B19,Data!$D$2:$D$6,"Completed")</f>
        <v>500</v>
      </c>
      <c r="F19" s="11">
        <f>SUMIFS(Data!$E$2:$E$6,Data!$C$2:$C$6,B19,Data!$D$2:$D$6,"Rejected")</f>
        <v>0</v>
      </c>
      <c r="G19" s="23"/>
      <c r="H19" s="9" t="s">
        <v>33</v>
      </c>
      <c r="I19" s="10">
        <f>COUNTIFS(Data!$B$2:$B$6,H19)</f>
        <v>1</v>
      </c>
      <c r="J19" s="11">
        <f>SUMIFS(Data!$E$2:$E$6,Data!$B$2:$B$6,H19)</f>
        <v>500</v>
      </c>
      <c r="K19" s="11">
        <f>SUMIFS(Data!$E$2:$E$6,Data!$B$2:$B$6,H19,Data!$D$2:$D$6,"Completed")</f>
        <v>500</v>
      </c>
      <c r="L19" s="40">
        <f>IFERROR(AVERAGEIFS(Data!$G$2:$G$6,Data!$B$2:$B$6,H19),0)</f>
        <v>12</v>
      </c>
    </row>
    <row r="20" spans="2:12" x14ac:dyDescent="0.2">
      <c r="B20" s="39">
        <v>46304</v>
      </c>
      <c r="C20" s="9">
        <f>COUNTIFS(Data!$C$2:$C$6,B20)</f>
        <v>1</v>
      </c>
      <c r="D20" s="11">
        <f>SUMIFS(Data!$E$2:$E$6,Data!$C$2:$C$6,B20)</f>
        <v>250</v>
      </c>
      <c r="E20" s="11">
        <f>SUMIFS(Data!$E$2:$E$6,Data!$C$2:$C$6,B20,Data!$D$2:$D$6,"Completed")</f>
        <v>250</v>
      </c>
      <c r="F20" s="11">
        <f>SUMIFS(Data!$E$2:$E$6,Data!$C$2:$C$6,B20,Data!$D$2:$D$6,"Rejected")</f>
        <v>0</v>
      </c>
      <c r="G20" s="23"/>
      <c r="H20" s="9" t="s">
        <v>34</v>
      </c>
      <c r="I20" s="10">
        <f>COUNTIFS(Data!$B$2:$B$6,H20)</f>
        <v>1</v>
      </c>
      <c r="J20" s="11">
        <f>SUMIFS(Data!$E$2:$E$6,Data!$B$2:$B$6,H20)</f>
        <v>300</v>
      </c>
      <c r="K20" s="11">
        <f>SUMIFS(Data!$E$2:$E$6,Data!$B$2:$B$6,H20,Data!$D$2:$D$6,"Completed")</f>
        <v>0</v>
      </c>
      <c r="L20" s="40">
        <f>IFERROR(AVERAGEIFS(Data!$G$2:$G$6,Data!$B$2:$B$6,H20),0)</f>
        <v>0</v>
      </c>
    </row>
    <row r="21" spans="2:12" x14ac:dyDescent="0.2">
      <c r="B21" s="39">
        <v>46305</v>
      </c>
      <c r="C21" s="9">
        <f>COUNTIFS(Data!$C$2:$C$6,B21)</f>
        <v>1</v>
      </c>
      <c r="D21" s="11">
        <f>SUMIFS(Data!$E$2:$E$6,Data!$C$2:$C$6,B21)</f>
        <v>200</v>
      </c>
      <c r="E21" s="11">
        <f>SUMIFS(Data!$E$2:$E$6,Data!$C$2:$C$6,B21,Data!$D$2:$D$6,"Completed")</f>
        <v>0</v>
      </c>
      <c r="F21" s="11">
        <f>SUMIFS(Data!$E$2:$E$6,Data!$C$2:$C$6,B21,Data!$D$2:$D$6,"Rejected")</f>
        <v>200</v>
      </c>
      <c r="G21" s="23"/>
      <c r="H21" s="9" t="s">
        <v>35</v>
      </c>
      <c r="I21" s="10">
        <f>COUNTIFS(Data!$B$2:$B$6,H21)</f>
        <v>1</v>
      </c>
      <c r="J21" s="11">
        <f>SUMIFS(Data!$E$2:$E$6,Data!$B$2:$B$6,H21)</f>
        <v>250</v>
      </c>
      <c r="K21" s="11">
        <f>SUMIFS(Data!$E$2:$E$6,Data!$B$2:$B$6,H21,Data!$D$2:$D$6,"Completed")</f>
        <v>250</v>
      </c>
      <c r="L21" s="40">
        <f>IFERROR(AVERAGEIFS(Data!$G$2:$G$6,Data!$B$2:$B$6,H21),0)</f>
        <v>6</v>
      </c>
    </row>
    <row r="22" spans="2:12" x14ac:dyDescent="0.2">
      <c r="B22" s="39">
        <v>46306</v>
      </c>
      <c r="C22" s="9">
        <f>COUNTIFS(Data!$C$2:$C$6,B22)</f>
        <v>1</v>
      </c>
      <c r="D22" s="11">
        <f>SUMIFS(Data!$E$2:$E$6,Data!$C$2:$C$6,B22)</f>
        <v>400</v>
      </c>
      <c r="E22" s="11">
        <f>SUMIFS(Data!$E$2:$E$6,Data!$C$2:$C$6,B22,Data!$D$2:$D$6,"Completed")</f>
        <v>400</v>
      </c>
      <c r="F22" s="11">
        <f>SUMIFS(Data!$E$2:$E$6,Data!$C$2:$C$6,B22,Data!$D$2:$D$6,"Rejected")</f>
        <v>0</v>
      </c>
      <c r="G22" s="23"/>
      <c r="H22" s="9" t="s">
        <v>36</v>
      </c>
      <c r="I22" s="10">
        <f>COUNTIFS(Data!$B$2:$B$6,H22)</f>
        <v>1</v>
      </c>
      <c r="J22" s="11">
        <f>SUMIFS(Data!$E$2:$E$6,Data!$B$2:$B$6,H22)</f>
        <v>200</v>
      </c>
      <c r="K22" s="11">
        <f>SUMIFS(Data!$E$2:$E$6,Data!$B$2:$B$6,H22,Data!$D$2:$D$6,"Completed")</f>
        <v>0</v>
      </c>
      <c r="L22" s="40">
        <f>IFERROR(AVERAGEIFS(Data!$G$2:$G$6,Data!$B$2:$B$6,H22),0)</f>
        <v>24</v>
      </c>
    </row>
    <row r="23" spans="2:12" x14ac:dyDescent="0.2">
      <c r="B23" s="38" t="s">
        <v>25</v>
      </c>
      <c r="C23" s="14">
        <f>SUM(C19:C22)</f>
        <v>5</v>
      </c>
      <c r="D23" s="16">
        <f>SUM(D19:D22)</f>
        <v>1650</v>
      </c>
      <c r="E23" s="16">
        <f>SUM(E19:E22)</f>
        <v>1150</v>
      </c>
      <c r="F23" s="16">
        <f>SUM(F19:F22)</f>
        <v>200</v>
      </c>
      <c r="G23" s="23"/>
      <c r="H23" s="9" t="s">
        <v>37</v>
      </c>
      <c r="I23" s="10">
        <f>COUNTIFS(Data!$B$2:$B$6,H23)</f>
        <v>1</v>
      </c>
      <c r="J23" s="11">
        <f>SUMIFS(Data!$E$2:$E$6,Data!$B$2:$B$6,H23)</f>
        <v>400</v>
      </c>
      <c r="K23" s="11">
        <f>SUMIFS(Data!$E$2:$E$6,Data!$B$2:$B$6,H23,Data!$D$2:$D$6,"Completed")</f>
        <v>400</v>
      </c>
      <c r="L23" s="40">
        <f>IFERROR(AVERAGEIFS(Data!$G$2:$G$6,Data!$B$2:$B$6,H23),0)</f>
        <v>8</v>
      </c>
    </row>
    <row r="24" spans="2:12" x14ac:dyDescent="0.2">
      <c r="B24" s="22"/>
      <c r="C24" s="23"/>
      <c r="D24" s="23"/>
      <c r="E24" s="23"/>
      <c r="F24" s="23"/>
      <c r="G24" s="23"/>
      <c r="H24" s="14" t="s">
        <v>25</v>
      </c>
      <c r="I24" s="15">
        <f>SUM(I19:I23)</f>
        <v>5</v>
      </c>
      <c r="J24" s="16">
        <f>SUM(J19:J23)</f>
        <v>1650</v>
      </c>
      <c r="K24" s="16">
        <f>SUM(K19:K23)</f>
        <v>1150</v>
      </c>
      <c r="L24" s="41">
        <f>AVERAGE(Data!$G$2:$G$6)</f>
        <v>10</v>
      </c>
    </row>
    <row r="25" spans="2:12" x14ac:dyDescent="0.2"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2:12" x14ac:dyDescent="0.2">
      <c r="B26" s="42" t="s">
        <v>38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2:12" ht="25.5" customHeight="1" x14ac:dyDescent="0.2">
      <c r="B27" s="43" t="s">
        <v>39</v>
      </c>
      <c r="C27" s="1"/>
      <c r="D27" s="1"/>
      <c r="E27" s="1"/>
      <c r="F27" s="1"/>
      <c r="G27" s="1"/>
      <c r="H27" s="1"/>
      <c r="I27" s="1"/>
      <c r="J27" s="1"/>
      <c r="K27" s="1"/>
      <c r="L27" s="44"/>
    </row>
    <row r="28" spans="2:12" ht="25.5" customHeight="1" x14ac:dyDescent="0.2">
      <c r="B28" s="43" t="s">
        <v>40</v>
      </c>
      <c r="C28" s="1"/>
      <c r="D28" s="1"/>
      <c r="E28" s="1"/>
      <c r="F28" s="1"/>
      <c r="G28" s="1"/>
      <c r="H28" s="1"/>
      <c r="I28" s="1"/>
      <c r="J28" s="1"/>
      <c r="K28" s="1"/>
      <c r="L28" s="44"/>
    </row>
    <row r="29" spans="2:12" x14ac:dyDescent="0.2">
      <c r="B29" s="54" t="s">
        <v>53</v>
      </c>
      <c r="C29" s="55"/>
      <c r="D29" s="55"/>
      <c r="E29" s="55"/>
      <c r="F29" s="55"/>
      <c r="G29" s="55"/>
      <c r="H29" s="55"/>
      <c r="I29" s="55"/>
      <c r="J29" s="55"/>
      <c r="K29" s="23"/>
      <c r="L29" s="24"/>
    </row>
    <row r="30" spans="2:12" x14ac:dyDescent="0.2">
      <c r="B30" s="54"/>
      <c r="C30" s="55"/>
      <c r="D30" s="55"/>
      <c r="E30" s="55"/>
      <c r="F30" s="55"/>
      <c r="G30" s="55"/>
      <c r="H30" s="55"/>
      <c r="I30" s="55"/>
      <c r="J30" s="55"/>
      <c r="K30" s="23"/>
      <c r="L30" s="24"/>
    </row>
    <row r="31" spans="2:12" x14ac:dyDescent="0.2"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2:12" x14ac:dyDescent="0.2">
      <c r="B32" s="22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2:12" x14ac:dyDescent="0.2">
      <c r="B33" s="22"/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2:12" x14ac:dyDescent="0.2">
      <c r="B34" s="22"/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2:12" x14ac:dyDescent="0.2"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2:12" x14ac:dyDescent="0.2">
      <c r="B36" s="22"/>
      <c r="C36" s="23"/>
      <c r="D36" s="23"/>
      <c r="E36" s="23"/>
      <c r="F36" s="23"/>
      <c r="G36" s="23"/>
      <c r="H36" s="23"/>
      <c r="I36" s="23"/>
      <c r="J36" s="23"/>
      <c r="K36" s="23"/>
      <c r="L36" s="24"/>
    </row>
    <row r="37" spans="2:12" x14ac:dyDescent="0.2"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2:12" x14ac:dyDescent="0.2"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4"/>
    </row>
    <row r="39" spans="2:12" x14ac:dyDescent="0.2"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2:12" x14ac:dyDescent="0.2">
      <c r="B40" s="22"/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2:12" x14ac:dyDescent="0.2">
      <c r="B41" s="22"/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2:12" x14ac:dyDescent="0.2">
      <c r="B42" s="22"/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2:12" x14ac:dyDescent="0.2"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2:12" x14ac:dyDescent="0.2">
      <c r="B44" s="22"/>
      <c r="C44" s="23"/>
      <c r="D44" s="23"/>
      <c r="E44" s="23"/>
      <c r="F44" s="23"/>
      <c r="G44" s="23"/>
      <c r="H44" s="23"/>
      <c r="I44" s="23"/>
      <c r="J44" s="23"/>
      <c r="K44" s="23"/>
      <c r="L44" s="24"/>
    </row>
    <row r="45" spans="2:12" x14ac:dyDescent="0.2"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2:12" x14ac:dyDescent="0.2">
      <c r="B46" s="22"/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2:12" x14ac:dyDescent="0.2"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2:12" x14ac:dyDescent="0.2">
      <c r="B48" s="22"/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2:12" x14ac:dyDescent="0.2"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2:12" x14ac:dyDescent="0.2">
      <c r="B50" s="22"/>
      <c r="C50" s="23"/>
      <c r="D50" s="23"/>
      <c r="E50" s="23"/>
      <c r="F50" s="23"/>
      <c r="G50" s="23"/>
      <c r="H50" s="23"/>
      <c r="I50" s="23"/>
      <c r="J50" s="23"/>
      <c r="K50" s="23"/>
      <c r="L50" s="24"/>
    </row>
    <row r="51" spans="2:12" x14ac:dyDescent="0.2">
      <c r="B51" s="22"/>
      <c r="C51" s="23"/>
      <c r="D51" s="23"/>
      <c r="E51" s="23"/>
      <c r="F51" s="23"/>
      <c r="G51" s="23"/>
      <c r="H51" s="23"/>
      <c r="I51" s="23"/>
      <c r="J51" s="23"/>
      <c r="K51" s="23"/>
      <c r="L51" s="24"/>
    </row>
    <row r="52" spans="2:12" x14ac:dyDescent="0.2">
      <c r="B52" s="22"/>
      <c r="C52" s="23"/>
      <c r="D52" s="23"/>
      <c r="E52" s="23"/>
      <c r="F52" s="23"/>
      <c r="G52" s="23"/>
      <c r="H52" s="23"/>
      <c r="I52" s="23"/>
      <c r="J52" s="23"/>
      <c r="K52" s="23"/>
      <c r="L52" s="24"/>
    </row>
    <row r="53" spans="2:12" x14ac:dyDescent="0.2">
      <c r="B53" s="22"/>
      <c r="C53" s="23"/>
      <c r="D53" s="23"/>
      <c r="E53" s="23"/>
      <c r="F53" s="23"/>
      <c r="G53" s="23"/>
      <c r="H53" s="23"/>
      <c r="I53" s="23"/>
      <c r="J53" s="23"/>
      <c r="K53" s="23"/>
      <c r="L53" s="24"/>
    </row>
    <row r="54" spans="2:12" x14ac:dyDescent="0.2">
      <c r="B54" s="22"/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2:12" x14ac:dyDescent="0.2">
      <c r="B55" s="22"/>
      <c r="C55" s="23"/>
      <c r="D55" s="23"/>
      <c r="E55" s="23"/>
      <c r="F55" s="23"/>
      <c r="G55" s="23"/>
      <c r="H55" s="23"/>
      <c r="I55" s="23"/>
      <c r="J55" s="23"/>
      <c r="K55" s="23"/>
      <c r="L55" s="24"/>
    </row>
    <row r="56" spans="2:12" x14ac:dyDescent="0.2">
      <c r="B56" s="22"/>
      <c r="C56" s="23"/>
      <c r="D56" s="23"/>
      <c r="E56" s="23"/>
      <c r="F56" s="23"/>
      <c r="G56" s="23"/>
      <c r="H56" s="23"/>
      <c r="I56" s="23"/>
      <c r="J56" s="23"/>
      <c r="K56" s="23"/>
      <c r="L56" s="24"/>
    </row>
    <row r="57" spans="2:12" x14ac:dyDescent="0.2">
      <c r="B57" s="22"/>
      <c r="C57" s="23"/>
      <c r="D57" s="23"/>
      <c r="E57" s="23"/>
      <c r="F57" s="23"/>
      <c r="G57" s="23"/>
      <c r="H57" s="23"/>
      <c r="I57" s="23"/>
      <c r="J57" s="23"/>
      <c r="K57" s="23"/>
      <c r="L57" s="24"/>
    </row>
    <row r="58" spans="2:12" x14ac:dyDescent="0.2">
      <c r="B58" s="22"/>
      <c r="C58" s="23"/>
      <c r="D58" s="23"/>
      <c r="E58" s="23"/>
      <c r="F58" s="23"/>
      <c r="G58" s="23"/>
      <c r="H58" s="23"/>
      <c r="I58" s="23"/>
      <c r="J58" s="23"/>
      <c r="K58" s="23"/>
      <c r="L58" s="24"/>
    </row>
    <row r="59" spans="2:12" x14ac:dyDescent="0.2">
      <c r="B59" s="22"/>
      <c r="C59" s="23"/>
      <c r="D59" s="23"/>
      <c r="E59" s="23"/>
      <c r="F59" s="23"/>
      <c r="G59" s="23"/>
      <c r="H59" s="23"/>
      <c r="I59" s="23"/>
      <c r="J59" s="23"/>
      <c r="K59" s="23"/>
      <c r="L59" s="24"/>
    </row>
    <row r="60" spans="2:12" x14ac:dyDescent="0.2">
      <c r="B60" s="22"/>
      <c r="C60" s="23"/>
      <c r="D60" s="23"/>
      <c r="E60" s="23"/>
      <c r="F60" s="23"/>
      <c r="G60" s="23"/>
      <c r="H60" s="23"/>
      <c r="I60" s="23"/>
      <c r="J60" s="23"/>
      <c r="K60" s="23"/>
      <c r="L60" s="24"/>
    </row>
    <row r="61" spans="2:12" x14ac:dyDescent="0.2">
      <c r="B61" s="22"/>
      <c r="C61" s="23"/>
      <c r="D61" s="23"/>
      <c r="E61" s="23"/>
      <c r="F61" s="23"/>
      <c r="G61" s="23"/>
      <c r="H61" s="23"/>
      <c r="I61" s="23"/>
      <c r="J61" s="23"/>
      <c r="K61" s="23"/>
      <c r="L61" s="24"/>
    </row>
    <row r="62" spans="2:12" x14ac:dyDescent="0.2">
      <c r="B62" s="22"/>
      <c r="C62" s="23"/>
      <c r="D62" s="23"/>
      <c r="E62" s="23"/>
      <c r="F62" s="23"/>
      <c r="G62" s="23"/>
      <c r="H62" s="23"/>
      <c r="I62" s="23"/>
      <c r="J62" s="23"/>
      <c r="K62" s="23"/>
      <c r="L62" s="24"/>
    </row>
    <row r="63" spans="2:12" x14ac:dyDescent="0.2">
      <c r="B63" s="22"/>
      <c r="C63" s="23"/>
      <c r="D63" s="23"/>
      <c r="E63" s="23"/>
      <c r="F63" s="23"/>
      <c r="G63" s="23"/>
      <c r="H63" s="23"/>
      <c r="I63" s="23"/>
      <c r="J63" s="23"/>
      <c r="K63" s="23"/>
      <c r="L63" s="24"/>
    </row>
    <row r="64" spans="2:12" x14ac:dyDescent="0.2">
      <c r="B64" s="22"/>
      <c r="C64" s="23"/>
      <c r="D64" s="23"/>
      <c r="E64" s="23"/>
      <c r="F64" s="23"/>
      <c r="G64" s="23"/>
      <c r="H64" s="23"/>
      <c r="I64" s="23"/>
      <c r="J64" s="23"/>
      <c r="K64" s="23"/>
      <c r="L64" s="24"/>
    </row>
    <row r="65" spans="2:12" ht="15.75" thickBot="1" x14ac:dyDescent="0.25">
      <c r="B65" s="45"/>
      <c r="C65" s="46"/>
      <c r="D65" s="46"/>
      <c r="E65" s="46"/>
      <c r="F65" s="46"/>
      <c r="G65" s="46"/>
      <c r="H65" s="46"/>
      <c r="I65" s="46"/>
      <c r="J65" s="46"/>
      <c r="K65" s="46"/>
      <c r="L65" s="47"/>
    </row>
  </sheetData>
  <mergeCells count="25">
    <mergeCell ref="B27:L27"/>
    <mergeCell ref="B28:L28"/>
    <mergeCell ref="B29:J30"/>
    <mergeCell ref="B8:C8"/>
    <mergeCell ref="D8:E8"/>
    <mergeCell ref="F8:H8"/>
    <mergeCell ref="I8:J8"/>
    <mergeCell ref="K8:L8"/>
    <mergeCell ref="B7:C7"/>
    <mergeCell ref="D7:E7"/>
    <mergeCell ref="F7:H7"/>
    <mergeCell ref="I7:J7"/>
    <mergeCell ref="K7:L7"/>
    <mergeCell ref="B5:C5"/>
    <mergeCell ref="D5:E5"/>
    <mergeCell ref="F5:H5"/>
    <mergeCell ref="I5:J5"/>
    <mergeCell ref="K5:L5"/>
    <mergeCell ref="B1:L1"/>
    <mergeCell ref="B2:L2"/>
    <mergeCell ref="B4:C4"/>
    <mergeCell ref="D4:E4"/>
    <mergeCell ref="F4:H4"/>
    <mergeCell ref="I4:J4"/>
    <mergeCell ref="K4:L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Normal="100" workbookViewId="0">
      <pane ySplit="1" topLeftCell="A2" activePane="bottomLeft" state="frozen"/>
      <selection pane="bottomLeft"/>
    </sheetView>
  </sheetViews>
  <sheetFormatPr defaultColWidth="8.7421875" defaultRowHeight="15" x14ac:dyDescent="0.2"/>
  <cols>
    <col min="1" max="1" width="16.0078125" customWidth="1"/>
    <col min="2" max="2" width="9.953125" customWidth="1"/>
    <col min="3" max="3" width="16.0078125" customWidth="1"/>
    <col min="4" max="4" width="13.98828125" customWidth="1"/>
    <col min="5" max="5" width="9.953125" customWidth="1"/>
    <col min="6" max="6" width="16.0078125" customWidth="1"/>
    <col min="7" max="7" width="20.04296875" customWidth="1"/>
  </cols>
  <sheetData>
    <row r="1" spans="1:7" x14ac:dyDescent="0.2">
      <c r="A1" s="19" t="s">
        <v>41</v>
      </c>
      <c r="B1" s="19" t="s">
        <v>42</v>
      </c>
      <c r="C1" s="19" t="s">
        <v>43</v>
      </c>
      <c r="D1" s="19" t="s">
        <v>13</v>
      </c>
      <c r="E1" s="19" t="s">
        <v>44</v>
      </c>
      <c r="F1" s="19" t="s">
        <v>45</v>
      </c>
      <c r="G1" s="19" t="s">
        <v>46</v>
      </c>
    </row>
    <row r="2" spans="1:7" x14ac:dyDescent="0.2">
      <c r="A2" s="9" t="s">
        <v>47</v>
      </c>
      <c r="B2" s="9" t="s">
        <v>33</v>
      </c>
      <c r="C2" s="20">
        <v>46303</v>
      </c>
      <c r="D2" s="9" t="s">
        <v>20</v>
      </c>
      <c r="E2" s="10">
        <v>500</v>
      </c>
      <c r="F2" s="9" t="s">
        <v>21</v>
      </c>
      <c r="G2" s="9">
        <v>12</v>
      </c>
    </row>
    <row r="3" spans="1:7" x14ac:dyDescent="0.2">
      <c r="A3" s="9" t="s">
        <v>48</v>
      </c>
      <c r="B3" s="9" t="s">
        <v>34</v>
      </c>
      <c r="C3" s="20">
        <v>46303</v>
      </c>
      <c r="D3" s="9" t="s">
        <v>22</v>
      </c>
      <c r="E3" s="10">
        <v>300</v>
      </c>
      <c r="F3" s="9" t="s">
        <v>23</v>
      </c>
      <c r="G3" s="9">
        <v>0</v>
      </c>
    </row>
    <row r="4" spans="1:7" x14ac:dyDescent="0.2">
      <c r="A4" s="9" t="s">
        <v>49</v>
      </c>
      <c r="B4" s="9" t="s">
        <v>35</v>
      </c>
      <c r="C4" s="20">
        <v>46304</v>
      </c>
      <c r="D4" s="9" t="s">
        <v>20</v>
      </c>
      <c r="E4" s="10">
        <v>250</v>
      </c>
      <c r="F4" s="9" t="s">
        <v>23</v>
      </c>
      <c r="G4" s="9">
        <v>6</v>
      </c>
    </row>
    <row r="5" spans="1:7" x14ac:dyDescent="0.2">
      <c r="A5" s="9" t="s">
        <v>50</v>
      </c>
      <c r="B5" s="9" t="s">
        <v>36</v>
      </c>
      <c r="C5" s="20">
        <v>46305</v>
      </c>
      <c r="D5" s="9" t="s">
        <v>24</v>
      </c>
      <c r="E5" s="10">
        <v>200</v>
      </c>
      <c r="F5" s="9" t="s">
        <v>21</v>
      </c>
      <c r="G5" s="9">
        <v>24</v>
      </c>
    </row>
    <row r="6" spans="1:7" x14ac:dyDescent="0.2">
      <c r="A6" s="9" t="s">
        <v>51</v>
      </c>
      <c r="B6" s="9" t="s">
        <v>37</v>
      </c>
      <c r="C6" s="20">
        <v>46306</v>
      </c>
      <c r="D6" s="9" t="s">
        <v>20</v>
      </c>
      <c r="E6" s="10">
        <v>400</v>
      </c>
      <c r="F6" s="9" t="s">
        <v>23</v>
      </c>
      <c r="G6" s="9">
        <v>8</v>
      </c>
    </row>
    <row r="8" spans="1:7" x14ac:dyDescent="0.2">
      <c r="A8" s="21" t="s">
        <v>52</v>
      </c>
    </row>
  </sheetData>
  <autoFilter ref="A1:G6" xr:uid="{00000000-0009-0000-0000-000001000000}"/>
  <conditionalFormatting sqref="D2:D6">
    <cfRule type="cellIs" dxfId="2" priority="2" operator="equal">
      <formula>"Completed"</formula>
    </cfRule>
    <cfRule type="cellIs" dxfId="1" priority="3" operator="equal">
      <formula>"Pending"</formula>
    </cfRule>
    <cfRule type="cellIs" dxfId="0" priority="4" operator="equal">
      <formula>"Rejected"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2026-10-14T09:23:02Z</dcterms:created>
  <dcterms:modified xsi:type="dcterms:W3CDTF">2026-10-14T09:23:05Z</dcterms:modified>
  <dc:language>en-US</dc:language>
</cp:coreProperties>
</file>