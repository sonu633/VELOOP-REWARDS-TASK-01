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wards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<sst xmlns="http://schemas.openxmlformats.org/spreadsheetml/2006/main" count="88" uniqueCount="52">
  <si>
    <t xml:space="preserve">Rewards Dashboard</t>
  </si>
  <si>
    <t xml:space="preserve">Source: Rewards_Data sheet  |  All figures are live formulas</t>
  </si>
  <si>
    <t xml:space="preserve">Total Rewards</t>
  </si>
  <si>
    <t xml:space="preserve">Total Points</t>
  </si>
  <si>
    <t xml:space="preserve">Credited Points</t>
  </si>
  <si>
    <t xml:space="preserve">Pending Points</t>
  </si>
  <si>
    <t xml:space="preserve">Reversed Points</t>
  </si>
  <si>
    <t xml:space="preserve">Unique Users</t>
  </si>
  <si>
    <t xml:space="preserve">Avg Points / Reward</t>
  </si>
  <si>
    <t xml:space="preserve">Credit Success Rate</t>
  </si>
  <si>
    <t xml:space="preserve">Rewards by Source</t>
  </si>
  <si>
    <t xml:space="preserve">Source</t>
  </si>
  <si>
    <t xml:space="preserve">Rewards</t>
  </si>
  <si>
    <t xml:space="preserve">Daily Rewards</t>
  </si>
  <si>
    <t xml:space="preserve">Tasks</t>
  </si>
  <si>
    <t xml:space="preserve">Games</t>
  </si>
  <si>
    <t xml:space="preserve">Total</t>
  </si>
  <si>
    <t xml:space="preserve">Rewards by Status</t>
  </si>
  <si>
    <t xml:space="preserve">Status</t>
  </si>
  <si>
    <t xml:space="preserve">Points</t>
  </si>
  <si>
    <t xml:space="preserve">% of Points</t>
  </si>
  <si>
    <t xml:space="preserve">Credited</t>
  </si>
  <si>
    <t xml:space="preserve">Pending</t>
  </si>
  <si>
    <t xml:space="preserve">Reversed</t>
  </si>
  <si>
    <t xml:space="preserve">Daily Trend</t>
  </si>
  <si>
    <t xml:space="preserve">Date</t>
  </si>
  <si>
    <t xml:space="preserve">Rewards by User</t>
  </si>
  <si>
    <t xml:space="preserve">User</t>
  </si>
  <si>
    <t xml:space="preserve">U001</t>
  </si>
  <si>
    <t xml:space="preserve">U002</t>
  </si>
  <si>
    <t xml:space="preserve">U003</t>
  </si>
  <si>
    <t xml:space="preserve">U004</t>
  </si>
  <si>
    <t xml:space="preserve">U005</t>
  </si>
  <si>
    <t xml:space="preserve">U007</t>
  </si>
  <si>
    <t xml:space="preserve">U008</t>
  </si>
  <si>
    <t xml:space="preserve">Reward_ID</t>
  </si>
  <si>
    <t xml:space="preserve">User_ID</t>
  </si>
  <si>
    <t xml:space="preserve">Reward_Date</t>
  </si>
  <si>
    <t xml:space="preserve">Reward_Source</t>
  </si>
  <si>
    <t xml:space="preserve">Reward_Points</t>
  </si>
  <si>
    <t xml:space="preserve">Reward_Status</t>
  </si>
  <si>
    <t xml:space="preserve">Notes</t>
  </si>
  <si>
    <t xml:space="preserve">R001</t>
  </si>
  <si>
    <t xml:space="preserve">R008 Reward_Status was split onto a new line in the source data; read as 'Credited'.</t>
  </si>
  <si>
    <t xml:space="preserve">R002</t>
  </si>
  <si>
    <t xml:space="preserve">Dashboard formulas read rows 2-500, so new rows added below the table are picked up.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</si>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</sst>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%"/>
    <numFmt numFmtId="168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Points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Dashboard!C8</c:f>
              <c:strCache>
                <c:ptCount val="1"/>
                <c:pt idx="0">
                  <c:v>Total Points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Dashboard!$A$9:$A$11</c:f>
              <c:strCache>
                <c:ptCount val="3"/>
                <c:pt idx="0">
                  <c:v>Daily Rewards</c:v>
                </c:pt>
                <c:pt idx="1">
                  <c:v>Tasks</c:v>
                </c:pt>
                <c:pt idx="2">
                  <c:v>Games</c:v>
                </c:pt>
              </c:strCache>
            </c:strRef>
          </c:cat>
          <c:val>
            <c:numRef>
              <c:f>Dashboard!$C$9:$C$11</c:f>
              <c:numCache>
                <c:formatCode>#,##0</c:formatCode>
                <c:ptCount val="3"/>
                <c:pt idx="0">
                  <c:v>300</c:v>
                </c:pt>
                <c:pt idx="1">
                  <c:v>475</c:v>
                </c:pt>
                <c:pt idx="2">
                  <c:v>125</c:v>
                </c:pt>
              </c:numCache>
            </c:numRef>
          </c:val>
        </c:ser>
        <c:ser>
          <c:idx val="1"/>
          <c:order val="1"/>
          <c:tx>
            <c:strRef>
              <c:f>Dashboard!D8</c:f>
              <c:strCache>
                <c:ptCount val="1"/>
                <c:pt idx="0">
                  <c:v>Credited Points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Dashboard!$A$9:$A$11</c:f>
              <c:strCache>
                <c:ptCount val="3"/>
                <c:pt idx="0">
                  <c:v>Daily Rewards</c:v>
                </c:pt>
                <c:pt idx="1">
                  <c:v>Tasks</c:v>
                </c:pt>
                <c:pt idx="2">
                  <c:v>Games</c:v>
                </c:pt>
              </c:strCache>
            </c:strRef>
          </c:cat>
          <c:val>
            <c:numRef>
              <c:f>Dashboard!$D$9:$D$11</c:f>
              <c:numCache>
                <c:formatCode>#,##0</c:formatCode>
                <c:ptCount val="3"/>
                <c:pt idx="0">
                  <c:v>300</c:v>
                </c:pt>
                <c:pt idx="1">
                  <c:v>200</c:v>
                </c:pt>
                <c:pt idx="2">
                  <c:v>75</c:v>
                </c:pt>
              </c:numCache>
            </c:numRef>
          </c:val>
        </c:ser>
        <c:gapWidth val="150"/>
        <c:overlap val="0"/>
        <c:axId val="94227252"/>
        <c:axId val="44922473"/>
      </c:barChart>
      <c:catAx>
        <c:axId val="94227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22473"/>
        <c:crosses val="autoZero"/>
        <c:auto val="1"/>
        <c:lblAlgn val="ctr"/>
        <c:lblOffset val="100"/>
        <c:noMultiLvlLbl val="0"/>
      </c:catAx>
      <c:valAx>
        <c:axId val="44922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272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Points Share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Dashboard!C16</c:f>
              <c:strCache>
                <c:ptCount val="1"/>
                <c:pt idx="0">
                  <c:v>Points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Dashboard!$A$17:$A$19</c:f>
              <c:strCache>
                <c:ptCount val="3"/>
                <c:pt idx="0">
                  <c:v>Credited</c:v>
                </c:pt>
                <c:pt idx="1">
                  <c:v>Pending</c:v>
                </c:pt>
                <c:pt idx="2">
                  <c:v>Reversed</c:v>
                </c:pt>
              </c:strCache>
            </c:strRef>
          </c:cat>
          <c:val>
            <c:numRef>
              <c:f>Dashboard!$C$17:$C$19</c:f>
              <c:numCache>
                <c:formatCode>#,##0</c:formatCode>
                <c:ptCount val="3"/>
                <c:pt idx="0">
                  <c:v>575</c:v>
                </c:pt>
                <c:pt idx="1">
                  <c:v>175</c:v>
                </c:pt>
                <c:pt idx="2">
                  <c:v>150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Points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Dashboard!C24</c:f>
              <c:strCache>
                <c:ptCount val="1"/>
                <c:pt idx="0">
                  <c:v>Total Points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Dashboard!$A$25:$A$28</c:f>
              <c:strCache>
                <c:ptCount val="4"/>
                <c:pt idx="0">
                  <c:v>2026-10-08</c:v>
                </c:pt>
                <c:pt idx="1">
                  <c:v>2026-10-09</c:v>
                </c:pt>
                <c:pt idx="2">
                  <c:v>2026-10-10</c:v>
                </c:pt>
                <c:pt idx="3">
                  <c:v>2026-10-11</c:v>
                </c:pt>
              </c:strCache>
            </c:strRef>
          </c:cat>
          <c:val>
            <c:numRef>
              <c:f>Dashboard!$C$25:$C$28</c:f>
              <c:numCache>
                <c:formatCode>#,##0</c:formatCode>
                <c:ptCount val="4"/>
                <c:pt idx="0">
                  <c:v>300</c:v>
                </c:pt>
                <c:pt idx="1">
                  <c:v>150</c:v>
                </c:pt>
                <c:pt idx="2">
                  <c:v>225</c:v>
                </c:pt>
                <c:pt idx="3">
                  <c:v>225</c:v>
                </c:pt>
              </c:numCache>
            </c:numRef>
          </c:val>
        </c:ser>
        <c:ser>
          <c:idx val="1"/>
          <c:order val="1"/>
          <c:tx>
            <c:strRef>
              <c:f>Dashboard!D24</c:f>
              <c:strCache>
                <c:ptCount val="1"/>
                <c:pt idx="0">
                  <c:v>Credited Points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Dashboard!$A$25:$A$28</c:f>
              <c:strCache>
                <c:ptCount val="4"/>
                <c:pt idx="0">
                  <c:v>2026-10-08</c:v>
                </c:pt>
                <c:pt idx="1">
                  <c:v>2026-10-09</c:v>
                </c:pt>
                <c:pt idx="2">
                  <c:v>2026-10-10</c:v>
                </c:pt>
                <c:pt idx="3">
                  <c:v>2026-10-11</c:v>
                </c:pt>
              </c:strCache>
            </c:strRef>
          </c:cat>
          <c:val>
            <c:numRef>
              <c:f>Dashboard!$D$25:$D$28</c:f>
              <c:numCache>
                <c:formatCode>#,##0</c:formatCode>
                <c:ptCount val="4"/>
                <c:pt idx="0">
                  <c:v>300</c:v>
                </c:pt>
                <c:pt idx="1">
                  <c:v>100</c:v>
                </c:pt>
                <c:pt idx="2">
                  <c:v>75</c:v>
                </c:pt>
                <c:pt idx="3">
                  <c:v>100</c:v>
                </c:pt>
              </c:numCache>
            </c:numRef>
          </c:val>
        </c:ser>
        <c:gapWidth val="150"/>
        <c:overlap val="0"/>
        <c:axId val="61864747"/>
        <c:axId val="41285400"/>
      </c:barChart>
      <c:catAx>
        <c:axId val="61864747"/>
        <c:scaling>
          <c:orientation val="minMax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85400"/>
        <c:crosses val="autoZero"/>
        <c:auto val="1"/>
        <c:lblAlgn val="ctr"/>
        <c:lblOffset val="100"/>
        <c:noMultiLvlLbl val="0"/>
      </c:catAx>
      <c:valAx>
        <c:axId val="41285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647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Points by User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Dashboard!C33</c:f>
              <c:strCache>
                <c:ptCount val="1"/>
                <c:pt idx="0">
                  <c:v>Total Points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Dashboard!$A$34:$A$40</c:f>
              <c:strCache>
                <c:ptCount val="7"/>
                <c:pt idx="0">
                  <c:v>U001</c:v>
                </c:pt>
                <c:pt idx="1">
                  <c:v>U002</c:v>
                </c:pt>
                <c:pt idx="2">
                  <c:v>U003</c:v>
                </c:pt>
                <c:pt idx="3">
                  <c:v>U004</c:v>
                </c:pt>
                <c:pt idx="4">
                  <c:v>U005</c:v>
                </c:pt>
                <c:pt idx="5">
                  <c:v>U007</c:v>
                </c:pt>
                <c:pt idx="6">
                  <c:v>U008</c:v>
                </c:pt>
              </c:strCache>
            </c:strRef>
          </c:cat>
          <c:val>
            <c:numRef>
              <c:f>Dashboard!$C$34:$C$40</c:f>
              <c:numCache>
                <c:formatCode>#,##0</c:formatCode>
                <c:ptCount val="7"/>
                <c:pt idx="0">
                  <c:v>175</c:v>
                </c:pt>
                <c:pt idx="1">
                  <c:v>200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125</c:v>
                </c:pt>
                <c:pt idx="6">
                  <c:v>100</c:v>
                </c:pt>
              </c:numCache>
            </c:numRef>
          </c:val>
        </c:ser>
        <c:gapWidth val="150"/>
        <c:overlap val="0"/>
        <c:axId val="31985571"/>
        <c:axId val="7951001"/>
      </c:barChart>
      <c:catAx>
        <c:axId val="31985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1001"/>
        <c:crosses val="autoZero"/>
        <c:auto val="1"/>
        <c:lblAlgn val="ctr"/>
        <c:lblOffset val="100"/>
        <c:noMultiLvlLbl val="0"/>
      </c:catAx>
      <c:valAx>
        <c:axId val="7951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855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13</xdr:col>
      <xdr:colOff>152280</xdr:colOff>
      <xdr:row>19</xdr:row>
      <xdr:rowOff>187200</xdr:rowOff>
    </xdr:to>
    <xdr:graphicFrame>
      <xdr:nvGraphicFramePr>
        <xdr:cNvPr id="0" name="Chart 1"/>
        <xdr:cNvGraphicFramePr/>
      </xdr:nvGraphicFramePr>
      <xdr:xfrm>
        <a:off x="4651920" y="1866960"/>
        <a:ext cx="55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6</xdr:row>
      <xdr:rowOff>0</xdr:rowOff>
    </xdr:from>
    <xdr:to>
      <xdr:col>21</xdr:col>
      <xdr:colOff>479880</xdr:colOff>
      <xdr:row>19</xdr:row>
      <xdr:rowOff>187200</xdr:rowOff>
    </xdr:to>
    <xdr:graphicFrame>
      <xdr:nvGraphicFramePr>
        <xdr:cNvPr id="1" name="Chart 2"/>
        <xdr:cNvGraphicFramePr/>
      </xdr:nvGraphicFramePr>
      <xdr:xfrm>
        <a:off x="10854720" y="1866960"/>
        <a:ext cx="55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22</xdr:row>
      <xdr:rowOff>0</xdr:rowOff>
    </xdr:from>
    <xdr:to>
      <xdr:col>13</xdr:col>
      <xdr:colOff>152280</xdr:colOff>
      <xdr:row>35</xdr:row>
      <xdr:rowOff>187200</xdr:rowOff>
    </xdr:to>
    <xdr:graphicFrame>
      <xdr:nvGraphicFramePr>
        <xdr:cNvPr id="2" name="Chart 3"/>
        <xdr:cNvGraphicFramePr/>
      </xdr:nvGraphicFramePr>
      <xdr:xfrm>
        <a:off x="4651920" y="4915080"/>
        <a:ext cx="55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22</xdr:row>
      <xdr:rowOff>0</xdr:rowOff>
    </xdr:from>
    <xdr:to>
      <xdr:col>21</xdr:col>
      <xdr:colOff>479880</xdr:colOff>
      <xdr:row>35</xdr:row>
      <xdr:rowOff>187200</xdr:rowOff>
    </xdr:to>
    <xdr:graphicFrame>
      <xdr:nvGraphicFramePr>
        <xdr:cNvPr id="3" name="Chart 4"/>
        <xdr:cNvGraphicFramePr/>
      </xdr:nvGraphicFramePr>
      <xdr:xfrm>
        <a:off x="10854720" y="4915080"/>
        <a:ext cx="55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wardsTbl" displayName="RewardsTbl" ref="A1:F9" headerRowCount="1" totalsRowCount="0" totalsRowShown="0">
  <autoFilter ref="A1:F9"/>
  <tableColumns count="6">
    <tableColumn id="1" name="Reward_ID"/>
    <tableColumn id="2" name="User_ID"/>
    <tableColumn id="3" name="Reward_Date"/>
    <tableColumn id="4" name="Reward_Source"/>
    <tableColumn id="5" name="Reward_Points"/>
    <tableColumn id="6" name="Reward_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3"/>
    <col collapsed="false" customWidth="true" hidden="false" outlineLevel="0" max="19" min="7" style="0" width="11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4" t="s">
        <v>6</v>
      </c>
      <c r="H4" s="4"/>
      <c r="I4" s="4"/>
      <c r="J4" s="4" t="s">
        <v>7</v>
      </c>
      <c r="K4" s="4"/>
      <c r="L4" s="4"/>
      <c r="M4" s="4" t="s">
        <v>8</v>
      </c>
      <c r="N4" s="4"/>
      <c r="O4" s="4"/>
      <c r="P4" s="4" t="s">
        <v>9</v>
      </c>
      <c r="Q4" s="4"/>
      <c r="R4" s="4"/>
    </row>
    <row r="5" customFormat="false" ht="36" hidden="false" customHeight="true" outlineLevel="0" collapsed="false">
      <c r="A5" s="5" t="n">
        <f aca="false">COUNTA(Rewards_Data!$A$2:$A$500)</f>
        <v>8</v>
      </c>
      <c r="B5" s="5" t="n">
        <f aca="false">SUM(Rewards_Data!$E$2:$E$500)</f>
        <v>900</v>
      </c>
      <c r="C5" s="5" t="n">
        <f aca="false">SUMIFS(Rewards_Data!$E$2:$E$500,Rewards_Data!$F$2:$F$500,"Credited")</f>
        <v>575</v>
      </c>
      <c r="D5" s="5" t="n">
        <f aca="false">SUMIFS(Rewards_Data!$E$2:$E$500,Rewards_Data!$F$2:$F$500,"Pending")</f>
        <v>175</v>
      </c>
      <c r="G5" s="6" t="n">
        <f aca="false">SUMIFS(Rewards_Data!$E$2:$E$500,Rewards_Data!$F$2:$F$500,"Reversed")</f>
        <v>150</v>
      </c>
      <c r="H5" s="6"/>
      <c r="I5" s="6"/>
      <c r="J5" s="6" t="n">
        <f aca="false">SUMPRODUCT((Rewards_Data!$B$2:$B$500&lt;&gt;"")/COUNTIF(Rewards_Data!$B$2:$B$500,Rewards_Data!$B$2:$B$500&amp;""))</f>
        <v>7</v>
      </c>
      <c r="K5" s="6"/>
      <c r="L5" s="6"/>
      <c r="M5" s="7" t="n">
        <f aca="false">IFERROR(AVERAGE(Rewards_Data!$E$2:$E$500),0)</f>
        <v>112.5</v>
      </c>
      <c r="N5" s="7"/>
      <c r="O5" s="7"/>
      <c r="P5" s="8" t="n">
        <f aca="false">IFERROR(COUNTIF(Rewards_Data!$F$2:$F$500,"Credited")/COUNTA(Rewards_Data!$A$2:$A$500),0)</f>
        <v>0.625</v>
      </c>
      <c r="Q5" s="8"/>
      <c r="R5" s="8"/>
    </row>
    <row r="7" customFormat="false" ht="15" hidden="false" customHeight="false" outlineLevel="0" collapsed="false">
      <c r="A7" s="9" t="s">
        <v>10</v>
      </c>
      <c r="B7" s="9"/>
      <c r="C7" s="9"/>
      <c r="D7" s="9"/>
    </row>
    <row r="8" customFormat="false" ht="15" hidden="false" customHeight="false" outlineLevel="0" collapsed="false">
      <c r="A8" s="10" t="s">
        <v>11</v>
      </c>
      <c r="B8" s="10" t="s">
        <v>12</v>
      </c>
      <c r="C8" s="10" t="s">
        <v>3</v>
      </c>
      <c r="D8" s="10" t="s">
        <v>4</v>
      </c>
    </row>
    <row r="9" customFormat="false" ht="15" hidden="false" customHeight="false" outlineLevel="0" collapsed="false">
      <c r="A9" s="11" t="s">
        <v>13</v>
      </c>
      <c r="B9" s="12" t="n">
        <f aca="false">COUNTIF(Rewards_Data!$D$2:$D$500,$A9)</f>
        <v>3</v>
      </c>
      <c r="C9" s="12" t="n">
        <f aca="false">SUMIFS(Rewards_Data!$E$2:$E$500,Rewards_Data!$D$2:$D$500,$A9)</f>
        <v>300</v>
      </c>
      <c r="D9" s="12" t="n">
        <f aca="false">SUMIFS(Rewards_Data!$E$2:$E$500,Rewards_Data!$D$2:$D$500,$A9,Rewards_Data!$F$2:$F$500,"Credited")</f>
        <v>300</v>
      </c>
    </row>
    <row r="10" customFormat="false" ht="15" hidden="false" customHeight="false" outlineLevel="0" collapsed="false">
      <c r="A10" s="11" t="s">
        <v>14</v>
      </c>
      <c r="B10" s="12" t="n">
        <f aca="false">COUNTIF(Rewards_Data!$D$2:$D$500,$A10)</f>
        <v>3</v>
      </c>
      <c r="C10" s="12" t="n">
        <f aca="false">SUMIFS(Rewards_Data!$E$2:$E$500,Rewards_Data!$D$2:$D$500,$A10)</f>
        <v>475</v>
      </c>
      <c r="D10" s="12" t="n">
        <f aca="false">SUMIFS(Rewards_Data!$E$2:$E$500,Rewards_Data!$D$2:$D$500,$A10,Rewards_Data!$F$2:$F$500,"Credited")</f>
        <v>200</v>
      </c>
    </row>
    <row r="11" customFormat="false" ht="15" hidden="false" customHeight="false" outlineLevel="0" collapsed="false">
      <c r="A11" s="11" t="s">
        <v>15</v>
      </c>
      <c r="B11" s="12" t="n">
        <f aca="false">COUNTIF(Rewards_Data!$D$2:$D$500,$A11)</f>
        <v>2</v>
      </c>
      <c r="C11" s="12" t="n">
        <f aca="false">SUMIFS(Rewards_Data!$E$2:$E$500,Rewards_Data!$D$2:$D$500,$A11)</f>
        <v>125</v>
      </c>
      <c r="D11" s="12" t="n">
        <f aca="false">SUMIFS(Rewards_Data!$E$2:$E$500,Rewards_Data!$D$2:$D$500,$A11,Rewards_Data!$F$2:$F$500,"Credited")</f>
        <v>75</v>
      </c>
    </row>
    <row r="12" customFormat="false" ht="15" hidden="false" customHeight="false" outlineLevel="0" collapsed="false">
      <c r="A12" s="13" t="s">
        <v>16</v>
      </c>
      <c r="B12" s="14" t="n">
        <f aca="false">SUM(B9:B11)</f>
        <v>8</v>
      </c>
      <c r="C12" s="14" t="n">
        <f aca="false">SUM(C9:C11)</f>
        <v>900</v>
      </c>
      <c r="D12" s="14" t="n">
        <f aca="false">SUM(D9:D11)</f>
        <v>575</v>
      </c>
    </row>
    <row r="15" customFormat="false" ht="15" hidden="false" customHeight="false" outlineLevel="0" collapsed="false">
      <c r="A15" s="9" t="s">
        <v>17</v>
      </c>
      <c r="B15" s="9"/>
      <c r="C15" s="9"/>
      <c r="D15" s="9"/>
    </row>
    <row r="16" customFormat="false" ht="15" hidden="false" customHeight="false" outlineLevel="0" collapsed="false">
      <c r="A16" s="10" t="s">
        <v>18</v>
      </c>
      <c r="B16" s="10" t="s">
        <v>12</v>
      </c>
      <c r="C16" s="10" t="s">
        <v>19</v>
      </c>
      <c r="D16" s="10" t="s">
        <v>20</v>
      </c>
    </row>
    <row r="17" customFormat="false" ht="15" hidden="false" customHeight="false" outlineLevel="0" collapsed="false">
      <c r="A17" s="11" t="s">
        <v>21</v>
      </c>
      <c r="B17" s="12" t="n">
        <f aca="false">COUNTIF(Rewards_Data!$F$2:$F$500,$A17)</f>
        <v>5</v>
      </c>
      <c r="C17" s="12" t="n">
        <f aca="false">SUMIFS(Rewards_Data!$E$2:$E$500,Rewards_Data!$F$2:$F$500,$A17)</f>
        <v>575</v>
      </c>
      <c r="D17" s="15" t="n">
        <f aca="false">IFERROR(C17/SUM(Rewards_Data!$E$2:$E$500),0)</f>
        <v>0.638888888888889</v>
      </c>
    </row>
    <row r="18" customFormat="false" ht="15" hidden="false" customHeight="false" outlineLevel="0" collapsed="false">
      <c r="A18" s="11" t="s">
        <v>22</v>
      </c>
      <c r="B18" s="12" t="n">
        <f aca="false">COUNTIF(Rewards_Data!$F$2:$F$500,$A18)</f>
        <v>2</v>
      </c>
      <c r="C18" s="12" t="n">
        <f aca="false">SUMIFS(Rewards_Data!$E$2:$E$500,Rewards_Data!$F$2:$F$500,$A18)</f>
        <v>175</v>
      </c>
      <c r="D18" s="15" t="n">
        <f aca="false">IFERROR(C18/SUM(Rewards_Data!$E$2:$E$500),0)</f>
        <v>0.194444444444444</v>
      </c>
    </row>
    <row r="19" customFormat="false" ht="15" hidden="false" customHeight="false" outlineLevel="0" collapsed="false">
      <c r="A19" s="11" t="s">
        <v>23</v>
      </c>
      <c r="B19" s="12" t="n">
        <f aca="false">COUNTIF(Rewards_Data!$F$2:$F$500,$A19)</f>
        <v>1</v>
      </c>
      <c r="C19" s="12" t="n">
        <f aca="false">SUMIFS(Rewards_Data!$E$2:$E$500,Rewards_Data!$F$2:$F$500,$A19)</f>
        <v>150</v>
      </c>
      <c r="D19" s="15" t="n">
        <f aca="false">IFERROR(C19/SUM(Rewards_Data!$E$2:$E$500),0)</f>
        <v>0.166666666666667</v>
      </c>
    </row>
    <row r="20" customFormat="false" ht="15" hidden="false" customHeight="false" outlineLevel="0" collapsed="false">
      <c r="A20" s="13" t="s">
        <v>16</v>
      </c>
      <c r="B20" s="14" t="n">
        <f aca="false">SUM(B17:B19)</f>
        <v>8</v>
      </c>
      <c r="C20" s="14" t="n">
        <f aca="false">SUM(C17:C19)</f>
        <v>900</v>
      </c>
      <c r="D20" s="16" t="n">
        <f aca="false">SUM(D17:D19)</f>
        <v>1</v>
      </c>
    </row>
    <row r="23" customFormat="false" ht="15" hidden="false" customHeight="false" outlineLevel="0" collapsed="false">
      <c r="A23" s="9" t="s">
        <v>24</v>
      </c>
      <c r="B23" s="9"/>
      <c r="C23" s="9"/>
      <c r="D23" s="9"/>
    </row>
    <row r="24" customFormat="false" ht="15" hidden="false" customHeight="false" outlineLevel="0" collapsed="false">
      <c r="A24" s="10" t="s">
        <v>25</v>
      </c>
      <c r="B24" s="10" t="s">
        <v>12</v>
      </c>
      <c r="C24" s="10" t="s">
        <v>3</v>
      </c>
      <c r="D24" s="10" t="s">
        <v>4</v>
      </c>
    </row>
    <row r="25" customFormat="false" ht="15" hidden="false" customHeight="false" outlineLevel="0" collapsed="false">
      <c r="A25" s="17" t="n">
        <v>46303</v>
      </c>
      <c r="B25" s="12" t="n">
        <f aca="false">COUNTIF(Rewards_Data!$C$2:$C$500,$A25)</f>
        <v>2</v>
      </c>
      <c r="C25" s="12" t="n">
        <f aca="false">SUMIFS(Rewards_Data!$E$2:$E$500,Rewards_Data!$C$2:$C$500,$A25)</f>
        <v>300</v>
      </c>
      <c r="D25" s="12" t="n">
        <f aca="false">SUMIFS(Rewards_Data!$E$2:$E$500,Rewards_Data!$C$2:$C$500,$A25,Rewards_Data!$F$2:$F$500,"Credited")</f>
        <v>300</v>
      </c>
    </row>
    <row r="26" customFormat="false" ht="15" hidden="false" customHeight="false" outlineLevel="0" collapsed="false">
      <c r="A26" s="17" t="n">
        <v>46304</v>
      </c>
      <c r="B26" s="12" t="n">
        <f aca="false">COUNTIF(Rewards_Data!$C$2:$C$500,$A26)</f>
        <v>2</v>
      </c>
      <c r="C26" s="12" t="n">
        <f aca="false">SUMIFS(Rewards_Data!$E$2:$E$500,Rewards_Data!$C$2:$C$500,$A26)</f>
        <v>150</v>
      </c>
      <c r="D26" s="12" t="n">
        <f aca="false">SUMIFS(Rewards_Data!$E$2:$E$500,Rewards_Data!$C$2:$C$500,$A26,Rewards_Data!$F$2:$F$500,"Credited")</f>
        <v>100</v>
      </c>
    </row>
    <row r="27" customFormat="false" ht="15" hidden="false" customHeight="false" outlineLevel="0" collapsed="false">
      <c r="A27" s="17" t="n">
        <v>46305</v>
      </c>
      <c r="B27" s="12" t="n">
        <f aca="false">COUNTIF(Rewards_Data!$C$2:$C$500,$A27)</f>
        <v>2</v>
      </c>
      <c r="C27" s="12" t="n">
        <f aca="false">SUMIFS(Rewards_Data!$E$2:$E$500,Rewards_Data!$C$2:$C$500,$A27)</f>
        <v>225</v>
      </c>
      <c r="D27" s="12" t="n">
        <f aca="false">SUMIFS(Rewards_Data!$E$2:$E$500,Rewards_Data!$C$2:$C$500,$A27,Rewards_Data!$F$2:$F$500,"Credited")</f>
        <v>75</v>
      </c>
    </row>
    <row r="28" customFormat="false" ht="15" hidden="false" customHeight="false" outlineLevel="0" collapsed="false">
      <c r="A28" s="17" t="n">
        <v>46306</v>
      </c>
      <c r="B28" s="12" t="n">
        <f aca="false">COUNTIF(Rewards_Data!$C$2:$C$500,$A28)</f>
        <v>2</v>
      </c>
      <c r="C28" s="12" t="n">
        <f aca="false">SUMIFS(Rewards_Data!$E$2:$E$500,Rewards_Data!$C$2:$C$500,$A28)</f>
        <v>225</v>
      </c>
      <c r="D28" s="12" t="n">
        <f aca="false">SUMIFS(Rewards_Data!$E$2:$E$500,Rewards_Data!$C$2:$C$500,$A28,Rewards_Data!$F$2:$F$500,"Credited")</f>
        <v>100</v>
      </c>
    </row>
    <row r="29" customFormat="false" ht="15" hidden="false" customHeight="false" outlineLevel="0" collapsed="false">
      <c r="A29" s="13" t="s">
        <v>16</v>
      </c>
      <c r="B29" s="14" t="n">
        <f aca="false">SUM(B25:B28)</f>
        <v>8</v>
      </c>
      <c r="C29" s="14" t="n">
        <f aca="false">SUM(C25:C28)</f>
        <v>900</v>
      </c>
      <c r="D29" s="14" t="n">
        <f aca="false">SUM(D25:D28)</f>
        <v>575</v>
      </c>
    </row>
    <row r="32" customFormat="false" ht="15" hidden="false" customHeight="false" outlineLevel="0" collapsed="false">
      <c r="A32" s="9" t="s">
        <v>26</v>
      </c>
      <c r="B32" s="9"/>
      <c r="C32" s="9"/>
      <c r="D32" s="9"/>
    </row>
    <row r="33" customFormat="false" ht="15" hidden="false" customHeight="false" outlineLevel="0" collapsed="false">
      <c r="A33" s="10" t="s">
        <v>27</v>
      </c>
      <c r="B33" s="10" t="s">
        <v>12</v>
      </c>
      <c r="C33" s="10" t="s">
        <v>3</v>
      </c>
      <c r="D33" s="10" t="s">
        <v>4</v>
      </c>
    </row>
    <row r="34" customFormat="false" ht="15" hidden="false" customHeight="false" outlineLevel="0" collapsed="false">
      <c r="A34" s="11" t="s">
        <v>28</v>
      </c>
      <c r="B34" s="12" t="n">
        <f aca="false">COUNTIF(Rewards_Data!$B$2:$B$500,$A34)</f>
        <v>2</v>
      </c>
      <c r="C34" s="12" t="n">
        <f aca="false">SUMIFS(Rewards_Data!$E$2:$E$500,Rewards_Data!$B$2:$B$500,$A34)</f>
        <v>175</v>
      </c>
      <c r="D34" s="12" t="n">
        <f aca="false">SUMIFS(Rewards_Data!$E$2:$E$500,Rewards_Data!$B$2:$B$500,$A34,Rewards_Data!$F$2:$F$500,"Credited")</f>
        <v>175</v>
      </c>
    </row>
    <row r="35" customFormat="false" ht="15" hidden="false" customHeight="false" outlineLevel="0" collapsed="false">
      <c r="A35" s="11" t="s">
        <v>29</v>
      </c>
      <c r="B35" s="12" t="n">
        <f aca="false">COUNTIF(Rewards_Data!$B$2:$B$500,$A35)</f>
        <v>1</v>
      </c>
      <c r="C35" s="12" t="n">
        <f aca="false">SUMIFS(Rewards_Data!$E$2:$E$500,Rewards_Data!$B$2:$B$500,$A35)</f>
        <v>200</v>
      </c>
      <c r="D35" s="12" t="n">
        <f aca="false">SUMIFS(Rewards_Data!$E$2:$E$500,Rewards_Data!$B$2:$B$500,$A35,Rewards_Data!$F$2:$F$500,"Credited")</f>
        <v>200</v>
      </c>
    </row>
    <row r="36" customFormat="false" ht="15" hidden="false" customHeight="false" outlineLevel="0" collapsed="false">
      <c r="A36" s="11" t="s">
        <v>30</v>
      </c>
      <c r="B36" s="12" t="n">
        <f aca="false">COUNTIF(Rewards_Data!$B$2:$B$500,$A36)</f>
        <v>1</v>
      </c>
      <c r="C36" s="12" t="n">
        <f aca="false">SUMIFS(Rewards_Data!$E$2:$E$500,Rewards_Data!$B$2:$B$500,$A36)</f>
        <v>50</v>
      </c>
      <c r="D36" s="12" t="n">
        <f aca="false">SUMIFS(Rewards_Data!$E$2:$E$500,Rewards_Data!$B$2:$B$500,$A36,Rewards_Data!$F$2:$F$500,"Credited")</f>
        <v>0</v>
      </c>
    </row>
    <row r="37" customFormat="false" ht="15" hidden="false" customHeight="false" outlineLevel="0" collapsed="false">
      <c r="A37" s="11" t="s">
        <v>31</v>
      </c>
      <c r="B37" s="12" t="n">
        <f aca="false">COUNTIF(Rewards_Data!$B$2:$B$500,$A37)</f>
        <v>1</v>
      </c>
      <c r="C37" s="12" t="n">
        <f aca="false">SUMIFS(Rewards_Data!$E$2:$E$500,Rewards_Data!$B$2:$B$500,$A37)</f>
        <v>100</v>
      </c>
      <c r="D37" s="12" t="n">
        <f aca="false">SUMIFS(Rewards_Data!$E$2:$E$500,Rewards_Data!$B$2:$B$500,$A37,Rewards_Data!$F$2:$F$500,"Credited")</f>
        <v>100</v>
      </c>
    </row>
    <row r="38" customFormat="false" ht="15" hidden="false" customHeight="false" outlineLevel="0" collapsed="false">
      <c r="A38" s="11" t="s">
        <v>32</v>
      </c>
      <c r="B38" s="12" t="n">
        <f aca="false">COUNTIF(Rewards_Data!$B$2:$B$500,$A38)</f>
        <v>1</v>
      </c>
      <c r="C38" s="12" t="n">
        <f aca="false">SUMIFS(Rewards_Data!$E$2:$E$500,Rewards_Data!$B$2:$B$500,$A38)</f>
        <v>150</v>
      </c>
      <c r="D38" s="12" t="n">
        <f aca="false">SUMIFS(Rewards_Data!$E$2:$E$500,Rewards_Data!$B$2:$B$500,$A38,Rewards_Data!$F$2:$F$500,"Credited")</f>
        <v>0</v>
      </c>
    </row>
    <row r="39" customFormat="false" ht="15" hidden="false" customHeight="false" outlineLevel="0" collapsed="false">
      <c r="A39" s="11" t="s">
        <v>33</v>
      </c>
      <c r="B39" s="12" t="n">
        <f aca="false">COUNTIF(Rewards_Data!$B$2:$B$500,$A39)</f>
        <v>1</v>
      </c>
      <c r="C39" s="12" t="n">
        <f aca="false">SUMIFS(Rewards_Data!$E$2:$E$500,Rewards_Data!$B$2:$B$500,$A39)</f>
        <v>125</v>
      </c>
      <c r="D39" s="12" t="n">
        <f aca="false">SUMIFS(Rewards_Data!$E$2:$E$500,Rewards_Data!$B$2:$B$500,$A39,Rewards_Data!$F$2:$F$500,"Credited")</f>
        <v>0</v>
      </c>
    </row>
    <row r="40" customFormat="false" ht="15" hidden="false" customHeight="false" outlineLevel="0" collapsed="false">
      <c r="A40" s="11" t="s">
        <v>34</v>
      </c>
      <c r="B40" s="12" t="n">
        <f aca="false">COUNTIF(Rewards_Data!$B$2:$B$500,$A40)</f>
        <v>1</v>
      </c>
      <c r="C40" s="12" t="n">
        <f aca="false">SUMIFS(Rewards_Data!$E$2:$E$500,Rewards_Data!$B$2:$B$500,$A40)</f>
        <v>100</v>
      </c>
      <c r="D40" s="12" t="n">
        <f aca="false">SUMIFS(Rewards_Data!$E$2:$E$500,Rewards_Data!$B$2:$B$500,$A40,Rewards_Data!$F$2:$F$500,"Credited")</f>
        <v>100</v>
      </c>
    </row>
    <row r="41" customFormat="false" ht="15" hidden="false" customHeight="false" outlineLevel="0" collapsed="false">
      <c r="A41" s="13" t="s">
        <v>16</v>
      </c>
      <c r="B41" s="14" t="n">
        <f aca="false">SUM(B34:B40)</f>
        <v>8</v>
      </c>
      <c r="C41" s="14" t="n">
        <f aca="false">SUM(C34:C40)</f>
        <v>900</v>
      </c>
      <c r="D41" s="14" t="n">
        <f aca="false">SUM(D34:D40)</f>
        <v>575</v>
      </c>
    </row>
  </sheetData>
  <mergeCells count="14">
    <mergeCell ref="A1:S1"/>
    <mergeCell ref="A2:S2"/>
    <mergeCell ref="G4:I4"/>
    <mergeCell ref="J4:L4"/>
    <mergeCell ref="M4:O4"/>
    <mergeCell ref="P4:R4"/>
    <mergeCell ref="G5:I5"/>
    <mergeCell ref="J5:L5"/>
    <mergeCell ref="M5:O5"/>
    <mergeCell ref="P5:R5"/>
    <mergeCell ref="A7:D7"/>
    <mergeCell ref="A15:D15"/>
    <mergeCell ref="A23:D23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5"/>
  </cols>
  <sheetData>
    <row r="1" customFormat="false" ht="21.75" hidden="false" customHeight="true" outlineLevel="0" collapsed="false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  <c r="H1" s="19" t="s">
        <v>41</v>
      </c>
    </row>
    <row r="2" customFormat="false" ht="15" hidden="false" customHeight="false" outlineLevel="0" collapsed="false">
      <c r="A2" s="20" t="s">
        <v>42</v>
      </c>
      <c r="B2" s="20" t="s">
        <v>28</v>
      </c>
      <c r="C2" s="21" t="n">
        <v>46303</v>
      </c>
      <c r="D2" s="20" t="s">
        <v>13</v>
      </c>
      <c r="E2" s="12" t="n">
        <v>100</v>
      </c>
      <c r="F2" s="20" t="s">
        <v>21</v>
      </c>
      <c r="H2" s="22" t="s">
        <v>43</v>
      </c>
    </row>
    <row r="3" customFormat="false" ht="15" hidden="false" customHeight="false" outlineLevel="0" collapsed="false">
      <c r="A3" s="20" t="s">
        <v>44</v>
      </c>
      <c r="B3" s="20" t="s">
        <v>29</v>
      </c>
      <c r="C3" s="21" t="n">
        <v>46303</v>
      </c>
      <c r="D3" s="20" t="s">
        <v>14</v>
      </c>
      <c r="E3" s="12" t="n">
        <v>200</v>
      </c>
      <c r="F3" s="20" t="s">
        <v>21</v>
      </c>
      <c r="H3" s="22" t="s">
        <v>45</v>
      </c>
    </row>
    <row r="4" customFormat="false" ht="15" hidden="false" customHeight="false" outlineLevel="0" collapsed="false">
      <c r="A4" s="20" t="s">
        <v>46</v>
      </c>
      <c r="B4" s="20" t="s">
        <v>30</v>
      </c>
      <c r="C4" s="21" t="n">
        <v>46304</v>
      </c>
      <c r="D4" s="20" t="s">
        <v>15</v>
      </c>
      <c r="E4" s="12" t="n">
        <v>50</v>
      </c>
      <c r="F4" s="20" t="s">
        <v>22</v>
      </c>
    </row>
    <row r="5" customFormat="false" ht="15" hidden="false" customHeight="false" outlineLevel="0" collapsed="false">
      <c r="A5" s="20" t="s">
        <v>47</v>
      </c>
      <c r="B5" s="20" t="s">
        <v>31</v>
      </c>
      <c r="C5" s="21" t="n">
        <v>46304</v>
      </c>
      <c r="D5" s="20" t="s">
        <v>13</v>
      </c>
      <c r="E5" s="12" t="n">
        <v>100</v>
      </c>
      <c r="F5" s="20" t="s">
        <v>21</v>
      </c>
    </row>
    <row r="6" customFormat="false" ht="15" hidden="false" customHeight="false" outlineLevel="0" collapsed="false">
      <c r="A6" s="20" t="s">
        <v>48</v>
      </c>
      <c r="B6" s="20" t="s">
        <v>32</v>
      </c>
      <c r="C6" s="21" t="n">
        <v>46305</v>
      </c>
      <c r="D6" s="20" t="s">
        <v>14</v>
      </c>
      <c r="E6" s="12" t="n">
        <v>150</v>
      </c>
      <c r="F6" s="20" t="s">
        <v>23</v>
      </c>
    </row>
    <row r="7" customFormat="false" ht="15" hidden="false" customHeight="false" outlineLevel="0" collapsed="false">
      <c r="A7" s="20" t="s">
        <v>49</v>
      </c>
      <c r="B7" s="20" t="s">
        <v>28</v>
      </c>
      <c r="C7" s="21" t="n">
        <v>46305</v>
      </c>
      <c r="D7" s="20" t="s">
        <v>15</v>
      </c>
      <c r="E7" s="12" t="n">
        <v>75</v>
      </c>
      <c r="F7" s="20" t="s">
        <v>21</v>
      </c>
    </row>
    <row r="8" customFormat="false" ht="15" hidden="false" customHeight="false" outlineLevel="0" collapsed="false">
      <c r="A8" s="20" t="s">
        <v>50</v>
      </c>
      <c r="B8" s="20" t="s">
        <v>33</v>
      </c>
      <c r="C8" s="21" t="n">
        <v>46306</v>
      </c>
      <c r="D8" s="20" t="s">
        <v>14</v>
      </c>
      <c r="E8" s="12" t="n">
        <v>125</v>
      </c>
      <c r="F8" s="20" t="s">
        <v>22</v>
      </c>
    </row>
    <row r="9" customFormat="false" ht="15" hidden="false" customHeight="false" outlineLevel="0" collapsed="false">
      <c r="A9" s="20" t="s">
        <v>51</v>
      </c>
      <c r="B9" s="20" t="s">
        <v>34</v>
      </c>
      <c r="C9" s="21" t="n">
        <v>46306</v>
      </c>
      <c r="D9" s="20" t="s">
        <v>13</v>
      </c>
      <c r="E9" s="12" t="n">
        <v>100</v>
      </c>
      <c r="F9" s="2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2026-10-14T08:37:34Z</dcterms:created>
  <dc:creator>openpyxl</dc:creator>
  <dc:description/>
  <dc:language>en-US</dc:language>
  <cp:lastModifiedBy/>
  <dcterms:modified xsi:type="dcterms:W3CDTF">2026-10-14T08:37:36Z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