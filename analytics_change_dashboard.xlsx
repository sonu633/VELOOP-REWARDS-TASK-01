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" sheetId="2" state="visible" r:id="rId4"/>
    <sheet name="Change Log" sheetId="3" state="visible" r:id="rId5"/>
  </sheets>
  <definedNames>
    <definedName function="false" hidden="true" localSheetId="2" name="_xlnm._FilterDatabase" vbProcedure="false">'Change Log'!$A$1:$K$8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<sst xmlns="http://schemas.openxmlformats.org/spreadsheetml/2006/main" count="132" uniqueCount="96">
  <si>
    <t xml:space="preserve">Analytics Change Log Dashboard</t>
  </si>
  <si>
    <t xml:space="preserve">TOTAL CHANGES</t>
  </si>
  <si>
    <t xml:space="preserve">PROPOSED</t>
  </si>
  <si>
    <t xml:space="preserve">APPROVED</t>
  </si>
  <si>
    <t xml:space="preserve">IMPLEMENTED</t>
  </si>
  <si>
    <t xml:space="preserve">KPIs IMPACTED</t>
  </si>
  <si>
    <t xml:space="preserve">DASHBOARDS IMPACTED</t>
  </si>
  <si>
    <t xml:space="preserve">Summary Tables (all values are formulas on the Change Log sheet; feeds the Dashboard charts)</t>
  </si>
  <si>
    <t xml:space="preserve">Change Type</t>
  </si>
  <si>
    <t xml:space="preserve">Count</t>
  </si>
  <si>
    <t xml:space="preserve">Owner</t>
  </si>
  <si>
    <t xml:space="preserve">Feature Change</t>
  </si>
  <si>
    <t xml:space="preserve">Product Analyst</t>
  </si>
  <si>
    <t xml:space="preserve">Event Change</t>
  </si>
  <si>
    <t xml:space="preserve">Analytics Engineer</t>
  </si>
  <si>
    <t xml:space="preserve">Reward Mechanic Change</t>
  </si>
  <si>
    <t xml:space="preserve">Backend Developer</t>
  </si>
  <si>
    <t xml:space="preserve">Withdrawal Method Change</t>
  </si>
  <si>
    <t xml:space="preserve">Data Analyst</t>
  </si>
  <si>
    <t xml:space="preserve">Field Rename</t>
  </si>
  <si>
    <t xml:space="preserve">BI Developer</t>
  </si>
  <si>
    <t xml:space="preserve">KPI Definition Change</t>
  </si>
  <si>
    <t xml:space="preserve">Dashboard Change</t>
  </si>
  <si>
    <t xml:space="preserve">Dashboard Impacted</t>
  </si>
  <si>
    <t xml:space="preserve">Status</t>
  </si>
  <si>
    <t xml:space="preserve">Executive Overview</t>
  </si>
  <si>
    <t xml:space="preserve">Proposed</t>
  </si>
  <si>
    <t xml:space="preserve">Engagement</t>
  </si>
  <si>
    <t xml:space="preserve">Approved</t>
  </si>
  <si>
    <t xml:space="preserve">Rewards</t>
  </si>
  <si>
    <t xml:space="preserve">Implemented</t>
  </si>
  <si>
    <t xml:space="preserve">Withdrawals</t>
  </si>
  <si>
    <t xml:space="preserve">Rejected</t>
  </si>
  <si>
    <t xml:space="preserve">KPI Impacted</t>
  </si>
  <si>
    <t xml:space="preserve">Check: type counts = total changes</t>
  </si>
  <si>
    <t xml:space="preserve">Daily Reward Claims</t>
  </si>
  <si>
    <t xml:space="preserve">Daily Active Users</t>
  </si>
  <si>
    <t xml:space="preserve">Impact counts use text matching on the ';'-separated cells; a new dashboard/KPI/owner name must be added to its table.</t>
  </si>
  <si>
    <t xml:space="preserve">Task Completion Rate</t>
  </si>
  <si>
    <t xml:space="preserve">Completed Tasks</t>
  </si>
  <si>
    <t xml:space="preserve">Total Rewards</t>
  </si>
  <si>
    <t xml:space="preserve">Reward Reversal Rate</t>
  </si>
  <si>
    <t xml:space="preserve">Withdrawal Requests</t>
  </si>
  <si>
    <t xml:space="preserve">Withdrawal Success Rate</t>
  </si>
  <si>
    <t xml:space="preserve">Average Session Duration</t>
  </si>
  <si>
    <t xml:space="preserve">Total Session Time</t>
  </si>
  <si>
    <t xml:space="preserve">Date</t>
  </si>
  <si>
    <t xml:space="preserve">Change</t>
  </si>
  <si>
    <t xml:space="preserve">Old Definition</t>
  </si>
  <si>
    <t xml:space="preserve">New Definition</t>
  </si>
  <si>
    <t xml:space="preserve">Reason</t>
  </si>
  <si>
    <t xml:space="preserve">Affected KPIs</t>
  </si>
  <si>
    <t xml:space="preserve">Affected Dashboards</t>
  </si>
  <si>
    <t xml:space="preserve">Affected Reports</t>
  </si>
  <si>
    <t xml:space="preserve">Version</t>
  </si>
  <si>
    <t xml:space="preserve">Note: add new changes below the last row (dashboard reads rows 2-200).</t>
  </si>
  <si>
    <t xml:space="preserve">Daily reward activity tracked as a general event</t>
  </si>
  <si>
    <t xml:space="preserve">Track daily reward claim with a unique event ID</t>
  </si>
  <si>
    <t xml:space="preserve">Improve event accuracy</t>
  </si>
  <si>
    <t xml:space="preserve">Daily Reward Claims; Daily Active Users</t>
  </si>
  <si>
    <t xml:space="preserve">Executive Overview; Engagement</t>
  </si>
  <si>
    <t xml:space="preserve">Daily Engagement Report</t>
  </si>
  <si>
    <t xml:space="preserve">v1.1</t>
  </si>
  <si>
    <t xml:space="preserve">task_completed recorded when task is clicked</t>
  </si>
  <si>
    <t xml:space="preserve">task_completed recorded only after successful validation</t>
  </si>
  <si>
    <t xml:space="preserve">Prevent incorrect task completion counts</t>
  </si>
  <si>
    <t xml:space="preserve">Task Completion Rate; Completed Tasks</t>
  </si>
  <si>
    <t xml:space="preserve">Engagement; Rewards</t>
  </si>
  <si>
    <t xml:space="preserve">Task Performance Report</t>
  </si>
  <si>
    <t xml:space="preserve">Reward amount stored without reward status</t>
  </si>
  <si>
    <t xml:space="preserve">Record reward amount with pending approved reversed status</t>
  </si>
  <si>
    <t xml:space="preserve">Track reward adjustments correctly</t>
  </si>
  <si>
    <t xml:space="preserve">Total Rewards; Reward Reversal Rate</t>
  </si>
  <si>
    <t xml:space="preserve">Rewards; Executive Overview</t>
  </si>
  <si>
    <t xml:space="preserve">Reward Activity Report</t>
  </si>
  <si>
    <t xml:space="preserve">Withdrawal records contain a general method field</t>
  </si>
  <si>
    <t xml:space="preserve">Use a standardized withdrawal_method field with approved values</t>
  </si>
  <si>
    <t xml:space="preserve">Improve method-level reporting</t>
  </si>
  <si>
    <t xml:space="preserve">Withdrawal Requests; Withdrawal Success Rate</t>
  </si>
  <si>
    <t xml:space="preserve">Withdrawals; Executive Overview</t>
  </si>
  <si>
    <t xml:space="preserve">Withdrawal Operations Report</t>
  </si>
  <si>
    <t xml:space="preserve">session_minutes</t>
  </si>
  <si>
    <t xml:space="preserve">session_duration_minutes</t>
  </si>
  <si>
    <t xml:space="preserve">Make field meaning clearer</t>
  </si>
  <si>
    <t xml:space="preserve">Average Session Duration; Total Session Time</t>
  </si>
  <si>
    <t xml:space="preserve">Engagement; Executive Overview</t>
  </si>
  <si>
    <t xml:space="preserve">Engagement Summary</t>
  </si>
  <si>
    <t xml:space="preserve">Task Completion Rate = task clicks divided by users</t>
  </si>
  <si>
    <t xml:space="preserve">Task Completion Rate = validated completed tasks divided by eligible task starts</t>
  </si>
  <si>
    <t xml:space="preserve">Measure actual completion rather than clicks</t>
  </si>
  <si>
    <t xml:space="preserve">KPI Performance Report</t>
  </si>
  <si>
    <t xml:space="preserve">Executive Overview shows total task events only</t>
  </si>
  <si>
    <t xml:space="preserve">Add completed tasks and validated reward activity</t>
  </si>
  <si>
    <t xml:space="preserve">Improve decision-making</t>
  </si>
  <si>
    <t xml:space="preserve">Completed Tasks; Total Rewards</t>
  </si>
  <si>
    <t xml:space="preserve">Executive Summary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</si>
</sst>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6"/>
      <color rgb="FF1F3864"/>
      <name val="Arial"/>
      <family val="0"/>
      <charset val="1"/>
    </font>
    <font>
      <b val="true"/>
      <sz val="26"/>
      <color rgb="FFED7D31"/>
      <name val="Arial"/>
      <family val="0"/>
      <charset val="1"/>
    </font>
    <font>
      <b val="true"/>
      <sz val="26"/>
      <color rgb="FF2E75B6"/>
      <name val="Arial"/>
      <family val="0"/>
      <charset val="1"/>
    </font>
    <font>
      <b val="true"/>
      <sz val="26"/>
      <color rgb="FF70AD47"/>
      <name val="Arial"/>
      <family val="0"/>
      <charset val="1"/>
    </font>
    <font>
      <b val="true"/>
      <sz val="26"/>
      <color rgb="FF7030A0"/>
      <name val="Arial"/>
      <family val="0"/>
      <charset val="1"/>
    </font>
    <font>
      <b val="true"/>
      <sz val="26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878787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F2F5FA"/>
        <bgColor rgb="FFF9F9F9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/>
      <bottom/>
      <diagonal/>
    </border>
    <border diagonalUp="false" diagonalDown="false">
      <left style="thin">
        <color rgb="FFED7D31"/>
      </left>
      <right style="thin">
        <color rgb="FFED7D31"/>
      </right>
      <top/>
      <bottom/>
      <diagonal/>
    </border>
    <border diagonalUp="false" diagonalDown="false">
      <left style="thin">
        <color rgb="FF2E75B6"/>
      </left>
      <right style="thin">
        <color rgb="FF2E75B6"/>
      </right>
      <top/>
      <bottom/>
      <diagonal/>
    </border>
    <border diagonalUp="false" diagonalDown="false">
      <left style="thin">
        <color rgb="FF70AD47"/>
      </left>
      <right style="thin">
        <color rgb="FF70AD47"/>
      </right>
      <top/>
      <bottom/>
      <diagonal/>
    </border>
    <border diagonalUp="false" diagonalDown="false">
      <left style="thin">
        <color rgb="FF7030A0"/>
      </left>
      <right style="thin">
        <color rgb="FF7030A0"/>
      </right>
      <top/>
      <bottom/>
      <diagonal/>
    </border>
    <border diagonalUp="false" diagonalDown="false">
      <left style="thin">
        <color rgb="FFC00000"/>
      </left>
      <right style="thin">
        <color rgb="FFC00000"/>
      </right>
      <top/>
      <bottom/>
      <diagonal/>
    </border>
    <border diagonalUp="false" diagonalDown="false">
      <left style="thin">
        <color rgb="FF1F3864"/>
      </left>
      <right style="thin">
        <color rgb="FF1F3864"/>
      </right>
      <top/>
      <bottom style="medium">
        <color rgb="FF1F3864"/>
      </bottom>
      <diagonal/>
    </border>
    <border diagonalUp="false" diagonalDown="false">
      <left style="thin">
        <color rgb="FFED7D31"/>
      </left>
      <right style="thin">
        <color rgb="FFED7D31"/>
      </right>
      <top/>
      <bottom style="medium">
        <color rgb="FFED7D31"/>
      </bottom>
      <diagonal/>
    </border>
    <border diagonalUp="false" diagonalDown="false">
      <left style="thin">
        <color rgb="FF2E75B6"/>
      </left>
      <right style="thin">
        <color rgb="FF2E75B6"/>
      </right>
      <top/>
      <bottom style="medium">
        <color rgb="FF2E75B6"/>
      </bottom>
      <diagonal/>
    </border>
    <border diagonalUp="false" diagonalDown="false">
      <left style="thin">
        <color rgb="FF70AD47"/>
      </left>
      <right style="thin">
        <color rgb="FF70AD47"/>
      </right>
      <top/>
      <bottom style="medium">
        <color rgb="FF70AD47"/>
      </bottom>
      <diagonal/>
    </border>
    <border diagonalUp="false" diagonalDown="false">
      <left style="thin">
        <color rgb="FF7030A0"/>
      </left>
      <right style="thin">
        <color rgb="FF7030A0"/>
      </right>
      <top/>
      <bottom style="medium">
        <color rgb="FF7030A0"/>
      </bottom>
      <diagonal/>
    </border>
    <border diagonalUp="false" diagonalDown="false">
      <left style="thin">
        <color rgb="FFC00000"/>
      </left>
      <right style="thin">
        <color rgb="FFC00000"/>
      </right>
      <top/>
      <bottom style="medium">
        <color rgb="FFC000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8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8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7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7030A0"/>
      <rgbColor rgb="FFF9F9F9"/>
      <rgbColor rgb="FFF2F5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Summary!$A$4:$A$10</c:f>
              <c:strCache>
                <c:ptCount val="7"/>
                <c:pt idx="0">
                  <c:v>Feature Change</c:v>
                </c:pt>
                <c:pt idx="1">
                  <c:v>Event Change</c:v>
                </c:pt>
                <c:pt idx="2">
                  <c:v>Reward Mechanic Change</c:v>
                </c:pt>
                <c:pt idx="3">
                  <c:v>Withdrawal Method Change</c:v>
                </c:pt>
                <c:pt idx="4">
                  <c:v>Field Rename</c:v>
                </c:pt>
                <c:pt idx="5">
                  <c:v>KPI Definition Change</c:v>
                </c:pt>
                <c:pt idx="6">
                  <c:v>Dashboard Change</c:v>
                </c:pt>
              </c:strCache>
            </c:strRef>
          </c:cat>
          <c:val>
            <c:numRef>
              <c:f>Summary!$B$4:$B$10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16307632"/>
        <c:axId val="94516148"/>
      </c:barChart>
      <c:catAx>
        <c:axId val="163076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16148"/>
        <c:crosses val="autoZero"/>
        <c:auto val="1"/>
        <c:lblAlgn val="ctr"/>
        <c:lblOffset val="100"/>
        <c:noMultiLvlLbl val="0"/>
      </c:catAx>
      <c:valAx>
        <c:axId val="94516148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07632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Changes by Owner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Summary!$D$4:$D$8</c:f>
              <c:strCache>
                <c:ptCount val="5"/>
                <c:pt idx="0">
                  <c:v>Product Analyst</c:v>
                </c:pt>
                <c:pt idx="1">
                  <c:v>Analytics Engineer</c:v>
                </c:pt>
                <c:pt idx="2">
                  <c:v>Backend Developer</c:v>
                </c:pt>
                <c:pt idx="3">
                  <c:v>Data Analyst</c:v>
                </c:pt>
                <c:pt idx="4">
                  <c:v>BI Developer</c:v>
                </c:pt>
              </c:strCache>
            </c:strRef>
          </c:cat>
          <c:val>
            <c:numRef>
              <c:f>Summary!$E$4:$E$8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10513436"/>
        <c:axId val="26691261"/>
      </c:barChart>
      <c:catAx>
        <c:axId val="10513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91261"/>
        <c:crosses val="autoZero"/>
        <c:auto val="1"/>
        <c:lblAlgn val="ctr"/>
        <c:lblOffset val="100"/>
        <c:noMultiLvlLbl val="0"/>
      </c:catAx>
      <c:valAx>
        <c:axId val="26691261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13436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Dashboards Impacted (# changes)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Summary!$A$13:$A$16</c:f>
              <c:strCache>
                <c:ptCount val="4"/>
                <c:pt idx="0">
                  <c:v>Executive Overview</c:v>
                </c:pt>
                <c:pt idx="1">
                  <c:v>Engagement</c:v>
                </c:pt>
                <c:pt idx="2">
                  <c:v>Rewards</c:v>
                </c:pt>
                <c:pt idx="3">
                  <c:v>Withdrawals</c:v>
                </c:pt>
              </c:strCache>
            </c:strRef>
          </c:cat>
          <c:val>
            <c:numRef>
              <c:f>Summary!$B$13:$B$16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20232290"/>
        <c:axId val="2392616"/>
      </c:barChart>
      <c:catAx>
        <c:axId val="202322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2616"/>
        <c:crosses val="autoZero"/>
        <c:auto val="1"/>
        <c:lblAlgn val="ctr"/>
        <c:lblOffset val="100"/>
        <c:noMultiLvlLbl val="0"/>
      </c:catAx>
      <c:valAx>
        <c:axId val="2392616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3229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KPIs Impacted (# changes)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Summary!$A$20:$A$29</c:f>
              <c:strCache>
                <c:ptCount val="10"/>
                <c:pt idx="0">
                  <c:v>Daily Reward Claims</c:v>
                </c:pt>
                <c:pt idx="1">
                  <c:v>Daily Active Users</c:v>
                </c:pt>
                <c:pt idx="2">
                  <c:v>Task Completion Rate</c:v>
                </c:pt>
                <c:pt idx="3">
                  <c:v>Completed Tasks</c:v>
                </c:pt>
                <c:pt idx="4">
                  <c:v>Total Rewards</c:v>
                </c:pt>
                <c:pt idx="5">
                  <c:v>Reward Reversal Rate</c:v>
                </c:pt>
                <c:pt idx="6">
                  <c:v>Withdrawal Requests</c:v>
                </c:pt>
                <c:pt idx="7">
                  <c:v>Withdrawal Success Rate</c:v>
                </c:pt>
                <c:pt idx="8">
                  <c:v>Average Session Duration</c:v>
                </c:pt>
                <c:pt idx="9">
                  <c:v>Total Session Time</c:v>
                </c:pt>
              </c:strCache>
            </c:strRef>
          </c:cat>
          <c:val>
            <c:numRef>
              <c:f>Summary!$B$20:$B$29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33141723"/>
        <c:axId val="44272834"/>
      </c:barChart>
      <c:catAx>
        <c:axId val="3314172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72834"/>
        <c:crosses val="autoZero"/>
        <c:auto val="1"/>
        <c:lblAlgn val="ctr"/>
        <c:lblOffset val="100"/>
        <c:noMultiLvlLbl val="0"/>
      </c:catAx>
      <c:valAx>
        <c:axId val="44272834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41723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7</xdr:col>
      <xdr:colOff>82080</xdr:colOff>
      <xdr:row>22</xdr:row>
      <xdr:rowOff>140760</xdr:rowOff>
    </xdr:to>
    <xdr:graphicFrame>
      <xdr:nvGraphicFramePr>
        <xdr:cNvPr id="0" name="Chart 1"/>
        <xdr:cNvGraphicFramePr/>
      </xdr:nvGraphicFramePr>
      <xdr:xfrm>
        <a:off x="141120" y="180972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13</xdr:col>
      <xdr:colOff>81720</xdr:colOff>
      <xdr:row>22</xdr:row>
      <xdr:rowOff>140760</xdr:rowOff>
    </xdr:to>
    <xdr:graphicFrame>
      <xdr:nvGraphicFramePr>
        <xdr:cNvPr id="1" name="Chart 2"/>
        <xdr:cNvGraphicFramePr/>
      </xdr:nvGraphicFramePr>
      <xdr:xfrm>
        <a:off x="5638680" y="180972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82080</xdr:colOff>
      <xdr:row>39</xdr:row>
      <xdr:rowOff>140760</xdr:rowOff>
    </xdr:to>
    <xdr:graphicFrame>
      <xdr:nvGraphicFramePr>
        <xdr:cNvPr id="2" name="Chart 3"/>
        <xdr:cNvGraphicFramePr/>
      </xdr:nvGraphicFramePr>
      <xdr:xfrm>
        <a:off x="141120" y="504828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13</xdr:col>
      <xdr:colOff>81720</xdr:colOff>
      <xdr:row>39</xdr:row>
      <xdr:rowOff>140760</xdr:rowOff>
    </xdr:to>
    <xdr:graphicFrame>
      <xdr:nvGraphicFramePr>
        <xdr:cNvPr id="3" name="Chart 4"/>
        <xdr:cNvGraphicFramePr/>
      </xdr:nvGraphicFramePr>
      <xdr:xfrm>
        <a:off x="5638680" y="504828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</cols>
  <sheetData>
    <row r="2" customFormat="false" ht="37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tr">
        <f aca="false">"Latest change date: "&amp;TEXT(MAX('Change Log'!A2:A200),"yyyy-mm-dd")&amp;"   |   Source: Change Log sheet"</f>
        <v>Latest change date: 2026-10-15   |   Source: Change Log sheet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false" outlineLevel="0" collapsed="false">
      <c r="B5" s="3" t="s">
        <v>1</v>
      </c>
      <c r="C5" s="3"/>
      <c r="D5" s="4" t="s">
        <v>2</v>
      </c>
      <c r="E5" s="4"/>
      <c r="F5" s="5" t="s">
        <v>3</v>
      </c>
      <c r="G5" s="5"/>
      <c r="H5" s="6" t="s">
        <v>4</v>
      </c>
      <c r="I5" s="6"/>
      <c r="J5" s="7" t="s">
        <v>5</v>
      </c>
      <c r="K5" s="7"/>
      <c r="L5" s="8" t="s">
        <v>6</v>
      </c>
      <c r="M5" s="8"/>
    </row>
    <row r="6" customFormat="false" ht="15" hidden="false" customHeight="false" outlineLevel="0" collapsed="false">
      <c r="B6" s="9" t="n">
        <f aca="false">COUNTA('Change Log'!B2:B200)</f>
        <v>7</v>
      </c>
      <c r="C6" s="9"/>
      <c r="D6" s="10" t="n">
        <f aca="false">Summary!E13</f>
        <v>7</v>
      </c>
      <c r="E6" s="10"/>
      <c r="F6" s="11" t="n">
        <f aca="false">Summary!E14</f>
        <v>0</v>
      </c>
      <c r="G6" s="11"/>
      <c r="H6" s="12" t="n">
        <f aca="false">Summary!E15</f>
        <v>0</v>
      </c>
      <c r="I6" s="12"/>
      <c r="J6" s="13" t="n">
        <f aca="false">COUNTIF(Summary!B20:B29,"&gt;0")</f>
        <v>10</v>
      </c>
      <c r="K6" s="13"/>
      <c r="L6" s="14" t="n">
        <f aca="false">COUNTIF(Summary!B13:B16,"&gt;0")</f>
        <v>4</v>
      </c>
      <c r="M6" s="14"/>
    </row>
    <row r="7" customFormat="false" ht="15" hidden="false" customHeight="false" outlineLevel="0" collapsed="false">
      <c r="B7" s="9"/>
      <c r="C7" s="9"/>
      <c r="D7" s="10"/>
      <c r="E7" s="10"/>
      <c r="F7" s="11"/>
      <c r="G7" s="11"/>
      <c r="H7" s="12"/>
      <c r="I7" s="12"/>
      <c r="J7" s="13"/>
      <c r="K7" s="13"/>
      <c r="L7" s="14"/>
      <c r="M7" s="14"/>
    </row>
  </sheetData>
  <mergeCells count="14">
    <mergeCell ref="B2:M2"/>
    <mergeCell ref="B3:M3"/>
    <mergeCell ref="B5:C5"/>
    <mergeCell ref="D5:E5"/>
    <mergeCell ref="F5:G5"/>
    <mergeCell ref="H5:I5"/>
    <mergeCell ref="J5:K5"/>
    <mergeCell ref="L5:M5"/>
    <mergeCell ref="B6:C7"/>
    <mergeCell ref="D6:E7"/>
    <mergeCell ref="F6:G7"/>
    <mergeCell ref="H6:I7"/>
    <mergeCell ref="J6:K7"/>
    <mergeCell ref="L6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3"/>
    <col collapsed="false" customWidth="true" hidden="false" outlineLevel="0" max="4" min="4" style="0" width="30"/>
    <col collapsed="false" customWidth="true" hidden="false" outlineLevel="0" max="5" min="5" style="0" width="9"/>
  </cols>
  <sheetData>
    <row r="1" customFormat="false" ht="15" hidden="false" customHeight="false" outlineLevel="0" collapsed="false">
      <c r="A1" s="15" t="s">
        <v>7</v>
      </c>
    </row>
    <row r="3" customFormat="false" ht="15" hidden="false" customHeight="false" outlineLevel="0" collapsed="false">
      <c r="A3" s="16" t="s">
        <v>8</v>
      </c>
      <c r="B3" s="16" t="s">
        <v>9</v>
      </c>
      <c r="D3" s="16" t="s">
        <v>10</v>
      </c>
      <c r="E3" s="16" t="s">
        <v>9</v>
      </c>
    </row>
    <row r="4" customFormat="false" ht="15" hidden="false" customHeight="false" outlineLevel="0" collapsed="false">
      <c r="A4" s="17" t="s">
        <v>11</v>
      </c>
      <c r="B4" s="18" t="n">
        <f aca="false">COUNTIF('Change Log'!$B$2:$B$200,A4)</f>
        <v>1</v>
      </c>
      <c r="D4" s="17" t="s">
        <v>12</v>
      </c>
      <c r="E4" s="18" t="n">
        <f aca="false">COUNTIF('Change Log'!$I$2:$I$200,D4)</f>
        <v>2</v>
      </c>
    </row>
    <row r="5" customFormat="false" ht="15" hidden="false" customHeight="false" outlineLevel="0" collapsed="false">
      <c r="A5" s="17" t="s">
        <v>13</v>
      </c>
      <c r="B5" s="18" t="n">
        <f aca="false">COUNTIF('Change Log'!$B$2:$B$200,A5)</f>
        <v>1</v>
      </c>
      <c r="D5" s="17" t="s">
        <v>14</v>
      </c>
      <c r="E5" s="18" t="n">
        <f aca="false">COUNTIF('Change Log'!$I$2:$I$200,D5)</f>
        <v>1</v>
      </c>
    </row>
    <row r="6" customFormat="false" ht="15" hidden="false" customHeight="false" outlineLevel="0" collapsed="false">
      <c r="A6" s="17" t="s">
        <v>15</v>
      </c>
      <c r="B6" s="18" t="n">
        <f aca="false">COUNTIF('Change Log'!$B$2:$B$200,A6)</f>
        <v>1</v>
      </c>
      <c r="D6" s="17" t="s">
        <v>16</v>
      </c>
      <c r="E6" s="18" t="n">
        <f aca="false">COUNTIF('Change Log'!$I$2:$I$200,D6)</f>
        <v>1</v>
      </c>
    </row>
    <row r="7" customFormat="false" ht="15" hidden="false" customHeight="false" outlineLevel="0" collapsed="false">
      <c r="A7" s="17" t="s">
        <v>17</v>
      </c>
      <c r="B7" s="18" t="n">
        <f aca="false">COUNTIF('Change Log'!$B$2:$B$200,A7)</f>
        <v>1</v>
      </c>
      <c r="D7" s="17" t="s">
        <v>18</v>
      </c>
      <c r="E7" s="18" t="n">
        <f aca="false">COUNTIF('Change Log'!$I$2:$I$200,D7)</f>
        <v>2</v>
      </c>
    </row>
    <row r="8" customFormat="false" ht="15" hidden="false" customHeight="false" outlineLevel="0" collapsed="false">
      <c r="A8" s="17" t="s">
        <v>19</v>
      </c>
      <c r="B8" s="18" t="n">
        <f aca="false">COUNTIF('Change Log'!$B$2:$B$200,A8)</f>
        <v>1</v>
      </c>
      <c r="D8" s="17" t="s">
        <v>20</v>
      </c>
      <c r="E8" s="18" t="n">
        <f aca="false">COUNTIF('Change Log'!$I$2:$I$200,D8)</f>
        <v>1</v>
      </c>
    </row>
    <row r="9" customFormat="false" ht="15" hidden="false" customHeight="false" outlineLevel="0" collapsed="false">
      <c r="A9" s="17" t="s">
        <v>21</v>
      </c>
      <c r="B9" s="18" t="n">
        <f aca="false">COUNTIF('Change Log'!$B$2:$B$200,A9)</f>
        <v>1</v>
      </c>
    </row>
    <row r="10" customFormat="false" ht="15" hidden="false" customHeight="false" outlineLevel="0" collapsed="false">
      <c r="A10" s="17" t="s">
        <v>22</v>
      </c>
      <c r="B10" s="18" t="n">
        <f aca="false">COUNTIF('Change Log'!$B$2:$B$200,A10)</f>
        <v>1</v>
      </c>
    </row>
    <row r="12" customFormat="false" ht="15" hidden="false" customHeight="false" outlineLevel="0" collapsed="false">
      <c r="A12" s="16" t="s">
        <v>23</v>
      </c>
      <c r="B12" s="16" t="s">
        <v>9</v>
      </c>
      <c r="D12" s="16" t="s">
        <v>24</v>
      </c>
      <c r="E12" s="16" t="s">
        <v>9</v>
      </c>
    </row>
    <row r="13" customFormat="false" ht="15" hidden="false" customHeight="false" outlineLevel="0" collapsed="false">
      <c r="A13" s="17" t="s">
        <v>25</v>
      </c>
      <c r="B13" s="18" t="n">
        <f aca="false">COUNTIF('Change Log'!$G$2:$G$200,"*"&amp;A13&amp;"*")</f>
        <v>6</v>
      </c>
      <c r="D13" s="17" t="s">
        <v>26</v>
      </c>
      <c r="E13" s="18" t="n">
        <f aca="false">COUNTIF('Change Log'!$K$2:$K$200,D13)</f>
        <v>7</v>
      </c>
    </row>
    <row r="14" customFormat="false" ht="15" hidden="false" customHeight="false" outlineLevel="0" collapsed="false">
      <c r="A14" s="17" t="s">
        <v>27</v>
      </c>
      <c r="B14" s="18" t="n">
        <f aca="false">COUNTIF('Change Log'!$G$2:$G$200,"*"&amp;A14&amp;"*")</f>
        <v>4</v>
      </c>
      <c r="D14" s="17" t="s">
        <v>28</v>
      </c>
      <c r="E14" s="18" t="n">
        <f aca="false">COUNTIF('Change Log'!$K$2:$K$200,D14)</f>
        <v>0</v>
      </c>
    </row>
    <row r="15" customFormat="false" ht="15" hidden="false" customHeight="false" outlineLevel="0" collapsed="false">
      <c r="A15" s="17" t="s">
        <v>29</v>
      </c>
      <c r="B15" s="18" t="n">
        <f aca="false">COUNTIF('Change Log'!$G$2:$G$200,"*"&amp;A15&amp;"*")</f>
        <v>2</v>
      </c>
      <c r="D15" s="17" t="s">
        <v>30</v>
      </c>
      <c r="E15" s="18" t="n">
        <f aca="false">COUNTIF('Change Log'!$K$2:$K$200,D15)</f>
        <v>0</v>
      </c>
    </row>
    <row r="16" customFormat="false" ht="15" hidden="false" customHeight="false" outlineLevel="0" collapsed="false">
      <c r="A16" s="17" t="s">
        <v>31</v>
      </c>
      <c r="B16" s="18" t="n">
        <f aca="false">COUNTIF('Change Log'!$G$2:$G$200,"*"&amp;A16&amp;"*")</f>
        <v>1</v>
      </c>
      <c r="D16" s="17" t="s">
        <v>32</v>
      </c>
      <c r="E16" s="18" t="n">
        <f aca="false">COUNTIF('Change Log'!$K$2:$K$200,D16)</f>
        <v>0</v>
      </c>
    </row>
    <row r="19" customFormat="false" ht="15" hidden="false" customHeight="false" outlineLevel="0" collapsed="false">
      <c r="A19" s="16" t="s">
        <v>33</v>
      </c>
      <c r="B19" s="16" t="s">
        <v>9</v>
      </c>
      <c r="D19" s="19" t="s">
        <v>34</v>
      </c>
    </row>
    <row r="20" customFormat="false" ht="15" hidden="false" customHeight="false" outlineLevel="0" collapsed="false">
      <c r="A20" s="17" t="s">
        <v>35</v>
      </c>
      <c r="B20" s="18" t="n">
        <f aca="false">COUNTIF('Change Log'!$F$2:$F$200,"*"&amp;A20&amp;"*")</f>
        <v>1</v>
      </c>
      <c r="D20" s="20" t="str">
        <f aca="false">IF(SUM(B4:B10)=COUNTA('Change Log'!B2:B200),"OK","Mismatch")</f>
        <v>OK</v>
      </c>
    </row>
    <row r="21" customFormat="false" ht="15" hidden="false" customHeight="false" outlineLevel="0" collapsed="false">
      <c r="A21" s="17" t="s">
        <v>36</v>
      </c>
      <c r="B21" s="18" t="n">
        <f aca="false">COUNTIF('Change Log'!$F$2:$F$200,"*"&amp;A21&amp;"*")</f>
        <v>1</v>
      </c>
      <c r="D21" s="21" t="s">
        <v>37</v>
      </c>
    </row>
    <row r="22" customFormat="false" ht="15" hidden="false" customHeight="false" outlineLevel="0" collapsed="false">
      <c r="A22" s="17" t="s">
        <v>38</v>
      </c>
      <c r="B22" s="18" t="n">
        <f aca="false">COUNTIF('Change Log'!$F$2:$F$200,"*"&amp;A22&amp;"*")</f>
        <v>2</v>
      </c>
    </row>
    <row r="23" customFormat="false" ht="15" hidden="false" customHeight="false" outlineLevel="0" collapsed="false">
      <c r="A23" s="17" t="s">
        <v>39</v>
      </c>
      <c r="B23" s="18" t="n">
        <f aca="false">COUNTIF('Change Log'!$F$2:$F$200,"*"&amp;A23&amp;"*")</f>
        <v>2</v>
      </c>
    </row>
    <row r="24" customFormat="false" ht="15" hidden="false" customHeight="false" outlineLevel="0" collapsed="false">
      <c r="A24" s="17" t="s">
        <v>40</v>
      </c>
      <c r="B24" s="18" t="n">
        <f aca="false">COUNTIF('Change Log'!$F$2:$F$200,"*"&amp;A24&amp;"*")</f>
        <v>2</v>
      </c>
    </row>
    <row r="25" customFormat="false" ht="15" hidden="false" customHeight="false" outlineLevel="0" collapsed="false">
      <c r="A25" s="17" t="s">
        <v>41</v>
      </c>
      <c r="B25" s="18" t="n">
        <f aca="false">COUNTIF('Change Log'!$F$2:$F$200,"*"&amp;A25&amp;"*")</f>
        <v>1</v>
      </c>
    </row>
    <row r="26" customFormat="false" ht="15" hidden="false" customHeight="false" outlineLevel="0" collapsed="false">
      <c r="A26" s="17" t="s">
        <v>42</v>
      </c>
      <c r="B26" s="18" t="n">
        <f aca="false">COUNTIF('Change Log'!$F$2:$F$200,"*"&amp;A26&amp;"*")</f>
        <v>1</v>
      </c>
    </row>
    <row r="27" customFormat="false" ht="15" hidden="false" customHeight="false" outlineLevel="0" collapsed="false">
      <c r="A27" s="17" t="s">
        <v>43</v>
      </c>
      <c r="B27" s="18" t="n">
        <f aca="false">COUNTIF('Change Log'!$F$2:$F$200,"*"&amp;A27&amp;"*")</f>
        <v>1</v>
      </c>
    </row>
    <row r="28" customFormat="false" ht="15" hidden="false" customHeight="false" outlineLevel="0" collapsed="false">
      <c r="A28" s="17" t="s">
        <v>44</v>
      </c>
      <c r="B28" s="18" t="n">
        <f aca="false">COUNTIF('Change Log'!$F$2:$F$200,"*"&amp;A28&amp;"*")</f>
        <v>1</v>
      </c>
    </row>
    <row r="29" customFormat="false" ht="15" hidden="false" customHeight="false" outlineLevel="0" collapsed="false">
      <c r="A29" s="17" t="s">
        <v>45</v>
      </c>
      <c r="B29" s="18" t="n">
        <f aca="false">COUNTIF('Change Log'!$F$2:$F$200,"*"&amp;A29&amp;"*")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9" min="9" style="0" width="20"/>
    <col collapsed="false" customWidth="true" hidden="false" outlineLevel="0" max="10" min="10" style="0" width="9"/>
    <col collapsed="false" customWidth="true" hidden="false" outlineLevel="0" max="11" min="11" style="0" width="12"/>
  </cols>
  <sheetData>
    <row r="1" customFormat="false" ht="24" hidden="false" customHeight="true" outlineLevel="0" collapsed="false">
      <c r="A1" s="22" t="s">
        <v>46</v>
      </c>
      <c r="B1" s="22" t="s">
        <v>47</v>
      </c>
      <c r="C1" s="22" t="s">
        <v>48</v>
      </c>
      <c r="D1" s="22" t="s">
        <v>49</v>
      </c>
      <c r="E1" s="22" t="s">
        <v>50</v>
      </c>
      <c r="F1" s="22" t="s">
        <v>51</v>
      </c>
      <c r="G1" s="22" t="s">
        <v>52</v>
      </c>
      <c r="H1" s="22" t="s">
        <v>53</v>
      </c>
      <c r="I1" s="22" t="s">
        <v>10</v>
      </c>
      <c r="J1" s="22" t="s">
        <v>54</v>
      </c>
      <c r="K1" s="22" t="s">
        <v>24</v>
      </c>
      <c r="M1" s="21" t="s">
        <v>55</v>
      </c>
    </row>
    <row r="2" customFormat="false" ht="23.85" hidden="false" customHeight="false" outlineLevel="0" collapsed="false">
      <c r="A2" s="23" t="n">
        <v>46310</v>
      </c>
      <c r="B2" s="24" t="s">
        <v>11</v>
      </c>
      <c r="C2" s="24" t="s">
        <v>56</v>
      </c>
      <c r="D2" s="24" t="s">
        <v>57</v>
      </c>
      <c r="E2" s="24" t="s">
        <v>58</v>
      </c>
      <c r="F2" s="24" t="s">
        <v>59</v>
      </c>
      <c r="G2" s="24" t="s">
        <v>60</v>
      </c>
      <c r="H2" s="24" t="s">
        <v>61</v>
      </c>
      <c r="I2" s="24" t="s">
        <v>12</v>
      </c>
      <c r="J2" s="25" t="s">
        <v>62</v>
      </c>
      <c r="K2" s="25" t="s">
        <v>26</v>
      </c>
    </row>
    <row r="3" customFormat="false" ht="23.85" hidden="false" customHeight="false" outlineLevel="0" collapsed="false">
      <c r="A3" s="26" t="n">
        <v>46310</v>
      </c>
      <c r="B3" s="27" t="s">
        <v>13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 t="s">
        <v>68</v>
      </c>
      <c r="I3" s="27" t="s">
        <v>14</v>
      </c>
      <c r="J3" s="28" t="s">
        <v>62</v>
      </c>
      <c r="K3" s="28" t="s">
        <v>26</v>
      </c>
    </row>
    <row r="4" customFormat="false" ht="23.85" hidden="false" customHeight="false" outlineLevel="0" collapsed="false">
      <c r="A4" s="23" t="n">
        <v>46310</v>
      </c>
      <c r="B4" s="24" t="s">
        <v>15</v>
      </c>
      <c r="C4" s="24" t="s">
        <v>69</v>
      </c>
      <c r="D4" s="24" t="s">
        <v>70</v>
      </c>
      <c r="E4" s="24" t="s">
        <v>71</v>
      </c>
      <c r="F4" s="24" t="s">
        <v>72</v>
      </c>
      <c r="G4" s="24" t="s">
        <v>73</v>
      </c>
      <c r="H4" s="24" t="s">
        <v>74</v>
      </c>
      <c r="I4" s="24" t="s">
        <v>12</v>
      </c>
      <c r="J4" s="25" t="s">
        <v>62</v>
      </c>
      <c r="K4" s="25" t="s">
        <v>26</v>
      </c>
    </row>
    <row r="5" customFormat="false" ht="23.85" hidden="false" customHeight="false" outlineLevel="0" collapsed="false">
      <c r="A5" s="26" t="n">
        <v>46310</v>
      </c>
      <c r="B5" s="27" t="s">
        <v>17</v>
      </c>
      <c r="C5" s="27" t="s">
        <v>75</v>
      </c>
      <c r="D5" s="27" t="s">
        <v>76</v>
      </c>
      <c r="E5" s="27" t="s">
        <v>77</v>
      </c>
      <c r="F5" s="27" t="s">
        <v>78</v>
      </c>
      <c r="G5" s="27" t="s">
        <v>79</v>
      </c>
      <c r="H5" s="27" t="s">
        <v>80</v>
      </c>
      <c r="I5" s="27" t="s">
        <v>16</v>
      </c>
      <c r="J5" s="28" t="s">
        <v>62</v>
      </c>
      <c r="K5" s="28" t="s">
        <v>26</v>
      </c>
    </row>
    <row r="6" customFormat="false" ht="23.85" hidden="false" customHeight="false" outlineLevel="0" collapsed="false">
      <c r="A6" s="23" t="n">
        <v>46310</v>
      </c>
      <c r="B6" s="24" t="s">
        <v>19</v>
      </c>
      <c r="C6" s="24" t="s">
        <v>81</v>
      </c>
      <c r="D6" s="24" t="s">
        <v>82</v>
      </c>
      <c r="E6" s="24" t="s">
        <v>83</v>
      </c>
      <c r="F6" s="24" t="s">
        <v>84</v>
      </c>
      <c r="G6" s="24" t="s">
        <v>85</v>
      </c>
      <c r="H6" s="24" t="s">
        <v>86</v>
      </c>
      <c r="I6" s="24" t="s">
        <v>18</v>
      </c>
      <c r="J6" s="25" t="s">
        <v>62</v>
      </c>
      <c r="K6" s="25" t="s">
        <v>26</v>
      </c>
    </row>
    <row r="7" customFormat="false" ht="23.85" hidden="false" customHeight="false" outlineLevel="0" collapsed="false">
      <c r="A7" s="26" t="n">
        <v>46310</v>
      </c>
      <c r="B7" s="27" t="s">
        <v>21</v>
      </c>
      <c r="C7" s="27" t="s">
        <v>87</v>
      </c>
      <c r="D7" s="27" t="s">
        <v>88</v>
      </c>
      <c r="E7" s="27" t="s">
        <v>89</v>
      </c>
      <c r="F7" s="27" t="s">
        <v>38</v>
      </c>
      <c r="G7" s="27" t="s">
        <v>85</v>
      </c>
      <c r="H7" s="27" t="s">
        <v>90</v>
      </c>
      <c r="I7" s="27" t="s">
        <v>18</v>
      </c>
      <c r="J7" s="28" t="s">
        <v>62</v>
      </c>
      <c r="K7" s="28" t="s">
        <v>26</v>
      </c>
    </row>
    <row r="8" customFormat="false" ht="23.85" hidden="false" customHeight="false" outlineLevel="0" collapsed="false">
      <c r="A8" s="23" t="n">
        <v>46310</v>
      </c>
      <c r="B8" s="24" t="s">
        <v>22</v>
      </c>
      <c r="C8" s="24" t="s">
        <v>91</v>
      </c>
      <c r="D8" s="24" t="s">
        <v>92</v>
      </c>
      <c r="E8" s="24" t="s">
        <v>93</v>
      </c>
      <c r="F8" s="24" t="s">
        <v>94</v>
      </c>
      <c r="G8" s="24" t="s">
        <v>25</v>
      </c>
      <c r="H8" s="24" t="s">
        <v>95</v>
      </c>
      <c r="I8" s="24" t="s">
        <v>20</v>
      </c>
      <c r="J8" s="25" t="s">
        <v>62</v>
      </c>
      <c r="K8" s="25" t="s">
        <v>26</v>
      </c>
    </row>
  </sheetData>
  <autoFilter ref="A1:K8"/>
  <dataValidations count="1">
    <dataValidation allowBlank="true" errorStyle="stop" operator="between" showDropDown="false" showErrorMessage="false" showInputMessage="false" sqref="K2:K200" type="list">
      <formula1>"Proposed,Approved,Implemented,Rejected"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2026-10-15T05:43:24Z</dcterms:created>
  <dc:creator>openpyxl</dc:creator>
  <dc:description/>
  <dc:language>en-US</dc:language>
  <cp:lastModifiedBy/>
  <dcterms:modified xsi:type="dcterms:W3CDTF">2026-10-15T05:43:26Z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