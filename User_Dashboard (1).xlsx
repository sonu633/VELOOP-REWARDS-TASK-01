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<sst xmlns="http://schemas.openxmlformats.org/spreadsheetml/2006/main" count="86" uniqueCount="47">
  <si>
    <t xml:space="preserve">User Acquisition Dashboard</t>
  </si>
  <si>
    <t xml:space="preserve">Total Users</t>
  </si>
  <si>
    <t xml:space="preserve">Active Users</t>
  </si>
  <si>
    <t xml:space="preserve">Inactive Users</t>
  </si>
  <si>
    <t xml:space="preserve">Active Rate</t>
  </si>
  <si>
    <t xml:space="preserve">Top Acquisition Source</t>
  </si>
  <si>
    <t xml:space="preserve">Top City</t>
  </si>
  <si>
    <t xml:space="preserve">Users by Source</t>
  </si>
  <si>
    <t xml:space="preserve">Daily Registrations</t>
  </si>
  <si>
    <t xml:space="preserve">Source</t>
  </si>
  <si>
    <t xml:space="preserve">Users</t>
  </si>
  <si>
    <t xml:space="preserve">Active %</t>
  </si>
  <si>
    <t xml:space="preserve">Date</t>
  </si>
  <si>
    <t xml:space="preserve">Registrations</t>
  </si>
  <si>
    <t xml:space="preserve">Organic</t>
  </si>
  <si>
    <t xml:space="preserve">Referral</t>
  </si>
  <si>
    <t xml:space="preserve">Social Media</t>
  </si>
  <si>
    <t xml:space="preserve">Users by City</t>
  </si>
  <si>
    <t xml:space="preserve">City</t>
  </si>
  <si>
    <t xml:space="preserve">Jaipur</t>
  </si>
  <si>
    <t xml:space="preserve">Delhi</t>
  </si>
  <si>
    <t xml:space="preserve">Daily table covers 8 days from first registration; extend rows if you add more dates.</t>
  </si>
  <si>
    <t xml:space="preserve">Mumbai</t>
  </si>
  <si>
    <t xml:space="preserve">Indore</t>
  </si>
  <si>
    <t xml:space="preserve">Users by Device</t>
  </si>
  <si>
    <t xml:space="preserve">Device</t>
  </si>
  <si>
    <t xml:space="preserve">Android</t>
  </si>
  <si>
    <t xml:space="preserve">iOS</t>
  </si>
  <si>
    <t xml:space="preserve">Web</t>
  </si>
  <si>
    <t xml:space="preserve">Users by Status</t>
  </si>
  <si>
    <t xml:space="preserve">Status</t>
  </si>
  <si>
    <t xml:space="preserve">Share %</t>
  </si>
  <si>
    <t xml:space="preserve">Active</t>
  </si>
  <si>
    <t xml:space="preserve">Inactive</t>
  </si>
  <si>
    <t xml:space="preserve">User_ID</t>
  </si>
  <si>
    <t xml:space="preserve">Registration_Date</t>
  </si>
  <si>
    <t xml:space="preserve">Acquisition_Source</t>
  </si>
  <si>
    <t xml:space="preserve">User_Status</t>
  </si>
  <si>
    <t xml:space="preserve">Note: Add new users in the rows directly below the table. The Dashboard formulas read rows 2–1000, so it updates automatically.</t>
  </si>
  <si>
    <t xml:space="preserve">U001</t>
  </si>
  <si>
    <t xml:space="preserve">U002</t>
  </si>
  <si>
    <t xml:space="preserve">U003</t>
  </si>
  <si>
    <t xml:space="preserve">U004</t>
  </si>
  <si>
    <t xml:space="preserve">U005</t>
  </si>
  <si>
    <t xml:space="preserve">U006</t>
  </si>
  <si>
    <t xml:space="preserve">U007</t>
  </si>
  <si>
    <t xml:space="preserve">U008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</si>
</sst>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General"/>
    <numFmt numFmtId="168" formatCode="0%"/>
    <numFmt numFmtId="169" formatCode="dd\-mmm"/>
    <numFmt numFmtId="170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4"/>
      <color rgb="FF2E75B6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C00"/>
      <rgbColor rgb="FFFF9900"/>
      <rgbColor rgb="FFED7D31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Organic</c:v>
                </c:pt>
                <c:pt idx="1">
                  <c:v>Referral</c:v>
                </c:pt>
                <c:pt idx="2">
                  <c:v>Social Media</c:v>
                </c:pt>
              </c:strCache>
            </c:strRef>
          </c:cat>
          <c:val>
            <c:numRef>
              <c:f>Dashboard!$C$12:$C$14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87656756"/>
        <c:axId val="49310400"/>
      </c:barChart>
      <c:catAx>
        <c:axId val="87656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10400"/>
        <c:crosses val="autoZero"/>
        <c:auto val="1"/>
        <c:lblAlgn val="ctr"/>
        <c:lblOffset val="100"/>
        <c:noMultiLvlLbl val="0"/>
      </c:catAx>
      <c:valAx>
        <c:axId val="4931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567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Dashboard!$B$19:$B$22</c:f>
              <c:strCache>
                <c:ptCount val="4"/>
                <c:pt idx="0">
                  <c:v>Jaipur</c:v>
                </c:pt>
                <c:pt idx="1">
                  <c:v>Delhi</c:v>
                </c:pt>
                <c:pt idx="2">
                  <c:v>Mumbai</c:v>
                </c:pt>
                <c:pt idx="3">
                  <c:v>Indore</c:v>
                </c:pt>
              </c:strCache>
            </c:strRef>
          </c:cat>
          <c:val>
            <c:numRef>
              <c:f>Dashboard!$C$19:$C$22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26061617"/>
        <c:axId val="9267245"/>
      </c:barChart>
      <c:catAx>
        <c:axId val="26061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7245"/>
        <c:crosses val="autoZero"/>
        <c:auto val="1"/>
        <c:lblAlgn val="ctr"/>
        <c:lblOffset val="100"/>
        <c:noMultiLvlLbl val="0"/>
      </c:catAx>
      <c:valAx>
        <c:axId val="92672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61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by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Dashboard!C26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Dashboard!$B$27:$B$29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Web</c:v>
                </c:pt>
              </c:strCache>
            </c:strRef>
          </c:cat>
          <c:val>
            <c:numRef>
              <c:f>Dashboard!$C$27:$C$29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27592900"/>
        <c:axId val="94348657"/>
      </c:barChart>
      <c:catAx>
        <c:axId val="27592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48657"/>
        <c:crosses val="autoZero"/>
        <c:auto val="1"/>
        <c:lblAlgn val="ctr"/>
        <c:lblOffset val="100"/>
        <c:noMultiLvlLbl val="0"/>
      </c:catAx>
      <c:valAx>
        <c:axId val="943486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92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vs Inactive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Dashboard!C32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Dashboard!$B$33:$B$34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Dashboard!$C$33:$C$34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Registrations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Dashboard!G11</c:f>
              <c:strCache>
                <c:ptCount val="1"/>
                <c:pt idx="0">
                  <c:v>Registrations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Dashboard!$F$12:$F$19</c:f>
              <c:strCache>
                <c:ptCount val="8"/>
                <c:pt idx="0">
                  <c:v>01-Oct</c:v>
                </c:pt>
                <c:pt idx="1">
                  <c:v>02-Oct</c:v>
                </c:pt>
                <c:pt idx="2">
                  <c:v>03-Oct</c:v>
                </c:pt>
                <c:pt idx="3">
                  <c:v>04-Oct</c:v>
                </c:pt>
                <c:pt idx="4">
                  <c:v>05-Oct</c:v>
                </c:pt>
                <c:pt idx="5">
                  <c:v>06-Oct</c:v>
                </c:pt>
                <c:pt idx="6">
                  <c:v>07-Oct</c:v>
                </c:pt>
                <c:pt idx="7">
                  <c:v>08-Oct</c:v>
                </c:pt>
              </c:strCache>
            </c:strRef>
          </c:cat>
          <c:val>
            <c:numRef>
              <c:f>Dashboard!$G$12:$G$19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69564245"/>
        <c:axId val="64088336"/>
      </c:barChart>
      <c:catAx>
        <c:axId val="69564245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88336"/>
        <c:crosses val="autoZero"/>
        <c:auto val="1"/>
        <c:lblAlgn val="ctr"/>
        <c:lblOffset val="100"/>
        <c:noMultiLvlLbl val="0"/>
      </c:catAx>
      <c:valAx>
        <c:axId val="6408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642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9</xdr:row>
      <xdr:rowOff>0</xdr:rowOff>
    </xdr:from>
    <xdr:to>
      <xdr:col>14</xdr:col>
      <xdr:colOff>294480</xdr:colOff>
      <xdr:row>21</xdr:row>
      <xdr:rowOff>53640</xdr:rowOff>
    </xdr:to>
    <xdr:graphicFrame>
      <xdr:nvGraphicFramePr>
        <xdr:cNvPr id="0" name="Chart 1"/>
        <xdr:cNvGraphicFramePr/>
      </xdr:nvGraphicFramePr>
      <xdr:xfrm>
        <a:off x="7048440" y="2505240"/>
        <a:ext cx="39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14</xdr:col>
      <xdr:colOff>294480</xdr:colOff>
      <xdr:row>35</xdr:row>
      <xdr:rowOff>53640</xdr:rowOff>
    </xdr:to>
    <xdr:graphicFrame>
      <xdr:nvGraphicFramePr>
        <xdr:cNvPr id="1" name="Chart 2"/>
        <xdr:cNvGraphicFramePr/>
      </xdr:nvGraphicFramePr>
      <xdr:xfrm>
        <a:off x="7048440" y="5172120"/>
        <a:ext cx="39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9</xdr:col>
      <xdr:colOff>505800</xdr:colOff>
      <xdr:row>33</xdr:row>
      <xdr:rowOff>53640</xdr:rowOff>
    </xdr:to>
    <xdr:graphicFrame>
      <xdr:nvGraphicFramePr>
        <xdr:cNvPr id="2" name="Chart 3"/>
        <xdr:cNvGraphicFramePr/>
      </xdr:nvGraphicFramePr>
      <xdr:xfrm>
        <a:off x="3594600" y="4791240"/>
        <a:ext cx="39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3</xdr:col>
      <xdr:colOff>843120</xdr:colOff>
      <xdr:row>48</xdr:row>
      <xdr:rowOff>53640</xdr:rowOff>
    </xdr:to>
    <xdr:graphicFrame>
      <xdr:nvGraphicFramePr>
        <xdr:cNvPr id="3" name="Chart 4"/>
        <xdr:cNvGraphicFramePr/>
      </xdr:nvGraphicFramePr>
      <xdr:xfrm>
        <a:off x="141120" y="764856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1225800</xdr:colOff>
      <xdr:row>48</xdr:row>
      <xdr:rowOff>53640</xdr:rowOff>
    </xdr:to>
    <xdr:graphicFrame>
      <xdr:nvGraphicFramePr>
        <xdr:cNvPr id="4" name="Chart 5"/>
        <xdr:cNvGraphicFramePr/>
      </xdr:nvGraphicFramePr>
      <xdr:xfrm>
        <a:off x="3594600" y="764856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sers" displayName="Users" ref="A1:F9" headerRowCount="1" totalsRowCount="0" totalsRowShown="0">
  <autoFilter ref="A1:F9"/>
  <tableColumns count="6">
    <tableColumn id="1" name="User_ID"/>
    <tableColumn id="2" name="Registration_Date"/>
    <tableColumn id="3" name="Acquisition_Source"/>
    <tableColumn id="4" name="Device"/>
    <tableColumn id="5" name="City"/>
    <tableColumn id="6" name="User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4" min="13" style="0" width="3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B2" s="2" t="str">
        <f aca="false">"Registrations: "&amp;TEXT(MIN(Data!$B$2:$B$1000),"dd mmm yyyy")&amp;"  to  "&amp;TEXT(MAX(Data!$B$2:$B$1000),"dd mmm yyyy")</f>
        <v>Registrations: 01 Oct 2026  to  08 Oct 2026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3" t="s">
        <v>1</v>
      </c>
      <c r="C4" s="3"/>
      <c r="D4" s="3"/>
      <c r="F4" s="3" t="s">
        <v>2</v>
      </c>
      <c r="G4" s="3"/>
      <c r="H4" s="3"/>
      <c r="J4" s="3" t="s">
        <v>3</v>
      </c>
      <c r="K4" s="3"/>
      <c r="L4" s="3"/>
    </row>
    <row r="5" customFormat="false" ht="37.5" hidden="false" customHeight="true" outlineLevel="0" collapsed="false">
      <c r="B5" s="4" t="n">
        <f aca="false">COUNTA(Data!$A$2:$A$1000)</f>
        <v>8</v>
      </c>
      <c r="C5" s="4"/>
      <c r="D5" s="4"/>
      <c r="F5" s="4" t="n">
        <f aca="false">COUNTIF(Data!$F$2:$F$1000,"Active")</f>
        <v>6</v>
      </c>
      <c r="G5" s="4"/>
      <c r="H5" s="4"/>
      <c r="J5" s="4" t="n">
        <f aca="false">COUNTIF(Data!$F$2:$F$1000,"Inactive")</f>
        <v>2</v>
      </c>
      <c r="K5" s="4"/>
      <c r="L5" s="4"/>
    </row>
    <row r="7" customFormat="false" ht="15" hidden="false" customHeight="false" outlineLevel="0" collapsed="false">
      <c r="B7" s="3" t="s">
        <v>4</v>
      </c>
      <c r="C7" s="3"/>
      <c r="D7" s="3"/>
      <c r="F7" s="3" t="s">
        <v>5</v>
      </c>
      <c r="G7" s="3"/>
      <c r="H7" s="3"/>
      <c r="J7" s="3" t="s">
        <v>6</v>
      </c>
      <c r="K7" s="3"/>
      <c r="L7" s="3"/>
    </row>
    <row r="8" customFormat="false" ht="33.75" hidden="false" customHeight="true" outlineLevel="0" collapsed="false">
      <c r="B8" s="5" t="n">
        <f aca="false">IF(B5=0,0,F5/B5)</f>
        <v>0.75</v>
      </c>
      <c r="C8" s="5"/>
      <c r="D8" s="5"/>
      <c r="F8" s="6" t="str">
        <f aca="false">INDEX(B12:B14,MATCH(MAX(C12:C14),C12:C14,0))</f>
        <v>Organic</v>
      </c>
      <c r="G8" s="6"/>
      <c r="H8" s="6"/>
      <c r="J8" s="6" t="str">
        <f aca="false">INDEX(B19:B22,MATCH(MAX(C19:C22),C19:C22,0))</f>
        <v>Jaipur</v>
      </c>
      <c r="K8" s="6"/>
      <c r="L8" s="6"/>
    </row>
    <row r="10" customFormat="false" ht="15" hidden="false" customHeight="false" outlineLevel="0" collapsed="false">
      <c r="B10" s="7" t="s">
        <v>7</v>
      </c>
      <c r="C10" s="7"/>
      <c r="D10" s="7"/>
      <c r="F10" s="7" t="s">
        <v>8</v>
      </c>
      <c r="G10" s="7"/>
      <c r="H10" s="7"/>
    </row>
    <row r="11" customFormat="false" ht="15" hidden="false" customHeight="false" outlineLevel="0" collapsed="false">
      <c r="B11" s="8" t="s">
        <v>9</v>
      </c>
      <c r="C11" s="9" t="s">
        <v>10</v>
      </c>
      <c r="D11" s="9" t="s">
        <v>11</v>
      </c>
      <c r="F11" s="9" t="s">
        <v>12</v>
      </c>
      <c r="G11" s="9" t="s">
        <v>13</v>
      </c>
    </row>
    <row r="12" customFormat="false" ht="15" hidden="false" customHeight="false" outlineLevel="0" collapsed="false">
      <c r="B12" s="10" t="s">
        <v>14</v>
      </c>
      <c r="C12" s="11" t="n">
        <f aca="false">COUNTIF(Data!$C$2:$C$1000,B12)</f>
        <v>3</v>
      </c>
      <c r="D12" s="12" t="n">
        <f aca="false">IF(C12=0,0,COUNTIFS(Data!$C$2:$C$1000,B12,Data!$F$2:$F$1000,"Active")/C12)</f>
        <v>1</v>
      </c>
      <c r="F12" s="13" t="n">
        <f aca="false">MIN(Data!$B$2:$B$1000)+0</f>
        <v>46296</v>
      </c>
      <c r="G12" s="11" t="n">
        <f aca="false">COUNTIF(Data!$B$2:$B$1000,F12)</f>
        <v>1</v>
      </c>
    </row>
    <row r="13" customFormat="false" ht="15" hidden="false" customHeight="false" outlineLevel="0" collapsed="false">
      <c r="B13" s="10" t="s">
        <v>15</v>
      </c>
      <c r="C13" s="11" t="n">
        <f aca="false">COUNTIF(Data!$C$2:$C$1000,B13)</f>
        <v>3</v>
      </c>
      <c r="D13" s="12" t="n">
        <f aca="false">IF(C13=0,0,COUNTIFS(Data!$C$2:$C$1000,B13,Data!$F$2:$F$1000,"Active")/C13)</f>
        <v>1</v>
      </c>
      <c r="F13" s="13" t="n">
        <f aca="false">F12+1</f>
        <v>46297</v>
      </c>
      <c r="G13" s="11" t="n">
        <f aca="false">COUNTIF(Data!$B$2:$B$1000,F13)</f>
        <v>1</v>
      </c>
    </row>
    <row r="14" customFormat="false" ht="15" hidden="false" customHeight="false" outlineLevel="0" collapsed="false">
      <c r="B14" s="10" t="s">
        <v>16</v>
      </c>
      <c r="C14" s="11" t="n">
        <f aca="false">COUNTIF(Data!$C$2:$C$1000,B14)</f>
        <v>2</v>
      </c>
      <c r="D14" s="12" t="n">
        <f aca="false">IF(C14=0,0,COUNTIFS(Data!$C$2:$C$1000,B14,Data!$F$2:$F$1000,"Active")/C14)</f>
        <v>0</v>
      </c>
      <c r="F14" s="13" t="n">
        <f aca="false">F13+1</f>
        <v>46298</v>
      </c>
      <c r="G14" s="11" t="n">
        <f aca="false">COUNTIF(Data!$B$2:$B$1000,F14)</f>
        <v>1</v>
      </c>
    </row>
    <row r="15" customFormat="false" ht="15" hidden="false" customHeight="false" outlineLevel="0" collapsed="false">
      <c r="F15" s="13" t="n">
        <f aca="false">F14+1</f>
        <v>46299</v>
      </c>
      <c r="G15" s="11" t="n">
        <f aca="false">COUNTIF(Data!$B$2:$B$1000,F15)</f>
        <v>1</v>
      </c>
    </row>
    <row r="16" customFormat="false" ht="15" hidden="false" customHeight="false" outlineLevel="0" collapsed="false">
      <c r="F16" s="13" t="n">
        <f aca="false">F15+1</f>
        <v>46300</v>
      </c>
      <c r="G16" s="11" t="n">
        <f aca="false">COUNTIF(Data!$B$2:$B$1000,F16)</f>
        <v>1</v>
      </c>
    </row>
    <row r="17" customFormat="false" ht="15" hidden="false" customHeight="false" outlineLevel="0" collapsed="false">
      <c r="B17" s="7" t="s">
        <v>17</v>
      </c>
      <c r="C17" s="7"/>
      <c r="D17" s="7"/>
      <c r="F17" s="13" t="n">
        <f aca="false">F16+1</f>
        <v>46301</v>
      </c>
      <c r="G17" s="11" t="n">
        <f aca="false">COUNTIF(Data!$B$2:$B$1000,F17)</f>
        <v>1</v>
      </c>
    </row>
    <row r="18" customFormat="false" ht="15" hidden="false" customHeight="false" outlineLevel="0" collapsed="false">
      <c r="B18" s="8" t="s">
        <v>18</v>
      </c>
      <c r="C18" s="9" t="s">
        <v>10</v>
      </c>
      <c r="D18" s="9" t="s">
        <v>11</v>
      </c>
      <c r="F18" s="13" t="n">
        <f aca="false">F17+1</f>
        <v>46302</v>
      </c>
      <c r="G18" s="11" t="n">
        <f aca="false">COUNTIF(Data!$B$2:$B$1000,F18)</f>
        <v>1</v>
      </c>
    </row>
    <row r="19" customFormat="false" ht="15" hidden="false" customHeight="false" outlineLevel="0" collapsed="false">
      <c r="B19" s="10" t="s">
        <v>19</v>
      </c>
      <c r="C19" s="11" t="n">
        <f aca="false">COUNTIF(Data!$E$2:$E$1000,B19)</f>
        <v>3</v>
      </c>
      <c r="D19" s="12" t="n">
        <f aca="false">IF(C19=0,0,COUNTIFS(Data!$E$2:$E$1000,B19,Data!$F$2:$F$1000,"Active")/C19)</f>
        <v>1</v>
      </c>
      <c r="F19" s="13" t="n">
        <f aca="false">F18+1</f>
        <v>46303</v>
      </c>
      <c r="G19" s="11" t="n">
        <f aca="false">COUNTIF(Data!$B$2:$B$1000,F19)</f>
        <v>1</v>
      </c>
    </row>
    <row r="20" customFormat="false" ht="15" hidden="false" customHeight="false" outlineLevel="0" collapsed="false">
      <c r="B20" s="10" t="s">
        <v>20</v>
      </c>
      <c r="C20" s="11" t="n">
        <f aca="false">COUNTIF(Data!$E$2:$E$1000,B20)</f>
        <v>2</v>
      </c>
      <c r="D20" s="12" t="n">
        <f aca="false">IF(C20=0,0,COUNTIFS(Data!$E$2:$E$1000,B20,Data!$F$2:$F$1000,"Active")/C20)</f>
        <v>0.5</v>
      </c>
      <c r="F20" s="14" t="s">
        <v>21</v>
      </c>
    </row>
    <row r="21" customFormat="false" ht="15" hidden="false" customHeight="false" outlineLevel="0" collapsed="false">
      <c r="B21" s="10" t="s">
        <v>22</v>
      </c>
      <c r="C21" s="11" t="n">
        <f aca="false">COUNTIF(Data!$E$2:$E$1000,B21)</f>
        <v>2</v>
      </c>
      <c r="D21" s="12" t="n">
        <f aca="false">IF(C21=0,0,COUNTIFS(Data!$E$2:$E$1000,B21,Data!$F$2:$F$1000,"Active")/C21)</f>
        <v>0.5</v>
      </c>
    </row>
    <row r="22" customFormat="false" ht="15" hidden="false" customHeight="false" outlineLevel="0" collapsed="false">
      <c r="B22" s="10" t="s">
        <v>23</v>
      </c>
      <c r="C22" s="11" t="n">
        <f aca="false">COUNTIF(Data!$E$2:$E$1000,B22)</f>
        <v>1</v>
      </c>
      <c r="D22" s="12" t="n">
        <f aca="false">IF(C22=0,0,COUNTIFS(Data!$E$2:$E$1000,B22,Data!$F$2:$F$1000,"Active")/C22)</f>
        <v>1</v>
      </c>
    </row>
    <row r="25" customFormat="false" ht="15" hidden="false" customHeight="false" outlineLevel="0" collapsed="false">
      <c r="B25" s="7" t="s">
        <v>24</v>
      </c>
      <c r="C25" s="7"/>
      <c r="D25" s="7"/>
    </row>
    <row r="26" customFormat="false" ht="15" hidden="false" customHeight="false" outlineLevel="0" collapsed="false">
      <c r="B26" s="8" t="s">
        <v>25</v>
      </c>
      <c r="C26" s="9" t="s">
        <v>10</v>
      </c>
      <c r="D26" s="9" t="s">
        <v>11</v>
      </c>
    </row>
    <row r="27" customFormat="false" ht="15" hidden="false" customHeight="false" outlineLevel="0" collapsed="false">
      <c r="B27" s="10" t="s">
        <v>26</v>
      </c>
      <c r="C27" s="11" t="n">
        <f aca="false">COUNTIF(Data!$D$2:$D$1000,B27)</f>
        <v>4</v>
      </c>
      <c r="D27" s="12" t="n">
        <f aca="false">IF(C27=0,0,COUNTIFS(Data!$D$2:$D$1000,B27,Data!$F$2:$F$1000,"Active")/C27)</f>
        <v>0.75</v>
      </c>
    </row>
    <row r="28" customFormat="false" ht="15" hidden="false" customHeight="false" outlineLevel="0" collapsed="false">
      <c r="B28" s="10" t="s">
        <v>27</v>
      </c>
      <c r="C28" s="11" t="n">
        <f aca="false">COUNTIF(Data!$D$2:$D$1000,B28)</f>
        <v>2</v>
      </c>
      <c r="D28" s="12" t="n">
        <f aca="false">IF(C28=0,0,COUNTIFS(Data!$D$2:$D$1000,B28,Data!$F$2:$F$1000,"Active")/C28)</f>
        <v>0.5</v>
      </c>
    </row>
    <row r="29" customFormat="false" ht="15" hidden="false" customHeight="false" outlineLevel="0" collapsed="false">
      <c r="B29" s="10" t="s">
        <v>28</v>
      </c>
      <c r="C29" s="11" t="n">
        <f aca="false">COUNTIF(Data!$D$2:$D$1000,B29)</f>
        <v>2</v>
      </c>
      <c r="D29" s="12" t="n">
        <f aca="false">IF(C29=0,0,COUNTIFS(Data!$D$2:$D$1000,B29,Data!$F$2:$F$1000,"Active")/C29)</f>
        <v>1</v>
      </c>
    </row>
    <row r="31" customFormat="false" ht="15" hidden="false" customHeight="false" outlineLevel="0" collapsed="false">
      <c r="B31" s="7" t="s">
        <v>29</v>
      </c>
      <c r="C31" s="7"/>
      <c r="D31" s="7"/>
    </row>
    <row r="32" customFormat="false" ht="15" hidden="false" customHeight="false" outlineLevel="0" collapsed="false">
      <c r="B32" s="8" t="s">
        <v>30</v>
      </c>
      <c r="C32" s="8" t="s">
        <v>10</v>
      </c>
      <c r="D32" s="8" t="s">
        <v>31</v>
      </c>
    </row>
    <row r="33" customFormat="false" ht="15" hidden="false" customHeight="false" outlineLevel="0" collapsed="false">
      <c r="B33" s="10" t="s">
        <v>32</v>
      </c>
      <c r="C33" s="11" t="n">
        <f aca="false">COUNTIF(Data!$F$2:$F$1000,B33)</f>
        <v>6</v>
      </c>
      <c r="D33" s="12" t="n">
        <f aca="false">IF($B$5=0,0,C33/$B$5)</f>
        <v>0.75</v>
      </c>
    </row>
    <row r="34" customFormat="false" ht="15" hidden="false" customHeight="false" outlineLevel="0" collapsed="false">
      <c r="B34" s="10" t="s">
        <v>33</v>
      </c>
      <c r="C34" s="11" t="n">
        <f aca="false">COUNTIF(Data!$F$2:$F$1000,B34)</f>
        <v>2</v>
      </c>
      <c r="D34" s="12" t="n">
        <f aca="false">IF($B$5=0,0,C34/$B$5)</f>
        <v>0.25</v>
      </c>
    </row>
  </sheetData>
  <mergeCells count="19">
    <mergeCell ref="B1:L1"/>
    <mergeCell ref="B2:L2"/>
    <mergeCell ref="B4:D4"/>
    <mergeCell ref="F4:H4"/>
    <mergeCell ref="J4:L4"/>
    <mergeCell ref="B5:D5"/>
    <mergeCell ref="F5:H5"/>
    <mergeCell ref="J5:L5"/>
    <mergeCell ref="B7:D7"/>
    <mergeCell ref="F7:H7"/>
    <mergeCell ref="J7:L7"/>
    <mergeCell ref="B8:D8"/>
    <mergeCell ref="F8:H8"/>
    <mergeCell ref="J8:L8"/>
    <mergeCell ref="B10:D10"/>
    <mergeCell ref="F10:H10"/>
    <mergeCell ref="B17:D17"/>
    <mergeCell ref="B25:D25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3"/>
  </cols>
  <sheetData>
    <row r="1" customFormat="false" ht="21.75" hidden="false" customHeight="true" outlineLevel="0" collapsed="false">
      <c r="A1" s="15" t="s">
        <v>34</v>
      </c>
      <c r="B1" s="15" t="s">
        <v>35</v>
      </c>
      <c r="C1" s="15" t="s">
        <v>36</v>
      </c>
      <c r="D1" s="15" t="s">
        <v>25</v>
      </c>
      <c r="E1" s="15" t="s">
        <v>18</v>
      </c>
      <c r="F1" s="15" t="s">
        <v>37</v>
      </c>
      <c r="H1" s="16" t="s">
        <v>38</v>
      </c>
    </row>
    <row r="2" customFormat="false" ht="15" hidden="false" customHeight="false" outlineLevel="0" collapsed="false">
      <c r="A2" s="10" t="s">
        <v>39</v>
      </c>
      <c r="B2" s="17" t="n">
        <v>46296</v>
      </c>
      <c r="C2" s="10" t="s">
        <v>14</v>
      </c>
      <c r="D2" s="10" t="s">
        <v>26</v>
      </c>
      <c r="E2" s="10" t="s">
        <v>19</v>
      </c>
      <c r="F2" s="10" t="s">
        <v>32</v>
      </c>
    </row>
    <row r="3" customFormat="false" ht="15" hidden="false" customHeight="false" outlineLevel="0" collapsed="false">
      <c r="A3" s="10" t="s">
        <v>40</v>
      </c>
      <c r="B3" s="17" t="n">
        <v>46297</v>
      </c>
      <c r="C3" s="10" t="s">
        <v>15</v>
      </c>
      <c r="D3" s="10" t="s">
        <v>26</v>
      </c>
      <c r="E3" s="10" t="s">
        <v>20</v>
      </c>
      <c r="F3" s="10" t="s">
        <v>32</v>
      </c>
    </row>
    <row r="4" customFormat="false" ht="15" hidden="false" customHeight="false" outlineLevel="0" collapsed="false">
      <c r="A4" s="10" t="s">
        <v>41</v>
      </c>
      <c r="B4" s="17" t="n">
        <v>46298</v>
      </c>
      <c r="C4" s="10" t="s">
        <v>16</v>
      </c>
      <c r="D4" s="10" t="s">
        <v>27</v>
      </c>
      <c r="E4" s="10" t="s">
        <v>22</v>
      </c>
      <c r="F4" s="10" t="s">
        <v>33</v>
      </c>
    </row>
    <row r="5" customFormat="false" ht="15" hidden="false" customHeight="false" outlineLevel="0" collapsed="false">
      <c r="A5" s="10" t="s">
        <v>42</v>
      </c>
      <c r="B5" s="17" t="n">
        <v>46299</v>
      </c>
      <c r="C5" s="10" t="s">
        <v>14</v>
      </c>
      <c r="D5" s="10" t="s">
        <v>26</v>
      </c>
      <c r="E5" s="10" t="s">
        <v>19</v>
      </c>
      <c r="F5" s="10" t="s">
        <v>32</v>
      </c>
    </row>
    <row r="6" customFormat="false" ht="15" hidden="false" customHeight="false" outlineLevel="0" collapsed="false">
      <c r="A6" s="10" t="s">
        <v>43</v>
      </c>
      <c r="B6" s="17" t="n">
        <v>46300</v>
      </c>
      <c r="C6" s="10" t="s">
        <v>15</v>
      </c>
      <c r="D6" s="10" t="s">
        <v>28</v>
      </c>
      <c r="E6" s="10" t="s">
        <v>23</v>
      </c>
      <c r="F6" s="10" t="s">
        <v>32</v>
      </c>
    </row>
    <row r="7" customFormat="false" ht="15" hidden="false" customHeight="false" outlineLevel="0" collapsed="false">
      <c r="A7" s="10" t="s">
        <v>44</v>
      </c>
      <c r="B7" s="17" t="n">
        <v>46301</v>
      </c>
      <c r="C7" s="10" t="s">
        <v>16</v>
      </c>
      <c r="D7" s="10" t="s">
        <v>26</v>
      </c>
      <c r="E7" s="10" t="s">
        <v>20</v>
      </c>
      <c r="F7" s="10" t="s">
        <v>33</v>
      </c>
    </row>
    <row r="8" customFormat="false" ht="15" hidden="false" customHeight="false" outlineLevel="0" collapsed="false">
      <c r="A8" s="10" t="s">
        <v>45</v>
      </c>
      <c r="B8" s="17" t="n">
        <v>46302</v>
      </c>
      <c r="C8" s="10" t="s">
        <v>14</v>
      </c>
      <c r="D8" s="10" t="s">
        <v>28</v>
      </c>
      <c r="E8" s="10" t="s">
        <v>19</v>
      </c>
      <c r="F8" s="10" t="s">
        <v>32</v>
      </c>
    </row>
    <row r="9" customFormat="false" ht="15" hidden="false" customHeight="false" outlineLevel="0" collapsed="false">
      <c r="A9" s="10" t="s">
        <v>46</v>
      </c>
      <c r="B9" s="17" t="n">
        <v>46303</v>
      </c>
      <c r="C9" s="10" t="s">
        <v>15</v>
      </c>
      <c r="D9" s="10" t="s">
        <v>27</v>
      </c>
      <c r="E9" s="10" t="s">
        <v>22</v>
      </c>
      <c r="F9" s="1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2026-10-14T05:50:10Z</dcterms:created>
  <dc:creator>openpyxl</dc:creator>
  <dc:description/>
  <dc:language>en-US</dc:language>
  <cp:lastModifiedBy/>
  <dcterms:modified xsi:type="dcterms:W3CDTF">2026-10-14T05:50:11Z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