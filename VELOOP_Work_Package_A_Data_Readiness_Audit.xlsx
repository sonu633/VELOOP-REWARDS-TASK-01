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1 Product Area Map" sheetId="2" state="visible" r:id="rId4"/>
    <sheet name="A2 User Action Flows" sheetId="3" state="visible" r:id="rId5"/>
    <sheet name="A3 Event Classification" sheetId="4" state="visible" r:id="rId6"/>
    <sheet name="A4 Coverage Matrix" sheetId="5" state="visible" r:id="rId7"/>
    <sheet name="Analytics Gaps" sheetId="6" state="visible" r:id="rId8"/>
    <sheet name="Summary" sheetId="7" state="visible" r:id="rId9"/>
  </sheets>
  <definedNames>
    <definedName function="false" hidden="true" localSheetId="1" name="_xlnm._FilterDatabase" vbProcedure="false">'A1 Product Area Map'!$A$3:$G$33</definedName>
    <definedName function="false" hidden="true" localSheetId="2" name="_xlnm._FilterDatabase" vbProcedure="false">'A2 User Action Flows'!$A$4:$H$60</definedName>
    <definedName function="false" hidden="true" localSheetId="3" name="_xlnm._FilterDatabase" vbProcedure="false">'A3 Event Classification'!$A$8:$F$39</definedName>
    <definedName function="false" hidden="true" localSheetId="4" name="_xlnm._FilterDatabase" vbProcedure="false">'A4 Coverage Matrix'!$A$3:$M$38</definedName>
    <definedName function="false" hidden="true" localSheetId="5" name="_xlnm._FilterDatabase" vbProcedure="false">'Analytics Gaps'!$A$4:$H$23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<sst xmlns="http://schemas.openxmlformats.org/spreadsheetml/2006/main" count="1541" uniqueCount="906">
  <si>
    <t xml:space="preserve">VELOOP – Work Package A: Product Data Readiness Audit</t>
  </si>
  <si>
    <t xml:space="preserve">Complete map of the data VELOOP will need: areas, features, user actions, system actions, transactions, states and outcomes</t>
  </si>
  <si>
    <t xml:space="preserve">Objective</t>
  </si>
  <si>
    <t xml:space="preserve">Map every measurable part of the product so that tracking, reporting and reconciliation can be designed before production.</t>
  </si>
  <si>
    <t xml:space="preserve">Sheets</t>
  </si>
  <si>
    <t xml:space="preserve">A1 Product Area Map | A2 User Action Flows | A3 Event Classification | A4 Coverage Matrix | Analytics Gaps | Summary</t>
  </si>
  <si>
    <t xml:space="preserve">Important assumption</t>
  </si>
  <si>
    <t xml:space="preserve">The product was mapped from the feature list in the brief plus common patterns in reward-based apps. Feature rules (limits, reward values, validation logic) have not been confirmed with Product or Engineering. Anything not confirmed is marked 'To Be Verified' or 'Proposed'.</t>
  </si>
  <si>
    <t xml:space="preserve">Status values</t>
  </si>
  <si>
    <t xml:space="preserve">Confirmed = feature named in the brief or agreed. Proposed = identified by the analyst, needs sign-off. To Be Verified = depends on a product or technical answer.</t>
  </si>
  <si>
    <t xml:space="preserve">Priority values</t>
  </si>
  <si>
    <t xml:space="preserve">Critical = needed for financial reconciliation or first production reports. High = core product KPI. Medium = useful for optimization. Low = nice to have.</t>
  </si>
  <si>
    <t xml:space="preserve">Event types</t>
  </si>
  <si>
    <t xml:space="preserve">User Event = a deliberate action by the user. System Event = an automated step or decision made by the platform. Business Outcome = the final result that changes a KPI, a balance or a status of record.</t>
  </si>
  <si>
    <t xml:space="preserve">Naming convention</t>
  </si>
  <si>
    <t xml:space="preserve">Events are snake_case and named object_action in the past tense (e.g., mission_completed, withdrawal_processed).</t>
  </si>
  <si>
    <t xml:space="preserve">Source values</t>
  </si>
  <si>
    <t xml:space="preserve">Frontend = app or web client. Backend = VELOOP server. Ad network / Payment provider = third-party callbacks. Admin tool = internal operations.</t>
  </si>
  <si>
    <t xml:space="preserve">Privacy</t>
  </si>
  <si>
    <t xml:space="preserve">No unnecessary personal data is requested. Analytics uses user_id and transaction_id. Payout and verification details stay in their source systems and are never copied into analytics.</t>
  </si>
  <si>
    <t xml:space="preserve">Tip</t>
  </si>
  <si>
    <t xml:space="preserve">Status, Priority and similar columns have dropdowns and filters. The Summary sheet counts update automatically.</t>
  </si>
  <si>
    <t xml:space="preserve">A1. Product Area Mapping</t>
  </si>
  <si>
    <t xml:space="preserve">Product Area</t>
  </si>
  <si>
    <t xml:space="preserve">Feature</t>
  </si>
  <si>
    <t xml:space="preserve">User Action</t>
  </si>
  <si>
    <t xml:space="preserve">System Outcome</t>
  </si>
  <si>
    <t xml:space="preserve">Data Required</t>
  </si>
  <si>
    <t xml:space="preserve">Business Question</t>
  </si>
  <si>
    <t xml:space="preserve">Status</t>
  </si>
  <si>
    <t xml:space="preserve">Registration</t>
  </si>
  <si>
    <t xml:space="preserve">Sign-up</t>
  </si>
  <si>
    <t xml:space="preserve">Submits sign-up details</t>
  </si>
  <si>
    <t xml:space="preserve">Account created, user_id assigned</t>
  </si>
  <si>
    <t xml:space="preserve">user_id, registration_timestamp, source, platform, UTM/referral code</t>
  </si>
  <si>
    <t xml:space="preserve">Which channels bring users, and how many visitors become users?</t>
  </si>
  <si>
    <t xml:space="preserve">Confirmed</t>
  </si>
  <si>
    <t xml:space="preserve">Login</t>
  </si>
  <si>
    <t xml:space="preserve">Login / session start</t>
  </si>
  <si>
    <t xml:space="preserve">Logs in or reopens the app</t>
  </si>
  <si>
    <t xml:space="preserve">Session created, last_login updated</t>
  </si>
  <si>
    <t xml:space="preserve">login_timestamp, session_id, method, platform, failure_reason</t>
  </si>
  <si>
    <t xml:space="preserve">How often do users return, and how often does login fail?</t>
  </si>
  <si>
    <t xml:space="preserve">Onboarding</t>
  </si>
  <si>
    <t xml:space="preserve">Intro and first-use steps</t>
  </si>
  <si>
    <t xml:space="preserve">Views and completes onboarding steps</t>
  </si>
  <si>
    <t xml:space="preserve">Milestones recorded, user marked activated</t>
  </si>
  <si>
    <t xml:space="preserve">step, step timestamps, status, milestone</t>
  </si>
  <si>
    <t xml:space="preserve">Where do new users drop off before their first reward?</t>
  </si>
  <si>
    <t xml:space="preserve">Proposed</t>
  </si>
  <si>
    <t xml:space="preserve">Profile &amp; Verification</t>
  </si>
  <si>
    <t xml:space="preserve">Profile and identity verification (if required)</t>
  </si>
  <si>
    <t xml:space="preserve">Completes profile or submits verification</t>
  </si>
  <si>
    <t xml:space="preserve">Verification approved or rejected</t>
  </si>
  <si>
    <t xml:space="preserve">verification_status, timestamps, reason code (no document content)</t>
  </si>
  <si>
    <t xml:space="preserve">Does verification block users from withdrawing?</t>
  </si>
  <si>
    <t xml:space="preserve">To Be Verified</t>
  </si>
  <si>
    <t xml:space="preserve">Watch Ads</t>
  </si>
  <si>
    <t xml:space="preserve">Rewarded video ad</t>
  </si>
  <si>
    <t xml:space="preserve">Taps to watch an ad and watches it</t>
  </si>
  <si>
    <t xml:space="preserve">Ad shown, completion confirmed by ad network, reward credited</t>
  </si>
  <si>
    <t xml:space="preserve">ad_unit_id, network, placement, impression, completion, revenue, reward amount</t>
  </si>
  <si>
    <t xml:space="preserve">What is the completion rate, and is revenue higher than reward cost per ad?</t>
  </si>
  <si>
    <t xml:space="preserve">Daily Rewards</t>
  </si>
  <si>
    <t xml:space="preserve">Daily check-in and streak</t>
  </si>
  <si>
    <t xml:space="preserve">Opens the daily reward and claims it</t>
  </si>
  <si>
    <t xml:space="preserve">Eligibility checked, reward credited, streak updated</t>
  </si>
  <si>
    <t xml:space="preserve">claim date, streak day, amount, day boundary rule</t>
  </si>
  <si>
    <t xml:space="preserve">Does the daily reward improve retention?</t>
  </si>
  <si>
    <t xml:space="preserve">Tap &amp; Earn</t>
  </si>
  <si>
    <t xml:space="preserve">Tap game</t>
  </si>
  <si>
    <t xml:space="preserve">Taps the screen</t>
  </si>
  <si>
    <t xml:space="preserve">Taps aggregated, energy and limits applied, points credited</t>
  </si>
  <si>
    <t xml:space="preserve">tap count (batched), energy, points, limit reached</t>
  </si>
  <si>
    <t xml:space="preserve">How much does the feature engage users, and how many points does it issue?</t>
  </si>
  <si>
    <t xml:space="preserve">Mining</t>
  </si>
  <si>
    <t xml:space="preserve">Timed mining session</t>
  </si>
  <si>
    <t xml:space="preserve">Starts mining and later claims the result</t>
  </si>
  <si>
    <t xml:space="preserve">Accrual calculated, reward credited at claim</t>
  </si>
  <si>
    <t xml:space="preserve">start time, rate, boost, claim time, amount</t>
  </si>
  <si>
    <t xml:space="preserve">How many users complete a mining cycle, and how many sessions go unclaimed?</t>
  </si>
  <si>
    <t xml:space="preserve">Boosts and upgrades</t>
  </si>
  <si>
    <t xml:space="preserve">Activates a boost or upgrade</t>
  </si>
  <si>
    <t xml:space="preserve">Rate or multiplier updated</t>
  </si>
  <si>
    <t xml:space="preserve">boost type, cost, multiplier, expiry</t>
  </si>
  <si>
    <t xml:space="preserve">Do boosts increase engagement or reward cost?</t>
  </si>
  <si>
    <t xml:space="preserve">Spin</t>
  </si>
  <si>
    <t xml:space="preserve">Spin wheel</t>
  </si>
  <si>
    <t xml:space="preserve">Taps spin</t>
  </si>
  <si>
    <t xml:space="preserve">Prize selected from the prize table, reward credited</t>
  </si>
  <si>
    <t xml:space="preserve">spin_id, prize table version, prize, ticket used</t>
  </si>
  <si>
    <t xml:space="preserve">What is the average reward per spin, and does it match the design?</t>
  </si>
  <si>
    <t xml:space="preserve">Missions</t>
  </si>
  <si>
    <t xml:space="preserve">Missions and tasks</t>
  </si>
  <si>
    <t xml:space="preserve">Views, opens, starts and completes a mission</t>
  </si>
  <si>
    <t xml:space="preserve">Completion validated, reward credited</t>
  </si>
  <si>
    <t xml:space="preserve">mission_id, version, type, validation result, reward</t>
  </si>
  <si>
    <t xml:space="preserve">Which missions convert, and how many fail validation?</t>
  </si>
  <si>
    <t xml:space="preserve">Referrals</t>
  </si>
  <si>
    <t xml:space="preserve">Invite and referral program</t>
  </si>
  <si>
    <t xml:space="preserve">Shares code or link</t>
  </si>
  <si>
    <t xml:space="preserve">Link generated</t>
  </si>
  <si>
    <t xml:space="preserve">referral_code, channel</t>
  </si>
  <si>
    <t xml:space="preserve">Which share channels produce referrals?</t>
  </si>
  <si>
    <t xml:space="preserve">Referral attribution and activation</t>
  </si>
  <si>
    <t xml:space="preserve">Friend registers and completes the qualifying action</t>
  </si>
  <si>
    <t xml:space="preserve">Referral attributed, activated or rejected, bonus credited</t>
  </si>
  <si>
    <t xml:space="preserve">referrer user_id, referee user_id, code, status, rule</t>
  </si>
  <si>
    <t xml:space="preserve">How many referrals become real active users, and what does each cost?</t>
  </si>
  <si>
    <t xml:space="preserve">Wallet</t>
  </si>
  <si>
    <t xml:space="preserve">Balance and ledger</t>
  </si>
  <si>
    <t xml:space="preserve">Views balance and history</t>
  </si>
  <si>
    <t xml:space="preserve">Every credit and debit recorded with source and balance after</t>
  </si>
  <si>
    <t xml:space="preserve">transaction_id, type, amount, currency, source feature, balance_after</t>
  </si>
  <si>
    <t xml:space="preserve">Does the sum of ledger entries match total balances (liability)?</t>
  </si>
  <si>
    <t xml:space="preserve">Reward reversal</t>
  </si>
  <si>
    <t xml:space="preserve">None (system or admin initiated)</t>
  </si>
  <si>
    <t xml:space="preserve">Credit reversed and linked to the original</t>
  </si>
  <si>
    <t xml:space="preserve">original transaction_id, reason, actor</t>
  </si>
  <si>
    <t xml:space="preserve">How much is reversed, and why?</t>
  </si>
  <si>
    <t xml:space="preserve">Withdrawals</t>
  </si>
  <si>
    <t xml:space="preserve">Withdrawal request</t>
  </si>
  <si>
    <t xml:space="preserve">Selects method and requests withdrawal</t>
  </si>
  <si>
    <t xml:space="preserve">Balance and limits validated, funds held</t>
  </si>
  <si>
    <t xml:space="preserve">amount, method type, request time, validation result</t>
  </si>
  <si>
    <t xml:space="preserve">How many users request withdrawals, and what is the request value?</t>
  </si>
  <si>
    <t xml:space="preserve">Review and payout</t>
  </si>
  <si>
    <t xml:space="preserve">None (system or operations)</t>
  </si>
  <si>
    <t xml:space="preserve">Approved or rejected, processed or failed</t>
  </si>
  <si>
    <t xml:space="preserve">status, timestamps, rejection reason, provider reference</t>
  </si>
  <si>
    <t xml:space="preserve">How long do payouts take, and what share are rejected or fail?</t>
  </si>
  <si>
    <t xml:space="preserve">Payout method setup</t>
  </si>
  <si>
    <t xml:space="preserve">Adds or changes payout method</t>
  </si>
  <si>
    <t xml:space="preserve">Method saved (type only in analytics)</t>
  </si>
  <si>
    <t xml:space="preserve">method type, added timestamp</t>
  </si>
  <si>
    <t xml:space="preserve">Does method choice affect completion and failure rates?</t>
  </si>
  <si>
    <t xml:space="preserve">Help Center</t>
  </si>
  <si>
    <t xml:space="preserve">Help articles and search</t>
  </si>
  <si>
    <t xml:space="preserve">Searches or opens an article</t>
  </si>
  <si>
    <t xml:space="preserve">Article served</t>
  </si>
  <si>
    <t xml:space="preserve">article_id, search term category</t>
  </si>
  <si>
    <t xml:space="preserve">What topics do users struggle with?</t>
  </si>
  <si>
    <t xml:space="preserve">Support ticket</t>
  </si>
  <si>
    <t xml:space="preserve">Submits a ticket</t>
  </si>
  <si>
    <t xml:space="preserve">Ticket created, categorized, resolved</t>
  </si>
  <si>
    <t xml:space="preserve">category, linked feature, linked transaction_id, created/resolved time</t>
  </si>
  <si>
    <t xml:space="preserve">Which features generate the most support contacts?</t>
  </si>
  <si>
    <t xml:space="preserve">Notifications</t>
  </si>
  <si>
    <t xml:space="preserve">Push and in-app messages</t>
  </si>
  <si>
    <t xml:space="preserve">Receives and opens a notification</t>
  </si>
  <si>
    <t xml:space="preserve">Notification sent, delivered, opened</t>
  </si>
  <si>
    <t xml:space="preserve">campaign_id, type, sent/opened timestamps</t>
  </si>
  <si>
    <t xml:space="preserve">Do notifications bring dormant users back?</t>
  </si>
  <si>
    <t xml:space="preserve">Levels &amp; Progression</t>
  </si>
  <si>
    <t xml:space="preserve">Levels, streaks, ranks</t>
  </si>
  <si>
    <t xml:space="preserve">Reaches a new level</t>
  </si>
  <si>
    <t xml:space="preserve">Level updated, perks applied</t>
  </si>
  <si>
    <t xml:space="preserve">level, previous level, trigger</t>
  </si>
  <si>
    <t xml:space="preserve">Does progression increase retention?</t>
  </si>
  <si>
    <t xml:space="preserve">Leaderboards &amp; Contests</t>
  </si>
  <si>
    <t xml:space="preserve">Competitions</t>
  </si>
  <si>
    <t xml:space="preserve">Joins or views a contest</t>
  </si>
  <si>
    <t xml:space="preserve">Rank calculated, prize awarded</t>
  </si>
  <si>
    <t xml:space="preserve">contest_id, rank, prize</t>
  </si>
  <si>
    <t xml:space="preserve">Do contests lift engagement and cost?</t>
  </si>
  <si>
    <t xml:space="preserve">Account Status</t>
  </si>
  <si>
    <t xml:space="preserve">Account state management</t>
  </si>
  <si>
    <t xml:space="preserve">Status changed (active, inactive, suspended, closed)</t>
  </si>
  <si>
    <t xml:space="preserve">previous status, new status, reason, actor, timestamp</t>
  </si>
  <si>
    <t xml:space="preserve">Why do accounts leave or get restricted?</t>
  </si>
  <si>
    <t xml:space="preserve">Fraud &amp; Risk</t>
  </si>
  <si>
    <t xml:space="preserve">Abuse detection</t>
  </si>
  <si>
    <t xml:space="preserve">None (system)</t>
  </si>
  <si>
    <t xml:space="preserve">Risk rule triggered, account flagged or cleared</t>
  </si>
  <si>
    <t xml:space="preserve">rule_id, score, outcome, linked user_id</t>
  </si>
  <si>
    <t xml:space="preserve">How much reward value is lost to abuse?</t>
  </si>
  <si>
    <t xml:space="preserve">Settings &amp; Privacy</t>
  </si>
  <si>
    <t xml:space="preserve">Settings, consent, deletion</t>
  </si>
  <si>
    <t xml:space="preserve">Changes settings, withdraws consent, requests deletion</t>
  </si>
  <si>
    <t xml:space="preserve">Preference stored, deletion workflow started</t>
  </si>
  <si>
    <t xml:space="preserve">consent flags with timestamp, deletion timestamps</t>
  </si>
  <si>
    <t xml:space="preserve">Is tracking compliant, and how many users request deletion?</t>
  </si>
  <si>
    <t xml:space="preserve">App Lifecycle</t>
  </si>
  <si>
    <t xml:space="preserve">Sessions and navigation</t>
  </si>
  <si>
    <t xml:space="preserve">Opens the app and views screens</t>
  </si>
  <si>
    <t xml:space="preserve">Session started and ended</t>
  </si>
  <si>
    <t xml:space="preserve">session_id, screen name, app version, platform</t>
  </si>
  <si>
    <t xml:space="preserve">How do users move through the app?</t>
  </si>
  <si>
    <t xml:space="preserve">Operations &amp; Admin</t>
  </si>
  <si>
    <t xml:space="preserve">Manual adjustments and approvals</t>
  </si>
  <si>
    <t xml:space="preserve">None (admin action)</t>
  </si>
  <si>
    <t xml:space="preserve">Manual credit, debit or status change recorded</t>
  </si>
  <si>
    <t xml:space="preserve">admin_id, reason, transaction_id, before/after</t>
  </si>
  <si>
    <t xml:space="preserve">Are manual changes audited and how large are they?</t>
  </si>
  <si>
    <t xml:space="preserve">Economy &amp; Configuration</t>
  </si>
  <si>
    <t xml:space="preserve">Reward rates, limits, prize tables</t>
  </si>
  <si>
    <t xml:space="preserve">Configuration version changed</t>
  </si>
  <si>
    <t xml:space="preserve">config_id, old/new value, effective time</t>
  </si>
  <si>
    <t xml:space="preserve">Which configuration was active when a reward was issued?</t>
  </si>
  <si>
    <t xml:space="preserve">Ad Revenue</t>
  </si>
  <si>
    <t xml:space="preserve">Ad network earnings</t>
  </si>
  <si>
    <t xml:space="preserve">None (third party)</t>
  </si>
  <si>
    <t xml:space="preserve">Revenue reported per ad unit and day</t>
  </si>
  <si>
    <t xml:space="preserve">network, ad_unit_id, date, impressions, revenue</t>
  </si>
  <si>
    <t xml:space="preserve">What is the revenue against reward cost (unit economics)?</t>
  </si>
  <si>
    <t xml:space="preserve">A2. User Action Flows</t>
  </si>
  <si>
    <t xml:space="preserve">Which steps should become measurable events, and which should not</t>
  </si>
  <si>
    <t xml:space="preserve">Step</t>
  </si>
  <si>
    <t xml:space="preserve">Step Description</t>
  </si>
  <si>
    <t xml:space="preserve">Actor</t>
  </si>
  <si>
    <t xml:space="preserve">Classification</t>
  </si>
  <si>
    <t xml:space="preserve">Track as event?</t>
  </si>
  <si>
    <t xml:space="preserve">Proposed Event</t>
  </si>
  <si>
    <t xml:space="preserve">Rationale</t>
  </si>
  <si>
    <t xml:space="preserve">Mission viewed</t>
  </si>
  <si>
    <t xml:space="preserve">User</t>
  </si>
  <si>
    <t xml:space="preserve">User Event</t>
  </si>
  <si>
    <t xml:space="preserve">Yes</t>
  </si>
  <si>
    <t xml:space="preserve">mission_viewed</t>
  </si>
  <si>
    <t xml:space="preserve">Impression is the denominator for mission conversion. Send in batches to limit volume.</t>
  </si>
  <si>
    <t xml:space="preserve">Mission opened</t>
  </si>
  <si>
    <t xml:space="preserve">mission_opened</t>
  </si>
  <si>
    <t xml:space="preserve">Shows interest beyond the list view.</t>
  </si>
  <si>
    <t xml:space="preserve">Mission started</t>
  </si>
  <si>
    <t xml:space="preserve">mission_started</t>
  </si>
  <si>
    <t xml:space="preserve">Start of the attempt and of the completion-time clock.</t>
  </si>
  <si>
    <t xml:space="preserve">Mission completed (user side)</t>
  </si>
  <si>
    <t xml:space="preserve">mission_submitted</t>
  </si>
  <si>
    <t xml:space="preserve">The user's claim of completion, before the platform checks it.</t>
  </si>
  <si>
    <t xml:space="preserve">Completion validated</t>
  </si>
  <si>
    <t xml:space="preserve">System</t>
  </si>
  <si>
    <t xml:space="preserve">System Event</t>
  </si>
  <si>
    <t xml:space="preserve">mission_completion_validated</t>
  </si>
  <si>
    <t xml:space="preserve">Needed to measure pass and fail rates and detect abuse. Include result and reason.</t>
  </si>
  <si>
    <t xml:space="preserve">Mission completed (confirmed)</t>
  </si>
  <si>
    <t xml:space="preserve">Business Outcome</t>
  </si>
  <si>
    <t xml:space="preserve">mission_completed</t>
  </si>
  <si>
    <t xml:space="preserve">The official completion that counts in KPIs.</t>
  </si>
  <si>
    <t xml:space="preserve">Reward credited</t>
  </si>
  <si>
    <t xml:space="preserve">mission_reward_credited</t>
  </si>
  <si>
    <t xml:space="preserve">Links to the ledger by transaction_id.</t>
  </si>
  <si>
    <t xml:space="preserve">Ad offer shown</t>
  </si>
  <si>
    <t xml:space="preserve">ad_offer_shown</t>
  </si>
  <si>
    <t xml:space="preserve">Measures ad availability against ad starts.</t>
  </si>
  <si>
    <t xml:space="preserve">Ad requested</t>
  </si>
  <si>
    <t xml:space="preserve">ad_requested</t>
  </si>
  <si>
    <t xml:space="preserve">Needed for fill rate.</t>
  </si>
  <si>
    <t xml:space="preserve">Ad started</t>
  </si>
  <si>
    <t xml:space="preserve">ad_started</t>
  </si>
  <si>
    <t xml:space="preserve">Confirms the impression and ties it to the user.</t>
  </si>
  <si>
    <t xml:space="preserve">Ad closed early or failed</t>
  </si>
  <si>
    <t xml:space="preserve">ad_skipped / ad_failed</t>
  </si>
  <si>
    <t xml:space="preserve">Explains lost rewards and complaints.</t>
  </si>
  <si>
    <t xml:space="preserve">Ad completion confirmed by network</t>
  </si>
  <si>
    <t xml:space="preserve">ad_completed</t>
  </si>
  <si>
    <t xml:space="preserve">Server-side confirmation is the source of truth, not the client.</t>
  </si>
  <si>
    <t xml:space="preserve">ad_reward_credited</t>
  </si>
  <si>
    <t xml:space="preserve">Cost side of ad unit economics.</t>
  </si>
  <si>
    <t xml:space="preserve">Ad revenue reported</t>
  </si>
  <si>
    <t xml:space="preserve">ad_revenue_reported</t>
  </si>
  <si>
    <t xml:space="preserve">Daily network report used to reconcile revenue.</t>
  </si>
  <si>
    <t xml:space="preserve">Daily reward screen viewed</t>
  </si>
  <si>
    <t xml:space="preserve">daily_reward_viewed</t>
  </si>
  <si>
    <t xml:space="preserve">Denominator for claim rate.</t>
  </si>
  <si>
    <t xml:space="preserve">Reward claimed</t>
  </si>
  <si>
    <t xml:space="preserve">daily_reward_claimed</t>
  </si>
  <si>
    <t xml:space="preserve">Core engagement event.</t>
  </si>
  <si>
    <t xml:space="preserve">Eligibility checked</t>
  </si>
  <si>
    <t xml:space="preserve">Derived</t>
  </si>
  <si>
    <t xml:space="preserve">Outcome is visible through claim success or failure. Log failures only.</t>
  </si>
  <si>
    <t xml:space="preserve">Streak updated or broken</t>
  </si>
  <si>
    <t xml:space="preserve">streak_updated / streak_broken</t>
  </si>
  <si>
    <t xml:space="preserve">Needed for retention analysis.</t>
  </si>
  <si>
    <t xml:space="preserve">daily_reward_credited</t>
  </si>
  <si>
    <t xml:space="preserve">Links to the ledger.</t>
  </si>
  <si>
    <t xml:space="preserve">Individual tap</t>
  </si>
  <si>
    <t xml:space="preserve">No</t>
  </si>
  <si>
    <t xml:space="preserve">Too much volume. Aggregate instead.</t>
  </si>
  <si>
    <t xml:space="preserve">Tap session started</t>
  </si>
  <si>
    <t xml:space="preserve">tap_session_started</t>
  </si>
  <si>
    <t xml:space="preserve">Marks the start of a play session.</t>
  </si>
  <si>
    <t xml:space="preserve">Tap batch submitted</t>
  </si>
  <si>
    <t xml:space="preserve">tap_batch_submitted</t>
  </si>
  <si>
    <t xml:space="preserve">Counts taps per batch with timestamps for anomaly checks.</t>
  </si>
  <si>
    <t xml:space="preserve">Energy or limit reached</t>
  </si>
  <si>
    <t xml:space="preserve">tap_limit_reached</t>
  </si>
  <si>
    <t xml:space="preserve">Shows whether limits frustrate or protect.</t>
  </si>
  <si>
    <t xml:space="preserve">Points credited</t>
  </si>
  <si>
    <t xml:space="preserve">tap_points_credited</t>
  </si>
  <si>
    <t xml:space="preserve">Points issued from this feature.</t>
  </si>
  <si>
    <t xml:space="preserve">Tap session ended</t>
  </si>
  <si>
    <t xml:space="preserve">Derived from the last batch and inactivity.</t>
  </si>
  <si>
    <t xml:space="preserve">Mining started</t>
  </si>
  <si>
    <t xml:space="preserve">mining_started</t>
  </si>
  <si>
    <t xml:space="preserve">Start of the cycle.</t>
  </si>
  <si>
    <t xml:space="preserve">Mining timer ticking</t>
  </si>
  <si>
    <t xml:space="preserve">Derived from start and claim times. Do not log ticks.</t>
  </si>
  <si>
    <t xml:space="preserve">Mining cycle ended</t>
  </si>
  <si>
    <t xml:space="preserve">mining_cycle_ended</t>
  </si>
  <si>
    <t xml:space="preserve">Shows unclaimed cycles.</t>
  </si>
  <si>
    <t xml:space="preserve">mining_claimed</t>
  </si>
  <si>
    <t xml:space="preserve">Conversion from cycle to claim.</t>
  </si>
  <si>
    <t xml:space="preserve">Claim validated</t>
  </si>
  <si>
    <t xml:space="preserve">mining_claim_validated</t>
  </si>
  <si>
    <t xml:space="preserve">Server checks duration and amount.</t>
  </si>
  <si>
    <t xml:space="preserve">mining_reward_credited</t>
  </si>
  <si>
    <t xml:space="preserve">Boost activated</t>
  </si>
  <si>
    <t xml:space="preserve">mining_boost_activated</t>
  </si>
  <si>
    <t xml:space="preserve">Effect on rate and reward cost.</t>
  </si>
  <si>
    <t xml:space="preserve">Spin ticket earned</t>
  </si>
  <si>
    <t xml:space="preserve">spin_ticket_earned</t>
  </si>
  <si>
    <t xml:space="preserve">Source of spin supply.</t>
  </si>
  <si>
    <t xml:space="preserve">Spin started</t>
  </si>
  <si>
    <t xml:space="preserve">spin_started</t>
  </si>
  <si>
    <t xml:space="preserve">Spin demand.</t>
  </si>
  <si>
    <t xml:space="preserve">Prize selected</t>
  </si>
  <si>
    <t xml:space="preserve">spin_resulted</t>
  </si>
  <si>
    <t xml:space="preserve">Include prize table version for audit.</t>
  </si>
  <si>
    <t xml:space="preserve">spin_reward_credited</t>
  </si>
  <si>
    <t xml:space="preserve">Reward cost of the feature.</t>
  </si>
  <si>
    <t xml:space="preserve">Wheel animation</t>
  </si>
  <si>
    <t xml:space="preserve">No analytical value.</t>
  </si>
  <si>
    <t xml:space="preserve">Invite shared</t>
  </si>
  <si>
    <t xml:space="preserve">referral_link_shared</t>
  </si>
  <si>
    <t xml:space="preserve">Channel performance.</t>
  </si>
  <si>
    <t xml:space="preserve">Link opened</t>
  </si>
  <si>
    <t xml:space="preserve">referral_link_opened</t>
  </si>
  <si>
    <t xml:space="preserve">Top of the referral funnel.</t>
  </si>
  <si>
    <t xml:space="preserve">Referee registered</t>
  </si>
  <si>
    <t xml:space="preserve">referral_registered</t>
  </si>
  <si>
    <t xml:space="preserve">Attribution step.</t>
  </si>
  <si>
    <t xml:space="preserve">Qualifying action checked</t>
  </si>
  <si>
    <t xml:space="preserve">referral_qualification_checked</t>
  </si>
  <si>
    <t xml:space="preserve">Needed for rule transparency.</t>
  </si>
  <si>
    <t xml:space="preserve">Referral activated</t>
  </si>
  <si>
    <t xml:space="preserve">referral_activated</t>
  </si>
  <si>
    <t xml:space="preserve">Counts as a valid referral.</t>
  </si>
  <si>
    <t xml:space="preserve">Referral rejected</t>
  </si>
  <si>
    <t xml:space="preserve">referral_rejected</t>
  </si>
  <si>
    <t xml:space="preserve">Reason code for fraud and rule analysis.</t>
  </si>
  <si>
    <t xml:space="preserve">Referral reward credited</t>
  </si>
  <si>
    <t xml:space="preserve">referral_reward_credited</t>
  </si>
  <si>
    <t xml:space="preserve">Cost per acquired user.</t>
  </si>
  <si>
    <t xml:space="preserve">Withdrawal screen viewed</t>
  </si>
  <si>
    <t xml:space="preserve">withdrawal_screen_viewed</t>
  </si>
  <si>
    <t xml:space="preserve">Intent signal before request.</t>
  </si>
  <si>
    <t xml:space="preserve">Withdrawal requested</t>
  </si>
  <si>
    <t xml:space="preserve">withdrawal_requested</t>
  </si>
  <si>
    <t xml:space="preserve">Request volume and value.</t>
  </si>
  <si>
    <t xml:space="preserve">Balance and limits validated</t>
  </si>
  <si>
    <t xml:space="preserve">withdrawal_validated</t>
  </si>
  <si>
    <t xml:space="preserve">Records pass or fail with reason.</t>
  </si>
  <si>
    <t xml:space="preserve">Withdrawal approved</t>
  </si>
  <si>
    <t xml:space="preserve">withdrawal_approved</t>
  </si>
  <si>
    <t xml:space="preserve">Decision step, manual or automatic.</t>
  </si>
  <si>
    <t xml:space="preserve">Withdrawal rejected</t>
  </si>
  <si>
    <t xml:space="preserve">withdrawal_rejected</t>
  </si>
  <si>
    <t xml:space="preserve">Reason code is essential.</t>
  </si>
  <si>
    <t xml:space="preserve">Payout sent to provider</t>
  </si>
  <si>
    <t xml:space="preserve">withdrawal_submitted_to_provider</t>
  </si>
  <si>
    <t xml:space="preserve">Separates internal delay from provider delay.</t>
  </si>
  <si>
    <t xml:space="preserve">Withdrawal processed</t>
  </si>
  <si>
    <t xml:space="preserve">withdrawal_processed</t>
  </si>
  <si>
    <t xml:space="preserve">Money has left the platform.</t>
  </si>
  <si>
    <t xml:space="preserve">Withdrawal failed</t>
  </si>
  <si>
    <t xml:space="preserve">withdrawal_failed</t>
  </si>
  <si>
    <t xml:space="preserve">Failure rate and refund path.</t>
  </si>
  <si>
    <t xml:space="preserve">Help opened</t>
  </si>
  <si>
    <t xml:space="preserve">help_center_opened</t>
  </si>
  <si>
    <t xml:space="preserve">Where in the app users seek help.</t>
  </si>
  <si>
    <t xml:space="preserve">Article searched or viewed</t>
  </si>
  <si>
    <t xml:space="preserve">help_article_viewed</t>
  </si>
  <si>
    <t xml:space="preserve">Topic demand.</t>
  </si>
  <si>
    <t xml:space="preserve">Ticket created</t>
  </si>
  <si>
    <t xml:space="preserve">support_ticket_created</t>
  </si>
  <si>
    <t xml:space="preserve">Include category, feature and transaction_id.</t>
  </si>
  <si>
    <t xml:space="preserve">Ticket resolved</t>
  </si>
  <si>
    <t xml:space="preserve">support_ticket_resolved</t>
  </si>
  <si>
    <t xml:space="preserve">Resolution time and satisfaction.</t>
  </si>
  <si>
    <t xml:space="preserve">A3. User Event vs System Event vs Business Outcome</t>
  </si>
  <si>
    <t xml:space="preserve">A deliberate action by the user (tap, open, submit, claim).</t>
  </si>
  <si>
    <t xml:space="preserve">Describes behavior and funnels.</t>
  </si>
  <si>
    <t xml:space="preserve">An automated step or decision by the platform (validate, approve, calculate, callback).</t>
  </si>
  <si>
    <t xml:space="preserve">Explains why something did or did not happen.</t>
  </si>
  <si>
    <t xml:space="preserve">The final result that changes a KPI, a balance or a status of record (credited, reversed, processed, activated).</t>
  </si>
  <si>
    <t xml:space="preserve">Feeds financial and executive reporting. Must reconcile with the ledger.</t>
  </si>
  <si>
    <t xml:space="preserve">Classification of proposed events</t>
  </si>
  <si>
    <t xml:space="preserve">Event / Item</t>
  </si>
  <si>
    <t xml:space="preserve">Triggered By</t>
  </si>
  <si>
    <t xml:space="preserve">Why It Is Classified This Way</t>
  </si>
  <si>
    <t xml:space="preserve">Source</t>
  </si>
  <si>
    <t xml:space="preserve">Key Fields</t>
  </si>
  <si>
    <t xml:space="preserve">User taps start</t>
  </si>
  <si>
    <t xml:space="preserve">Initiated by the user</t>
  </si>
  <si>
    <t xml:space="preserve">Frontend</t>
  </si>
  <si>
    <t xml:space="preserve">user_id, mission_id, version</t>
  </si>
  <si>
    <t xml:space="preserve">Platform checks the proof</t>
  </si>
  <si>
    <t xml:space="preserve">Automated check, intermediate step</t>
  </si>
  <si>
    <t xml:space="preserve">Backend</t>
  </si>
  <si>
    <t xml:space="preserve">mission_id, result, reason</t>
  </si>
  <si>
    <t xml:space="preserve">Validation passed</t>
  </si>
  <si>
    <t xml:space="preserve">Confirmed result that counts in KPIs</t>
  </si>
  <si>
    <t xml:space="preserve">mission_id, completed_at</t>
  </si>
  <si>
    <t xml:space="preserve">reward_credited</t>
  </si>
  <si>
    <t xml:space="preserve">Any feature grants a reward</t>
  </si>
  <si>
    <t xml:space="preserve">Increases the balance and platform liability</t>
  </si>
  <si>
    <t xml:space="preserve">transaction_id, amount, source_feature, balance_after</t>
  </si>
  <si>
    <t xml:space="preserve">reward_reversed</t>
  </si>
  <si>
    <t xml:space="preserve">Fraud or error correction</t>
  </si>
  <si>
    <t xml:space="preserve">Decreases the balance and must link to the original credit</t>
  </si>
  <si>
    <t xml:space="preserve">transaction_id, original_transaction_id, reason</t>
  </si>
  <si>
    <t xml:space="preserve">Ad network confirms</t>
  </si>
  <si>
    <t xml:space="preserve">Third-party confirmation, intermediate</t>
  </si>
  <si>
    <t xml:space="preserve">Ad network / Backend</t>
  </si>
  <si>
    <t xml:space="preserve">ad_unit_id, network, completed_at</t>
  </si>
  <si>
    <t xml:space="preserve">User starts watching</t>
  </si>
  <si>
    <t xml:space="preserve">User-initiated</t>
  </si>
  <si>
    <t xml:space="preserve">ad_unit_id, placement</t>
  </si>
  <si>
    <t xml:space="preserve">Daily network report</t>
  </si>
  <si>
    <t xml:space="preserve">Revenue figure of record</t>
  </si>
  <si>
    <t xml:space="preserve">Ad network</t>
  </si>
  <si>
    <t xml:space="preserve">date, ad_unit_id, revenue</t>
  </si>
  <si>
    <t xml:space="preserve">User taps claim</t>
  </si>
  <si>
    <t xml:space="preserve">claim_date, streak_day</t>
  </si>
  <si>
    <t xml:space="preserve">streak_broken</t>
  </si>
  <si>
    <t xml:space="preserve">Day passes without a claim</t>
  </si>
  <si>
    <t xml:space="preserve">Automated state change</t>
  </si>
  <si>
    <t xml:space="preserve">previous_streak</t>
  </si>
  <si>
    <t xml:space="preserve">Client sends tap count</t>
  </si>
  <si>
    <t xml:space="preserve">User behavior, aggregated</t>
  </si>
  <si>
    <t xml:space="preserve">tap_count, window</t>
  </si>
  <si>
    <t xml:space="preserve">Energy or limit hit</t>
  </si>
  <si>
    <t xml:space="preserve">Platform rule applied</t>
  </si>
  <si>
    <t xml:space="preserve">limit_type</t>
  </si>
  <si>
    <t xml:space="preserve">User starts mining</t>
  </si>
  <si>
    <t xml:space="preserve">Frontend / Backend</t>
  </si>
  <si>
    <t xml:space="preserve">rate, boost</t>
  </si>
  <si>
    <t xml:space="preserve">Server checks the claim</t>
  </si>
  <si>
    <t xml:space="preserve">Automated check</t>
  </si>
  <si>
    <t xml:space="preserve">duration, amount</t>
  </si>
  <si>
    <t xml:space="preserve">User taps spin</t>
  </si>
  <si>
    <t xml:space="preserve">spin_id</t>
  </si>
  <si>
    <t xml:space="preserve">Server selects a prize</t>
  </si>
  <si>
    <t xml:space="preserve">Automated outcome of random selection</t>
  </si>
  <si>
    <t xml:space="preserve">prize, prize_table_version</t>
  </si>
  <si>
    <t xml:space="preserve">Friend signs up with a code</t>
  </si>
  <si>
    <t xml:space="preserve">Attribution decision, not yet valid</t>
  </si>
  <si>
    <t xml:space="preserve">referrer_id, referee_id</t>
  </si>
  <si>
    <t xml:space="preserve">Referee meets the rule</t>
  </si>
  <si>
    <t xml:space="preserve">Referral becomes valid and rewardable</t>
  </si>
  <si>
    <t xml:space="preserve">referral_id, rule_version</t>
  </si>
  <si>
    <t xml:space="preserve">Rule failed or fraud</t>
  </si>
  <si>
    <t xml:space="preserve">Terminal result with reason</t>
  </si>
  <si>
    <t xml:space="preserve">referral_id, reason</t>
  </si>
  <si>
    <t xml:space="preserve">User submits request</t>
  </si>
  <si>
    <t xml:space="preserve">amount, method_type</t>
  </si>
  <si>
    <t xml:space="preserve">Balance and limits checked</t>
  </si>
  <si>
    <t xml:space="preserve">result, reason</t>
  </si>
  <si>
    <t xml:space="preserve">Auto or manual decision</t>
  </si>
  <si>
    <t xml:space="preserve">Decision step, money has not moved</t>
  </si>
  <si>
    <t xml:space="preserve">Backend / Admin tool</t>
  </si>
  <si>
    <t xml:space="preserve">approver_type, timestamp</t>
  </si>
  <si>
    <t xml:space="preserve">Decision to decline</t>
  </si>
  <si>
    <t xml:space="preserve">Terminal result, funds released</t>
  </si>
  <si>
    <t xml:space="preserve">reason</t>
  </si>
  <si>
    <t xml:space="preserve">Provider confirms payout</t>
  </si>
  <si>
    <t xml:space="preserve">Money has left the platform</t>
  </si>
  <si>
    <t xml:space="preserve">Payment provider / Backend</t>
  </si>
  <si>
    <t xml:space="preserve">provider_ref, amount, processed_at</t>
  </si>
  <si>
    <t xml:space="preserve">Provider fails</t>
  </si>
  <si>
    <t xml:space="preserve">Terminal result, funds returned</t>
  </si>
  <si>
    <t xml:space="preserve">failure_reason</t>
  </si>
  <si>
    <t xml:space="preserve">account_status_changed</t>
  </si>
  <si>
    <t xml:space="preserve">Admin or system action</t>
  </si>
  <si>
    <t xml:space="preserve">Changes the status of record</t>
  </si>
  <si>
    <t xml:space="preserve">previous_status, new_status, reason, actor</t>
  </si>
  <si>
    <t xml:space="preserve">fraud_flag_raised</t>
  </si>
  <si>
    <t xml:space="preserve">Risk rule triggers</t>
  </si>
  <si>
    <t xml:space="preserve">Automated detection</t>
  </si>
  <si>
    <t xml:space="preserve">rule_id, score</t>
  </si>
  <si>
    <t xml:space="preserve">User submits ticket</t>
  </si>
  <si>
    <t xml:space="preserve">Frontend / Support tool</t>
  </si>
  <si>
    <t xml:space="preserve">category, feature, transaction_id</t>
  </si>
  <si>
    <t xml:space="preserve">Agent closes ticket</t>
  </si>
  <si>
    <t xml:space="preserve">Result with service-level value</t>
  </si>
  <si>
    <t xml:space="preserve">Support tool</t>
  </si>
  <si>
    <t xml:space="preserve">resolution_time</t>
  </si>
  <si>
    <t xml:space="preserve">admin_adjustment_applied</t>
  </si>
  <si>
    <t xml:space="preserve">Operations changes a balance</t>
  </si>
  <si>
    <t xml:space="preserve">Manual change that must be audited</t>
  </si>
  <si>
    <t xml:space="preserve">Admin tool</t>
  </si>
  <si>
    <t xml:space="preserve">admin_id, reason, transaction_id</t>
  </si>
  <si>
    <t xml:space="preserve">notification_opened</t>
  </si>
  <si>
    <t xml:space="preserve">User taps notification</t>
  </si>
  <si>
    <t xml:space="preserve">campaign_id</t>
  </si>
  <si>
    <t xml:space="preserve">A4. Data Coverage Matrix</t>
  </si>
  <si>
    <t xml:space="preserve">ID</t>
  </si>
  <si>
    <t xml:space="preserve">Feature/Module</t>
  </si>
  <si>
    <t xml:space="preserve">System Action</t>
  </si>
  <si>
    <t xml:space="preserve">Priority</t>
  </si>
  <si>
    <t xml:space="preserve">Expected Output</t>
  </si>
  <si>
    <t xml:space="preserve">A4-01</t>
  </si>
  <si>
    <t xml:space="preserve">Validates and creates account, assigns user_id</t>
  </si>
  <si>
    <t xml:space="preserve">New registered user</t>
  </si>
  <si>
    <t xml:space="preserve">user_id, timestamp, source, platform, UTM</t>
  </si>
  <si>
    <t xml:space="preserve">registration_started; account_created</t>
  </si>
  <si>
    <t xml:space="preserve">Frontend; Backend</t>
  </si>
  <si>
    <t xml:space="preserve">Which channels bring users, and what is the visitor-to-user rate?</t>
  </si>
  <si>
    <t xml:space="preserve">Critical</t>
  </si>
  <si>
    <t xml:space="preserve">Registrations by source and platform</t>
  </si>
  <si>
    <t xml:space="preserve">A4-02</t>
  </si>
  <si>
    <t xml:space="preserve">Sign-up failure</t>
  </si>
  <si>
    <t xml:space="preserve">Receives an error</t>
  </si>
  <si>
    <t xml:space="preserve">Rejects and logs reason</t>
  </si>
  <si>
    <t xml:space="preserve">Lost sign-up</t>
  </si>
  <si>
    <t xml:space="preserve">error_type, step</t>
  </si>
  <si>
    <t xml:space="preserve">registration_failed</t>
  </si>
  <si>
    <t xml:space="preserve">Where do sign-ups fail?</t>
  </si>
  <si>
    <t xml:space="preserve">Medium</t>
  </si>
  <si>
    <t xml:space="preserve">Failure rate by reason</t>
  </si>
  <si>
    <t xml:space="preserve">A4-03</t>
  </si>
  <si>
    <t xml:space="preserve">Enters credentials or uses social login</t>
  </si>
  <si>
    <t xml:space="preserve">Authenticates, opens session</t>
  </si>
  <si>
    <t xml:space="preserve">Active session</t>
  </si>
  <si>
    <t xml:space="preserve">timestamp, session_id, method, platform</t>
  </si>
  <si>
    <t xml:space="preserve">login_succeeded; login_failed</t>
  </si>
  <si>
    <t xml:space="preserve">DAU/WAU/MAU, login failure rate</t>
  </si>
  <si>
    <t xml:space="preserve">A4-04</t>
  </si>
  <si>
    <t xml:space="preserve">Views and completes steps</t>
  </si>
  <si>
    <t xml:space="preserve">Records milestones</t>
  </si>
  <si>
    <t xml:space="preserve">Activated user</t>
  </si>
  <si>
    <t xml:space="preserve">step, timestamps, milestone</t>
  </si>
  <si>
    <t xml:space="preserve">onboarding_started; onboarding_step_completed; onboarding_completed</t>
  </si>
  <si>
    <t xml:space="preserve">Where do new users drop off before first reward?</t>
  </si>
  <si>
    <t xml:space="preserve">High</t>
  </si>
  <si>
    <t xml:space="preserve">Onboarding funnel, time to first reward</t>
  </si>
  <si>
    <t xml:space="preserve">A4-05</t>
  </si>
  <si>
    <t xml:space="preserve">Verification</t>
  </si>
  <si>
    <t xml:space="preserve">Submits verification</t>
  </si>
  <si>
    <t xml:space="preserve">Approves or rejects</t>
  </si>
  <si>
    <t xml:space="preserve">Verified account</t>
  </si>
  <si>
    <t xml:space="preserve">status, timestamps, reason code</t>
  </si>
  <si>
    <t xml:space="preserve">verification_submitted; verification_resolved</t>
  </si>
  <si>
    <t xml:space="preserve">Backend; Provider</t>
  </si>
  <si>
    <t xml:space="preserve">Does verification block withdrawals?</t>
  </si>
  <si>
    <t xml:space="preserve">Pass rate and time to verify</t>
  </si>
  <si>
    <t xml:space="preserve">A4-06</t>
  </si>
  <si>
    <t xml:space="preserve">Rewarded ad</t>
  </si>
  <si>
    <t xml:space="preserve">Taps to watch and watches</t>
  </si>
  <si>
    <t xml:space="preserve">Requests ad, receives completion callback, credits reward</t>
  </si>
  <si>
    <t xml:space="preserve">Ad revenue and reward cost</t>
  </si>
  <si>
    <t xml:space="preserve">ad_unit_id, network, placement, completion, reward</t>
  </si>
  <si>
    <t xml:space="preserve">ad_offer_shown; ad_requested; ad_started; ad_completed; ad_reward_credited</t>
  </si>
  <si>
    <t xml:space="preserve">Frontend; Ad network; Backend</t>
  </si>
  <si>
    <t xml:space="preserve">Is ad revenue higher than reward cost?</t>
  </si>
  <si>
    <t xml:space="preserve">Completion rate, fill rate, margin per ad</t>
  </si>
  <si>
    <t xml:space="preserve">A4-07</t>
  </si>
  <si>
    <t xml:space="preserve">Ad failure</t>
  </si>
  <si>
    <t xml:space="preserve">Ad fails or is closed early</t>
  </si>
  <si>
    <t xml:space="preserve">Logs error</t>
  </si>
  <si>
    <t xml:space="preserve">Lost impression</t>
  </si>
  <si>
    <t xml:space="preserve">error_code, network</t>
  </si>
  <si>
    <t xml:space="preserve">ad_failed; ad_skipped</t>
  </si>
  <si>
    <t xml:space="preserve">What is the fill rate and where do ads fail?</t>
  </si>
  <si>
    <t xml:space="preserve">Failure rate by network and placement</t>
  </si>
  <si>
    <t xml:space="preserve">A4-08</t>
  </si>
  <si>
    <t xml:space="preserve">Revenue reporting</t>
  </si>
  <si>
    <t xml:space="preserve">None</t>
  </si>
  <si>
    <t xml:space="preserve">Imports network report</t>
  </si>
  <si>
    <t xml:space="preserve">Revenue of record</t>
  </si>
  <si>
    <t xml:space="preserve">date, ad_unit_id, impressions, revenue</t>
  </si>
  <si>
    <t xml:space="preserve">What are unit economics?</t>
  </si>
  <si>
    <t xml:space="preserve">Daily revenue vs reward cost</t>
  </si>
  <si>
    <t xml:space="preserve">A4-09</t>
  </si>
  <si>
    <t xml:space="preserve">Daily check-in</t>
  </si>
  <si>
    <t xml:space="preserve">Views and claims</t>
  </si>
  <si>
    <t xml:space="preserve">Checks eligibility, credits, updates streak</t>
  </si>
  <si>
    <t xml:space="preserve">Retention reward</t>
  </si>
  <si>
    <t xml:space="preserve">claim date, streak day, amount</t>
  </si>
  <si>
    <t xml:space="preserve">daily_reward_viewed; daily_reward_claimed; streak_updated; streak_broken; daily_reward_credited</t>
  </si>
  <si>
    <t xml:space="preserve">Claim rate, streak distribution</t>
  </si>
  <si>
    <t xml:space="preserve">A4-10</t>
  </si>
  <si>
    <t xml:space="preserve">Tapping</t>
  </si>
  <si>
    <t xml:space="preserve">Taps</t>
  </si>
  <si>
    <t xml:space="preserve">Aggregates, applies energy and limits, credits points</t>
  </si>
  <si>
    <t xml:space="preserve">Points issued</t>
  </si>
  <si>
    <t xml:space="preserve">tap_count (batched), energy, points</t>
  </si>
  <si>
    <t xml:space="preserve">tap_session_started; tap_batch_submitted; tap_limit_reached; tap_points_credited</t>
  </si>
  <si>
    <t xml:space="preserve">How much engagement and how many points does it generate?</t>
  </si>
  <si>
    <t xml:space="preserve">Taps per user, points issued, limit hits</t>
  </si>
  <si>
    <t xml:space="preserve">A4-11</t>
  </si>
  <si>
    <t xml:space="preserve">Start mining</t>
  </si>
  <si>
    <t xml:space="preserve">Starts a session</t>
  </si>
  <si>
    <t xml:space="preserve">Starts timer and accrual</t>
  </si>
  <si>
    <t xml:space="preserve">start time, rate, boost</t>
  </si>
  <si>
    <t xml:space="preserve">How many users start mining?</t>
  </si>
  <si>
    <t xml:space="preserve">Mining participation rate</t>
  </si>
  <si>
    <t xml:space="preserve">A4-12</t>
  </si>
  <si>
    <t xml:space="preserve">Claim mining</t>
  </si>
  <si>
    <t xml:space="preserve">Claims reward</t>
  </si>
  <si>
    <t xml:space="preserve">Validates duration, credits</t>
  </si>
  <si>
    <t xml:space="preserve">Reward issued</t>
  </si>
  <si>
    <t xml:space="preserve">duration, amount, claim time</t>
  </si>
  <si>
    <t xml:space="preserve">mining_cycle_ended; mining_claimed; mining_claim_validated; mining_reward_credited</t>
  </si>
  <si>
    <t xml:space="preserve">What share of cycles are claimed?</t>
  </si>
  <si>
    <t xml:space="preserve">Claim rate, unclaimed value</t>
  </si>
  <si>
    <t xml:space="preserve">A4-13</t>
  </si>
  <si>
    <t xml:space="preserve">Boost</t>
  </si>
  <si>
    <t xml:space="preserve">Activates a boost</t>
  </si>
  <si>
    <t xml:space="preserve">Updates rate</t>
  </si>
  <si>
    <t xml:space="preserve">Higher accrual</t>
  </si>
  <si>
    <t xml:space="preserve">boost type, cost, multiplier</t>
  </si>
  <si>
    <t xml:space="preserve">Do boosts raise engagement or cost?</t>
  </si>
  <si>
    <t xml:space="preserve">Boost adoption and cost impact</t>
  </si>
  <si>
    <t xml:space="preserve">A4-14</t>
  </si>
  <si>
    <t xml:space="preserve">Selects prize, credits reward</t>
  </si>
  <si>
    <t xml:space="preserve">Reward cost</t>
  </si>
  <si>
    <t xml:space="preserve">spin_id, prize table version, prize</t>
  </si>
  <si>
    <t xml:space="preserve">spin_ticket_earned; spin_started; spin_resulted; spin_reward_credited</t>
  </si>
  <si>
    <t xml:space="preserve">Does average payout match the design?</t>
  </si>
  <si>
    <t xml:space="preserve">Spins per user, payout distribution</t>
  </si>
  <si>
    <t xml:space="preserve">A4-15</t>
  </si>
  <si>
    <t xml:space="preserve">Mission funnel</t>
  </si>
  <si>
    <t xml:space="preserve">Views, opens, starts, submits</t>
  </si>
  <si>
    <t xml:space="preserve">Validates completion</t>
  </si>
  <si>
    <t xml:space="preserve">Confirmed completion</t>
  </si>
  <si>
    <t xml:space="preserve">mission_id, version, type, result</t>
  </si>
  <si>
    <t xml:space="preserve">mission_viewed; mission_opened; mission_started; mission_submitted; mission_completion_validated; mission_completed</t>
  </si>
  <si>
    <t xml:space="preserve">Which missions convert and which fail validation?</t>
  </si>
  <si>
    <t xml:space="preserve">Mission funnel, validation pass rate</t>
  </si>
  <si>
    <t xml:space="preserve">A4-16</t>
  </si>
  <si>
    <t xml:space="preserve">Mission reward</t>
  </si>
  <si>
    <t xml:space="preserve">Credits reward</t>
  </si>
  <si>
    <t xml:space="preserve">mission_id, amount, transaction_id</t>
  </si>
  <si>
    <t xml:space="preserve">What does each mission cost?</t>
  </si>
  <si>
    <t xml:space="preserve">Reward cost per mission</t>
  </si>
  <si>
    <t xml:space="preserve">A4-17</t>
  </si>
  <si>
    <t xml:space="preserve">Invite</t>
  </si>
  <si>
    <t xml:space="preserve">Generates link</t>
  </si>
  <si>
    <t xml:space="preserve">Invite sent</t>
  </si>
  <si>
    <t xml:space="preserve">code, channel</t>
  </si>
  <si>
    <t xml:space="preserve">referral_link_shared; referral_link_opened</t>
  </si>
  <si>
    <t xml:space="preserve">Which channels work?</t>
  </si>
  <si>
    <t xml:space="preserve">Shares and opens by channel</t>
  </si>
  <si>
    <t xml:space="preserve">A4-18</t>
  </si>
  <si>
    <t xml:space="preserve">Attribution and activation</t>
  </si>
  <si>
    <t xml:space="preserve">Friend registers and acts</t>
  </si>
  <si>
    <t xml:space="preserve">Attributes, checks rule, activates or rejects</t>
  </si>
  <si>
    <t xml:space="preserve">Valid referral</t>
  </si>
  <si>
    <t xml:space="preserve">referrer_id, referee_id, rule version, status</t>
  </si>
  <si>
    <t xml:space="preserve">referral_registered; referral_qualification_checked; referral_activated; referral_rejected; referral_reward_credited</t>
  </si>
  <si>
    <t xml:space="preserve">How many referrals are valid, and what is the cost per user?</t>
  </si>
  <si>
    <t xml:space="preserve">Referral funnel and cost per activated referral</t>
  </si>
  <si>
    <t xml:space="preserve">A4-19</t>
  </si>
  <si>
    <t xml:space="preserve">Ledger</t>
  </si>
  <si>
    <t xml:space="preserve">Records every credit and debit</t>
  </si>
  <si>
    <t xml:space="preserve">Balance of record</t>
  </si>
  <si>
    <t xml:space="preserve">transaction_id, type, amount, currency, source, balance_after</t>
  </si>
  <si>
    <t xml:space="preserve">wallet_viewed; wallet_transaction_recorded</t>
  </si>
  <si>
    <t xml:space="preserve">Backend; Frontend</t>
  </si>
  <si>
    <t xml:space="preserve">Does the ledger reconcile with total balances?</t>
  </si>
  <si>
    <t xml:space="preserve">Ledger reconciliation, liability total</t>
  </si>
  <si>
    <t xml:space="preserve">A4-20</t>
  </si>
  <si>
    <t xml:space="preserve">Reversal</t>
  </si>
  <si>
    <t xml:space="preserve">Reverses a credit</t>
  </si>
  <si>
    <t xml:space="preserve">Reduced balance</t>
  </si>
  <si>
    <t xml:space="preserve">original transaction_id, reason</t>
  </si>
  <si>
    <t xml:space="preserve">How much is reversed and why?</t>
  </si>
  <si>
    <t xml:space="preserve">Reversal value by reason</t>
  </si>
  <si>
    <t xml:space="preserve">A4-21</t>
  </si>
  <si>
    <t xml:space="preserve">Request</t>
  </si>
  <si>
    <t xml:space="preserve">Requests withdrawal</t>
  </si>
  <si>
    <t xml:space="preserve">Validates balance and limits, holds funds</t>
  </si>
  <si>
    <t xml:space="preserve">Pending withdrawal</t>
  </si>
  <si>
    <t xml:space="preserve">amount, method type, validation result</t>
  </si>
  <si>
    <t xml:space="preserve">withdrawal_screen_viewed; withdrawal_requested; withdrawal_validated</t>
  </si>
  <si>
    <t xml:space="preserve">How many users withdraw, and how much?</t>
  </si>
  <si>
    <t xml:space="preserve">Requests per day, value, conversion</t>
  </si>
  <si>
    <t xml:space="preserve">A4-22</t>
  </si>
  <si>
    <t xml:space="preserve">Decision</t>
  </si>
  <si>
    <t xml:space="preserve">status, reason, approver type</t>
  </si>
  <si>
    <t xml:space="preserve">withdrawal_approved; withdrawal_rejected</t>
  </si>
  <si>
    <t xml:space="preserve">Backend; Admin tool</t>
  </si>
  <si>
    <t xml:space="preserve">What share is rejected and why?</t>
  </si>
  <si>
    <t xml:space="preserve">Approval rate, rejection reasons</t>
  </si>
  <si>
    <t xml:space="preserve">A4-23</t>
  </si>
  <si>
    <t xml:space="preserve">Payout</t>
  </si>
  <si>
    <t xml:space="preserve">Submits to provider, receives result</t>
  </si>
  <si>
    <t xml:space="preserve">Money paid out or failed</t>
  </si>
  <si>
    <t xml:space="preserve">provider ref, timestamps, failure reason</t>
  </si>
  <si>
    <t xml:space="preserve">withdrawal_submitted_to_provider; withdrawal_processed; withdrawal_failed</t>
  </si>
  <si>
    <t xml:space="preserve">Payment provider; Backend</t>
  </si>
  <si>
    <t xml:space="preserve">How long does payout take, and how often does it fail?</t>
  </si>
  <si>
    <t xml:space="preserve">Time to payout, failure rate, cash out total</t>
  </si>
  <si>
    <t xml:space="preserve">A4-24</t>
  </si>
  <si>
    <t xml:space="preserve">Payout method</t>
  </si>
  <si>
    <t xml:space="preserve">Adds a payout method</t>
  </si>
  <si>
    <t xml:space="preserve">Saves method type</t>
  </si>
  <si>
    <t xml:space="preserve">Method on file</t>
  </si>
  <si>
    <t xml:space="preserve">method type, timestamp</t>
  </si>
  <si>
    <t xml:space="preserve">payout_method_added</t>
  </si>
  <si>
    <t xml:space="preserve">Does method choice affect failure?</t>
  </si>
  <si>
    <t xml:space="preserve">Method adoption and failure rate</t>
  </si>
  <si>
    <t xml:space="preserve">A4-25</t>
  </si>
  <si>
    <t xml:space="preserve">Help content</t>
  </si>
  <si>
    <t xml:space="preserve">Searches or views articles</t>
  </si>
  <si>
    <t xml:space="preserve">Serves content</t>
  </si>
  <si>
    <t xml:space="preserve">Self-service</t>
  </si>
  <si>
    <t xml:space="preserve">article_id, topic</t>
  </si>
  <si>
    <t xml:space="preserve">help_center_opened; help_article_viewed</t>
  </si>
  <si>
    <t xml:space="preserve">What topics cause confusion?</t>
  </si>
  <si>
    <t xml:space="preserve">Top articles and searches</t>
  </si>
  <si>
    <t xml:space="preserve">A4-26</t>
  </si>
  <si>
    <t xml:space="preserve">Tickets</t>
  </si>
  <si>
    <t xml:space="preserve">Submits ticket</t>
  </si>
  <si>
    <t xml:space="preserve">Creates, categorizes, resolves</t>
  </si>
  <si>
    <t xml:space="preserve">Support case</t>
  </si>
  <si>
    <t xml:space="preserve">category, feature, transaction_id, times</t>
  </si>
  <si>
    <t xml:space="preserve">support_ticket_created; support_ticket_resolved</t>
  </si>
  <si>
    <t xml:space="preserve">Support tool; Backend</t>
  </si>
  <si>
    <t xml:space="preserve">Which features generate support?</t>
  </si>
  <si>
    <t xml:space="preserve">Tickets per feature, resolution time</t>
  </si>
  <si>
    <t xml:space="preserve">A4-27</t>
  </si>
  <si>
    <t xml:space="preserve">Push and in-app</t>
  </si>
  <si>
    <t xml:space="preserve">Opens a notification</t>
  </si>
  <si>
    <t xml:space="preserve">Sends and tracks delivery</t>
  </si>
  <si>
    <t xml:space="preserve">Re-engagement</t>
  </si>
  <si>
    <t xml:space="preserve">campaign_id, type, sent/opened</t>
  </si>
  <si>
    <t xml:space="preserve">notification_sent; notification_opened</t>
  </si>
  <si>
    <t xml:space="preserve">Do notifications bring users back?</t>
  </si>
  <si>
    <t xml:space="preserve">Open rate and return rate</t>
  </si>
  <si>
    <t xml:space="preserve">A4-28</t>
  </si>
  <si>
    <t xml:space="preserve">Levels</t>
  </si>
  <si>
    <t xml:space="preserve">Reaches new level</t>
  </si>
  <si>
    <t xml:space="preserve">Updates level and perks</t>
  </si>
  <si>
    <t xml:space="preserve">Progress</t>
  </si>
  <si>
    <t xml:space="preserve">level, trigger</t>
  </si>
  <si>
    <t xml:space="preserve">level_up</t>
  </si>
  <si>
    <t xml:space="preserve">Does progression retain users?</t>
  </si>
  <si>
    <t xml:space="preserve">Low</t>
  </si>
  <si>
    <t xml:space="preserve">Level distribution</t>
  </si>
  <si>
    <t xml:space="preserve">A4-29</t>
  </si>
  <si>
    <t xml:space="preserve">Contests</t>
  </si>
  <si>
    <t xml:space="preserve">Joins a contest</t>
  </si>
  <si>
    <t xml:space="preserve">Ranks and awards</t>
  </si>
  <si>
    <t xml:space="preserve">Contest reward</t>
  </si>
  <si>
    <t xml:space="preserve">contest_joined; contest_prize_awarded</t>
  </si>
  <si>
    <t xml:space="preserve">Do contests lift engagement?</t>
  </si>
  <si>
    <t xml:space="preserve">Participation and cost</t>
  </si>
  <si>
    <t xml:space="preserve">A4-30</t>
  </si>
  <si>
    <t xml:space="preserve">Status change</t>
  </si>
  <si>
    <t xml:space="preserve">Changes account status</t>
  </si>
  <si>
    <t xml:space="preserve">New status of record</t>
  </si>
  <si>
    <t xml:space="preserve">previous, new, reason, actor</t>
  </si>
  <si>
    <t xml:space="preserve">Status history and churn reasons</t>
  </si>
  <si>
    <t xml:space="preserve">A4-31</t>
  </si>
  <si>
    <t xml:space="preserve">Detection</t>
  </si>
  <si>
    <t xml:space="preserve">Triggers rule, flags or clears</t>
  </si>
  <si>
    <t xml:space="preserve">Flagged account</t>
  </si>
  <si>
    <t xml:space="preserve">rule_id, score, outcome</t>
  </si>
  <si>
    <t xml:space="preserve">fraud_flag_raised; fraud_flag_resolved</t>
  </si>
  <si>
    <t xml:space="preserve">How much value is lost to abuse?</t>
  </si>
  <si>
    <t xml:space="preserve">Flag rate, confirmed abuse, value at risk</t>
  </si>
  <si>
    <t xml:space="preserve">A4-32</t>
  </si>
  <si>
    <t xml:space="preserve">Consent and deletion</t>
  </si>
  <si>
    <t xml:space="preserve">Changes consent, requests deletion</t>
  </si>
  <si>
    <t xml:space="preserve">Stores consent, starts deletion</t>
  </si>
  <si>
    <t xml:space="preserve">Compliance state</t>
  </si>
  <si>
    <t xml:space="preserve">consent flags, timestamps</t>
  </si>
  <si>
    <t xml:space="preserve">consent_updated; account_deletion_requested</t>
  </si>
  <si>
    <t xml:space="preserve">Is tracking compliant?</t>
  </si>
  <si>
    <t xml:space="preserve">Consent coverage, deletion requests</t>
  </si>
  <si>
    <t xml:space="preserve">A4-33</t>
  </si>
  <si>
    <t xml:space="preserve">Sessions</t>
  </si>
  <si>
    <t xml:space="preserve">Opens app, views screens</t>
  </si>
  <si>
    <t xml:space="preserve">Starts and ends session</t>
  </si>
  <si>
    <t xml:space="preserve">Activity record</t>
  </si>
  <si>
    <t xml:space="preserve">session_id, screen, app_version, platform</t>
  </si>
  <si>
    <t xml:space="preserve">app_opened; session_started; session_ended; screen_viewed</t>
  </si>
  <si>
    <t xml:space="preserve">How do users navigate the app?</t>
  </si>
  <si>
    <t xml:space="preserve">Session length, screen flow</t>
  </si>
  <si>
    <t xml:space="preserve">A4-34</t>
  </si>
  <si>
    <t xml:space="preserve">Manual adjustment</t>
  </si>
  <si>
    <t xml:space="preserve">Applies manual credit, debit or status change</t>
  </si>
  <si>
    <t xml:space="preserve">Audited change</t>
  </si>
  <si>
    <t xml:space="preserve">Admin tool; Backend</t>
  </si>
  <si>
    <t xml:space="preserve">Are manual changes controlled?</t>
  </si>
  <si>
    <t xml:space="preserve">Adjustments by admin and reason</t>
  </si>
  <si>
    <t xml:space="preserve">A4-35</t>
  </si>
  <si>
    <t xml:space="preserve">Config change</t>
  </si>
  <si>
    <t xml:space="preserve">Versions rates, limits, prize tables</t>
  </si>
  <si>
    <t xml:space="preserve">Config of record</t>
  </si>
  <si>
    <t xml:space="preserve">reward_config_changed</t>
  </si>
  <si>
    <t xml:space="preserve">Which rules applied when a reward was issued?</t>
  </si>
  <si>
    <t xml:space="preserve">Config history for audit</t>
  </si>
  <si>
    <t xml:space="preserve">Analytics Gaps Affecting Future Production Reporting</t>
  </si>
  <si>
    <t xml:space="preserve">At least 10 required. This list contains more because each could change or block a production report.</t>
  </si>
  <si>
    <t xml:space="preserve">Analytics Gap</t>
  </si>
  <si>
    <t xml:space="preserve">Impact on Reporting</t>
  </si>
  <si>
    <t xml:space="preserve">Recommended Resolution</t>
  </si>
  <si>
    <t xml:space="preserve">Suggested Owner</t>
  </si>
  <si>
    <t xml:space="preserve">G-01</t>
  </si>
  <si>
    <t xml:space="preserve">Ad completion and revenue cannot be reconciled</t>
  </si>
  <si>
    <t xml:space="preserve">If completion relies on the client only, rewards may be paid for ads that never completed, and revenue per ad cannot be matched to the ad network report.</t>
  </si>
  <si>
    <t xml:space="preserve">Use server-side ad confirmation. Store network, ad_unit_id and impression ID. Import daily network revenue.</t>
  </si>
  <si>
    <t xml:space="preserve">Engineering + Finance</t>
  </si>
  <si>
    <t xml:space="preserve">G-02</t>
  </si>
  <si>
    <t xml:space="preserve">No single reward ledger across features</t>
  </si>
  <si>
    <t xml:space="preserve">Rewards from ads, missions, spins, mining and referrals may be stored separately, so total liability and balances cannot be reconciled.</t>
  </si>
  <si>
    <t xml:space="preserve">Create one ledger with transaction_id, type, amount, currency, source_feature and balance_after for every credit and debit.</t>
  </si>
  <si>
    <t xml:space="preserve">G-03</t>
  </si>
  <si>
    <t xml:space="preserve">Reward unit and conversion rate not defined or versioned</t>
  </si>
  <si>
    <t xml:space="preserve">Wallet / Economy</t>
  </si>
  <si>
    <t xml:space="preserve">Points, coins and cash value may be mixed. Without a versioned conversion rate, historical cost cannot be calculated.</t>
  </si>
  <si>
    <t xml:space="preserve">Define currency units and store the rate and its effective dates.</t>
  </si>
  <si>
    <t xml:space="preserve">Product + Finance</t>
  </si>
  <si>
    <t xml:space="preserve">G-04</t>
  </si>
  <si>
    <t xml:space="preserve">Reward reversals have no reason or link to the original credit</t>
  </si>
  <si>
    <t xml:space="preserve">Net reward cost and abuse rates will be overstated or unexplained.</t>
  </si>
  <si>
    <t xml:space="preserve">Require original_transaction_id and reason code on every reversal.</t>
  </si>
  <si>
    <t xml:space="preserve">Engineering</t>
  </si>
  <si>
    <t xml:space="preserve">G-05</t>
  </si>
  <si>
    <t xml:space="preserve">Withdrawal lifecycle statuses are not defined</t>
  </si>
  <si>
    <t xml:space="preserve">Without clear statuses and timestamps, approval rate, processing time and failures cannot be measured.</t>
  </si>
  <si>
    <t xml:space="preserve">Define states: requested, validated, under review, approved, submitted, processed, rejected, failed. Timestamp each change.</t>
  </si>
  <si>
    <t xml:space="preserve">Product + Engineering</t>
  </si>
  <si>
    <t xml:space="preserve">G-06</t>
  </si>
  <si>
    <t xml:space="preserve">Referral 'activation' rule is not defined</t>
  </si>
  <si>
    <t xml:space="preserve">Referral counts and bonus cost will differ between teams. Self-referrals and duplicates cannot be separated from valid ones.</t>
  </si>
  <si>
    <t xml:space="preserve">Document the activation rule and version it. Store attribution window and rejection reasons.</t>
  </si>
  <si>
    <t xml:space="preserve">Product</t>
  </si>
  <si>
    <t xml:space="preserve">G-07</t>
  </si>
  <si>
    <t xml:space="preserve">Mining time is not validated server-side</t>
  </si>
  <si>
    <t xml:space="preserve">Client clocks can be changed, so accrued rewards and session lengths may be wrong.</t>
  </si>
  <si>
    <t xml:space="preserve">Use server timestamps for start, end and claim. Record the accrual calculation inputs.</t>
  </si>
  <si>
    <t xml:space="preserve">G-08</t>
  </si>
  <si>
    <t xml:space="preserve">Tap volume cannot be verified</t>
  </si>
  <si>
    <t xml:space="preserve">Batched tap counts submitted by the client could be inflated, and per-tap logging is too costly.</t>
  </si>
  <si>
    <t xml:space="preserve">Define batch format, rate limits and server checks. Log limit hits and rejected batches.</t>
  </si>
  <si>
    <t xml:space="preserve">G-09</t>
  </si>
  <si>
    <t xml:space="preserve">Prize table and probabilities are not versioned</t>
  </si>
  <si>
    <t xml:space="preserve">Payout cannot be audited against the intended design if the table changes without a record.</t>
  </si>
  <si>
    <t xml:space="preserve">Store prize_table_version on every spin and keep config history.</t>
  </si>
  <si>
    <t xml:space="preserve">G-10</t>
  </si>
  <si>
    <t xml:space="preserve">Mission definitions change without version history</t>
  </si>
  <si>
    <t xml:space="preserve">Completion rates before and after a change are not comparable.</t>
  </si>
  <si>
    <t xml:space="preserve">Add mission version and effective dates to every mission event.</t>
  </si>
  <si>
    <t xml:space="preserve">G-11</t>
  </si>
  <si>
    <t xml:space="preserve">Day boundary for daily rewards and streaks is undefined</t>
  </si>
  <si>
    <t xml:space="preserve">UTC versus local time changes who keeps a streak and distorts daily KPIs.</t>
  </si>
  <si>
    <t xml:space="preserve">Choose one rule, document it and store it with each claim.</t>
  </si>
  <si>
    <t xml:space="preserve">G-12</t>
  </si>
  <si>
    <t xml:space="preserve">Multi-account and device linking policy is undefined</t>
  </si>
  <si>
    <t xml:space="preserve">Without a device or identity signal, abuse such as multiple accounts and self-referrals cannot be measured.</t>
  </si>
  <si>
    <t xml:space="preserve">Define a privacy-compliant device identifier policy, retention and consent.</t>
  </si>
  <si>
    <t xml:space="preserve">Product + Legal</t>
  </si>
  <si>
    <t xml:space="preserve">G-13</t>
  </si>
  <si>
    <t xml:space="preserve">Support tickets are not linked to features or transactions</t>
  </si>
  <si>
    <t xml:space="preserve">The rate of problems per feature or per withdrawal cannot be calculated.</t>
  </si>
  <si>
    <t xml:space="preserve">Require feature category and optional transaction_id on tickets.</t>
  </si>
  <si>
    <t xml:space="preserve">Support + Engineering</t>
  </si>
  <si>
    <t xml:space="preserve">G-14</t>
  </si>
  <si>
    <t xml:space="preserve">Admin and manual adjustments are not audited</t>
  </si>
  <si>
    <t xml:space="preserve">Operations</t>
  </si>
  <si>
    <t xml:space="preserve">Manual credits, debits and status changes can alter reported figures with no trace.</t>
  </si>
  <si>
    <t xml:space="preserve">Log admin_id, reason, before and after values for every manual action.</t>
  </si>
  <si>
    <t xml:space="preserve">Engineering + Operations</t>
  </si>
  <si>
    <t xml:space="preserve">G-15</t>
  </si>
  <si>
    <t xml:space="preserve">Account status reasons and transitions are not recorded</t>
  </si>
  <si>
    <t xml:space="preserve">Churn cannot be separated into voluntary, inactivity and enforcement.</t>
  </si>
  <si>
    <t xml:space="preserve">Store previous and new status, reason and actor with timestamp.</t>
  </si>
  <si>
    <t xml:space="preserve">G-16</t>
  </si>
  <si>
    <t xml:space="preserve">Event delivery and offline behavior are not defined</t>
  </si>
  <si>
    <t xml:space="preserve">Events sent late or lost on poor connections produce undercounts and wrong ordering.</t>
  </si>
  <si>
    <t xml:space="preserve">Define queuing, retry, deduplication by event_id and accepted lateness window.</t>
  </si>
  <si>
    <t xml:space="preserve">Engineering + Data</t>
  </si>
  <si>
    <t xml:space="preserve">G-17</t>
  </si>
  <si>
    <t xml:space="preserve">Notification delivery is not linked to return visits</t>
  </si>
  <si>
    <t xml:space="preserve">The effect of messages on re-engagement cannot be measured.</t>
  </si>
  <si>
    <t xml:space="preserve">Track sent, delivered and opened with campaign_id and attribute returns within a window.</t>
  </si>
  <si>
    <t xml:space="preserve">Marketing + Engineering</t>
  </si>
  <si>
    <t xml:space="preserve">G-18</t>
  </si>
  <si>
    <t xml:space="preserve">Consent and retention rules are not set for analytics data</t>
  </si>
  <si>
    <t xml:space="preserve">Tracking may be unlawful in some regions, and deletion requests may not reach analytics tables.</t>
  </si>
  <si>
    <t xml:space="preserve">Define consent flags, retention periods and a deletion process for analytics data.</t>
  </si>
  <si>
    <t xml:space="preserve">Legal + Data</t>
  </si>
  <si>
    <t xml:space="preserve">G-19</t>
  </si>
  <si>
    <t xml:space="preserve">No acquisition cost or marketing spend data</t>
  </si>
  <si>
    <t xml:space="preserve">Channel quality cannot be tied to cost, so payback and return on acquisition cannot be measured.</t>
  </si>
  <si>
    <t xml:space="preserve">Import spend by channel and campaign, and store UTM data at registration.</t>
  </si>
  <si>
    <t xml:space="preserve">Marketing + Data</t>
  </si>
  <si>
    <t xml:space="preserve">Summary</t>
  </si>
  <si>
    <t xml:space="preserve">All counts are formulas and update when rows change</t>
  </si>
  <si>
    <t xml:space="preserve">A4 Coverage Matrix by priority</t>
  </si>
  <si>
    <t xml:space="preserve">Rows</t>
  </si>
  <si>
    <t xml:space="preserve">Total</t>
  </si>
  <si>
    <t xml:space="preserve">Status (A1, A4 and Gaps)</t>
  </si>
  <si>
    <t xml:space="preserve">A1 Features</t>
  </si>
  <si>
    <t xml:space="preserve">A4 Rows</t>
  </si>
  <si>
    <t xml:space="preserve">Gaps</t>
  </si>
  <si>
    <t xml:space="preserve">Analytics gaps by priority</t>
  </si>
  <si>
    <t xml:space="preserve">A2 steps: track as event?</t>
  </si>
  <si>
    <t xml:space="preserve">Steps</t>
  </si>
  <si>
    <t xml:space="preserve">A3 events by classification</t>
  </si>
  <si>
    <t xml:space="preserve">Items</t>
  </si>
  <si>
    <t xml:space="preserve">A4 coverage by product area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</si>
</sst>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4B6B6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B6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23.8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</row>
    <row r="4" customFormat="false" ht="23.85" hidden="false" customHeight="false" outlineLevel="0" collapsed="false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6" t="s">
        <v>36</v>
      </c>
    </row>
    <row r="5" customFormat="false" ht="23.85" hidden="false" customHeight="false" outlineLevel="0" collapsed="false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6" t="s">
        <v>36</v>
      </c>
    </row>
    <row r="6" customFormat="false" ht="15" hidden="false" customHeight="false" outlineLevel="0" collapsed="false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7" t="s">
        <v>49</v>
      </c>
    </row>
    <row r="7" customFormat="false" ht="23.85" hidden="false" customHeight="false" outlineLevel="0" collapsed="false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8" t="s">
        <v>56</v>
      </c>
    </row>
    <row r="8" customFormat="false" ht="23.85" hidden="false" customHeight="false" outlineLevel="0" collapsed="false">
      <c r="A8" s="4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6" t="s">
        <v>36</v>
      </c>
    </row>
    <row r="9" customFormat="false" ht="23.85" hidden="false" customHeight="false" outlineLevel="0" collapsed="false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6" t="s">
        <v>36</v>
      </c>
    </row>
    <row r="10" customFormat="false" ht="23.85" hidden="false" customHeight="false" outlineLevel="0" collapsed="false">
      <c r="A10" s="4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6" t="s">
        <v>36</v>
      </c>
    </row>
    <row r="11" customFormat="false" ht="23.85" hidden="false" customHeight="false" outlineLevel="0" collapsed="false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6" t="s">
        <v>36</v>
      </c>
    </row>
    <row r="12" customFormat="false" ht="15" hidden="false" customHeight="false" outlineLevel="0" collapsed="false">
      <c r="A12" s="4" t="s">
        <v>75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8" t="s">
        <v>56</v>
      </c>
    </row>
    <row r="13" customFormat="false" ht="23.85" hidden="false" customHeight="false" outlineLevel="0" collapsed="false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6" t="s">
        <v>36</v>
      </c>
    </row>
    <row r="14" customFormat="false" ht="23.85" hidden="false" customHeight="false" outlineLevel="0" collapsed="false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6" t="s">
        <v>36</v>
      </c>
    </row>
    <row r="15" customFormat="false" ht="15" hidden="false" customHeight="false" outlineLevel="0" collapsed="false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6" t="s">
        <v>36</v>
      </c>
    </row>
    <row r="16" customFormat="false" ht="23.85" hidden="false" customHeight="false" outlineLevel="0" collapsed="false">
      <c r="A16" s="4" t="s">
        <v>98</v>
      </c>
      <c r="B16" s="4" t="s">
        <v>104</v>
      </c>
      <c r="C16" s="4" t="s">
        <v>105</v>
      </c>
      <c r="D16" s="4" t="s">
        <v>106</v>
      </c>
      <c r="E16" s="4" t="s">
        <v>107</v>
      </c>
      <c r="F16" s="4" t="s">
        <v>108</v>
      </c>
      <c r="G16" s="6" t="s">
        <v>36</v>
      </c>
    </row>
    <row r="17" customFormat="false" ht="23.85" hidden="false" customHeight="false" outlineLevel="0" collapsed="false">
      <c r="A17" s="4" t="s">
        <v>109</v>
      </c>
      <c r="B17" s="4" t="s">
        <v>110</v>
      </c>
      <c r="C17" s="4" t="s">
        <v>111</v>
      </c>
      <c r="D17" s="4" t="s">
        <v>112</v>
      </c>
      <c r="E17" s="4" t="s">
        <v>113</v>
      </c>
      <c r="F17" s="4" t="s">
        <v>114</v>
      </c>
      <c r="G17" s="6" t="s">
        <v>36</v>
      </c>
    </row>
    <row r="18" customFormat="false" ht="15" hidden="false" customHeight="false" outlineLevel="0" collapsed="false">
      <c r="A18" s="4" t="s">
        <v>109</v>
      </c>
      <c r="B18" s="4" t="s">
        <v>115</v>
      </c>
      <c r="C18" s="4" t="s">
        <v>116</v>
      </c>
      <c r="D18" s="4" t="s">
        <v>117</v>
      </c>
      <c r="E18" s="4" t="s">
        <v>118</v>
      </c>
      <c r="F18" s="4" t="s">
        <v>119</v>
      </c>
      <c r="G18" s="6" t="s">
        <v>36</v>
      </c>
    </row>
    <row r="19" customFormat="false" ht="23.85" hidden="false" customHeight="false" outlineLevel="0" collapsed="false">
      <c r="A19" s="4" t="s">
        <v>120</v>
      </c>
      <c r="B19" s="4" t="s">
        <v>121</v>
      </c>
      <c r="C19" s="4" t="s">
        <v>122</v>
      </c>
      <c r="D19" s="4" t="s">
        <v>123</v>
      </c>
      <c r="E19" s="4" t="s">
        <v>124</v>
      </c>
      <c r="F19" s="4" t="s">
        <v>125</v>
      </c>
      <c r="G19" s="6" t="s">
        <v>36</v>
      </c>
    </row>
    <row r="20" customFormat="false" ht="23.85" hidden="false" customHeight="false" outlineLevel="0" collapsed="false">
      <c r="A20" s="4" t="s">
        <v>120</v>
      </c>
      <c r="B20" s="4" t="s">
        <v>126</v>
      </c>
      <c r="C20" s="4" t="s">
        <v>127</v>
      </c>
      <c r="D20" s="4" t="s">
        <v>128</v>
      </c>
      <c r="E20" s="4" t="s">
        <v>129</v>
      </c>
      <c r="F20" s="4" t="s">
        <v>130</v>
      </c>
      <c r="G20" s="6" t="s">
        <v>36</v>
      </c>
    </row>
    <row r="21" customFormat="false" ht="15" hidden="false" customHeight="false" outlineLevel="0" collapsed="false">
      <c r="A21" s="4" t="s">
        <v>120</v>
      </c>
      <c r="B21" s="4" t="s">
        <v>131</v>
      </c>
      <c r="C21" s="4" t="s">
        <v>132</v>
      </c>
      <c r="D21" s="4" t="s">
        <v>133</v>
      </c>
      <c r="E21" s="4" t="s">
        <v>134</v>
      </c>
      <c r="F21" s="4" t="s">
        <v>135</v>
      </c>
      <c r="G21" s="7" t="s">
        <v>49</v>
      </c>
    </row>
    <row r="22" customFormat="false" ht="15" hidden="false" customHeight="false" outlineLevel="0" collapsed="false">
      <c r="A22" s="4" t="s">
        <v>136</v>
      </c>
      <c r="B22" s="4" t="s">
        <v>137</v>
      </c>
      <c r="C22" s="4" t="s">
        <v>138</v>
      </c>
      <c r="D22" s="4" t="s">
        <v>139</v>
      </c>
      <c r="E22" s="4" t="s">
        <v>140</v>
      </c>
      <c r="F22" s="4" t="s">
        <v>141</v>
      </c>
      <c r="G22" s="6" t="s">
        <v>36</v>
      </c>
    </row>
    <row r="23" customFormat="false" ht="23.85" hidden="false" customHeight="false" outlineLevel="0" collapsed="false">
      <c r="A23" s="4" t="s">
        <v>136</v>
      </c>
      <c r="B23" s="4" t="s">
        <v>142</v>
      </c>
      <c r="C23" s="4" t="s">
        <v>143</v>
      </c>
      <c r="D23" s="4" t="s">
        <v>144</v>
      </c>
      <c r="E23" s="4" t="s">
        <v>145</v>
      </c>
      <c r="F23" s="4" t="s">
        <v>146</v>
      </c>
      <c r="G23" s="6" t="s">
        <v>36</v>
      </c>
    </row>
    <row r="24" customFormat="false" ht="15" hidden="false" customHeight="false" outlineLevel="0" collapsed="false">
      <c r="A24" s="4" t="s">
        <v>147</v>
      </c>
      <c r="B24" s="4" t="s">
        <v>148</v>
      </c>
      <c r="C24" s="4" t="s">
        <v>149</v>
      </c>
      <c r="D24" s="4" t="s">
        <v>150</v>
      </c>
      <c r="E24" s="4" t="s">
        <v>151</v>
      </c>
      <c r="F24" s="4" t="s">
        <v>152</v>
      </c>
      <c r="G24" s="7" t="s">
        <v>49</v>
      </c>
    </row>
    <row r="25" customFormat="false" ht="15" hidden="false" customHeight="false" outlineLevel="0" collapsed="false">
      <c r="A25" s="4" t="s">
        <v>153</v>
      </c>
      <c r="B25" s="4" t="s">
        <v>154</v>
      </c>
      <c r="C25" s="4" t="s">
        <v>155</v>
      </c>
      <c r="D25" s="4" t="s">
        <v>156</v>
      </c>
      <c r="E25" s="4" t="s">
        <v>157</v>
      </c>
      <c r="F25" s="4" t="s">
        <v>158</v>
      </c>
      <c r="G25" s="8" t="s">
        <v>56</v>
      </c>
    </row>
    <row r="26" customFormat="false" ht="15" hidden="false" customHeight="false" outlineLevel="0" collapsed="false">
      <c r="A26" s="4" t="s">
        <v>159</v>
      </c>
      <c r="B26" s="4" t="s">
        <v>160</v>
      </c>
      <c r="C26" s="4" t="s">
        <v>161</v>
      </c>
      <c r="D26" s="4" t="s">
        <v>162</v>
      </c>
      <c r="E26" s="4" t="s">
        <v>163</v>
      </c>
      <c r="F26" s="4" t="s">
        <v>164</v>
      </c>
      <c r="G26" s="8" t="s">
        <v>56</v>
      </c>
    </row>
    <row r="27" customFormat="false" ht="23.85" hidden="false" customHeight="false" outlineLevel="0" collapsed="false">
      <c r="A27" s="4" t="s">
        <v>165</v>
      </c>
      <c r="B27" s="4" t="s">
        <v>166</v>
      </c>
      <c r="C27" s="4" t="s">
        <v>127</v>
      </c>
      <c r="D27" s="4" t="s">
        <v>167</v>
      </c>
      <c r="E27" s="4" t="s">
        <v>168</v>
      </c>
      <c r="F27" s="4" t="s">
        <v>169</v>
      </c>
      <c r="G27" s="6" t="s">
        <v>36</v>
      </c>
    </row>
    <row r="28" customFormat="false" ht="15" hidden="false" customHeight="false" outlineLevel="0" collapsed="false">
      <c r="A28" s="4" t="s">
        <v>170</v>
      </c>
      <c r="B28" s="4" t="s">
        <v>171</v>
      </c>
      <c r="C28" s="4" t="s">
        <v>172</v>
      </c>
      <c r="D28" s="4" t="s">
        <v>173</v>
      </c>
      <c r="E28" s="4" t="s">
        <v>174</v>
      </c>
      <c r="F28" s="4" t="s">
        <v>175</v>
      </c>
      <c r="G28" s="7" t="s">
        <v>49</v>
      </c>
    </row>
    <row r="29" customFormat="false" ht="23.85" hidden="false" customHeight="false" outlineLevel="0" collapsed="false">
      <c r="A29" s="4" t="s">
        <v>176</v>
      </c>
      <c r="B29" s="4" t="s">
        <v>177</v>
      </c>
      <c r="C29" s="4" t="s">
        <v>178</v>
      </c>
      <c r="D29" s="4" t="s">
        <v>179</v>
      </c>
      <c r="E29" s="4" t="s">
        <v>180</v>
      </c>
      <c r="F29" s="4" t="s">
        <v>181</v>
      </c>
      <c r="G29" s="7" t="s">
        <v>49</v>
      </c>
    </row>
    <row r="30" customFormat="false" ht="15" hidden="false" customHeight="false" outlineLevel="0" collapsed="false">
      <c r="A30" s="4" t="s">
        <v>182</v>
      </c>
      <c r="B30" s="4" t="s">
        <v>183</v>
      </c>
      <c r="C30" s="4" t="s">
        <v>184</v>
      </c>
      <c r="D30" s="4" t="s">
        <v>185</v>
      </c>
      <c r="E30" s="4" t="s">
        <v>186</v>
      </c>
      <c r="F30" s="4" t="s">
        <v>187</v>
      </c>
      <c r="G30" s="7" t="s">
        <v>49</v>
      </c>
    </row>
    <row r="31" customFormat="false" ht="15" hidden="false" customHeight="false" outlineLevel="0" collapsed="false">
      <c r="A31" s="4" t="s">
        <v>188</v>
      </c>
      <c r="B31" s="4" t="s">
        <v>189</v>
      </c>
      <c r="C31" s="4" t="s">
        <v>190</v>
      </c>
      <c r="D31" s="4" t="s">
        <v>191</v>
      </c>
      <c r="E31" s="4" t="s">
        <v>192</v>
      </c>
      <c r="F31" s="4" t="s">
        <v>193</v>
      </c>
      <c r="G31" s="7" t="s">
        <v>49</v>
      </c>
    </row>
    <row r="32" customFormat="false" ht="15" hidden="false" customHeight="false" outlineLevel="0" collapsed="false">
      <c r="A32" s="4" t="s">
        <v>194</v>
      </c>
      <c r="B32" s="4" t="s">
        <v>195</v>
      </c>
      <c r="C32" s="4" t="s">
        <v>190</v>
      </c>
      <c r="D32" s="4" t="s">
        <v>196</v>
      </c>
      <c r="E32" s="4" t="s">
        <v>197</v>
      </c>
      <c r="F32" s="4" t="s">
        <v>198</v>
      </c>
      <c r="G32" s="7" t="s">
        <v>49</v>
      </c>
    </row>
    <row r="33" customFormat="false" ht="15" hidden="false" customHeight="false" outlineLevel="0" collapsed="false">
      <c r="A33" s="4" t="s">
        <v>199</v>
      </c>
      <c r="B33" s="4" t="s">
        <v>200</v>
      </c>
      <c r="C33" s="4" t="s">
        <v>201</v>
      </c>
      <c r="D33" s="4" t="s">
        <v>202</v>
      </c>
      <c r="E33" s="4" t="s">
        <v>203</v>
      </c>
      <c r="F33" s="4" t="s">
        <v>204</v>
      </c>
      <c r="G33" s="7" t="s">
        <v>49</v>
      </c>
    </row>
  </sheetData>
  <autoFilter ref="A3:G33"/>
  <dataValidations count="1">
    <dataValidation allowBlank="true" errorStyle="stop" operator="between" showDropDown="false" showErrorMessage="false" showInputMessage="false" sqref="G4:G83" type="list">
      <formula1>"Confirmed,Proposed,To Be 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36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23.85" hidden="false" customHeight="false" outlineLevel="0" collapsed="false">
      <c r="A4" s="5" t="s">
        <v>24</v>
      </c>
      <c r="B4" s="5" t="s">
        <v>207</v>
      </c>
      <c r="C4" s="5" t="s">
        <v>208</v>
      </c>
      <c r="D4" s="5" t="s">
        <v>209</v>
      </c>
      <c r="E4" s="5" t="s">
        <v>210</v>
      </c>
      <c r="F4" s="5" t="s">
        <v>211</v>
      </c>
      <c r="G4" s="5" t="s">
        <v>212</v>
      </c>
      <c r="H4" s="5" t="s">
        <v>213</v>
      </c>
    </row>
    <row r="5" customFormat="false" ht="15" hidden="false" customHeight="false" outlineLevel="0" collapsed="false">
      <c r="A5" s="4" t="s">
        <v>92</v>
      </c>
      <c r="B5" s="4" t="n">
        <v>1</v>
      </c>
      <c r="C5" s="4" t="s">
        <v>214</v>
      </c>
      <c r="D5" s="4" t="s">
        <v>215</v>
      </c>
      <c r="E5" s="9" t="s">
        <v>216</v>
      </c>
      <c r="F5" s="6" t="s">
        <v>217</v>
      </c>
      <c r="G5" s="4" t="s">
        <v>218</v>
      </c>
      <c r="H5" s="4" t="s">
        <v>219</v>
      </c>
    </row>
    <row r="6" customFormat="false" ht="15" hidden="false" customHeight="false" outlineLevel="0" collapsed="false">
      <c r="A6" s="4" t="s">
        <v>92</v>
      </c>
      <c r="B6" s="4" t="n">
        <v>2</v>
      </c>
      <c r="C6" s="4" t="s">
        <v>220</v>
      </c>
      <c r="D6" s="4" t="s">
        <v>215</v>
      </c>
      <c r="E6" s="9" t="s">
        <v>216</v>
      </c>
      <c r="F6" s="6" t="s">
        <v>217</v>
      </c>
      <c r="G6" s="4" t="s">
        <v>221</v>
      </c>
      <c r="H6" s="4" t="s">
        <v>222</v>
      </c>
    </row>
    <row r="7" customFormat="false" ht="15" hidden="false" customHeight="false" outlineLevel="0" collapsed="false">
      <c r="A7" s="4" t="s">
        <v>92</v>
      </c>
      <c r="B7" s="4" t="n">
        <v>3</v>
      </c>
      <c r="C7" s="4" t="s">
        <v>223</v>
      </c>
      <c r="D7" s="4" t="s">
        <v>215</v>
      </c>
      <c r="E7" s="9" t="s">
        <v>216</v>
      </c>
      <c r="F7" s="6" t="s">
        <v>217</v>
      </c>
      <c r="G7" s="4" t="s">
        <v>224</v>
      </c>
      <c r="H7" s="4" t="s">
        <v>225</v>
      </c>
    </row>
    <row r="8" customFormat="false" ht="15" hidden="false" customHeight="false" outlineLevel="0" collapsed="false">
      <c r="A8" s="4" t="s">
        <v>92</v>
      </c>
      <c r="B8" s="4" t="n">
        <v>4</v>
      </c>
      <c r="C8" s="4" t="s">
        <v>226</v>
      </c>
      <c r="D8" s="4" t="s">
        <v>215</v>
      </c>
      <c r="E8" s="9" t="s">
        <v>216</v>
      </c>
      <c r="F8" s="6" t="s">
        <v>217</v>
      </c>
      <c r="G8" s="4" t="s">
        <v>227</v>
      </c>
      <c r="H8" s="4" t="s">
        <v>228</v>
      </c>
    </row>
    <row r="9" customFormat="false" ht="15" hidden="false" customHeight="false" outlineLevel="0" collapsed="false">
      <c r="A9" s="4" t="s">
        <v>92</v>
      </c>
      <c r="B9" s="4" t="n">
        <v>5</v>
      </c>
      <c r="C9" s="4" t="s">
        <v>229</v>
      </c>
      <c r="D9" s="4" t="s">
        <v>230</v>
      </c>
      <c r="E9" s="10" t="s">
        <v>231</v>
      </c>
      <c r="F9" s="6" t="s">
        <v>217</v>
      </c>
      <c r="G9" s="4" t="s">
        <v>232</v>
      </c>
      <c r="H9" s="4" t="s">
        <v>233</v>
      </c>
    </row>
    <row r="10" customFormat="false" ht="15" hidden="false" customHeight="false" outlineLevel="0" collapsed="false">
      <c r="A10" s="4" t="s">
        <v>92</v>
      </c>
      <c r="B10" s="4" t="n">
        <v>6</v>
      </c>
      <c r="C10" s="4" t="s">
        <v>234</v>
      </c>
      <c r="D10" s="4" t="s">
        <v>230</v>
      </c>
      <c r="E10" s="11" t="s">
        <v>235</v>
      </c>
      <c r="F10" s="6" t="s">
        <v>217</v>
      </c>
      <c r="G10" s="4" t="s">
        <v>236</v>
      </c>
      <c r="H10" s="4" t="s">
        <v>237</v>
      </c>
    </row>
    <row r="11" customFormat="false" ht="15" hidden="false" customHeight="false" outlineLevel="0" collapsed="false">
      <c r="A11" s="4" t="s">
        <v>92</v>
      </c>
      <c r="B11" s="4" t="n">
        <v>7</v>
      </c>
      <c r="C11" s="4" t="s">
        <v>238</v>
      </c>
      <c r="D11" s="4" t="s">
        <v>230</v>
      </c>
      <c r="E11" s="11" t="s">
        <v>235</v>
      </c>
      <c r="F11" s="6" t="s">
        <v>217</v>
      </c>
      <c r="G11" s="4" t="s">
        <v>239</v>
      </c>
      <c r="H11" s="4" t="s">
        <v>240</v>
      </c>
    </row>
    <row r="12" customFormat="false" ht="15" hidden="false" customHeight="false" outlineLevel="0" collapsed="false">
      <c r="A12" s="4" t="s">
        <v>57</v>
      </c>
      <c r="B12" s="4" t="n">
        <v>1</v>
      </c>
      <c r="C12" s="4" t="s">
        <v>241</v>
      </c>
      <c r="D12" s="4" t="s">
        <v>230</v>
      </c>
      <c r="E12" s="10" t="s">
        <v>231</v>
      </c>
      <c r="F12" s="6" t="s">
        <v>217</v>
      </c>
      <c r="G12" s="4" t="s">
        <v>242</v>
      </c>
      <c r="H12" s="4" t="s">
        <v>243</v>
      </c>
    </row>
    <row r="13" customFormat="false" ht="15" hidden="false" customHeight="false" outlineLevel="0" collapsed="false">
      <c r="A13" s="4" t="s">
        <v>57</v>
      </c>
      <c r="B13" s="4" t="n">
        <v>2</v>
      </c>
      <c r="C13" s="4" t="s">
        <v>244</v>
      </c>
      <c r="D13" s="4" t="s">
        <v>230</v>
      </c>
      <c r="E13" s="10" t="s">
        <v>231</v>
      </c>
      <c r="F13" s="6" t="s">
        <v>217</v>
      </c>
      <c r="G13" s="4" t="s">
        <v>245</v>
      </c>
      <c r="H13" s="4" t="s">
        <v>246</v>
      </c>
    </row>
    <row r="14" customFormat="false" ht="15" hidden="false" customHeight="false" outlineLevel="0" collapsed="false">
      <c r="A14" s="4" t="s">
        <v>57</v>
      </c>
      <c r="B14" s="4" t="n">
        <v>3</v>
      </c>
      <c r="C14" s="4" t="s">
        <v>247</v>
      </c>
      <c r="D14" s="4" t="s">
        <v>215</v>
      </c>
      <c r="E14" s="9" t="s">
        <v>216</v>
      </c>
      <c r="F14" s="6" t="s">
        <v>217</v>
      </c>
      <c r="G14" s="4" t="s">
        <v>248</v>
      </c>
      <c r="H14" s="4" t="s">
        <v>249</v>
      </c>
    </row>
    <row r="15" customFormat="false" ht="15" hidden="false" customHeight="false" outlineLevel="0" collapsed="false">
      <c r="A15" s="4" t="s">
        <v>57</v>
      </c>
      <c r="B15" s="4" t="n">
        <v>4</v>
      </c>
      <c r="C15" s="4" t="s">
        <v>250</v>
      </c>
      <c r="D15" s="4" t="s">
        <v>215</v>
      </c>
      <c r="E15" s="9" t="s">
        <v>216</v>
      </c>
      <c r="F15" s="6" t="s">
        <v>217</v>
      </c>
      <c r="G15" s="4" t="s">
        <v>251</v>
      </c>
      <c r="H15" s="4" t="s">
        <v>252</v>
      </c>
    </row>
    <row r="16" customFormat="false" ht="15" hidden="false" customHeight="false" outlineLevel="0" collapsed="false">
      <c r="A16" s="4" t="s">
        <v>57</v>
      </c>
      <c r="B16" s="4" t="n">
        <v>5</v>
      </c>
      <c r="C16" s="4" t="s">
        <v>253</v>
      </c>
      <c r="D16" s="4" t="s">
        <v>230</v>
      </c>
      <c r="E16" s="10" t="s">
        <v>231</v>
      </c>
      <c r="F16" s="6" t="s">
        <v>217</v>
      </c>
      <c r="G16" s="4" t="s">
        <v>254</v>
      </c>
      <c r="H16" s="4" t="s">
        <v>255</v>
      </c>
    </row>
    <row r="17" customFormat="false" ht="15" hidden="false" customHeight="false" outlineLevel="0" collapsed="false">
      <c r="A17" s="4" t="s">
        <v>57</v>
      </c>
      <c r="B17" s="4" t="n">
        <v>6</v>
      </c>
      <c r="C17" s="4" t="s">
        <v>238</v>
      </c>
      <c r="D17" s="4" t="s">
        <v>230</v>
      </c>
      <c r="E17" s="11" t="s">
        <v>235</v>
      </c>
      <c r="F17" s="6" t="s">
        <v>217</v>
      </c>
      <c r="G17" s="4" t="s">
        <v>256</v>
      </c>
      <c r="H17" s="4" t="s">
        <v>257</v>
      </c>
    </row>
    <row r="18" customFormat="false" ht="15" hidden="false" customHeight="false" outlineLevel="0" collapsed="false">
      <c r="A18" s="4" t="s">
        <v>57</v>
      </c>
      <c r="B18" s="4" t="n">
        <v>7</v>
      </c>
      <c r="C18" s="4" t="s">
        <v>258</v>
      </c>
      <c r="D18" s="4" t="s">
        <v>230</v>
      </c>
      <c r="E18" s="11" t="s">
        <v>235</v>
      </c>
      <c r="F18" s="6" t="s">
        <v>217</v>
      </c>
      <c r="G18" s="4" t="s">
        <v>259</v>
      </c>
      <c r="H18" s="4" t="s">
        <v>260</v>
      </c>
    </row>
    <row r="19" customFormat="false" ht="15" hidden="false" customHeight="false" outlineLevel="0" collapsed="false">
      <c r="A19" s="4" t="s">
        <v>63</v>
      </c>
      <c r="B19" s="4" t="n">
        <v>1</v>
      </c>
      <c r="C19" s="4" t="s">
        <v>261</v>
      </c>
      <c r="D19" s="4" t="s">
        <v>215</v>
      </c>
      <c r="E19" s="9" t="s">
        <v>216</v>
      </c>
      <c r="F19" s="6" t="s">
        <v>217</v>
      </c>
      <c r="G19" s="4" t="s">
        <v>262</v>
      </c>
      <c r="H19" s="4" t="s">
        <v>263</v>
      </c>
    </row>
    <row r="20" customFormat="false" ht="15" hidden="false" customHeight="false" outlineLevel="0" collapsed="false">
      <c r="A20" s="4" t="s">
        <v>63</v>
      </c>
      <c r="B20" s="4" t="n">
        <v>2</v>
      </c>
      <c r="C20" s="4" t="s">
        <v>264</v>
      </c>
      <c r="D20" s="4" t="s">
        <v>215</v>
      </c>
      <c r="E20" s="9" t="s">
        <v>216</v>
      </c>
      <c r="F20" s="6" t="s">
        <v>217</v>
      </c>
      <c r="G20" s="4" t="s">
        <v>265</v>
      </c>
      <c r="H20" s="4" t="s">
        <v>266</v>
      </c>
    </row>
    <row r="21" customFormat="false" ht="15" hidden="false" customHeight="false" outlineLevel="0" collapsed="false">
      <c r="A21" s="4" t="s">
        <v>63</v>
      </c>
      <c r="B21" s="4" t="n">
        <v>3</v>
      </c>
      <c r="C21" s="4" t="s">
        <v>267</v>
      </c>
      <c r="D21" s="4" t="s">
        <v>230</v>
      </c>
      <c r="E21" s="10" t="s">
        <v>231</v>
      </c>
      <c r="F21" s="9" t="s">
        <v>268</v>
      </c>
      <c r="G21" s="4"/>
      <c r="H21" s="4" t="s">
        <v>269</v>
      </c>
    </row>
    <row r="22" customFormat="false" ht="15" hidden="false" customHeight="false" outlineLevel="0" collapsed="false">
      <c r="A22" s="4" t="s">
        <v>63</v>
      </c>
      <c r="B22" s="4" t="n">
        <v>4</v>
      </c>
      <c r="C22" s="4" t="s">
        <v>270</v>
      </c>
      <c r="D22" s="4" t="s">
        <v>230</v>
      </c>
      <c r="E22" s="10" t="s">
        <v>231</v>
      </c>
      <c r="F22" s="6" t="s">
        <v>217</v>
      </c>
      <c r="G22" s="4" t="s">
        <v>271</v>
      </c>
      <c r="H22" s="4" t="s">
        <v>272</v>
      </c>
    </row>
    <row r="23" customFormat="false" ht="15" hidden="false" customHeight="false" outlineLevel="0" collapsed="false">
      <c r="A23" s="4" t="s">
        <v>63</v>
      </c>
      <c r="B23" s="4" t="n">
        <v>5</v>
      </c>
      <c r="C23" s="4" t="s">
        <v>238</v>
      </c>
      <c r="D23" s="4" t="s">
        <v>230</v>
      </c>
      <c r="E23" s="11" t="s">
        <v>235</v>
      </c>
      <c r="F23" s="6" t="s">
        <v>217</v>
      </c>
      <c r="G23" s="4" t="s">
        <v>273</v>
      </c>
      <c r="H23" s="4" t="s">
        <v>274</v>
      </c>
    </row>
    <row r="24" customFormat="false" ht="15" hidden="false" customHeight="false" outlineLevel="0" collapsed="false">
      <c r="A24" s="4" t="s">
        <v>69</v>
      </c>
      <c r="B24" s="4" t="n">
        <v>1</v>
      </c>
      <c r="C24" s="4" t="s">
        <v>275</v>
      </c>
      <c r="D24" s="4" t="s">
        <v>215</v>
      </c>
      <c r="E24" s="9" t="s">
        <v>216</v>
      </c>
      <c r="F24" s="12" t="s">
        <v>276</v>
      </c>
      <c r="G24" s="4"/>
      <c r="H24" s="4" t="s">
        <v>277</v>
      </c>
    </row>
    <row r="25" customFormat="false" ht="15" hidden="false" customHeight="false" outlineLevel="0" collapsed="false">
      <c r="A25" s="4" t="s">
        <v>69</v>
      </c>
      <c r="B25" s="4" t="n">
        <v>2</v>
      </c>
      <c r="C25" s="4" t="s">
        <v>278</v>
      </c>
      <c r="D25" s="4" t="s">
        <v>215</v>
      </c>
      <c r="E25" s="9" t="s">
        <v>216</v>
      </c>
      <c r="F25" s="6" t="s">
        <v>217</v>
      </c>
      <c r="G25" s="4" t="s">
        <v>279</v>
      </c>
      <c r="H25" s="4" t="s">
        <v>280</v>
      </c>
    </row>
    <row r="26" customFormat="false" ht="15" hidden="false" customHeight="false" outlineLevel="0" collapsed="false">
      <c r="A26" s="4" t="s">
        <v>69</v>
      </c>
      <c r="B26" s="4" t="n">
        <v>3</v>
      </c>
      <c r="C26" s="4" t="s">
        <v>281</v>
      </c>
      <c r="D26" s="4" t="s">
        <v>215</v>
      </c>
      <c r="E26" s="9" t="s">
        <v>216</v>
      </c>
      <c r="F26" s="6" t="s">
        <v>217</v>
      </c>
      <c r="G26" s="4" t="s">
        <v>282</v>
      </c>
      <c r="H26" s="4" t="s">
        <v>283</v>
      </c>
    </row>
    <row r="27" customFormat="false" ht="15" hidden="false" customHeight="false" outlineLevel="0" collapsed="false">
      <c r="A27" s="4" t="s">
        <v>69</v>
      </c>
      <c r="B27" s="4" t="n">
        <v>4</v>
      </c>
      <c r="C27" s="4" t="s">
        <v>284</v>
      </c>
      <c r="D27" s="4" t="s">
        <v>230</v>
      </c>
      <c r="E27" s="10" t="s">
        <v>231</v>
      </c>
      <c r="F27" s="6" t="s">
        <v>217</v>
      </c>
      <c r="G27" s="4" t="s">
        <v>285</v>
      </c>
      <c r="H27" s="4" t="s">
        <v>286</v>
      </c>
    </row>
    <row r="28" customFormat="false" ht="15" hidden="false" customHeight="false" outlineLevel="0" collapsed="false">
      <c r="A28" s="4" t="s">
        <v>69</v>
      </c>
      <c r="B28" s="4" t="n">
        <v>5</v>
      </c>
      <c r="C28" s="4" t="s">
        <v>287</v>
      </c>
      <c r="D28" s="4" t="s">
        <v>230</v>
      </c>
      <c r="E28" s="11" t="s">
        <v>235</v>
      </c>
      <c r="F28" s="6" t="s">
        <v>217</v>
      </c>
      <c r="G28" s="4" t="s">
        <v>288</v>
      </c>
      <c r="H28" s="4" t="s">
        <v>289</v>
      </c>
    </row>
    <row r="29" customFormat="false" ht="15" hidden="false" customHeight="false" outlineLevel="0" collapsed="false">
      <c r="A29" s="4" t="s">
        <v>69</v>
      </c>
      <c r="B29" s="4" t="n">
        <v>6</v>
      </c>
      <c r="C29" s="4" t="s">
        <v>290</v>
      </c>
      <c r="D29" s="4" t="s">
        <v>215</v>
      </c>
      <c r="E29" s="9" t="s">
        <v>216</v>
      </c>
      <c r="F29" s="9" t="s">
        <v>268</v>
      </c>
      <c r="G29" s="4"/>
      <c r="H29" s="4" t="s">
        <v>291</v>
      </c>
    </row>
    <row r="30" customFormat="false" ht="15" hidden="false" customHeight="false" outlineLevel="0" collapsed="false">
      <c r="A30" s="4" t="s">
        <v>75</v>
      </c>
      <c r="B30" s="4" t="n">
        <v>1</v>
      </c>
      <c r="C30" s="4" t="s">
        <v>292</v>
      </c>
      <c r="D30" s="4" t="s">
        <v>215</v>
      </c>
      <c r="E30" s="9" t="s">
        <v>216</v>
      </c>
      <c r="F30" s="6" t="s">
        <v>217</v>
      </c>
      <c r="G30" s="4" t="s">
        <v>293</v>
      </c>
      <c r="H30" s="4" t="s">
        <v>294</v>
      </c>
    </row>
    <row r="31" customFormat="false" ht="15" hidden="false" customHeight="false" outlineLevel="0" collapsed="false">
      <c r="A31" s="4" t="s">
        <v>75</v>
      </c>
      <c r="B31" s="4" t="n">
        <v>2</v>
      </c>
      <c r="C31" s="4" t="s">
        <v>295</v>
      </c>
      <c r="D31" s="4" t="s">
        <v>230</v>
      </c>
      <c r="E31" s="10" t="s">
        <v>231</v>
      </c>
      <c r="F31" s="12" t="s">
        <v>276</v>
      </c>
      <c r="G31" s="4"/>
      <c r="H31" s="4" t="s">
        <v>296</v>
      </c>
    </row>
    <row r="32" customFormat="false" ht="15" hidden="false" customHeight="false" outlineLevel="0" collapsed="false">
      <c r="A32" s="4" t="s">
        <v>75</v>
      </c>
      <c r="B32" s="4" t="n">
        <v>3</v>
      </c>
      <c r="C32" s="4" t="s">
        <v>297</v>
      </c>
      <c r="D32" s="4" t="s">
        <v>230</v>
      </c>
      <c r="E32" s="10" t="s">
        <v>231</v>
      </c>
      <c r="F32" s="6" t="s">
        <v>217</v>
      </c>
      <c r="G32" s="4" t="s">
        <v>298</v>
      </c>
      <c r="H32" s="4" t="s">
        <v>299</v>
      </c>
    </row>
    <row r="33" customFormat="false" ht="15" hidden="false" customHeight="false" outlineLevel="0" collapsed="false">
      <c r="A33" s="4" t="s">
        <v>75</v>
      </c>
      <c r="B33" s="4" t="n">
        <v>4</v>
      </c>
      <c r="C33" s="4" t="s">
        <v>264</v>
      </c>
      <c r="D33" s="4" t="s">
        <v>215</v>
      </c>
      <c r="E33" s="9" t="s">
        <v>216</v>
      </c>
      <c r="F33" s="6" t="s">
        <v>217</v>
      </c>
      <c r="G33" s="4" t="s">
        <v>300</v>
      </c>
      <c r="H33" s="4" t="s">
        <v>301</v>
      </c>
    </row>
    <row r="34" customFormat="false" ht="15" hidden="false" customHeight="false" outlineLevel="0" collapsed="false">
      <c r="A34" s="4" t="s">
        <v>75</v>
      </c>
      <c r="B34" s="4" t="n">
        <v>5</v>
      </c>
      <c r="C34" s="4" t="s">
        <v>302</v>
      </c>
      <c r="D34" s="4" t="s">
        <v>230</v>
      </c>
      <c r="E34" s="10" t="s">
        <v>231</v>
      </c>
      <c r="F34" s="6" t="s">
        <v>217</v>
      </c>
      <c r="G34" s="4" t="s">
        <v>303</v>
      </c>
      <c r="H34" s="4" t="s">
        <v>304</v>
      </c>
    </row>
    <row r="35" customFormat="false" ht="15" hidden="false" customHeight="false" outlineLevel="0" collapsed="false">
      <c r="A35" s="4" t="s">
        <v>75</v>
      </c>
      <c r="B35" s="4" t="n">
        <v>6</v>
      </c>
      <c r="C35" s="4" t="s">
        <v>238</v>
      </c>
      <c r="D35" s="4" t="s">
        <v>230</v>
      </c>
      <c r="E35" s="11" t="s">
        <v>235</v>
      </c>
      <c r="F35" s="6" t="s">
        <v>217</v>
      </c>
      <c r="G35" s="4" t="s">
        <v>305</v>
      </c>
      <c r="H35" s="4" t="s">
        <v>274</v>
      </c>
    </row>
    <row r="36" customFormat="false" ht="15" hidden="false" customHeight="false" outlineLevel="0" collapsed="false">
      <c r="A36" s="4" t="s">
        <v>75</v>
      </c>
      <c r="B36" s="4" t="n">
        <v>7</v>
      </c>
      <c r="C36" s="4" t="s">
        <v>306</v>
      </c>
      <c r="D36" s="4" t="s">
        <v>215</v>
      </c>
      <c r="E36" s="9" t="s">
        <v>216</v>
      </c>
      <c r="F36" s="6" t="s">
        <v>217</v>
      </c>
      <c r="G36" s="4" t="s">
        <v>307</v>
      </c>
      <c r="H36" s="4" t="s">
        <v>308</v>
      </c>
    </row>
    <row r="37" customFormat="false" ht="15" hidden="false" customHeight="false" outlineLevel="0" collapsed="false">
      <c r="A37" s="4" t="s">
        <v>86</v>
      </c>
      <c r="B37" s="4" t="n">
        <v>1</v>
      </c>
      <c r="C37" s="4" t="s">
        <v>309</v>
      </c>
      <c r="D37" s="4" t="s">
        <v>230</v>
      </c>
      <c r="E37" s="11" t="s">
        <v>235</v>
      </c>
      <c r="F37" s="6" t="s">
        <v>217</v>
      </c>
      <c r="G37" s="4" t="s">
        <v>310</v>
      </c>
      <c r="H37" s="4" t="s">
        <v>311</v>
      </c>
    </row>
    <row r="38" customFormat="false" ht="15" hidden="false" customHeight="false" outlineLevel="0" collapsed="false">
      <c r="A38" s="4" t="s">
        <v>86</v>
      </c>
      <c r="B38" s="4" t="n">
        <v>2</v>
      </c>
      <c r="C38" s="4" t="s">
        <v>312</v>
      </c>
      <c r="D38" s="4" t="s">
        <v>215</v>
      </c>
      <c r="E38" s="9" t="s">
        <v>216</v>
      </c>
      <c r="F38" s="6" t="s">
        <v>217</v>
      </c>
      <c r="G38" s="4" t="s">
        <v>313</v>
      </c>
      <c r="H38" s="4" t="s">
        <v>314</v>
      </c>
    </row>
    <row r="39" customFormat="false" ht="15" hidden="false" customHeight="false" outlineLevel="0" collapsed="false">
      <c r="A39" s="4" t="s">
        <v>86</v>
      </c>
      <c r="B39" s="4" t="n">
        <v>3</v>
      </c>
      <c r="C39" s="4" t="s">
        <v>315</v>
      </c>
      <c r="D39" s="4" t="s">
        <v>230</v>
      </c>
      <c r="E39" s="10" t="s">
        <v>231</v>
      </c>
      <c r="F39" s="6" t="s">
        <v>217</v>
      </c>
      <c r="G39" s="4" t="s">
        <v>316</v>
      </c>
      <c r="H39" s="4" t="s">
        <v>317</v>
      </c>
    </row>
    <row r="40" customFormat="false" ht="15" hidden="false" customHeight="false" outlineLevel="0" collapsed="false">
      <c r="A40" s="4" t="s">
        <v>86</v>
      </c>
      <c r="B40" s="4" t="n">
        <v>4</v>
      </c>
      <c r="C40" s="4" t="s">
        <v>238</v>
      </c>
      <c r="D40" s="4" t="s">
        <v>230</v>
      </c>
      <c r="E40" s="11" t="s">
        <v>235</v>
      </c>
      <c r="F40" s="6" t="s">
        <v>217</v>
      </c>
      <c r="G40" s="4" t="s">
        <v>318</v>
      </c>
      <c r="H40" s="4" t="s">
        <v>319</v>
      </c>
    </row>
    <row r="41" customFormat="false" ht="15" hidden="false" customHeight="false" outlineLevel="0" collapsed="false">
      <c r="A41" s="4" t="s">
        <v>86</v>
      </c>
      <c r="B41" s="4" t="n">
        <v>5</v>
      </c>
      <c r="C41" s="4" t="s">
        <v>320</v>
      </c>
      <c r="D41" s="4" t="s">
        <v>215</v>
      </c>
      <c r="E41" s="9" t="s">
        <v>216</v>
      </c>
      <c r="F41" s="12" t="s">
        <v>276</v>
      </c>
      <c r="G41" s="4"/>
      <c r="H41" s="4" t="s">
        <v>321</v>
      </c>
    </row>
    <row r="42" customFormat="false" ht="15" hidden="false" customHeight="false" outlineLevel="0" collapsed="false">
      <c r="A42" s="4" t="s">
        <v>98</v>
      </c>
      <c r="B42" s="4" t="n">
        <v>1</v>
      </c>
      <c r="C42" s="4" t="s">
        <v>322</v>
      </c>
      <c r="D42" s="4" t="s">
        <v>215</v>
      </c>
      <c r="E42" s="9" t="s">
        <v>216</v>
      </c>
      <c r="F42" s="6" t="s">
        <v>217</v>
      </c>
      <c r="G42" s="4" t="s">
        <v>323</v>
      </c>
      <c r="H42" s="4" t="s">
        <v>324</v>
      </c>
    </row>
    <row r="43" customFormat="false" ht="15" hidden="false" customHeight="false" outlineLevel="0" collapsed="false">
      <c r="A43" s="4" t="s">
        <v>98</v>
      </c>
      <c r="B43" s="4" t="n">
        <v>2</v>
      </c>
      <c r="C43" s="4" t="s">
        <v>325</v>
      </c>
      <c r="D43" s="4" t="s">
        <v>215</v>
      </c>
      <c r="E43" s="9" t="s">
        <v>216</v>
      </c>
      <c r="F43" s="6" t="s">
        <v>217</v>
      </c>
      <c r="G43" s="4" t="s">
        <v>326</v>
      </c>
      <c r="H43" s="4" t="s">
        <v>327</v>
      </c>
    </row>
    <row r="44" customFormat="false" ht="15" hidden="false" customHeight="false" outlineLevel="0" collapsed="false">
      <c r="A44" s="4" t="s">
        <v>98</v>
      </c>
      <c r="B44" s="4" t="n">
        <v>3</v>
      </c>
      <c r="C44" s="4" t="s">
        <v>328</v>
      </c>
      <c r="D44" s="4" t="s">
        <v>230</v>
      </c>
      <c r="E44" s="10" t="s">
        <v>231</v>
      </c>
      <c r="F44" s="6" t="s">
        <v>217</v>
      </c>
      <c r="G44" s="4" t="s">
        <v>329</v>
      </c>
      <c r="H44" s="4" t="s">
        <v>330</v>
      </c>
    </row>
    <row r="45" customFormat="false" ht="15" hidden="false" customHeight="false" outlineLevel="0" collapsed="false">
      <c r="A45" s="4" t="s">
        <v>98</v>
      </c>
      <c r="B45" s="4" t="n">
        <v>4</v>
      </c>
      <c r="C45" s="4" t="s">
        <v>331</v>
      </c>
      <c r="D45" s="4" t="s">
        <v>230</v>
      </c>
      <c r="E45" s="10" t="s">
        <v>231</v>
      </c>
      <c r="F45" s="6" t="s">
        <v>217</v>
      </c>
      <c r="G45" s="4" t="s">
        <v>332</v>
      </c>
      <c r="H45" s="4" t="s">
        <v>333</v>
      </c>
    </row>
    <row r="46" customFormat="false" ht="15" hidden="false" customHeight="false" outlineLevel="0" collapsed="false">
      <c r="A46" s="4" t="s">
        <v>98</v>
      </c>
      <c r="B46" s="4" t="n">
        <v>5</v>
      </c>
      <c r="C46" s="4" t="s">
        <v>334</v>
      </c>
      <c r="D46" s="4" t="s">
        <v>230</v>
      </c>
      <c r="E46" s="11" t="s">
        <v>235</v>
      </c>
      <c r="F46" s="6" t="s">
        <v>217</v>
      </c>
      <c r="G46" s="4" t="s">
        <v>335</v>
      </c>
      <c r="H46" s="4" t="s">
        <v>336</v>
      </c>
    </row>
    <row r="47" customFormat="false" ht="15" hidden="false" customHeight="false" outlineLevel="0" collapsed="false">
      <c r="A47" s="4" t="s">
        <v>98</v>
      </c>
      <c r="B47" s="4" t="n">
        <v>6</v>
      </c>
      <c r="C47" s="4" t="s">
        <v>337</v>
      </c>
      <c r="D47" s="4" t="s">
        <v>230</v>
      </c>
      <c r="E47" s="11" t="s">
        <v>235</v>
      </c>
      <c r="F47" s="6" t="s">
        <v>217</v>
      </c>
      <c r="G47" s="4" t="s">
        <v>338</v>
      </c>
      <c r="H47" s="4" t="s">
        <v>339</v>
      </c>
    </row>
    <row r="48" customFormat="false" ht="15" hidden="false" customHeight="false" outlineLevel="0" collapsed="false">
      <c r="A48" s="4" t="s">
        <v>98</v>
      </c>
      <c r="B48" s="4" t="n">
        <v>7</v>
      </c>
      <c r="C48" s="4" t="s">
        <v>340</v>
      </c>
      <c r="D48" s="4" t="s">
        <v>230</v>
      </c>
      <c r="E48" s="11" t="s">
        <v>235</v>
      </c>
      <c r="F48" s="6" t="s">
        <v>217</v>
      </c>
      <c r="G48" s="4" t="s">
        <v>341</v>
      </c>
      <c r="H48" s="4" t="s">
        <v>342</v>
      </c>
    </row>
    <row r="49" customFormat="false" ht="15" hidden="false" customHeight="false" outlineLevel="0" collapsed="false">
      <c r="A49" s="4" t="s">
        <v>120</v>
      </c>
      <c r="B49" s="4" t="n">
        <v>1</v>
      </c>
      <c r="C49" s="4" t="s">
        <v>343</v>
      </c>
      <c r="D49" s="4" t="s">
        <v>215</v>
      </c>
      <c r="E49" s="9" t="s">
        <v>216</v>
      </c>
      <c r="F49" s="6" t="s">
        <v>217</v>
      </c>
      <c r="G49" s="4" t="s">
        <v>344</v>
      </c>
      <c r="H49" s="4" t="s">
        <v>345</v>
      </c>
    </row>
    <row r="50" customFormat="false" ht="15" hidden="false" customHeight="false" outlineLevel="0" collapsed="false">
      <c r="A50" s="4" t="s">
        <v>120</v>
      </c>
      <c r="B50" s="4" t="n">
        <v>2</v>
      </c>
      <c r="C50" s="4" t="s">
        <v>346</v>
      </c>
      <c r="D50" s="4" t="s">
        <v>215</v>
      </c>
      <c r="E50" s="9" t="s">
        <v>216</v>
      </c>
      <c r="F50" s="6" t="s">
        <v>217</v>
      </c>
      <c r="G50" s="4" t="s">
        <v>347</v>
      </c>
      <c r="H50" s="4" t="s">
        <v>348</v>
      </c>
    </row>
    <row r="51" customFormat="false" ht="15" hidden="false" customHeight="false" outlineLevel="0" collapsed="false">
      <c r="A51" s="4" t="s">
        <v>120</v>
      </c>
      <c r="B51" s="4" t="n">
        <v>3</v>
      </c>
      <c r="C51" s="4" t="s">
        <v>349</v>
      </c>
      <c r="D51" s="4" t="s">
        <v>230</v>
      </c>
      <c r="E51" s="10" t="s">
        <v>231</v>
      </c>
      <c r="F51" s="6" t="s">
        <v>217</v>
      </c>
      <c r="G51" s="4" t="s">
        <v>350</v>
      </c>
      <c r="H51" s="4" t="s">
        <v>351</v>
      </c>
    </row>
    <row r="52" customFormat="false" ht="15" hidden="false" customHeight="false" outlineLevel="0" collapsed="false">
      <c r="A52" s="4" t="s">
        <v>120</v>
      </c>
      <c r="B52" s="4" t="n">
        <v>4</v>
      </c>
      <c r="C52" s="4" t="s">
        <v>352</v>
      </c>
      <c r="D52" s="4" t="s">
        <v>230</v>
      </c>
      <c r="E52" s="10" t="s">
        <v>231</v>
      </c>
      <c r="F52" s="6" t="s">
        <v>217</v>
      </c>
      <c r="G52" s="4" t="s">
        <v>353</v>
      </c>
      <c r="H52" s="4" t="s">
        <v>354</v>
      </c>
    </row>
    <row r="53" customFormat="false" ht="15" hidden="false" customHeight="false" outlineLevel="0" collapsed="false">
      <c r="A53" s="4" t="s">
        <v>120</v>
      </c>
      <c r="B53" s="4" t="n">
        <v>5</v>
      </c>
      <c r="C53" s="4" t="s">
        <v>355</v>
      </c>
      <c r="D53" s="4" t="s">
        <v>230</v>
      </c>
      <c r="E53" s="11" t="s">
        <v>235</v>
      </c>
      <c r="F53" s="6" t="s">
        <v>217</v>
      </c>
      <c r="G53" s="4" t="s">
        <v>356</v>
      </c>
      <c r="H53" s="4" t="s">
        <v>357</v>
      </c>
    </row>
    <row r="54" customFormat="false" ht="15" hidden="false" customHeight="false" outlineLevel="0" collapsed="false">
      <c r="A54" s="4" t="s">
        <v>120</v>
      </c>
      <c r="B54" s="4" t="n">
        <v>6</v>
      </c>
      <c r="C54" s="4" t="s">
        <v>358</v>
      </c>
      <c r="D54" s="4" t="s">
        <v>230</v>
      </c>
      <c r="E54" s="10" t="s">
        <v>231</v>
      </c>
      <c r="F54" s="6" t="s">
        <v>217</v>
      </c>
      <c r="G54" s="4" t="s">
        <v>359</v>
      </c>
      <c r="H54" s="4" t="s">
        <v>360</v>
      </c>
    </row>
    <row r="55" customFormat="false" ht="15" hidden="false" customHeight="false" outlineLevel="0" collapsed="false">
      <c r="A55" s="4" t="s">
        <v>120</v>
      </c>
      <c r="B55" s="4" t="n">
        <v>7</v>
      </c>
      <c r="C55" s="4" t="s">
        <v>361</v>
      </c>
      <c r="D55" s="4" t="s">
        <v>230</v>
      </c>
      <c r="E55" s="11" t="s">
        <v>235</v>
      </c>
      <c r="F55" s="6" t="s">
        <v>217</v>
      </c>
      <c r="G55" s="4" t="s">
        <v>362</v>
      </c>
      <c r="H55" s="4" t="s">
        <v>363</v>
      </c>
    </row>
    <row r="56" customFormat="false" ht="15" hidden="false" customHeight="false" outlineLevel="0" collapsed="false">
      <c r="A56" s="4" t="s">
        <v>120</v>
      </c>
      <c r="B56" s="4" t="n">
        <v>8</v>
      </c>
      <c r="C56" s="4" t="s">
        <v>364</v>
      </c>
      <c r="D56" s="4" t="s">
        <v>230</v>
      </c>
      <c r="E56" s="11" t="s">
        <v>235</v>
      </c>
      <c r="F56" s="6" t="s">
        <v>217</v>
      </c>
      <c r="G56" s="4" t="s">
        <v>365</v>
      </c>
      <c r="H56" s="4" t="s">
        <v>366</v>
      </c>
    </row>
    <row r="57" customFormat="false" ht="15" hidden="false" customHeight="false" outlineLevel="0" collapsed="false">
      <c r="A57" s="4" t="s">
        <v>136</v>
      </c>
      <c r="B57" s="4" t="n">
        <v>1</v>
      </c>
      <c r="C57" s="4" t="s">
        <v>367</v>
      </c>
      <c r="D57" s="4" t="s">
        <v>215</v>
      </c>
      <c r="E57" s="9" t="s">
        <v>216</v>
      </c>
      <c r="F57" s="6" t="s">
        <v>217</v>
      </c>
      <c r="G57" s="4" t="s">
        <v>368</v>
      </c>
      <c r="H57" s="4" t="s">
        <v>369</v>
      </c>
    </row>
    <row r="58" customFormat="false" ht="15" hidden="false" customHeight="false" outlineLevel="0" collapsed="false">
      <c r="A58" s="4" t="s">
        <v>136</v>
      </c>
      <c r="B58" s="4" t="n">
        <v>2</v>
      </c>
      <c r="C58" s="4" t="s">
        <v>370</v>
      </c>
      <c r="D58" s="4" t="s">
        <v>215</v>
      </c>
      <c r="E58" s="9" t="s">
        <v>216</v>
      </c>
      <c r="F58" s="6" t="s">
        <v>217</v>
      </c>
      <c r="G58" s="4" t="s">
        <v>371</v>
      </c>
      <c r="H58" s="4" t="s">
        <v>372</v>
      </c>
    </row>
    <row r="59" customFormat="false" ht="15" hidden="false" customHeight="false" outlineLevel="0" collapsed="false">
      <c r="A59" s="4" t="s">
        <v>136</v>
      </c>
      <c r="B59" s="4" t="n">
        <v>3</v>
      </c>
      <c r="C59" s="4" t="s">
        <v>373</v>
      </c>
      <c r="D59" s="4" t="s">
        <v>215</v>
      </c>
      <c r="E59" s="9" t="s">
        <v>216</v>
      </c>
      <c r="F59" s="6" t="s">
        <v>217</v>
      </c>
      <c r="G59" s="4" t="s">
        <v>374</v>
      </c>
      <c r="H59" s="4" t="s">
        <v>375</v>
      </c>
    </row>
    <row r="60" customFormat="false" ht="15" hidden="false" customHeight="false" outlineLevel="0" collapsed="false">
      <c r="A60" s="4" t="s">
        <v>136</v>
      </c>
      <c r="B60" s="4" t="n">
        <v>4</v>
      </c>
      <c r="C60" s="4" t="s">
        <v>376</v>
      </c>
      <c r="D60" s="4" t="s">
        <v>230</v>
      </c>
      <c r="E60" s="11" t="s">
        <v>235</v>
      </c>
      <c r="F60" s="6" t="s">
        <v>217</v>
      </c>
      <c r="G60" s="4" t="s">
        <v>377</v>
      </c>
      <c r="H60" s="4" t="s">
        <v>378</v>
      </c>
    </row>
  </sheetData>
  <autoFilter ref="A4:H60"/>
  <dataValidations count="1">
    <dataValidation allowBlank="true" errorStyle="stop" operator="between" showDropDown="false" showErrorMessage="false" showInputMessage="false" sqref="F5:F110" type="list">
      <formula1>"Yes,No,Derived"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379</v>
      </c>
    </row>
    <row r="3" customFormat="false" ht="35.05" hidden="false" customHeight="false" outlineLevel="0" collapsed="false">
      <c r="A3" s="13" t="s">
        <v>216</v>
      </c>
      <c r="B3" s="4" t="s">
        <v>380</v>
      </c>
      <c r="C3" s="4" t="s">
        <v>381</v>
      </c>
    </row>
    <row r="4" customFormat="false" ht="46.25" hidden="false" customHeight="false" outlineLevel="0" collapsed="false">
      <c r="A4" s="14" t="s">
        <v>231</v>
      </c>
      <c r="B4" s="4" t="s">
        <v>382</v>
      </c>
      <c r="C4" s="4" t="s">
        <v>383</v>
      </c>
    </row>
    <row r="5" customFormat="false" ht="68.65" hidden="false" customHeight="false" outlineLevel="0" collapsed="false">
      <c r="A5" s="15" t="s">
        <v>235</v>
      </c>
      <c r="B5" s="4" t="s">
        <v>384</v>
      </c>
      <c r="C5" s="4" t="s">
        <v>385</v>
      </c>
    </row>
    <row r="7" customFormat="false" ht="15" hidden="false" customHeight="false" outlineLevel="0" collapsed="false">
      <c r="A7" s="16" t="s">
        <v>386</v>
      </c>
    </row>
    <row r="8" customFormat="false" ht="15" hidden="false" customHeight="false" outlineLevel="0" collapsed="false">
      <c r="A8" s="5" t="s">
        <v>387</v>
      </c>
      <c r="B8" s="5" t="s">
        <v>210</v>
      </c>
      <c r="C8" s="5" t="s">
        <v>388</v>
      </c>
      <c r="D8" s="5" t="s">
        <v>389</v>
      </c>
      <c r="E8" s="5" t="s">
        <v>390</v>
      </c>
      <c r="F8" s="5" t="s">
        <v>391</v>
      </c>
    </row>
    <row r="9" customFormat="false" ht="15" hidden="false" customHeight="false" outlineLevel="0" collapsed="false">
      <c r="A9" s="4" t="s">
        <v>224</v>
      </c>
      <c r="B9" s="9" t="s">
        <v>216</v>
      </c>
      <c r="C9" s="4" t="s">
        <v>392</v>
      </c>
      <c r="D9" s="4" t="s">
        <v>393</v>
      </c>
      <c r="E9" s="4" t="s">
        <v>394</v>
      </c>
      <c r="F9" s="4" t="s">
        <v>395</v>
      </c>
    </row>
    <row r="10" customFormat="false" ht="15" hidden="false" customHeight="false" outlineLevel="0" collapsed="false">
      <c r="A10" s="4" t="s">
        <v>232</v>
      </c>
      <c r="B10" s="10" t="s">
        <v>231</v>
      </c>
      <c r="C10" s="4" t="s">
        <v>396</v>
      </c>
      <c r="D10" s="4" t="s">
        <v>397</v>
      </c>
      <c r="E10" s="4" t="s">
        <v>398</v>
      </c>
      <c r="F10" s="4" t="s">
        <v>399</v>
      </c>
    </row>
    <row r="11" customFormat="false" ht="15" hidden="false" customHeight="false" outlineLevel="0" collapsed="false">
      <c r="A11" s="4" t="s">
        <v>236</v>
      </c>
      <c r="B11" s="11" t="s">
        <v>235</v>
      </c>
      <c r="C11" s="4" t="s">
        <v>400</v>
      </c>
      <c r="D11" s="4" t="s">
        <v>401</v>
      </c>
      <c r="E11" s="4" t="s">
        <v>398</v>
      </c>
      <c r="F11" s="4" t="s">
        <v>402</v>
      </c>
    </row>
    <row r="12" customFormat="false" ht="15" hidden="false" customHeight="false" outlineLevel="0" collapsed="false">
      <c r="A12" s="4" t="s">
        <v>403</v>
      </c>
      <c r="B12" s="11" t="s">
        <v>235</v>
      </c>
      <c r="C12" s="4" t="s">
        <v>404</v>
      </c>
      <c r="D12" s="4" t="s">
        <v>405</v>
      </c>
      <c r="E12" s="4" t="s">
        <v>398</v>
      </c>
      <c r="F12" s="4" t="s">
        <v>406</v>
      </c>
    </row>
    <row r="13" customFormat="false" ht="15" hidden="false" customHeight="false" outlineLevel="0" collapsed="false">
      <c r="A13" s="4" t="s">
        <v>407</v>
      </c>
      <c r="B13" s="11" t="s">
        <v>235</v>
      </c>
      <c r="C13" s="4" t="s">
        <v>408</v>
      </c>
      <c r="D13" s="4" t="s">
        <v>409</v>
      </c>
      <c r="E13" s="4" t="s">
        <v>398</v>
      </c>
      <c r="F13" s="4" t="s">
        <v>410</v>
      </c>
    </row>
    <row r="14" customFormat="false" ht="15" hidden="false" customHeight="false" outlineLevel="0" collapsed="false">
      <c r="A14" s="4" t="s">
        <v>254</v>
      </c>
      <c r="B14" s="10" t="s">
        <v>231</v>
      </c>
      <c r="C14" s="4" t="s">
        <v>411</v>
      </c>
      <c r="D14" s="4" t="s">
        <v>412</v>
      </c>
      <c r="E14" s="4" t="s">
        <v>413</v>
      </c>
      <c r="F14" s="4" t="s">
        <v>414</v>
      </c>
    </row>
    <row r="15" customFormat="false" ht="15" hidden="false" customHeight="false" outlineLevel="0" collapsed="false">
      <c r="A15" s="4" t="s">
        <v>248</v>
      </c>
      <c r="B15" s="9" t="s">
        <v>216</v>
      </c>
      <c r="C15" s="4" t="s">
        <v>415</v>
      </c>
      <c r="D15" s="4" t="s">
        <v>416</v>
      </c>
      <c r="E15" s="4" t="s">
        <v>394</v>
      </c>
      <c r="F15" s="4" t="s">
        <v>417</v>
      </c>
    </row>
    <row r="16" customFormat="false" ht="15" hidden="false" customHeight="false" outlineLevel="0" collapsed="false">
      <c r="A16" s="4" t="s">
        <v>259</v>
      </c>
      <c r="B16" s="11" t="s">
        <v>235</v>
      </c>
      <c r="C16" s="4" t="s">
        <v>418</v>
      </c>
      <c r="D16" s="4" t="s">
        <v>419</v>
      </c>
      <c r="E16" s="4" t="s">
        <v>420</v>
      </c>
      <c r="F16" s="4" t="s">
        <v>421</v>
      </c>
    </row>
    <row r="17" customFormat="false" ht="15" hidden="false" customHeight="false" outlineLevel="0" collapsed="false">
      <c r="A17" s="4" t="s">
        <v>265</v>
      </c>
      <c r="B17" s="9" t="s">
        <v>216</v>
      </c>
      <c r="C17" s="4" t="s">
        <v>422</v>
      </c>
      <c r="D17" s="4" t="s">
        <v>416</v>
      </c>
      <c r="E17" s="4" t="s">
        <v>394</v>
      </c>
      <c r="F17" s="4" t="s">
        <v>423</v>
      </c>
    </row>
    <row r="18" customFormat="false" ht="15" hidden="false" customHeight="false" outlineLevel="0" collapsed="false">
      <c r="A18" s="4" t="s">
        <v>424</v>
      </c>
      <c r="B18" s="10" t="s">
        <v>231</v>
      </c>
      <c r="C18" s="4" t="s">
        <v>425</v>
      </c>
      <c r="D18" s="4" t="s">
        <v>426</v>
      </c>
      <c r="E18" s="4" t="s">
        <v>398</v>
      </c>
      <c r="F18" s="4" t="s">
        <v>427</v>
      </c>
    </row>
    <row r="19" customFormat="false" ht="15" hidden="false" customHeight="false" outlineLevel="0" collapsed="false">
      <c r="A19" s="4" t="s">
        <v>282</v>
      </c>
      <c r="B19" s="9" t="s">
        <v>216</v>
      </c>
      <c r="C19" s="4" t="s">
        <v>428</v>
      </c>
      <c r="D19" s="4" t="s">
        <v>429</v>
      </c>
      <c r="E19" s="4" t="s">
        <v>394</v>
      </c>
      <c r="F19" s="4" t="s">
        <v>430</v>
      </c>
    </row>
    <row r="20" customFormat="false" ht="15" hidden="false" customHeight="false" outlineLevel="0" collapsed="false">
      <c r="A20" s="4" t="s">
        <v>285</v>
      </c>
      <c r="B20" s="10" t="s">
        <v>231</v>
      </c>
      <c r="C20" s="4" t="s">
        <v>431</v>
      </c>
      <c r="D20" s="4" t="s">
        <v>432</v>
      </c>
      <c r="E20" s="4" t="s">
        <v>398</v>
      </c>
      <c r="F20" s="4" t="s">
        <v>433</v>
      </c>
    </row>
    <row r="21" customFormat="false" ht="15" hidden="false" customHeight="false" outlineLevel="0" collapsed="false">
      <c r="A21" s="4" t="s">
        <v>293</v>
      </c>
      <c r="B21" s="9" t="s">
        <v>216</v>
      </c>
      <c r="C21" s="4" t="s">
        <v>434</v>
      </c>
      <c r="D21" s="4" t="s">
        <v>416</v>
      </c>
      <c r="E21" s="4" t="s">
        <v>435</v>
      </c>
      <c r="F21" s="4" t="s">
        <v>436</v>
      </c>
    </row>
    <row r="22" customFormat="false" ht="15" hidden="false" customHeight="false" outlineLevel="0" collapsed="false">
      <c r="A22" s="4" t="s">
        <v>303</v>
      </c>
      <c r="B22" s="10" t="s">
        <v>231</v>
      </c>
      <c r="C22" s="4" t="s">
        <v>437</v>
      </c>
      <c r="D22" s="4" t="s">
        <v>438</v>
      </c>
      <c r="E22" s="4" t="s">
        <v>398</v>
      </c>
      <c r="F22" s="4" t="s">
        <v>439</v>
      </c>
    </row>
    <row r="23" customFormat="false" ht="15" hidden="false" customHeight="false" outlineLevel="0" collapsed="false">
      <c r="A23" s="4" t="s">
        <v>313</v>
      </c>
      <c r="B23" s="9" t="s">
        <v>216</v>
      </c>
      <c r="C23" s="4" t="s">
        <v>440</v>
      </c>
      <c r="D23" s="4" t="s">
        <v>416</v>
      </c>
      <c r="E23" s="4" t="s">
        <v>394</v>
      </c>
      <c r="F23" s="4" t="s">
        <v>441</v>
      </c>
    </row>
    <row r="24" customFormat="false" ht="15" hidden="false" customHeight="false" outlineLevel="0" collapsed="false">
      <c r="A24" s="4" t="s">
        <v>316</v>
      </c>
      <c r="B24" s="10" t="s">
        <v>231</v>
      </c>
      <c r="C24" s="4" t="s">
        <v>442</v>
      </c>
      <c r="D24" s="4" t="s">
        <v>443</v>
      </c>
      <c r="E24" s="4" t="s">
        <v>398</v>
      </c>
      <c r="F24" s="4" t="s">
        <v>444</v>
      </c>
    </row>
    <row r="25" customFormat="false" ht="15" hidden="false" customHeight="false" outlineLevel="0" collapsed="false">
      <c r="A25" s="4" t="s">
        <v>329</v>
      </c>
      <c r="B25" s="10" t="s">
        <v>231</v>
      </c>
      <c r="C25" s="4" t="s">
        <v>445</v>
      </c>
      <c r="D25" s="4" t="s">
        <v>446</v>
      </c>
      <c r="E25" s="4" t="s">
        <v>398</v>
      </c>
      <c r="F25" s="4" t="s">
        <v>447</v>
      </c>
    </row>
    <row r="26" customFormat="false" ht="15" hidden="false" customHeight="false" outlineLevel="0" collapsed="false">
      <c r="A26" s="4" t="s">
        <v>335</v>
      </c>
      <c r="B26" s="11" t="s">
        <v>235</v>
      </c>
      <c r="C26" s="4" t="s">
        <v>448</v>
      </c>
      <c r="D26" s="4" t="s">
        <v>449</v>
      </c>
      <c r="E26" s="4" t="s">
        <v>398</v>
      </c>
      <c r="F26" s="4" t="s">
        <v>450</v>
      </c>
    </row>
    <row r="27" customFormat="false" ht="15" hidden="false" customHeight="false" outlineLevel="0" collapsed="false">
      <c r="A27" s="4" t="s">
        <v>338</v>
      </c>
      <c r="B27" s="11" t="s">
        <v>235</v>
      </c>
      <c r="C27" s="4" t="s">
        <v>451</v>
      </c>
      <c r="D27" s="4" t="s">
        <v>452</v>
      </c>
      <c r="E27" s="4" t="s">
        <v>398</v>
      </c>
      <c r="F27" s="4" t="s">
        <v>453</v>
      </c>
    </row>
    <row r="28" customFormat="false" ht="15" hidden="false" customHeight="false" outlineLevel="0" collapsed="false">
      <c r="A28" s="4" t="s">
        <v>347</v>
      </c>
      <c r="B28" s="9" t="s">
        <v>216</v>
      </c>
      <c r="C28" s="4" t="s">
        <v>454</v>
      </c>
      <c r="D28" s="4" t="s">
        <v>416</v>
      </c>
      <c r="E28" s="4" t="s">
        <v>435</v>
      </c>
      <c r="F28" s="4" t="s">
        <v>455</v>
      </c>
    </row>
    <row r="29" customFormat="false" ht="15" hidden="false" customHeight="false" outlineLevel="0" collapsed="false">
      <c r="A29" s="4" t="s">
        <v>350</v>
      </c>
      <c r="B29" s="10" t="s">
        <v>231</v>
      </c>
      <c r="C29" s="4" t="s">
        <v>456</v>
      </c>
      <c r="D29" s="4" t="s">
        <v>438</v>
      </c>
      <c r="E29" s="4" t="s">
        <v>398</v>
      </c>
      <c r="F29" s="4" t="s">
        <v>457</v>
      </c>
    </row>
    <row r="30" customFormat="false" ht="15" hidden="false" customHeight="false" outlineLevel="0" collapsed="false">
      <c r="A30" s="4" t="s">
        <v>353</v>
      </c>
      <c r="B30" s="10" t="s">
        <v>231</v>
      </c>
      <c r="C30" s="4" t="s">
        <v>458</v>
      </c>
      <c r="D30" s="4" t="s">
        <v>459</v>
      </c>
      <c r="E30" s="4" t="s">
        <v>460</v>
      </c>
      <c r="F30" s="4" t="s">
        <v>461</v>
      </c>
    </row>
    <row r="31" customFormat="false" ht="15" hidden="false" customHeight="false" outlineLevel="0" collapsed="false">
      <c r="A31" s="4" t="s">
        <v>356</v>
      </c>
      <c r="B31" s="11" t="s">
        <v>235</v>
      </c>
      <c r="C31" s="4" t="s">
        <v>462</v>
      </c>
      <c r="D31" s="4" t="s">
        <v>463</v>
      </c>
      <c r="E31" s="4" t="s">
        <v>460</v>
      </c>
      <c r="F31" s="4" t="s">
        <v>464</v>
      </c>
    </row>
    <row r="32" customFormat="false" ht="15" hidden="false" customHeight="false" outlineLevel="0" collapsed="false">
      <c r="A32" s="4" t="s">
        <v>362</v>
      </c>
      <c r="B32" s="11" t="s">
        <v>235</v>
      </c>
      <c r="C32" s="4" t="s">
        <v>465</v>
      </c>
      <c r="D32" s="4" t="s">
        <v>466</v>
      </c>
      <c r="E32" s="4" t="s">
        <v>467</v>
      </c>
      <c r="F32" s="4" t="s">
        <v>468</v>
      </c>
    </row>
    <row r="33" customFormat="false" ht="15" hidden="false" customHeight="false" outlineLevel="0" collapsed="false">
      <c r="A33" s="4" t="s">
        <v>365</v>
      </c>
      <c r="B33" s="11" t="s">
        <v>235</v>
      </c>
      <c r="C33" s="4" t="s">
        <v>469</v>
      </c>
      <c r="D33" s="4" t="s">
        <v>470</v>
      </c>
      <c r="E33" s="4" t="s">
        <v>467</v>
      </c>
      <c r="F33" s="4" t="s">
        <v>471</v>
      </c>
    </row>
    <row r="34" customFormat="false" ht="15" hidden="false" customHeight="false" outlineLevel="0" collapsed="false">
      <c r="A34" s="4" t="s">
        <v>472</v>
      </c>
      <c r="B34" s="11" t="s">
        <v>235</v>
      </c>
      <c r="C34" s="4" t="s">
        <v>473</v>
      </c>
      <c r="D34" s="4" t="s">
        <v>474</v>
      </c>
      <c r="E34" s="4" t="s">
        <v>398</v>
      </c>
      <c r="F34" s="4" t="s">
        <v>475</v>
      </c>
    </row>
    <row r="35" customFormat="false" ht="15" hidden="false" customHeight="false" outlineLevel="0" collapsed="false">
      <c r="A35" s="4" t="s">
        <v>476</v>
      </c>
      <c r="B35" s="10" t="s">
        <v>231</v>
      </c>
      <c r="C35" s="4" t="s">
        <v>477</v>
      </c>
      <c r="D35" s="4" t="s">
        <v>478</v>
      </c>
      <c r="E35" s="4" t="s">
        <v>398</v>
      </c>
      <c r="F35" s="4" t="s">
        <v>479</v>
      </c>
    </row>
    <row r="36" customFormat="false" ht="15" hidden="false" customHeight="false" outlineLevel="0" collapsed="false">
      <c r="A36" s="4" t="s">
        <v>374</v>
      </c>
      <c r="B36" s="9" t="s">
        <v>216</v>
      </c>
      <c r="C36" s="4" t="s">
        <v>480</v>
      </c>
      <c r="D36" s="4" t="s">
        <v>416</v>
      </c>
      <c r="E36" s="4" t="s">
        <v>481</v>
      </c>
      <c r="F36" s="4" t="s">
        <v>482</v>
      </c>
    </row>
    <row r="37" customFormat="false" ht="15" hidden="false" customHeight="false" outlineLevel="0" collapsed="false">
      <c r="A37" s="4" t="s">
        <v>377</v>
      </c>
      <c r="B37" s="11" t="s">
        <v>235</v>
      </c>
      <c r="C37" s="4" t="s">
        <v>483</v>
      </c>
      <c r="D37" s="4" t="s">
        <v>484</v>
      </c>
      <c r="E37" s="4" t="s">
        <v>485</v>
      </c>
      <c r="F37" s="4" t="s">
        <v>486</v>
      </c>
    </row>
    <row r="38" customFormat="false" ht="15" hidden="false" customHeight="false" outlineLevel="0" collapsed="false">
      <c r="A38" s="4" t="s">
        <v>487</v>
      </c>
      <c r="B38" s="11" t="s">
        <v>235</v>
      </c>
      <c r="C38" s="4" t="s">
        <v>488</v>
      </c>
      <c r="D38" s="4" t="s">
        <v>489</v>
      </c>
      <c r="E38" s="4" t="s">
        <v>490</v>
      </c>
      <c r="F38" s="4" t="s">
        <v>491</v>
      </c>
    </row>
    <row r="39" customFormat="false" ht="15" hidden="false" customHeight="false" outlineLevel="0" collapsed="false">
      <c r="A39" s="4" t="s">
        <v>492</v>
      </c>
      <c r="B39" s="9" t="s">
        <v>216</v>
      </c>
      <c r="C39" s="4" t="s">
        <v>493</v>
      </c>
      <c r="D39" s="4" t="s">
        <v>416</v>
      </c>
      <c r="E39" s="4" t="s">
        <v>394</v>
      </c>
      <c r="F39" s="4" t="s">
        <v>494</v>
      </c>
    </row>
  </sheetData>
  <autoFilter ref="A8:F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48"/>
    <col collapsed="false" customWidth="true" hidden="false" outlineLevel="0" max="9" min="9" style="0" width="22"/>
    <col collapsed="false" customWidth="true" hidden="false" outlineLevel="0" max="10" min="10" style="0" width="42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36"/>
  </cols>
  <sheetData>
    <row r="1" customFormat="false" ht="17.35" hidden="false" customHeight="false" outlineLevel="0" collapsed="false">
      <c r="A1" s="1" t="s">
        <v>495</v>
      </c>
    </row>
    <row r="3" customFormat="false" ht="15" hidden="false" customHeight="false" outlineLevel="0" collapsed="false">
      <c r="A3" s="5" t="s">
        <v>496</v>
      </c>
      <c r="B3" s="5" t="s">
        <v>23</v>
      </c>
      <c r="C3" s="5" t="s">
        <v>497</v>
      </c>
      <c r="D3" s="5" t="s">
        <v>25</v>
      </c>
      <c r="E3" s="5" t="s">
        <v>498</v>
      </c>
      <c r="F3" s="5" t="s">
        <v>235</v>
      </c>
      <c r="G3" s="5" t="s">
        <v>27</v>
      </c>
      <c r="H3" s="5" t="s">
        <v>212</v>
      </c>
      <c r="I3" s="5" t="s">
        <v>390</v>
      </c>
      <c r="J3" s="5" t="s">
        <v>28</v>
      </c>
      <c r="K3" s="5" t="s">
        <v>29</v>
      </c>
      <c r="L3" s="5" t="s">
        <v>499</v>
      </c>
      <c r="M3" s="5" t="s">
        <v>500</v>
      </c>
    </row>
    <row r="4" customFormat="false" ht="23.85" hidden="false" customHeight="false" outlineLevel="0" collapsed="false">
      <c r="A4" s="4" t="s">
        <v>501</v>
      </c>
      <c r="B4" s="4" t="s">
        <v>30</v>
      </c>
      <c r="C4" s="4" t="s">
        <v>31</v>
      </c>
      <c r="D4" s="4" t="s">
        <v>32</v>
      </c>
      <c r="E4" s="4" t="s">
        <v>502</v>
      </c>
      <c r="F4" s="4" t="s">
        <v>503</v>
      </c>
      <c r="G4" s="4" t="s">
        <v>504</v>
      </c>
      <c r="H4" s="4" t="s">
        <v>505</v>
      </c>
      <c r="I4" s="4" t="s">
        <v>506</v>
      </c>
      <c r="J4" s="4" t="s">
        <v>507</v>
      </c>
      <c r="K4" s="6" t="s">
        <v>36</v>
      </c>
      <c r="L4" s="17" t="s">
        <v>508</v>
      </c>
      <c r="M4" s="4" t="s">
        <v>509</v>
      </c>
    </row>
    <row r="5" customFormat="false" ht="15" hidden="false" customHeight="false" outlineLevel="0" collapsed="false">
      <c r="A5" s="4" t="s">
        <v>510</v>
      </c>
      <c r="B5" s="4" t="s">
        <v>30</v>
      </c>
      <c r="C5" s="4" t="s">
        <v>511</v>
      </c>
      <c r="D5" s="4" t="s">
        <v>512</v>
      </c>
      <c r="E5" s="4" t="s">
        <v>513</v>
      </c>
      <c r="F5" s="4" t="s">
        <v>514</v>
      </c>
      <c r="G5" s="4" t="s">
        <v>515</v>
      </c>
      <c r="H5" s="4" t="s">
        <v>516</v>
      </c>
      <c r="I5" s="4" t="s">
        <v>506</v>
      </c>
      <c r="J5" s="4" t="s">
        <v>517</v>
      </c>
      <c r="K5" s="7" t="s">
        <v>49</v>
      </c>
      <c r="L5" s="7" t="s">
        <v>518</v>
      </c>
      <c r="M5" s="4" t="s">
        <v>519</v>
      </c>
    </row>
    <row r="6" customFormat="false" ht="23.85" hidden="false" customHeight="false" outlineLevel="0" collapsed="false">
      <c r="A6" s="4" t="s">
        <v>520</v>
      </c>
      <c r="B6" s="4" t="s">
        <v>37</v>
      </c>
      <c r="C6" s="4" t="s">
        <v>37</v>
      </c>
      <c r="D6" s="4" t="s">
        <v>521</v>
      </c>
      <c r="E6" s="4" t="s">
        <v>522</v>
      </c>
      <c r="F6" s="4" t="s">
        <v>523</v>
      </c>
      <c r="G6" s="4" t="s">
        <v>524</v>
      </c>
      <c r="H6" s="4" t="s">
        <v>525</v>
      </c>
      <c r="I6" s="4" t="s">
        <v>398</v>
      </c>
      <c r="J6" s="4" t="s">
        <v>42</v>
      </c>
      <c r="K6" s="6" t="s">
        <v>36</v>
      </c>
      <c r="L6" s="17" t="s">
        <v>508</v>
      </c>
      <c r="M6" s="4" t="s">
        <v>526</v>
      </c>
    </row>
    <row r="7" customFormat="false" ht="23.85" hidden="false" customHeight="false" outlineLevel="0" collapsed="false">
      <c r="A7" s="4" t="s">
        <v>527</v>
      </c>
      <c r="B7" s="4" t="s">
        <v>43</v>
      </c>
      <c r="C7" s="4" t="s">
        <v>43</v>
      </c>
      <c r="D7" s="4" t="s">
        <v>528</v>
      </c>
      <c r="E7" s="4" t="s">
        <v>529</v>
      </c>
      <c r="F7" s="4" t="s">
        <v>530</v>
      </c>
      <c r="G7" s="4" t="s">
        <v>531</v>
      </c>
      <c r="H7" s="4" t="s">
        <v>532</v>
      </c>
      <c r="I7" s="4" t="s">
        <v>506</v>
      </c>
      <c r="J7" s="4" t="s">
        <v>533</v>
      </c>
      <c r="K7" s="7" t="s">
        <v>49</v>
      </c>
      <c r="L7" s="8" t="s">
        <v>534</v>
      </c>
      <c r="M7" s="4" t="s">
        <v>535</v>
      </c>
    </row>
    <row r="8" customFormat="false" ht="15" hidden="false" customHeight="false" outlineLevel="0" collapsed="false">
      <c r="A8" s="4" t="s">
        <v>536</v>
      </c>
      <c r="B8" s="4" t="s">
        <v>50</v>
      </c>
      <c r="C8" s="4" t="s">
        <v>537</v>
      </c>
      <c r="D8" s="4" t="s">
        <v>538</v>
      </c>
      <c r="E8" s="4" t="s">
        <v>539</v>
      </c>
      <c r="F8" s="4" t="s">
        <v>540</v>
      </c>
      <c r="G8" s="4" t="s">
        <v>541</v>
      </c>
      <c r="H8" s="4" t="s">
        <v>542</v>
      </c>
      <c r="I8" s="4" t="s">
        <v>543</v>
      </c>
      <c r="J8" s="4" t="s">
        <v>544</v>
      </c>
      <c r="K8" s="8" t="s">
        <v>56</v>
      </c>
      <c r="L8" s="8" t="s">
        <v>534</v>
      </c>
      <c r="M8" s="4" t="s">
        <v>545</v>
      </c>
    </row>
    <row r="9" customFormat="false" ht="23.85" hidden="false" customHeight="false" outlineLevel="0" collapsed="false">
      <c r="A9" s="4" t="s">
        <v>546</v>
      </c>
      <c r="B9" s="4" t="s">
        <v>57</v>
      </c>
      <c r="C9" s="4" t="s">
        <v>547</v>
      </c>
      <c r="D9" s="4" t="s">
        <v>548</v>
      </c>
      <c r="E9" s="4" t="s">
        <v>549</v>
      </c>
      <c r="F9" s="4" t="s">
        <v>550</v>
      </c>
      <c r="G9" s="4" t="s">
        <v>551</v>
      </c>
      <c r="H9" s="4" t="s">
        <v>552</v>
      </c>
      <c r="I9" s="4" t="s">
        <v>553</v>
      </c>
      <c r="J9" s="4" t="s">
        <v>554</v>
      </c>
      <c r="K9" s="6" t="s">
        <v>36</v>
      </c>
      <c r="L9" s="17" t="s">
        <v>508</v>
      </c>
      <c r="M9" s="4" t="s">
        <v>555</v>
      </c>
    </row>
    <row r="10" customFormat="false" ht="15" hidden="false" customHeight="false" outlineLevel="0" collapsed="false">
      <c r="A10" s="4" t="s">
        <v>556</v>
      </c>
      <c r="B10" s="4" t="s">
        <v>57</v>
      </c>
      <c r="C10" s="4" t="s">
        <v>557</v>
      </c>
      <c r="D10" s="4" t="s">
        <v>558</v>
      </c>
      <c r="E10" s="4" t="s">
        <v>559</v>
      </c>
      <c r="F10" s="4" t="s">
        <v>560</v>
      </c>
      <c r="G10" s="4" t="s">
        <v>561</v>
      </c>
      <c r="H10" s="4" t="s">
        <v>562</v>
      </c>
      <c r="I10" s="4" t="s">
        <v>394</v>
      </c>
      <c r="J10" s="4" t="s">
        <v>563</v>
      </c>
      <c r="K10" s="7" t="s">
        <v>49</v>
      </c>
      <c r="L10" s="8" t="s">
        <v>534</v>
      </c>
      <c r="M10" s="4" t="s">
        <v>564</v>
      </c>
    </row>
    <row r="11" customFormat="false" ht="15" hidden="false" customHeight="false" outlineLevel="0" collapsed="false">
      <c r="A11" s="4" t="s">
        <v>565</v>
      </c>
      <c r="B11" s="4" t="s">
        <v>199</v>
      </c>
      <c r="C11" s="4" t="s">
        <v>566</v>
      </c>
      <c r="D11" s="4" t="s">
        <v>567</v>
      </c>
      <c r="E11" s="4" t="s">
        <v>568</v>
      </c>
      <c r="F11" s="4" t="s">
        <v>569</v>
      </c>
      <c r="G11" s="4" t="s">
        <v>570</v>
      </c>
      <c r="H11" s="4" t="s">
        <v>259</v>
      </c>
      <c r="I11" s="4" t="s">
        <v>420</v>
      </c>
      <c r="J11" s="4" t="s">
        <v>571</v>
      </c>
      <c r="K11" s="7" t="s">
        <v>49</v>
      </c>
      <c r="L11" s="17" t="s">
        <v>508</v>
      </c>
      <c r="M11" s="4" t="s">
        <v>572</v>
      </c>
    </row>
    <row r="12" customFormat="false" ht="23.85" hidden="false" customHeight="false" outlineLevel="0" collapsed="false">
      <c r="A12" s="4" t="s">
        <v>573</v>
      </c>
      <c r="B12" s="4" t="s">
        <v>63</v>
      </c>
      <c r="C12" s="4" t="s">
        <v>574</v>
      </c>
      <c r="D12" s="4" t="s">
        <v>575</v>
      </c>
      <c r="E12" s="4" t="s">
        <v>576</v>
      </c>
      <c r="F12" s="4" t="s">
        <v>577</v>
      </c>
      <c r="G12" s="4" t="s">
        <v>578</v>
      </c>
      <c r="H12" s="4" t="s">
        <v>579</v>
      </c>
      <c r="I12" s="4" t="s">
        <v>506</v>
      </c>
      <c r="J12" s="4" t="s">
        <v>68</v>
      </c>
      <c r="K12" s="6" t="s">
        <v>36</v>
      </c>
      <c r="L12" s="8" t="s">
        <v>534</v>
      </c>
      <c r="M12" s="4" t="s">
        <v>580</v>
      </c>
    </row>
    <row r="13" customFormat="false" ht="23.85" hidden="false" customHeight="false" outlineLevel="0" collapsed="false">
      <c r="A13" s="4" t="s">
        <v>581</v>
      </c>
      <c r="B13" s="4" t="s">
        <v>69</v>
      </c>
      <c r="C13" s="4" t="s">
        <v>582</v>
      </c>
      <c r="D13" s="4" t="s">
        <v>583</v>
      </c>
      <c r="E13" s="4" t="s">
        <v>584</v>
      </c>
      <c r="F13" s="4" t="s">
        <v>585</v>
      </c>
      <c r="G13" s="4" t="s">
        <v>586</v>
      </c>
      <c r="H13" s="4" t="s">
        <v>587</v>
      </c>
      <c r="I13" s="4" t="s">
        <v>506</v>
      </c>
      <c r="J13" s="4" t="s">
        <v>588</v>
      </c>
      <c r="K13" s="6" t="s">
        <v>36</v>
      </c>
      <c r="L13" s="8" t="s">
        <v>534</v>
      </c>
      <c r="M13" s="4" t="s">
        <v>589</v>
      </c>
    </row>
    <row r="14" customFormat="false" ht="15" hidden="false" customHeight="false" outlineLevel="0" collapsed="false">
      <c r="A14" s="4" t="s">
        <v>590</v>
      </c>
      <c r="B14" s="4" t="s">
        <v>75</v>
      </c>
      <c r="C14" s="4" t="s">
        <v>591</v>
      </c>
      <c r="D14" s="4" t="s">
        <v>592</v>
      </c>
      <c r="E14" s="4" t="s">
        <v>593</v>
      </c>
      <c r="F14" s="4" t="s">
        <v>523</v>
      </c>
      <c r="G14" s="4" t="s">
        <v>594</v>
      </c>
      <c r="H14" s="4" t="s">
        <v>293</v>
      </c>
      <c r="I14" s="4" t="s">
        <v>506</v>
      </c>
      <c r="J14" s="4" t="s">
        <v>595</v>
      </c>
      <c r="K14" s="6" t="s">
        <v>36</v>
      </c>
      <c r="L14" s="8" t="s">
        <v>534</v>
      </c>
      <c r="M14" s="4" t="s">
        <v>596</v>
      </c>
    </row>
    <row r="15" customFormat="false" ht="23.85" hidden="false" customHeight="false" outlineLevel="0" collapsed="false">
      <c r="A15" s="4" t="s">
        <v>597</v>
      </c>
      <c r="B15" s="4" t="s">
        <v>75</v>
      </c>
      <c r="C15" s="4" t="s">
        <v>598</v>
      </c>
      <c r="D15" s="4" t="s">
        <v>599</v>
      </c>
      <c r="E15" s="4" t="s">
        <v>600</v>
      </c>
      <c r="F15" s="4" t="s">
        <v>601</v>
      </c>
      <c r="G15" s="4" t="s">
        <v>602</v>
      </c>
      <c r="H15" s="4" t="s">
        <v>603</v>
      </c>
      <c r="I15" s="4" t="s">
        <v>398</v>
      </c>
      <c r="J15" s="4" t="s">
        <v>604</v>
      </c>
      <c r="K15" s="6" t="s">
        <v>36</v>
      </c>
      <c r="L15" s="8" t="s">
        <v>534</v>
      </c>
      <c r="M15" s="4" t="s">
        <v>605</v>
      </c>
    </row>
    <row r="16" customFormat="false" ht="15" hidden="false" customHeight="false" outlineLevel="0" collapsed="false">
      <c r="A16" s="4" t="s">
        <v>606</v>
      </c>
      <c r="B16" s="4" t="s">
        <v>75</v>
      </c>
      <c r="C16" s="4" t="s">
        <v>607</v>
      </c>
      <c r="D16" s="4" t="s">
        <v>608</v>
      </c>
      <c r="E16" s="4" t="s">
        <v>609</v>
      </c>
      <c r="F16" s="4" t="s">
        <v>610</v>
      </c>
      <c r="G16" s="4" t="s">
        <v>611</v>
      </c>
      <c r="H16" s="4" t="s">
        <v>307</v>
      </c>
      <c r="I16" s="4" t="s">
        <v>506</v>
      </c>
      <c r="J16" s="4" t="s">
        <v>612</v>
      </c>
      <c r="K16" s="8" t="s">
        <v>56</v>
      </c>
      <c r="L16" s="7" t="s">
        <v>518</v>
      </c>
      <c r="M16" s="4" t="s">
        <v>613</v>
      </c>
    </row>
    <row r="17" customFormat="false" ht="23.85" hidden="false" customHeight="false" outlineLevel="0" collapsed="false">
      <c r="A17" s="4" t="s">
        <v>614</v>
      </c>
      <c r="B17" s="4" t="s">
        <v>86</v>
      </c>
      <c r="C17" s="4" t="s">
        <v>86</v>
      </c>
      <c r="D17" s="4" t="s">
        <v>88</v>
      </c>
      <c r="E17" s="4" t="s">
        <v>615</v>
      </c>
      <c r="F17" s="4" t="s">
        <v>616</v>
      </c>
      <c r="G17" s="4" t="s">
        <v>617</v>
      </c>
      <c r="H17" s="4" t="s">
        <v>618</v>
      </c>
      <c r="I17" s="4" t="s">
        <v>506</v>
      </c>
      <c r="J17" s="4" t="s">
        <v>619</v>
      </c>
      <c r="K17" s="6" t="s">
        <v>36</v>
      </c>
      <c r="L17" s="8" t="s">
        <v>534</v>
      </c>
      <c r="M17" s="4" t="s">
        <v>620</v>
      </c>
    </row>
    <row r="18" customFormat="false" ht="35.05" hidden="false" customHeight="false" outlineLevel="0" collapsed="false">
      <c r="A18" s="4" t="s">
        <v>621</v>
      </c>
      <c r="B18" s="4" t="s">
        <v>92</v>
      </c>
      <c r="C18" s="4" t="s">
        <v>622</v>
      </c>
      <c r="D18" s="4" t="s">
        <v>623</v>
      </c>
      <c r="E18" s="4" t="s">
        <v>624</v>
      </c>
      <c r="F18" s="4" t="s">
        <v>625</v>
      </c>
      <c r="G18" s="4" t="s">
        <v>626</v>
      </c>
      <c r="H18" s="4" t="s">
        <v>627</v>
      </c>
      <c r="I18" s="4" t="s">
        <v>506</v>
      </c>
      <c r="J18" s="4" t="s">
        <v>628</v>
      </c>
      <c r="K18" s="6" t="s">
        <v>36</v>
      </c>
      <c r="L18" s="8" t="s">
        <v>534</v>
      </c>
      <c r="M18" s="4" t="s">
        <v>629</v>
      </c>
    </row>
    <row r="19" customFormat="false" ht="15" hidden="false" customHeight="false" outlineLevel="0" collapsed="false">
      <c r="A19" s="4" t="s">
        <v>630</v>
      </c>
      <c r="B19" s="4" t="s">
        <v>92</v>
      </c>
      <c r="C19" s="4" t="s">
        <v>631</v>
      </c>
      <c r="D19" s="4" t="s">
        <v>567</v>
      </c>
      <c r="E19" s="4" t="s">
        <v>632</v>
      </c>
      <c r="F19" s="4" t="s">
        <v>616</v>
      </c>
      <c r="G19" s="4" t="s">
        <v>633</v>
      </c>
      <c r="H19" s="4" t="s">
        <v>239</v>
      </c>
      <c r="I19" s="4" t="s">
        <v>398</v>
      </c>
      <c r="J19" s="4" t="s">
        <v>634</v>
      </c>
      <c r="K19" s="6" t="s">
        <v>36</v>
      </c>
      <c r="L19" s="17" t="s">
        <v>508</v>
      </c>
      <c r="M19" s="4" t="s">
        <v>635</v>
      </c>
    </row>
    <row r="20" customFormat="false" ht="15" hidden="false" customHeight="false" outlineLevel="0" collapsed="false">
      <c r="A20" s="4" t="s">
        <v>636</v>
      </c>
      <c r="B20" s="4" t="s">
        <v>98</v>
      </c>
      <c r="C20" s="4" t="s">
        <v>637</v>
      </c>
      <c r="D20" s="4" t="s">
        <v>100</v>
      </c>
      <c r="E20" s="4" t="s">
        <v>638</v>
      </c>
      <c r="F20" s="4" t="s">
        <v>639</v>
      </c>
      <c r="G20" s="4" t="s">
        <v>640</v>
      </c>
      <c r="H20" s="4" t="s">
        <v>641</v>
      </c>
      <c r="I20" s="4" t="s">
        <v>506</v>
      </c>
      <c r="J20" s="4" t="s">
        <v>642</v>
      </c>
      <c r="K20" s="6" t="s">
        <v>36</v>
      </c>
      <c r="L20" s="7" t="s">
        <v>518</v>
      </c>
      <c r="M20" s="4" t="s">
        <v>643</v>
      </c>
    </row>
    <row r="21" customFormat="false" ht="35.05" hidden="false" customHeight="false" outlineLevel="0" collapsed="false">
      <c r="A21" s="4" t="s">
        <v>644</v>
      </c>
      <c r="B21" s="4" t="s">
        <v>98</v>
      </c>
      <c r="C21" s="4" t="s">
        <v>645</v>
      </c>
      <c r="D21" s="4" t="s">
        <v>646</v>
      </c>
      <c r="E21" s="4" t="s">
        <v>647</v>
      </c>
      <c r="F21" s="4" t="s">
        <v>648</v>
      </c>
      <c r="G21" s="4" t="s">
        <v>649</v>
      </c>
      <c r="H21" s="4" t="s">
        <v>650</v>
      </c>
      <c r="I21" s="4" t="s">
        <v>398</v>
      </c>
      <c r="J21" s="4" t="s">
        <v>651</v>
      </c>
      <c r="K21" s="6" t="s">
        <v>36</v>
      </c>
      <c r="L21" s="17" t="s">
        <v>508</v>
      </c>
      <c r="M21" s="4" t="s">
        <v>652</v>
      </c>
    </row>
    <row r="22" customFormat="false" ht="23.85" hidden="false" customHeight="false" outlineLevel="0" collapsed="false">
      <c r="A22" s="4" t="s">
        <v>653</v>
      </c>
      <c r="B22" s="4" t="s">
        <v>109</v>
      </c>
      <c r="C22" s="4" t="s">
        <v>654</v>
      </c>
      <c r="D22" s="4" t="s">
        <v>111</v>
      </c>
      <c r="E22" s="4" t="s">
        <v>655</v>
      </c>
      <c r="F22" s="4" t="s">
        <v>656</v>
      </c>
      <c r="G22" s="4" t="s">
        <v>657</v>
      </c>
      <c r="H22" s="4" t="s">
        <v>658</v>
      </c>
      <c r="I22" s="4" t="s">
        <v>659</v>
      </c>
      <c r="J22" s="4" t="s">
        <v>660</v>
      </c>
      <c r="K22" s="6" t="s">
        <v>36</v>
      </c>
      <c r="L22" s="17" t="s">
        <v>508</v>
      </c>
      <c r="M22" s="4" t="s">
        <v>661</v>
      </c>
    </row>
    <row r="23" customFormat="false" ht="15" hidden="false" customHeight="false" outlineLevel="0" collapsed="false">
      <c r="A23" s="4" t="s">
        <v>662</v>
      </c>
      <c r="B23" s="4" t="s">
        <v>109</v>
      </c>
      <c r="C23" s="4" t="s">
        <v>663</v>
      </c>
      <c r="D23" s="4" t="s">
        <v>567</v>
      </c>
      <c r="E23" s="4" t="s">
        <v>664</v>
      </c>
      <c r="F23" s="4" t="s">
        <v>665</v>
      </c>
      <c r="G23" s="4" t="s">
        <v>666</v>
      </c>
      <c r="H23" s="4" t="s">
        <v>407</v>
      </c>
      <c r="I23" s="4" t="s">
        <v>398</v>
      </c>
      <c r="J23" s="4" t="s">
        <v>667</v>
      </c>
      <c r="K23" s="6" t="s">
        <v>36</v>
      </c>
      <c r="L23" s="8" t="s">
        <v>534</v>
      </c>
      <c r="M23" s="4" t="s">
        <v>668</v>
      </c>
    </row>
    <row r="24" customFormat="false" ht="23.85" hidden="false" customHeight="false" outlineLevel="0" collapsed="false">
      <c r="A24" s="4" t="s">
        <v>669</v>
      </c>
      <c r="B24" s="4" t="s">
        <v>120</v>
      </c>
      <c r="C24" s="4" t="s">
        <v>670</v>
      </c>
      <c r="D24" s="4" t="s">
        <v>671</v>
      </c>
      <c r="E24" s="4" t="s">
        <v>672</v>
      </c>
      <c r="F24" s="4" t="s">
        <v>673</v>
      </c>
      <c r="G24" s="4" t="s">
        <v>674</v>
      </c>
      <c r="H24" s="4" t="s">
        <v>675</v>
      </c>
      <c r="I24" s="4" t="s">
        <v>506</v>
      </c>
      <c r="J24" s="4" t="s">
        <v>676</v>
      </c>
      <c r="K24" s="6" t="s">
        <v>36</v>
      </c>
      <c r="L24" s="17" t="s">
        <v>508</v>
      </c>
      <c r="M24" s="4" t="s">
        <v>677</v>
      </c>
    </row>
    <row r="25" customFormat="false" ht="15" hidden="false" customHeight="false" outlineLevel="0" collapsed="false">
      <c r="A25" s="4" t="s">
        <v>678</v>
      </c>
      <c r="B25" s="4" t="s">
        <v>120</v>
      </c>
      <c r="C25" s="4" t="s">
        <v>679</v>
      </c>
      <c r="D25" s="4" t="s">
        <v>567</v>
      </c>
      <c r="E25" s="4" t="s">
        <v>539</v>
      </c>
      <c r="F25" s="4" t="s">
        <v>679</v>
      </c>
      <c r="G25" s="4" t="s">
        <v>680</v>
      </c>
      <c r="H25" s="4" t="s">
        <v>681</v>
      </c>
      <c r="I25" s="4" t="s">
        <v>682</v>
      </c>
      <c r="J25" s="4" t="s">
        <v>683</v>
      </c>
      <c r="K25" s="6" t="s">
        <v>36</v>
      </c>
      <c r="L25" s="17" t="s">
        <v>508</v>
      </c>
      <c r="M25" s="4" t="s">
        <v>684</v>
      </c>
    </row>
    <row r="26" customFormat="false" ht="23.85" hidden="false" customHeight="false" outlineLevel="0" collapsed="false">
      <c r="A26" s="4" t="s">
        <v>685</v>
      </c>
      <c r="B26" s="4" t="s">
        <v>120</v>
      </c>
      <c r="C26" s="4" t="s">
        <v>686</v>
      </c>
      <c r="D26" s="4" t="s">
        <v>567</v>
      </c>
      <c r="E26" s="4" t="s">
        <v>687</v>
      </c>
      <c r="F26" s="4" t="s">
        <v>688</v>
      </c>
      <c r="G26" s="4" t="s">
        <v>689</v>
      </c>
      <c r="H26" s="4" t="s">
        <v>690</v>
      </c>
      <c r="I26" s="4" t="s">
        <v>691</v>
      </c>
      <c r="J26" s="4" t="s">
        <v>692</v>
      </c>
      <c r="K26" s="6" t="s">
        <v>36</v>
      </c>
      <c r="L26" s="17" t="s">
        <v>508</v>
      </c>
      <c r="M26" s="4" t="s">
        <v>693</v>
      </c>
    </row>
    <row r="27" customFormat="false" ht="15" hidden="false" customHeight="false" outlineLevel="0" collapsed="false">
      <c r="A27" s="4" t="s">
        <v>694</v>
      </c>
      <c r="B27" s="4" t="s">
        <v>120</v>
      </c>
      <c r="C27" s="4" t="s">
        <v>695</v>
      </c>
      <c r="D27" s="4" t="s">
        <v>696</v>
      </c>
      <c r="E27" s="4" t="s">
        <v>697</v>
      </c>
      <c r="F27" s="4" t="s">
        <v>698</v>
      </c>
      <c r="G27" s="4" t="s">
        <v>699</v>
      </c>
      <c r="H27" s="4" t="s">
        <v>700</v>
      </c>
      <c r="I27" s="4" t="s">
        <v>506</v>
      </c>
      <c r="J27" s="4" t="s">
        <v>701</v>
      </c>
      <c r="K27" s="7" t="s">
        <v>49</v>
      </c>
      <c r="L27" s="7" t="s">
        <v>518</v>
      </c>
      <c r="M27" s="4" t="s">
        <v>702</v>
      </c>
    </row>
    <row r="28" customFormat="false" ht="15" hidden="false" customHeight="false" outlineLevel="0" collapsed="false">
      <c r="A28" s="4" t="s">
        <v>703</v>
      </c>
      <c r="B28" s="4" t="s">
        <v>136</v>
      </c>
      <c r="C28" s="4" t="s">
        <v>704</v>
      </c>
      <c r="D28" s="4" t="s">
        <v>705</v>
      </c>
      <c r="E28" s="4" t="s">
        <v>706</v>
      </c>
      <c r="F28" s="4" t="s">
        <v>707</v>
      </c>
      <c r="G28" s="4" t="s">
        <v>708</v>
      </c>
      <c r="H28" s="4" t="s">
        <v>709</v>
      </c>
      <c r="I28" s="4" t="s">
        <v>394</v>
      </c>
      <c r="J28" s="4" t="s">
        <v>710</v>
      </c>
      <c r="K28" s="6" t="s">
        <v>36</v>
      </c>
      <c r="L28" s="7" t="s">
        <v>518</v>
      </c>
      <c r="M28" s="4" t="s">
        <v>711</v>
      </c>
    </row>
    <row r="29" customFormat="false" ht="15" hidden="false" customHeight="false" outlineLevel="0" collapsed="false">
      <c r="A29" s="4" t="s">
        <v>712</v>
      </c>
      <c r="B29" s="4" t="s">
        <v>136</v>
      </c>
      <c r="C29" s="4" t="s">
        <v>713</v>
      </c>
      <c r="D29" s="4" t="s">
        <v>714</v>
      </c>
      <c r="E29" s="4" t="s">
        <v>715</v>
      </c>
      <c r="F29" s="4" t="s">
        <v>716</v>
      </c>
      <c r="G29" s="4" t="s">
        <v>717</v>
      </c>
      <c r="H29" s="4" t="s">
        <v>718</v>
      </c>
      <c r="I29" s="4" t="s">
        <v>719</v>
      </c>
      <c r="J29" s="4" t="s">
        <v>720</v>
      </c>
      <c r="K29" s="6" t="s">
        <v>36</v>
      </c>
      <c r="L29" s="8" t="s">
        <v>534</v>
      </c>
      <c r="M29" s="4" t="s">
        <v>721</v>
      </c>
    </row>
    <row r="30" customFormat="false" ht="15" hidden="false" customHeight="false" outlineLevel="0" collapsed="false">
      <c r="A30" s="4" t="s">
        <v>722</v>
      </c>
      <c r="B30" s="4" t="s">
        <v>147</v>
      </c>
      <c r="C30" s="4" t="s">
        <v>723</v>
      </c>
      <c r="D30" s="4" t="s">
        <v>724</v>
      </c>
      <c r="E30" s="4" t="s">
        <v>725</v>
      </c>
      <c r="F30" s="4" t="s">
        <v>726</v>
      </c>
      <c r="G30" s="4" t="s">
        <v>727</v>
      </c>
      <c r="H30" s="4" t="s">
        <v>728</v>
      </c>
      <c r="I30" s="4" t="s">
        <v>659</v>
      </c>
      <c r="J30" s="4" t="s">
        <v>729</v>
      </c>
      <c r="K30" s="7" t="s">
        <v>49</v>
      </c>
      <c r="L30" s="7" t="s">
        <v>518</v>
      </c>
      <c r="M30" s="4" t="s">
        <v>730</v>
      </c>
    </row>
    <row r="31" customFormat="false" ht="15" hidden="false" customHeight="false" outlineLevel="0" collapsed="false">
      <c r="A31" s="4" t="s">
        <v>731</v>
      </c>
      <c r="B31" s="4" t="s">
        <v>153</v>
      </c>
      <c r="C31" s="4" t="s">
        <v>732</v>
      </c>
      <c r="D31" s="4" t="s">
        <v>733</v>
      </c>
      <c r="E31" s="4" t="s">
        <v>734</v>
      </c>
      <c r="F31" s="4" t="s">
        <v>735</v>
      </c>
      <c r="G31" s="4" t="s">
        <v>736</v>
      </c>
      <c r="H31" s="4" t="s">
        <v>737</v>
      </c>
      <c r="I31" s="4" t="s">
        <v>398</v>
      </c>
      <c r="J31" s="4" t="s">
        <v>738</v>
      </c>
      <c r="K31" s="8" t="s">
        <v>56</v>
      </c>
      <c r="L31" s="12" t="s">
        <v>739</v>
      </c>
      <c r="M31" s="4" t="s">
        <v>740</v>
      </c>
    </row>
    <row r="32" customFormat="false" ht="15" hidden="false" customHeight="false" outlineLevel="0" collapsed="false">
      <c r="A32" s="4" t="s">
        <v>741</v>
      </c>
      <c r="B32" s="4" t="s">
        <v>159</v>
      </c>
      <c r="C32" s="4" t="s">
        <v>742</v>
      </c>
      <c r="D32" s="4" t="s">
        <v>743</v>
      </c>
      <c r="E32" s="4" t="s">
        <v>744</v>
      </c>
      <c r="F32" s="4" t="s">
        <v>745</v>
      </c>
      <c r="G32" s="4" t="s">
        <v>163</v>
      </c>
      <c r="H32" s="4" t="s">
        <v>746</v>
      </c>
      <c r="I32" s="4" t="s">
        <v>398</v>
      </c>
      <c r="J32" s="4" t="s">
        <v>747</v>
      </c>
      <c r="K32" s="8" t="s">
        <v>56</v>
      </c>
      <c r="L32" s="12" t="s">
        <v>739</v>
      </c>
      <c r="M32" s="4" t="s">
        <v>748</v>
      </c>
    </row>
    <row r="33" customFormat="false" ht="15" hidden="false" customHeight="false" outlineLevel="0" collapsed="false">
      <c r="A33" s="4" t="s">
        <v>749</v>
      </c>
      <c r="B33" s="4" t="s">
        <v>165</v>
      </c>
      <c r="C33" s="4" t="s">
        <v>750</v>
      </c>
      <c r="D33" s="4" t="s">
        <v>567</v>
      </c>
      <c r="E33" s="4" t="s">
        <v>751</v>
      </c>
      <c r="F33" s="4" t="s">
        <v>752</v>
      </c>
      <c r="G33" s="4" t="s">
        <v>753</v>
      </c>
      <c r="H33" s="4" t="s">
        <v>472</v>
      </c>
      <c r="I33" s="4" t="s">
        <v>682</v>
      </c>
      <c r="J33" s="4" t="s">
        <v>169</v>
      </c>
      <c r="K33" s="6" t="s">
        <v>36</v>
      </c>
      <c r="L33" s="17" t="s">
        <v>508</v>
      </c>
      <c r="M33" s="4" t="s">
        <v>754</v>
      </c>
    </row>
    <row r="34" customFormat="false" ht="15" hidden="false" customHeight="false" outlineLevel="0" collapsed="false">
      <c r="A34" s="4" t="s">
        <v>755</v>
      </c>
      <c r="B34" s="4" t="s">
        <v>170</v>
      </c>
      <c r="C34" s="4" t="s">
        <v>756</v>
      </c>
      <c r="D34" s="4" t="s">
        <v>567</v>
      </c>
      <c r="E34" s="4" t="s">
        <v>757</v>
      </c>
      <c r="F34" s="4" t="s">
        <v>758</v>
      </c>
      <c r="G34" s="4" t="s">
        <v>759</v>
      </c>
      <c r="H34" s="4" t="s">
        <v>760</v>
      </c>
      <c r="I34" s="4" t="s">
        <v>398</v>
      </c>
      <c r="J34" s="4" t="s">
        <v>761</v>
      </c>
      <c r="K34" s="7" t="s">
        <v>49</v>
      </c>
      <c r="L34" s="8" t="s">
        <v>534</v>
      </c>
      <c r="M34" s="4" t="s">
        <v>762</v>
      </c>
    </row>
    <row r="35" customFormat="false" ht="23.85" hidden="false" customHeight="false" outlineLevel="0" collapsed="false">
      <c r="A35" s="4" t="s">
        <v>763</v>
      </c>
      <c r="B35" s="4" t="s">
        <v>176</v>
      </c>
      <c r="C35" s="4" t="s">
        <v>764</v>
      </c>
      <c r="D35" s="4" t="s">
        <v>765</v>
      </c>
      <c r="E35" s="4" t="s">
        <v>766</v>
      </c>
      <c r="F35" s="4" t="s">
        <v>767</v>
      </c>
      <c r="G35" s="4" t="s">
        <v>768</v>
      </c>
      <c r="H35" s="4" t="s">
        <v>769</v>
      </c>
      <c r="I35" s="4" t="s">
        <v>506</v>
      </c>
      <c r="J35" s="4" t="s">
        <v>770</v>
      </c>
      <c r="K35" s="7" t="s">
        <v>49</v>
      </c>
      <c r="L35" s="8" t="s">
        <v>534</v>
      </c>
      <c r="M35" s="4" t="s">
        <v>771</v>
      </c>
    </row>
    <row r="36" customFormat="false" ht="23.85" hidden="false" customHeight="false" outlineLevel="0" collapsed="false">
      <c r="A36" s="4" t="s">
        <v>772</v>
      </c>
      <c r="B36" s="4" t="s">
        <v>182</v>
      </c>
      <c r="C36" s="4" t="s">
        <v>773</v>
      </c>
      <c r="D36" s="4" t="s">
        <v>774</v>
      </c>
      <c r="E36" s="4" t="s">
        <v>775</v>
      </c>
      <c r="F36" s="4" t="s">
        <v>776</v>
      </c>
      <c r="G36" s="4" t="s">
        <v>777</v>
      </c>
      <c r="H36" s="4" t="s">
        <v>778</v>
      </c>
      <c r="I36" s="4" t="s">
        <v>394</v>
      </c>
      <c r="J36" s="4" t="s">
        <v>779</v>
      </c>
      <c r="K36" s="7" t="s">
        <v>49</v>
      </c>
      <c r="L36" s="8" t="s">
        <v>534</v>
      </c>
      <c r="M36" s="4" t="s">
        <v>780</v>
      </c>
    </row>
    <row r="37" customFormat="false" ht="23.85" hidden="false" customHeight="false" outlineLevel="0" collapsed="false">
      <c r="A37" s="4" t="s">
        <v>781</v>
      </c>
      <c r="B37" s="4" t="s">
        <v>188</v>
      </c>
      <c r="C37" s="4" t="s">
        <v>782</v>
      </c>
      <c r="D37" s="4" t="s">
        <v>567</v>
      </c>
      <c r="E37" s="4" t="s">
        <v>783</v>
      </c>
      <c r="F37" s="4" t="s">
        <v>784</v>
      </c>
      <c r="G37" s="4" t="s">
        <v>491</v>
      </c>
      <c r="H37" s="4" t="s">
        <v>487</v>
      </c>
      <c r="I37" s="4" t="s">
        <v>785</v>
      </c>
      <c r="J37" s="4" t="s">
        <v>786</v>
      </c>
      <c r="K37" s="7" t="s">
        <v>49</v>
      </c>
      <c r="L37" s="17" t="s">
        <v>508</v>
      </c>
      <c r="M37" s="4" t="s">
        <v>787</v>
      </c>
    </row>
    <row r="38" customFormat="false" ht="15" hidden="false" customHeight="false" outlineLevel="0" collapsed="false">
      <c r="A38" s="4" t="s">
        <v>788</v>
      </c>
      <c r="B38" s="4" t="s">
        <v>194</v>
      </c>
      <c r="C38" s="4" t="s">
        <v>789</v>
      </c>
      <c r="D38" s="4" t="s">
        <v>567</v>
      </c>
      <c r="E38" s="4" t="s">
        <v>790</v>
      </c>
      <c r="F38" s="4" t="s">
        <v>791</v>
      </c>
      <c r="G38" s="4" t="s">
        <v>197</v>
      </c>
      <c r="H38" s="4" t="s">
        <v>792</v>
      </c>
      <c r="I38" s="4" t="s">
        <v>682</v>
      </c>
      <c r="J38" s="4" t="s">
        <v>793</v>
      </c>
      <c r="K38" s="7" t="s">
        <v>49</v>
      </c>
      <c r="L38" s="8" t="s">
        <v>534</v>
      </c>
      <c r="M38" s="4" t="s">
        <v>794</v>
      </c>
    </row>
  </sheetData>
  <autoFilter ref="A3:M38"/>
  <dataValidations count="2">
    <dataValidation allowBlank="true" errorStyle="stop" operator="between" showDropDown="false" showErrorMessage="false" showInputMessage="false" sqref="K4:K88" type="list">
      <formula1>"Confirmed,Proposed,To Be Verified"</formula1>
      <formula2>0</formula2>
    </dataValidation>
    <dataValidation allowBlank="true" errorStyle="stop" operator="between" showDropDown="false" showErrorMessage="false" showInputMessage="false" sqref="L4:L88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64"/>
    <col collapsed="false" customWidth="true" hidden="false" outlineLevel="0" max="5" min="5" style="0" width="6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795</v>
      </c>
    </row>
    <row r="2" customFormat="false" ht="15" hidden="false" customHeight="false" outlineLevel="0" collapsed="false">
      <c r="A2" s="2" t="s">
        <v>796</v>
      </c>
    </row>
    <row r="4" customFormat="false" ht="15" hidden="false" customHeight="false" outlineLevel="0" collapsed="false">
      <c r="A4" s="5" t="s">
        <v>496</v>
      </c>
      <c r="B4" s="5" t="s">
        <v>797</v>
      </c>
      <c r="C4" s="5" t="s">
        <v>23</v>
      </c>
      <c r="D4" s="5" t="s">
        <v>798</v>
      </c>
      <c r="E4" s="5" t="s">
        <v>799</v>
      </c>
      <c r="F4" s="5" t="s">
        <v>499</v>
      </c>
      <c r="G4" s="5" t="s">
        <v>800</v>
      </c>
      <c r="H4" s="5" t="s">
        <v>29</v>
      </c>
    </row>
    <row r="5" customFormat="false" ht="23.85" hidden="false" customHeight="false" outlineLevel="0" collapsed="false">
      <c r="A5" s="4" t="s">
        <v>801</v>
      </c>
      <c r="B5" s="4" t="s">
        <v>802</v>
      </c>
      <c r="C5" s="4" t="s">
        <v>57</v>
      </c>
      <c r="D5" s="4" t="s">
        <v>803</v>
      </c>
      <c r="E5" s="4" t="s">
        <v>804</v>
      </c>
      <c r="F5" s="17" t="s">
        <v>508</v>
      </c>
      <c r="G5" s="4" t="s">
        <v>805</v>
      </c>
      <c r="H5" s="8" t="s">
        <v>56</v>
      </c>
    </row>
    <row r="6" customFormat="false" ht="23.85" hidden="false" customHeight="false" outlineLevel="0" collapsed="false">
      <c r="A6" s="4" t="s">
        <v>806</v>
      </c>
      <c r="B6" s="4" t="s">
        <v>807</v>
      </c>
      <c r="C6" s="4" t="s">
        <v>109</v>
      </c>
      <c r="D6" s="4" t="s">
        <v>808</v>
      </c>
      <c r="E6" s="4" t="s">
        <v>809</v>
      </c>
      <c r="F6" s="17" t="s">
        <v>508</v>
      </c>
      <c r="G6" s="4" t="s">
        <v>805</v>
      </c>
      <c r="H6" s="8" t="s">
        <v>56</v>
      </c>
    </row>
    <row r="7" customFormat="false" ht="23.85" hidden="false" customHeight="false" outlineLevel="0" collapsed="false">
      <c r="A7" s="4" t="s">
        <v>810</v>
      </c>
      <c r="B7" s="4" t="s">
        <v>811</v>
      </c>
      <c r="C7" s="4" t="s">
        <v>812</v>
      </c>
      <c r="D7" s="4" t="s">
        <v>813</v>
      </c>
      <c r="E7" s="4" t="s">
        <v>814</v>
      </c>
      <c r="F7" s="17" t="s">
        <v>508</v>
      </c>
      <c r="G7" s="4" t="s">
        <v>815</v>
      </c>
      <c r="H7" s="8" t="s">
        <v>56</v>
      </c>
    </row>
    <row r="8" customFormat="false" ht="23.85" hidden="false" customHeight="false" outlineLevel="0" collapsed="false">
      <c r="A8" s="4" t="s">
        <v>816</v>
      </c>
      <c r="B8" s="4" t="s">
        <v>817</v>
      </c>
      <c r="C8" s="4" t="s">
        <v>109</v>
      </c>
      <c r="D8" s="4" t="s">
        <v>818</v>
      </c>
      <c r="E8" s="4" t="s">
        <v>819</v>
      </c>
      <c r="F8" s="8" t="s">
        <v>534</v>
      </c>
      <c r="G8" s="4" t="s">
        <v>820</v>
      </c>
      <c r="H8" s="7" t="s">
        <v>49</v>
      </c>
    </row>
    <row r="9" customFormat="false" ht="23.85" hidden="false" customHeight="false" outlineLevel="0" collapsed="false">
      <c r="A9" s="4" t="s">
        <v>821</v>
      </c>
      <c r="B9" s="4" t="s">
        <v>822</v>
      </c>
      <c r="C9" s="4" t="s">
        <v>120</v>
      </c>
      <c r="D9" s="4" t="s">
        <v>823</v>
      </c>
      <c r="E9" s="4" t="s">
        <v>824</v>
      </c>
      <c r="F9" s="17" t="s">
        <v>508</v>
      </c>
      <c r="G9" s="4" t="s">
        <v>825</v>
      </c>
      <c r="H9" s="8" t="s">
        <v>56</v>
      </c>
    </row>
    <row r="10" customFormat="false" ht="23.85" hidden="false" customHeight="false" outlineLevel="0" collapsed="false">
      <c r="A10" s="4" t="s">
        <v>826</v>
      </c>
      <c r="B10" s="4" t="s">
        <v>827</v>
      </c>
      <c r="C10" s="4" t="s">
        <v>98</v>
      </c>
      <c r="D10" s="4" t="s">
        <v>828</v>
      </c>
      <c r="E10" s="4" t="s">
        <v>829</v>
      </c>
      <c r="F10" s="17" t="s">
        <v>508</v>
      </c>
      <c r="G10" s="4" t="s">
        <v>830</v>
      </c>
      <c r="H10" s="8" t="s">
        <v>56</v>
      </c>
    </row>
    <row r="11" customFormat="false" ht="23.85" hidden="false" customHeight="false" outlineLevel="0" collapsed="false">
      <c r="A11" s="4" t="s">
        <v>831</v>
      </c>
      <c r="B11" s="4" t="s">
        <v>832</v>
      </c>
      <c r="C11" s="4" t="s">
        <v>75</v>
      </c>
      <c r="D11" s="4" t="s">
        <v>833</v>
      </c>
      <c r="E11" s="4" t="s">
        <v>834</v>
      </c>
      <c r="F11" s="8" t="s">
        <v>534</v>
      </c>
      <c r="G11" s="4" t="s">
        <v>820</v>
      </c>
      <c r="H11" s="8" t="s">
        <v>56</v>
      </c>
    </row>
    <row r="12" customFormat="false" ht="23.85" hidden="false" customHeight="false" outlineLevel="0" collapsed="false">
      <c r="A12" s="4" t="s">
        <v>835</v>
      </c>
      <c r="B12" s="4" t="s">
        <v>836</v>
      </c>
      <c r="C12" s="4" t="s">
        <v>69</v>
      </c>
      <c r="D12" s="4" t="s">
        <v>837</v>
      </c>
      <c r="E12" s="4" t="s">
        <v>838</v>
      </c>
      <c r="F12" s="8" t="s">
        <v>534</v>
      </c>
      <c r="G12" s="4" t="s">
        <v>820</v>
      </c>
      <c r="H12" s="7" t="s">
        <v>49</v>
      </c>
    </row>
    <row r="13" customFormat="false" ht="23.85" hidden="false" customHeight="false" outlineLevel="0" collapsed="false">
      <c r="A13" s="4" t="s">
        <v>839</v>
      </c>
      <c r="B13" s="4" t="s">
        <v>840</v>
      </c>
      <c r="C13" s="4" t="s">
        <v>86</v>
      </c>
      <c r="D13" s="4" t="s">
        <v>841</v>
      </c>
      <c r="E13" s="4" t="s">
        <v>842</v>
      </c>
      <c r="F13" s="8" t="s">
        <v>534</v>
      </c>
      <c r="G13" s="4" t="s">
        <v>825</v>
      </c>
      <c r="H13" s="7" t="s">
        <v>49</v>
      </c>
    </row>
    <row r="14" customFormat="false" ht="15" hidden="false" customHeight="false" outlineLevel="0" collapsed="false">
      <c r="A14" s="4" t="s">
        <v>843</v>
      </c>
      <c r="B14" s="4" t="s">
        <v>844</v>
      </c>
      <c r="C14" s="4" t="s">
        <v>92</v>
      </c>
      <c r="D14" s="4" t="s">
        <v>845</v>
      </c>
      <c r="E14" s="4" t="s">
        <v>846</v>
      </c>
      <c r="F14" s="8" t="s">
        <v>534</v>
      </c>
      <c r="G14" s="4" t="s">
        <v>830</v>
      </c>
      <c r="H14" s="7" t="s">
        <v>49</v>
      </c>
    </row>
    <row r="15" customFormat="false" ht="23.85" hidden="false" customHeight="false" outlineLevel="0" collapsed="false">
      <c r="A15" s="4" t="s">
        <v>847</v>
      </c>
      <c r="B15" s="4" t="s">
        <v>848</v>
      </c>
      <c r="C15" s="4" t="s">
        <v>63</v>
      </c>
      <c r="D15" s="4" t="s">
        <v>849</v>
      </c>
      <c r="E15" s="4" t="s">
        <v>850</v>
      </c>
      <c r="F15" s="8" t="s">
        <v>534</v>
      </c>
      <c r="G15" s="4" t="s">
        <v>830</v>
      </c>
      <c r="H15" s="8" t="s">
        <v>56</v>
      </c>
    </row>
    <row r="16" customFormat="false" ht="23.85" hidden="false" customHeight="false" outlineLevel="0" collapsed="false">
      <c r="A16" s="4" t="s">
        <v>851</v>
      </c>
      <c r="B16" s="4" t="s">
        <v>852</v>
      </c>
      <c r="C16" s="4" t="s">
        <v>170</v>
      </c>
      <c r="D16" s="4" t="s">
        <v>853</v>
      </c>
      <c r="E16" s="4" t="s">
        <v>854</v>
      </c>
      <c r="F16" s="8" t="s">
        <v>534</v>
      </c>
      <c r="G16" s="4" t="s">
        <v>855</v>
      </c>
      <c r="H16" s="8" t="s">
        <v>56</v>
      </c>
    </row>
    <row r="17" customFormat="false" ht="23.85" hidden="false" customHeight="false" outlineLevel="0" collapsed="false">
      <c r="A17" s="4" t="s">
        <v>856</v>
      </c>
      <c r="B17" s="4" t="s">
        <v>857</v>
      </c>
      <c r="C17" s="4" t="s">
        <v>136</v>
      </c>
      <c r="D17" s="4" t="s">
        <v>858</v>
      </c>
      <c r="E17" s="4" t="s">
        <v>859</v>
      </c>
      <c r="F17" s="8" t="s">
        <v>534</v>
      </c>
      <c r="G17" s="4" t="s">
        <v>860</v>
      </c>
      <c r="H17" s="7" t="s">
        <v>49</v>
      </c>
    </row>
    <row r="18" customFormat="false" ht="23.85" hidden="false" customHeight="false" outlineLevel="0" collapsed="false">
      <c r="A18" s="4" t="s">
        <v>861</v>
      </c>
      <c r="B18" s="4" t="s">
        <v>862</v>
      </c>
      <c r="C18" s="4" t="s">
        <v>863</v>
      </c>
      <c r="D18" s="4" t="s">
        <v>864</v>
      </c>
      <c r="E18" s="4" t="s">
        <v>865</v>
      </c>
      <c r="F18" s="17" t="s">
        <v>508</v>
      </c>
      <c r="G18" s="4" t="s">
        <v>866</v>
      </c>
      <c r="H18" s="8" t="s">
        <v>56</v>
      </c>
    </row>
    <row r="19" customFormat="false" ht="23.85" hidden="false" customHeight="false" outlineLevel="0" collapsed="false">
      <c r="A19" s="4" t="s">
        <v>867</v>
      </c>
      <c r="B19" s="4" t="s">
        <v>868</v>
      </c>
      <c r="C19" s="4" t="s">
        <v>165</v>
      </c>
      <c r="D19" s="4" t="s">
        <v>869</v>
      </c>
      <c r="E19" s="4" t="s">
        <v>870</v>
      </c>
      <c r="F19" s="8" t="s">
        <v>534</v>
      </c>
      <c r="G19" s="4" t="s">
        <v>820</v>
      </c>
      <c r="H19" s="7" t="s">
        <v>49</v>
      </c>
    </row>
    <row r="20" customFormat="false" ht="23.85" hidden="false" customHeight="false" outlineLevel="0" collapsed="false">
      <c r="A20" s="4" t="s">
        <v>871</v>
      </c>
      <c r="B20" s="4" t="s">
        <v>872</v>
      </c>
      <c r="C20" s="4" t="s">
        <v>182</v>
      </c>
      <c r="D20" s="4" t="s">
        <v>873</v>
      </c>
      <c r="E20" s="4" t="s">
        <v>874</v>
      </c>
      <c r="F20" s="8" t="s">
        <v>534</v>
      </c>
      <c r="G20" s="4" t="s">
        <v>875</v>
      </c>
      <c r="H20" s="8" t="s">
        <v>56</v>
      </c>
    </row>
    <row r="21" customFormat="false" ht="23.85" hidden="false" customHeight="false" outlineLevel="0" collapsed="false">
      <c r="A21" s="4" t="s">
        <v>876</v>
      </c>
      <c r="B21" s="4" t="s">
        <v>877</v>
      </c>
      <c r="C21" s="4" t="s">
        <v>147</v>
      </c>
      <c r="D21" s="4" t="s">
        <v>878</v>
      </c>
      <c r="E21" s="4" t="s">
        <v>879</v>
      </c>
      <c r="F21" s="7" t="s">
        <v>518</v>
      </c>
      <c r="G21" s="4" t="s">
        <v>880</v>
      </c>
      <c r="H21" s="7" t="s">
        <v>49</v>
      </c>
    </row>
    <row r="22" customFormat="false" ht="23.85" hidden="false" customHeight="false" outlineLevel="0" collapsed="false">
      <c r="A22" s="4" t="s">
        <v>881</v>
      </c>
      <c r="B22" s="4" t="s">
        <v>882</v>
      </c>
      <c r="C22" s="4" t="s">
        <v>176</v>
      </c>
      <c r="D22" s="4" t="s">
        <v>883</v>
      </c>
      <c r="E22" s="4" t="s">
        <v>884</v>
      </c>
      <c r="F22" s="8" t="s">
        <v>534</v>
      </c>
      <c r="G22" s="4" t="s">
        <v>885</v>
      </c>
      <c r="H22" s="8" t="s">
        <v>56</v>
      </c>
    </row>
    <row r="23" customFormat="false" ht="23.85" hidden="false" customHeight="false" outlineLevel="0" collapsed="false">
      <c r="A23" s="4" t="s">
        <v>886</v>
      </c>
      <c r="B23" s="4" t="s">
        <v>887</v>
      </c>
      <c r="C23" s="4" t="s">
        <v>30</v>
      </c>
      <c r="D23" s="4" t="s">
        <v>888</v>
      </c>
      <c r="E23" s="4" t="s">
        <v>889</v>
      </c>
      <c r="F23" s="7" t="s">
        <v>518</v>
      </c>
      <c r="G23" s="4" t="s">
        <v>890</v>
      </c>
      <c r="H23" s="7" t="s">
        <v>49</v>
      </c>
    </row>
  </sheetData>
  <autoFilter ref="A4:H23"/>
  <dataValidations count="2">
    <dataValidation allowBlank="true" errorStyle="stop" operator="between" showDropDown="false" showErrorMessage="false" showInputMessage="false" sqref="F5:F73" type="list">
      <formula1>"Critical,High,Medium,Low"</formula1>
      <formula2>0</formula2>
    </dataValidation>
    <dataValidation allowBlank="true" errorStyle="stop" operator="between" showDropDown="false" showErrorMessage="false" showInputMessage="false" sqref="H5:H73" type="list">
      <formula1>"Confirmed,Proposed,To Be 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891</v>
      </c>
    </row>
    <row r="2" customFormat="false" ht="15" hidden="false" customHeight="false" outlineLevel="0" collapsed="false">
      <c r="A2" s="2" t="s">
        <v>892</v>
      </c>
    </row>
    <row r="3" customFormat="false" ht="15" hidden="false" customHeight="false" outlineLevel="0" collapsed="false">
      <c r="A3" s="16" t="s">
        <v>893</v>
      </c>
    </row>
    <row r="4" customFormat="false" ht="15" hidden="false" customHeight="false" outlineLevel="0" collapsed="false">
      <c r="A4" s="18" t="s">
        <v>499</v>
      </c>
      <c r="B4" s="18" t="s">
        <v>894</v>
      </c>
    </row>
    <row r="5" customFormat="false" ht="15" hidden="false" customHeight="false" outlineLevel="0" collapsed="false">
      <c r="A5" s="19" t="s">
        <v>508</v>
      </c>
      <c r="B5" s="20" t="n">
        <f aca="false">COUNTIF('A4 Coverage Matrix'!$L$4:$L$200,A5)</f>
        <v>12</v>
      </c>
    </row>
    <row r="6" customFormat="false" ht="15" hidden="false" customHeight="false" outlineLevel="0" collapsed="false">
      <c r="A6" s="19" t="s">
        <v>534</v>
      </c>
      <c r="B6" s="20" t="n">
        <f aca="false">COUNTIF('A4 Coverage Matrix'!$L$4:$L$200,A6)</f>
        <v>15</v>
      </c>
    </row>
    <row r="7" customFormat="false" ht="15" hidden="false" customHeight="false" outlineLevel="0" collapsed="false">
      <c r="A7" s="19" t="s">
        <v>518</v>
      </c>
      <c r="B7" s="20" t="n">
        <f aca="false">COUNTIF('A4 Coverage Matrix'!$L$4:$L$200,A7)</f>
        <v>6</v>
      </c>
    </row>
    <row r="8" customFormat="false" ht="15" hidden="false" customHeight="false" outlineLevel="0" collapsed="false">
      <c r="A8" s="19" t="s">
        <v>739</v>
      </c>
      <c r="B8" s="20" t="n">
        <f aca="false">COUNTIF('A4 Coverage Matrix'!$L$4:$L$200,A8)</f>
        <v>2</v>
      </c>
    </row>
    <row r="9" customFormat="false" ht="15" hidden="false" customHeight="false" outlineLevel="0" collapsed="false">
      <c r="A9" s="21" t="s">
        <v>895</v>
      </c>
      <c r="B9" s="22" t="n">
        <f aca="false">SUM(B5:B8)</f>
        <v>35</v>
      </c>
    </row>
    <row r="10" customFormat="false" ht="15" hidden="false" customHeight="false" outlineLevel="0" collapsed="false">
      <c r="A10" s="16" t="s">
        <v>896</v>
      </c>
    </row>
    <row r="11" customFormat="false" ht="15" hidden="false" customHeight="false" outlineLevel="0" collapsed="false">
      <c r="A11" s="18" t="s">
        <v>29</v>
      </c>
      <c r="B11" s="18" t="s">
        <v>897</v>
      </c>
      <c r="C11" s="18" t="s">
        <v>898</v>
      </c>
      <c r="D11" s="18" t="s">
        <v>899</v>
      </c>
    </row>
    <row r="12" customFormat="false" ht="15" hidden="false" customHeight="false" outlineLevel="0" collapsed="false">
      <c r="A12" s="19" t="s">
        <v>36</v>
      </c>
      <c r="B12" s="20" t="n">
        <f aca="false">COUNTIF('A1 Product Area Map'!$G$4:$G$200,A12)</f>
        <v>17</v>
      </c>
      <c r="C12" s="20" t="n">
        <f aca="false">COUNTIF('A4 Coverage Matrix'!$K$4:$K$200,A12)</f>
        <v>20</v>
      </c>
      <c r="D12" s="20" t="n">
        <f aca="false">COUNTIF('Analytics Gaps'!$H$5:$H$200,A12)</f>
        <v>0</v>
      </c>
    </row>
    <row r="13" customFormat="false" ht="15" hidden="false" customHeight="false" outlineLevel="0" collapsed="false">
      <c r="A13" s="19" t="s">
        <v>49</v>
      </c>
      <c r="B13" s="20" t="n">
        <f aca="false">COUNTIF('A1 Product Area Map'!$G$4:$G$200,A13)</f>
        <v>9</v>
      </c>
      <c r="C13" s="20" t="n">
        <f aca="false">COUNTIF('A4 Coverage Matrix'!$K$4:$K$200,A13)</f>
        <v>11</v>
      </c>
      <c r="D13" s="20" t="n">
        <f aca="false">COUNTIF('Analytics Gaps'!$H$5:$H$200,A13)</f>
        <v>8</v>
      </c>
    </row>
    <row r="14" customFormat="false" ht="15" hidden="false" customHeight="false" outlineLevel="0" collapsed="false">
      <c r="A14" s="19" t="s">
        <v>56</v>
      </c>
      <c r="B14" s="20" t="n">
        <f aca="false">COUNTIF('A1 Product Area Map'!$G$4:$G$200,A14)</f>
        <v>4</v>
      </c>
      <c r="C14" s="20" t="n">
        <f aca="false">COUNTIF('A4 Coverage Matrix'!$K$4:$K$200,A14)</f>
        <v>4</v>
      </c>
      <c r="D14" s="20" t="n">
        <f aca="false">COUNTIF('Analytics Gaps'!$H$5:$H$200,A14)</f>
        <v>11</v>
      </c>
    </row>
    <row r="15" customFormat="false" ht="15" hidden="false" customHeight="false" outlineLevel="0" collapsed="false">
      <c r="A15" s="21" t="s">
        <v>895</v>
      </c>
      <c r="B15" s="22" t="n">
        <f aca="false">SUM(B12:B14)</f>
        <v>30</v>
      </c>
      <c r="C15" s="22" t="n">
        <f aca="false">SUM(C12:C14)</f>
        <v>35</v>
      </c>
      <c r="D15" s="22" t="n">
        <f aca="false">SUM(D12:D14)</f>
        <v>19</v>
      </c>
    </row>
    <row r="16" customFormat="false" ht="15" hidden="false" customHeight="false" outlineLevel="0" collapsed="false">
      <c r="A16" s="16" t="s">
        <v>900</v>
      </c>
    </row>
    <row r="17" customFormat="false" ht="15" hidden="false" customHeight="false" outlineLevel="0" collapsed="false">
      <c r="A17" s="18" t="s">
        <v>499</v>
      </c>
      <c r="B17" s="18" t="s">
        <v>899</v>
      </c>
    </row>
    <row r="18" customFormat="false" ht="15" hidden="false" customHeight="false" outlineLevel="0" collapsed="false">
      <c r="A18" s="19" t="s">
        <v>508</v>
      </c>
      <c r="B18" s="20" t="n">
        <f aca="false">COUNTIF('Analytics Gaps'!$F$5:$F$200,A18)</f>
        <v>6</v>
      </c>
    </row>
    <row r="19" customFormat="false" ht="15" hidden="false" customHeight="false" outlineLevel="0" collapsed="false">
      <c r="A19" s="19" t="s">
        <v>534</v>
      </c>
      <c r="B19" s="20" t="n">
        <f aca="false">COUNTIF('Analytics Gaps'!$F$5:$F$200,A19)</f>
        <v>11</v>
      </c>
    </row>
    <row r="20" customFormat="false" ht="15" hidden="false" customHeight="false" outlineLevel="0" collapsed="false">
      <c r="A20" s="19" t="s">
        <v>518</v>
      </c>
      <c r="B20" s="20" t="n">
        <f aca="false">COUNTIF('Analytics Gaps'!$F$5:$F$200,A20)</f>
        <v>2</v>
      </c>
    </row>
    <row r="21" customFormat="false" ht="15" hidden="false" customHeight="false" outlineLevel="0" collapsed="false">
      <c r="A21" s="19" t="s">
        <v>739</v>
      </c>
      <c r="B21" s="20" t="n">
        <f aca="false">COUNTIF('Analytics Gaps'!$F$5:$F$200,A21)</f>
        <v>0</v>
      </c>
    </row>
    <row r="22" customFormat="false" ht="15" hidden="false" customHeight="false" outlineLevel="0" collapsed="false">
      <c r="A22" s="21" t="s">
        <v>895</v>
      </c>
      <c r="B22" s="22" t="n">
        <f aca="false">SUM(B18:B21)</f>
        <v>19</v>
      </c>
    </row>
    <row r="23" customFormat="false" ht="15" hidden="false" customHeight="false" outlineLevel="0" collapsed="false">
      <c r="A23" s="16" t="s">
        <v>901</v>
      </c>
    </row>
    <row r="24" customFormat="false" ht="15" hidden="false" customHeight="false" outlineLevel="0" collapsed="false">
      <c r="A24" s="18" t="s">
        <v>679</v>
      </c>
      <c r="B24" s="18" t="s">
        <v>902</v>
      </c>
    </row>
    <row r="25" customFormat="false" ht="15" hidden="false" customHeight="false" outlineLevel="0" collapsed="false">
      <c r="A25" s="19" t="s">
        <v>217</v>
      </c>
      <c r="B25" s="20" t="n">
        <f aca="false">COUNTIF('A2 User Action Flows'!$F$5:$F$300,A25)</f>
        <v>51</v>
      </c>
    </row>
    <row r="26" customFormat="false" ht="15" hidden="false" customHeight="false" outlineLevel="0" collapsed="false">
      <c r="A26" s="19" t="s">
        <v>268</v>
      </c>
      <c r="B26" s="20" t="n">
        <f aca="false">COUNTIF('A2 User Action Flows'!$F$5:$F$300,A26)</f>
        <v>2</v>
      </c>
    </row>
    <row r="27" customFormat="false" ht="15" hidden="false" customHeight="false" outlineLevel="0" collapsed="false">
      <c r="A27" s="19" t="s">
        <v>276</v>
      </c>
      <c r="B27" s="20" t="n">
        <f aca="false">COUNTIF('A2 User Action Flows'!$F$5:$F$300,A27)</f>
        <v>3</v>
      </c>
    </row>
    <row r="28" customFormat="false" ht="15" hidden="false" customHeight="false" outlineLevel="0" collapsed="false">
      <c r="A28" s="21" t="s">
        <v>895</v>
      </c>
      <c r="B28" s="22" t="n">
        <f aca="false">SUM(B25:B27)</f>
        <v>56</v>
      </c>
    </row>
    <row r="29" customFormat="false" ht="15" hidden="false" customHeight="false" outlineLevel="0" collapsed="false">
      <c r="A29" s="16" t="s">
        <v>903</v>
      </c>
    </row>
    <row r="30" customFormat="false" ht="15" hidden="false" customHeight="false" outlineLevel="0" collapsed="false">
      <c r="A30" s="18" t="s">
        <v>210</v>
      </c>
      <c r="B30" s="18" t="s">
        <v>904</v>
      </c>
    </row>
    <row r="31" customFormat="false" ht="15" hidden="false" customHeight="false" outlineLevel="0" collapsed="false">
      <c r="A31" s="19" t="s">
        <v>216</v>
      </c>
      <c r="B31" s="20" t="n">
        <f aca="false">COUNTIF('A3 Event Classification'!$B$9:$B$200,A31)</f>
        <v>9</v>
      </c>
    </row>
    <row r="32" customFormat="false" ht="15" hidden="false" customHeight="false" outlineLevel="0" collapsed="false">
      <c r="A32" s="19" t="s">
        <v>231</v>
      </c>
      <c r="B32" s="20" t="n">
        <f aca="false">COUNTIF('A3 Event Classification'!$B$9:$B$200,A32)</f>
        <v>10</v>
      </c>
    </row>
    <row r="33" customFormat="false" ht="15" hidden="false" customHeight="false" outlineLevel="0" collapsed="false">
      <c r="A33" s="19" t="s">
        <v>235</v>
      </c>
      <c r="B33" s="20" t="n">
        <f aca="false">COUNTIF('A3 Event Classification'!$B$9:$B$200,A33)</f>
        <v>12</v>
      </c>
    </row>
    <row r="34" customFormat="false" ht="15" hidden="false" customHeight="false" outlineLevel="0" collapsed="false">
      <c r="A34" s="21" t="s">
        <v>895</v>
      </c>
      <c r="B34" s="22" t="n">
        <f aca="false">SUM(B31:B33)</f>
        <v>31</v>
      </c>
    </row>
    <row r="35" customFormat="false" ht="15" hidden="false" customHeight="false" outlineLevel="0" collapsed="false">
      <c r="A35" s="16" t="s">
        <v>905</v>
      </c>
    </row>
    <row r="36" customFormat="false" ht="15" hidden="false" customHeight="false" outlineLevel="0" collapsed="false">
      <c r="A36" s="18" t="s">
        <v>23</v>
      </c>
      <c r="B36" s="18" t="s">
        <v>897</v>
      </c>
      <c r="C36" s="18" t="s">
        <v>898</v>
      </c>
    </row>
    <row r="37" customFormat="false" ht="15" hidden="false" customHeight="false" outlineLevel="0" collapsed="false">
      <c r="A37" s="19" t="s">
        <v>30</v>
      </c>
      <c r="B37" s="20" t="n">
        <f aca="false">COUNTIF('A1 Product Area Map'!$A$4:$A$200,A37)</f>
        <v>1</v>
      </c>
      <c r="C37" s="20" t="n">
        <f aca="false">COUNTIF('A4 Coverage Matrix'!$B$4:$B$200,A37)</f>
        <v>2</v>
      </c>
    </row>
    <row r="38" customFormat="false" ht="15" hidden="false" customHeight="false" outlineLevel="0" collapsed="false">
      <c r="A38" s="19" t="s">
        <v>37</v>
      </c>
      <c r="B38" s="20" t="n">
        <f aca="false">COUNTIF('A1 Product Area Map'!$A$4:$A$200,A38)</f>
        <v>1</v>
      </c>
      <c r="C38" s="20" t="n">
        <f aca="false">COUNTIF('A4 Coverage Matrix'!$B$4:$B$200,A38)</f>
        <v>1</v>
      </c>
    </row>
    <row r="39" customFormat="false" ht="15" hidden="false" customHeight="false" outlineLevel="0" collapsed="false">
      <c r="A39" s="19" t="s">
        <v>43</v>
      </c>
      <c r="B39" s="20" t="n">
        <f aca="false">COUNTIF('A1 Product Area Map'!$A$4:$A$200,A39)</f>
        <v>1</v>
      </c>
      <c r="C39" s="20" t="n">
        <f aca="false">COUNTIF('A4 Coverage Matrix'!$B$4:$B$200,A39)</f>
        <v>1</v>
      </c>
    </row>
    <row r="40" customFormat="false" ht="15" hidden="false" customHeight="false" outlineLevel="0" collapsed="false">
      <c r="A40" s="19" t="s">
        <v>50</v>
      </c>
      <c r="B40" s="20" t="n">
        <f aca="false">COUNTIF('A1 Product Area Map'!$A$4:$A$200,A40)</f>
        <v>1</v>
      </c>
      <c r="C40" s="20" t="n">
        <f aca="false">COUNTIF('A4 Coverage Matrix'!$B$4:$B$200,A40)</f>
        <v>1</v>
      </c>
    </row>
    <row r="41" customFormat="false" ht="15" hidden="false" customHeight="false" outlineLevel="0" collapsed="false">
      <c r="A41" s="19" t="s">
        <v>57</v>
      </c>
      <c r="B41" s="20" t="n">
        <f aca="false">COUNTIF('A1 Product Area Map'!$A$4:$A$200,A41)</f>
        <v>1</v>
      </c>
      <c r="C41" s="20" t="n">
        <f aca="false">COUNTIF('A4 Coverage Matrix'!$B$4:$B$200,A41)</f>
        <v>2</v>
      </c>
    </row>
    <row r="42" customFormat="false" ht="15" hidden="false" customHeight="false" outlineLevel="0" collapsed="false">
      <c r="A42" s="19" t="s">
        <v>63</v>
      </c>
      <c r="B42" s="20" t="n">
        <f aca="false">COUNTIF('A1 Product Area Map'!$A$4:$A$200,A42)</f>
        <v>1</v>
      </c>
      <c r="C42" s="20" t="n">
        <f aca="false">COUNTIF('A4 Coverage Matrix'!$B$4:$B$200,A42)</f>
        <v>1</v>
      </c>
    </row>
    <row r="43" customFormat="false" ht="15" hidden="false" customHeight="false" outlineLevel="0" collapsed="false">
      <c r="A43" s="19" t="s">
        <v>69</v>
      </c>
      <c r="B43" s="20" t="n">
        <f aca="false">COUNTIF('A1 Product Area Map'!$A$4:$A$200,A43)</f>
        <v>1</v>
      </c>
      <c r="C43" s="20" t="n">
        <f aca="false">COUNTIF('A4 Coverage Matrix'!$B$4:$B$200,A43)</f>
        <v>1</v>
      </c>
    </row>
    <row r="44" customFormat="false" ht="15" hidden="false" customHeight="false" outlineLevel="0" collapsed="false">
      <c r="A44" s="19" t="s">
        <v>75</v>
      </c>
      <c r="B44" s="20" t="n">
        <f aca="false">COUNTIF('A1 Product Area Map'!$A$4:$A$200,A44)</f>
        <v>2</v>
      </c>
      <c r="C44" s="20" t="n">
        <f aca="false">COUNTIF('A4 Coverage Matrix'!$B$4:$B$200,A44)</f>
        <v>3</v>
      </c>
    </row>
    <row r="45" customFormat="false" ht="15" hidden="false" customHeight="false" outlineLevel="0" collapsed="false">
      <c r="A45" s="19" t="s">
        <v>86</v>
      </c>
      <c r="B45" s="20" t="n">
        <f aca="false">COUNTIF('A1 Product Area Map'!$A$4:$A$200,A45)</f>
        <v>1</v>
      </c>
      <c r="C45" s="20" t="n">
        <f aca="false">COUNTIF('A4 Coverage Matrix'!$B$4:$B$200,A45)</f>
        <v>1</v>
      </c>
    </row>
    <row r="46" customFormat="false" ht="15" hidden="false" customHeight="false" outlineLevel="0" collapsed="false">
      <c r="A46" s="19" t="s">
        <v>92</v>
      </c>
      <c r="B46" s="20" t="n">
        <f aca="false">COUNTIF('A1 Product Area Map'!$A$4:$A$200,A46)</f>
        <v>1</v>
      </c>
      <c r="C46" s="20" t="n">
        <f aca="false">COUNTIF('A4 Coverage Matrix'!$B$4:$B$200,A46)</f>
        <v>2</v>
      </c>
    </row>
    <row r="47" customFormat="false" ht="15" hidden="false" customHeight="false" outlineLevel="0" collapsed="false">
      <c r="A47" s="19" t="s">
        <v>98</v>
      </c>
      <c r="B47" s="20" t="n">
        <f aca="false">COUNTIF('A1 Product Area Map'!$A$4:$A$200,A47)</f>
        <v>2</v>
      </c>
      <c r="C47" s="20" t="n">
        <f aca="false">COUNTIF('A4 Coverage Matrix'!$B$4:$B$200,A47)</f>
        <v>2</v>
      </c>
    </row>
    <row r="48" customFormat="false" ht="15" hidden="false" customHeight="false" outlineLevel="0" collapsed="false">
      <c r="A48" s="19" t="s">
        <v>109</v>
      </c>
      <c r="B48" s="20" t="n">
        <f aca="false">COUNTIF('A1 Product Area Map'!$A$4:$A$200,A48)</f>
        <v>2</v>
      </c>
      <c r="C48" s="20" t="n">
        <f aca="false">COUNTIF('A4 Coverage Matrix'!$B$4:$B$200,A48)</f>
        <v>2</v>
      </c>
    </row>
    <row r="49" customFormat="false" ht="15" hidden="false" customHeight="false" outlineLevel="0" collapsed="false">
      <c r="A49" s="19" t="s">
        <v>120</v>
      </c>
      <c r="B49" s="20" t="n">
        <f aca="false">COUNTIF('A1 Product Area Map'!$A$4:$A$200,A49)</f>
        <v>3</v>
      </c>
      <c r="C49" s="20" t="n">
        <f aca="false">COUNTIF('A4 Coverage Matrix'!$B$4:$B$200,A49)</f>
        <v>4</v>
      </c>
    </row>
    <row r="50" customFormat="false" ht="15" hidden="false" customHeight="false" outlineLevel="0" collapsed="false">
      <c r="A50" s="19" t="s">
        <v>136</v>
      </c>
      <c r="B50" s="20" t="n">
        <f aca="false">COUNTIF('A1 Product Area Map'!$A$4:$A$200,A50)</f>
        <v>2</v>
      </c>
      <c r="C50" s="20" t="n">
        <f aca="false">COUNTIF('A4 Coverage Matrix'!$B$4:$B$200,A50)</f>
        <v>2</v>
      </c>
    </row>
    <row r="51" customFormat="false" ht="15" hidden="false" customHeight="false" outlineLevel="0" collapsed="false">
      <c r="A51" s="19" t="s">
        <v>147</v>
      </c>
      <c r="B51" s="20" t="n">
        <f aca="false">COUNTIF('A1 Product Area Map'!$A$4:$A$200,A51)</f>
        <v>1</v>
      </c>
      <c r="C51" s="20" t="n">
        <f aca="false">COUNTIF('A4 Coverage Matrix'!$B$4:$B$200,A51)</f>
        <v>1</v>
      </c>
    </row>
    <row r="52" customFormat="false" ht="15" hidden="false" customHeight="false" outlineLevel="0" collapsed="false">
      <c r="A52" s="19" t="s">
        <v>153</v>
      </c>
      <c r="B52" s="20" t="n">
        <f aca="false">COUNTIF('A1 Product Area Map'!$A$4:$A$200,A52)</f>
        <v>1</v>
      </c>
      <c r="C52" s="20" t="n">
        <f aca="false">COUNTIF('A4 Coverage Matrix'!$B$4:$B$200,A52)</f>
        <v>1</v>
      </c>
    </row>
    <row r="53" customFormat="false" ht="15" hidden="false" customHeight="false" outlineLevel="0" collapsed="false">
      <c r="A53" s="19" t="s">
        <v>159</v>
      </c>
      <c r="B53" s="20" t="n">
        <f aca="false">COUNTIF('A1 Product Area Map'!$A$4:$A$200,A53)</f>
        <v>1</v>
      </c>
      <c r="C53" s="20" t="n">
        <f aca="false">COUNTIF('A4 Coverage Matrix'!$B$4:$B$200,A53)</f>
        <v>1</v>
      </c>
    </row>
    <row r="54" customFormat="false" ht="15" hidden="false" customHeight="false" outlineLevel="0" collapsed="false">
      <c r="A54" s="19" t="s">
        <v>165</v>
      </c>
      <c r="B54" s="20" t="n">
        <f aca="false">COUNTIF('A1 Product Area Map'!$A$4:$A$200,A54)</f>
        <v>1</v>
      </c>
      <c r="C54" s="20" t="n">
        <f aca="false">COUNTIF('A4 Coverage Matrix'!$B$4:$B$200,A54)</f>
        <v>1</v>
      </c>
    </row>
    <row r="55" customFormat="false" ht="15" hidden="false" customHeight="false" outlineLevel="0" collapsed="false">
      <c r="A55" s="19" t="s">
        <v>170</v>
      </c>
      <c r="B55" s="20" t="n">
        <f aca="false">COUNTIF('A1 Product Area Map'!$A$4:$A$200,A55)</f>
        <v>1</v>
      </c>
      <c r="C55" s="20" t="n">
        <f aca="false">COUNTIF('A4 Coverage Matrix'!$B$4:$B$200,A55)</f>
        <v>1</v>
      </c>
    </row>
    <row r="56" customFormat="false" ht="15" hidden="false" customHeight="false" outlineLevel="0" collapsed="false">
      <c r="A56" s="19" t="s">
        <v>176</v>
      </c>
      <c r="B56" s="20" t="n">
        <f aca="false">COUNTIF('A1 Product Area Map'!$A$4:$A$200,A56)</f>
        <v>1</v>
      </c>
      <c r="C56" s="20" t="n">
        <f aca="false">COUNTIF('A4 Coverage Matrix'!$B$4:$B$200,A56)</f>
        <v>1</v>
      </c>
    </row>
    <row r="57" customFormat="false" ht="15" hidden="false" customHeight="false" outlineLevel="0" collapsed="false">
      <c r="A57" s="19" t="s">
        <v>182</v>
      </c>
      <c r="B57" s="20" t="n">
        <f aca="false">COUNTIF('A1 Product Area Map'!$A$4:$A$200,A57)</f>
        <v>1</v>
      </c>
      <c r="C57" s="20" t="n">
        <f aca="false">COUNTIF('A4 Coverage Matrix'!$B$4:$B$200,A57)</f>
        <v>1</v>
      </c>
    </row>
    <row r="58" customFormat="false" ht="15" hidden="false" customHeight="false" outlineLevel="0" collapsed="false">
      <c r="A58" s="19" t="s">
        <v>188</v>
      </c>
      <c r="B58" s="20" t="n">
        <f aca="false">COUNTIF('A1 Product Area Map'!$A$4:$A$200,A58)</f>
        <v>1</v>
      </c>
      <c r="C58" s="20" t="n">
        <f aca="false">COUNTIF('A4 Coverage Matrix'!$B$4:$B$200,A58)</f>
        <v>1</v>
      </c>
    </row>
    <row r="59" customFormat="false" ht="15" hidden="false" customHeight="false" outlineLevel="0" collapsed="false">
      <c r="A59" s="19" t="s">
        <v>194</v>
      </c>
      <c r="B59" s="20" t="n">
        <f aca="false">COUNTIF('A1 Product Area Map'!$A$4:$A$200,A59)</f>
        <v>1</v>
      </c>
      <c r="C59" s="20" t="n">
        <f aca="false">COUNTIF('A4 Coverage Matrix'!$B$4:$B$200,A59)</f>
        <v>1</v>
      </c>
    </row>
    <row r="60" customFormat="false" ht="15" hidden="false" customHeight="false" outlineLevel="0" collapsed="false">
      <c r="A60" s="19" t="s">
        <v>199</v>
      </c>
      <c r="B60" s="20" t="n">
        <f aca="false">COUNTIF('A1 Product Area Map'!$A$4:$A$200,A60)</f>
        <v>1</v>
      </c>
      <c r="C60" s="20" t="n">
        <f aca="false">COUNTIF('A4 Coverage Matrix'!$B$4:$B$200,A60)</f>
        <v>1</v>
      </c>
    </row>
    <row r="61" customFormat="false" ht="15" hidden="false" customHeight="false" outlineLevel="0" collapsed="false">
      <c r="A61" s="21" t="s">
        <v>895</v>
      </c>
      <c r="B61" s="22" t="n">
        <f aca="false">SUM(B37:B60)</f>
        <v>30</v>
      </c>
      <c r="C61" s="22" t="n">
        <f aca="false">SUM(C37:C60)</f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2026-10-17T18:04:51Z</dcterms:created>
  <dc:creator>openpyxl</dc:creator>
  <dc:description/>
  <dc:language>en-US</dc:language>
  <cp:lastModifiedBy/>
  <dcterms:modified xsi:type="dcterms:W3CDTF">2026-10-17T18:04:51Z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