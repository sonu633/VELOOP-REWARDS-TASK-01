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_rels/drawing3.xml.rels" ContentType="application/vnd.openxmlformats-package.relationships+xml"/>
  <Override PartName="/xl/drawings/drawing3.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Lifecycle" sheetId="2" state="visible" r:id="rId4"/>
    <sheet name="C1_Task_Schema" sheetId="3" state="visible" r:id="rId5"/>
    <sheet name="C2_Failure_Taxonomy" sheetId="4" state="visible" r:id="rId6"/>
    <sheet name="C3_Reward_Events" sheetId="5" state="visible" r:id="rId7"/>
    <sheet name="C4_Third_Party" sheetId="6" state="visible" r:id="rId8"/>
    <sheet name="Data_Tasks" sheetId="7" state="visible" r:id="rId9"/>
    <sheet name="Data_RewardEvents" sheetId="8" state="visible" r:id="rId10"/>
    <sheet name="KPI_Definitions" sheetId="9" state="visible" r:id="rId11"/>
    <sheet name="KPI_Dashboard" sheetId="10" state="visible" r:id="rId12"/>
    <sheet name="Open_Questions" sheetId="11" state="visible" r:id="rId13"/>
  </sheets>
  <definedNames>
    <definedName function="false" hidden="true" localSheetId="7" name="_xlnm._FilterDatabase" vbProcedure="false">Data_RewardEvents!$A$1:$I$160</definedName>
    <definedName function="false" hidden="true" localSheetId="6" name="_xlnm._FilterDatabase" vbProcedure="false">Data_Tasks!$A$1:$AB$221</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SYNTHETIC sample data for illustration only. Columns A-P are inputs; Q-AB are formulas (green headers).</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SYNTHETIC sample data. amount is signed: credit +, reversal -, correction = signed delta, pending = informational (not summed into net).</t>
        </r>
      </text>
    </comment>
  </commentList>
</comments>
</file>

<file path=xl/sharedStrings.xml><?xml version="1.0" encoding="utf-8"?>
<sst xmlns="http://schemas.openxmlformats.org/spreadsheetml/2006/main" count="3817" uniqueCount="1244">
  <si>
    <t xml:space="preserve">VELOOP – Earning Activity Analytics Design</t>
  </si>
  <si>
    <t xml:space="preserve">Analyst workbook: lifecycle measurement, schemas, failure classification, reward events, third-party dependency, sample datasets and KPIs</t>
  </si>
  <si>
    <t xml:space="preserve">PURPOSE</t>
  </si>
  <si>
    <t xml:space="preserve">Define how VELOOP should measure earning activity across Discovery &gt; Start &gt; Completion &gt; Validation &gt; Reward, and separate 'activity occurred' from 'reward actually credited'.</t>
  </si>
  <si>
    <t xml:space="preserve">IMPORTANT – DATA STATUS</t>
  </si>
  <si>
    <t xml:space="preserve">No VELOOP data or internal schema was supplied. Every field, event name and failure class in this workbook is PROPOSED and must be confirmed against what VELOOP actually records. Nothing here is presented as an existing VELOOP code.</t>
  </si>
  <si>
    <t xml:space="preserve">IMPORTANT – SAMPLE DATA</t>
  </si>
  <si>
    <t xml:space="preserve">Sheets 'Data_Tasks' and 'Data_RewardEvents' are SYNTHETIC, generated only to demonstrate the dataset design and make the KPI formulas work. Rates, providers, feature names and reward amounts are illustrative. Replace them with real exports and the dashboard recalculates.</t>
  </si>
  <si>
    <t xml:space="preserve">STATUS LABELS</t>
  </si>
  <si>
    <t xml:space="preserve">Proposed = recommended design, not confirmed to exist.  To confirm = needs a yes/no from VELOOP product/engineering.  Given in brief = requested in the assignment.</t>
  </si>
  <si>
    <t xml:space="preserve">SHEET MAP</t>
  </si>
  <si>
    <t xml:space="preserve">Lifecycle &gt; C1_Task_Schema &gt; C2_Failure_Taxonomy &gt; C3_Reward_Events &gt; C4_Third_Party &gt; Data_Tasks &gt; Data_RewardEvents &gt; KPI_Definitions &gt; KPI_Dashboard &gt; Open_Questions</t>
  </si>
  <si>
    <t xml:space="preserve">HOW TO USE</t>
  </si>
  <si>
    <t xml:space="preserve">1) Review design sheets. 2) Answer Open_Questions. 3) Paste real data into Data_Tasks (cols A-P) and Data_RewardEvents (cols A-I); formula columns Q-AB in Data_Tasks must be filled down. 4) Extend the ranges in KPI_Dashboard if rows exceed the sample size.</t>
  </si>
  <si>
    <t xml:space="preserve">LEGEND</t>
  </si>
  <si>
    <t xml:space="preserve">Blue text = editable input/assumption. Black = formula or text. Yellow fill = Proposed. Orange fill = To confirm / given in brief.</t>
  </si>
  <si>
    <t xml:space="preserve">CORE PRINCIPLE</t>
  </si>
  <si>
    <t xml:space="preserve">Reward credited is a separate event from task completed. Never infer a credit from a completion; never design as if VELOOP controls outcomes decided by ad networks, survey providers, offer partners, game partners or tracking systems.</t>
  </si>
  <si>
    <t xml:space="preserve">ASSUMPTIONS (editable)</t>
  </si>
  <si>
    <t xml:space="preserve">Reward unit used in sample data</t>
  </si>
  <si>
    <t xml:space="preserve">points</t>
  </si>
  <si>
    <t xml:space="preserve">Data snapshot date (sample)</t>
  </si>
  <si>
    <t xml:space="preserve">Source of assumptions</t>
  </si>
  <si>
    <t xml:space="preserve">Analyst assumptions for illustration; not VELOOP figures.</t>
  </si>
  <si>
    <t xml:space="preserve">Analytical lifecycle – what to measure at each stage</t>
  </si>
  <si>
    <t xml:space="preserve">All event names are Proposed. 'Third-party influence' shows where external systems can change the data.</t>
  </si>
  <si>
    <t xml:space="preserve">Stage</t>
  </si>
  <si>
    <t xml:space="preserve">Question the stage answers</t>
  </si>
  <si>
    <t xml:space="preserve">Proposed event(s)</t>
  </si>
  <si>
    <t xml:space="preserve">Timestamp to capture</t>
  </si>
  <si>
    <t xml:space="preserve">Key fields</t>
  </si>
  <si>
    <t xml:space="preserve">Core metrics</t>
  </si>
  <si>
    <t xml:space="preserve">Likely data source</t>
  </si>
  <si>
    <t xml:space="preserve">Third-party influence</t>
  </si>
  <si>
    <t xml:space="preserve">Measurement risk / design note</t>
  </si>
  <si>
    <t xml:space="preserve">Status</t>
  </si>
  <si>
    <t xml:space="preserve">1. Discovery</t>
  </si>
  <si>
    <t xml:space="preserve">Was the earning opportunity available and shown to the user?</t>
  </si>
  <si>
    <t xml:space="preserve">task_discovered (task listed / impression)</t>
  </si>
  <si>
    <t xml:space="preserve">discovered_at</t>
  </si>
  <si>
    <t xml:space="preserve">task_id, task_type, feature, user_id, source_provider, reward_expected, reward_unit</t>
  </si>
  <si>
    <t xml:space="preserve">Tasks exposed; unique users exposed; availability / fill rate; reward shown</t>
  </si>
  <si>
    <t xml:space="preserve">VELOOP app/server logs; provider inventory feeds</t>
  </si>
  <si>
    <t xml:space="preserve">High for ads/offers/surveys: provider decides inventory, targeting, no-fill.</t>
  </si>
  <si>
    <t xml:space="preserve">Distinguish 'not shown because no inventory' from 'shown but ignored'. Without a discovery event, start rate has no denominator.</t>
  </si>
  <si>
    <t xml:space="preserve">Proposed</t>
  </si>
  <si>
    <t xml:space="preserve">2. Start</t>
  </si>
  <si>
    <t xml:space="preserve">Did the user begin the task, and did the system confirm it?</t>
  </si>
  <si>
    <t xml:space="preserve">task_started (user action) ; task_start_confirmed (provider/tracking confirmation, where applicable)</t>
  </si>
  <si>
    <t xml:space="preserve">start_time (+ confirmation time)</t>
  </si>
  <si>
    <t xml:space="preserve">task_id, user_id, start_time, external_ref_id, source_type</t>
  </si>
  <si>
    <t xml:space="preserve">Start rate; time-to-start; starts without tracking confirmation</t>
  </si>
  <si>
    <t xml:space="preserve">VELOOP logs; tracking / click-out records</t>
  </si>
  <si>
    <t xml:space="preserve">High: click-out to external offers/surveys/games may not be observable after leaving VELOOP.</t>
  </si>
  <si>
    <t xml:space="preserve">Record user intent (click) separately from confirmed start. Unconfirmed starts are a tracking-risk segment, not automatically user failures.</t>
  </si>
  <si>
    <t xml:space="preserve">3. Completion</t>
  </si>
  <si>
    <t xml:space="preserve">Did the task finish, and who says so?</t>
  </si>
  <si>
    <t xml:space="preserve">task_completed ; task_failed ; task_abandoned</t>
  </si>
  <si>
    <t xml:space="preserve">completion_time</t>
  </si>
  <si>
    <t xml:space="preserve">status, completion_time, data_origin (first_party_observed / third_party_reported / inferred)</t>
  </si>
  <si>
    <t xml:space="preserve">Completion rate; duration; abandonment; completion by provider</t>
  </si>
  <si>
    <t xml:space="preserve">VELOOP logs; provider callbacks/postbacks</t>
  </si>
  <si>
    <t xml:space="preserve">High: completion is often reported by the provider, possibly late or never.</t>
  </si>
  <si>
    <t xml:space="preserve">Store when VELOOP RECEIVED a postback as well as when the activity happened. Never mark abandoned only because a postback is late – use a defined time window.</t>
  </si>
  <si>
    <t xml:space="preserve">4. Validation</t>
  </si>
  <si>
    <t xml:space="preserve">Was the completion accepted as genuine/eligible?</t>
  </si>
  <si>
    <t xml:space="preserve">validation_requested ; validation_passed ; validation_rejected ; validation_timeout</t>
  </si>
  <si>
    <t xml:space="preserve">validation_time</t>
  </si>
  <si>
    <t xml:space="preserve">validation_status, validation_source (provider / VELOOP rules), rejection_reason</t>
  </si>
  <si>
    <t xml:space="preserve">Validation pass / rejection rate; time to validate; pending ageing; rejection by provider</t>
  </si>
  <si>
    <t xml:space="preserve">Provider confirmation; VELOOP validation rules</t>
  </si>
  <si>
    <t xml:space="preserve">High: provider may reject, reverse or never confirm.</t>
  </si>
  <si>
    <t xml:space="preserve">Keep validator identity so rejections are attributable. 'Pending' must age out into an explicit state, not stay pending forever.</t>
  </si>
  <si>
    <t xml:space="preserve">5. Reward</t>
  </si>
  <si>
    <t xml:space="preserve">Was value actually credited, and does it still stand?</t>
  </si>
  <si>
    <t xml:space="preserve">reward_pending ; reward_credited ; reward_reversed ; reward_corrected</t>
  </si>
  <si>
    <t xml:space="preserve">event_time per reward event</t>
  </si>
  <si>
    <t xml:space="preserve">reward_amount, reward_unit, event_type, reason, task_id, user_id</t>
  </si>
  <si>
    <t xml:space="preserve">Credit rate; credit latency; reversal rate; correction rate; net credited vs expected</t>
  </si>
  <si>
    <t xml:space="preserve">VELOOP ledger / wallet records</t>
  </si>
  <si>
    <t xml:space="preserve">Medium-High: reversals and corrections frequently originate from provider decisions.</t>
  </si>
  <si>
    <t xml:space="preserve">Ledger is the source of truth for 'credited'. Use signed amounts (reversal negative) so net reward is a simple sum.</t>
  </si>
  <si>
    <t xml:space="preserve">C1 – Task-level analytics schema (one row per task attempt)</t>
  </si>
  <si>
    <t xml:space="preserve">Field names are Proposed. 'In brief' = field requested in the assignment.</t>
  </si>
  <si>
    <t xml:space="preserve">Field</t>
  </si>
  <si>
    <t xml:space="preserve">Definition</t>
  </si>
  <si>
    <t xml:space="preserve">Data type</t>
  </si>
  <si>
    <t xml:space="preserve">Lifecycle stage</t>
  </si>
  <si>
    <t xml:space="preserve">In brief?</t>
  </si>
  <si>
    <t xml:space="preserve">Allowed values / example</t>
  </si>
  <si>
    <t xml:space="preserve">Likely source</t>
  </si>
  <si>
    <t xml:space="preserve">Third-party sensitivity</t>
  </si>
  <si>
    <t xml:space="preserve">task_id</t>
  </si>
  <si>
    <t xml:space="preserve">Unique ID of one task attempt (one user x one task instance). Distinct from catalogue ID of the task offer.</t>
  </si>
  <si>
    <t xml:space="preserve">string</t>
  </si>
  <si>
    <t xml:space="preserve">All</t>
  </si>
  <si>
    <t xml:space="preserve">Yes</t>
  </si>
  <si>
    <t xml:space="preserve">T000123</t>
  </si>
  <si>
    <t xml:space="preserve">VELOOP</t>
  </si>
  <si>
    <t xml:space="preserve">Low – but external IDs must be mapped (see external_ref_id)</t>
  </si>
  <si>
    <t xml:space="preserve">task_type</t>
  </si>
  <si>
    <t xml:space="preserve">Kind of activity the user performs.</t>
  </si>
  <si>
    <t xml:space="preserve">string (enum)</t>
  </si>
  <si>
    <t xml:space="preserve">Discovery</t>
  </si>
  <si>
    <t xml:space="preserve">video_view, survey_complete, offer_install, game_milestone, in_app_action</t>
  </si>
  <si>
    <t xml:space="preserve">VELOOP / provider</t>
  </si>
  <si>
    <t xml:space="preserve">Medium</t>
  </si>
  <si>
    <t xml:space="preserve">feature</t>
  </si>
  <si>
    <t xml:space="preserve">Earning feature the task belongs to.</t>
  </si>
  <si>
    <t xml:space="preserve">Advertisements, Surveys, Offers, Games</t>
  </si>
  <si>
    <t xml:space="preserve">Low</t>
  </si>
  <si>
    <t xml:space="preserve">user_id</t>
  </si>
  <si>
    <t xml:space="preserve">Pseudonymous user identifier.</t>
  </si>
  <si>
    <t xml:space="preserve">U0007</t>
  </si>
  <si>
    <t xml:space="preserve">When task was shown to the user. Needed as funnel denominator.</t>
  </si>
  <si>
    <t xml:space="preserve">datetime (UTC)</t>
  </si>
  <si>
    <t xml:space="preserve">No (added)</t>
  </si>
  <si>
    <t xml:space="preserve">2026-10-02 14:03</t>
  </si>
  <si>
    <t xml:space="preserve">start_time</t>
  </si>
  <si>
    <t xml:space="preserve">When the user began the task (intent). Blank if never started.</t>
  </si>
  <si>
    <t xml:space="preserve">Start</t>
  </si>
  <si>
    <t xml:space="preserve">2026-10-02 14:05</t>
  </si>
  <si>
    <t xml:space="preserve">VELOOP / tracking</t>
  </si>
  <si>
    <t xml:space="preserve">High</t>
  </si>
  <si>
    <t xml:space="preserve">When completion happened (event time, not receipt time). Blank if not completed.</t>
  </si>
  <si>
    <t xml:space="preserve">Completion</t>
  </si>
  <si>
    <t xml:space="preserve">2026-10-02 14:21</t>
  </si>
  <si>
    <t xml:space="preserve">completion_received_at</t>
  </si>
  <si>
    <t xml:space="preserve">When VELOOP received the completion signal. Lets analysts measure external delay.</t>
  </si>
  <si>
    <t xml:space="preserve">2026-10-02 14:40</t>
  </si>
  <si>
    <t xml:space="preserve">status</t>
  </si>
  <si>
    <t xml:space="preserve">Activity outcome: discovered, in_progress, completed, failed, abandoned. Says nothing about reward.</t>
  </si>
  <si>
    <t xml:space="preserve">completed</t>
  </si>
  <si>
    <t xml:space="preserve">Derived</t>
  </si>
  <si>
    <t xml:space="preserve">validation_status</t>
  </si>
  <si>
    <t xml:space="preserve">validated, rejected, pending, not_applicable, unknown_external.</t>
  </si>
  <si>
    <t xml:space="preserve">Validation</t>
  </si>
  <si>
    <t xml:space="preserve">validated</t>
  </si>
  <si>
    <t xml:space="preserve">Provider / VELOOP rules</t>
  </si>
  <si>
    <t xml:space="preserve">reward_amount_expected</t>
  </si>
  <si>
    <t xml:space="preserve">Reward promised/displayed for the task.</t>
  </si>
  <si>
    <t xml:space="preserve">number</t>
  </si>
  <si>
    <t xml:space="preserve">Reward</t>
  </si>
  <si>
    <t xml:space="preserve">Yes (reward amount)</t>
  </si>
  <si>
    <t xml:space="preserve">50</t>
  </si>
  <si>
    <t xml:space="preserve">reward_amount_credited_net</t>
  </si>
  <si>
    <t xml:space="preserve">Net amount actually credited after reversals/corrections (derived from reward events, not entered).</t>
  </si>
  <si>
    <t xml:space="preserve">Ledger (derived)</t>
  </si>
  <si>
    <t xml:space="preserve">reward_unit</t>
  </si>
  <si>
    <t xml:space="preserve">Unit of the reward. Must be explicit to avoid summing mixed units.</t>
  </si>
  <si>
    <t xml:space="preserve">points / currency code</t>
  </si>
  <si>
    <t xml:space="preserve">To confirm</t>
  </si>
  <si>
    <t xml:space="preserve">source_provider</t>
  </si>
  <si>
    <t xml:space="preserve">Who supplied or ran the task (ad network, survey provider, offer partner, game partner, or VELOOP).</t>
  </si>
  <si>
    <t xml:space="preserve">Yes (source info)</t>
  </si>
  <si>
    <t xml:space="preserve">Provider_A</t>
  </si>
  <si>
    <t xml:space="preserve">source_type</t>
  </si>
  <si>
    <t xml:space="preserve">first_party or third_party.</t>
  </si>
  <si>
    <t xml:space="preserve">third_party</t>
  </si>
  <si>
    <t xml:space="preserve">external_ref_id</t>
  </si>
  <si>
    <t xml:space="preserve">Provider-side transaction/click ID used to reconcile with provider reports.</t>
  </si>
  <si>
    <t xml:space="preserve">EXT-88231</t>
  </si>
  <si>
    <t xml:space="preserve">Provider</t>
  </si>
  <si>
    <t xml:space="preserve">failure_class</t>
  </si>
  <si>
    <t xml:space="preserve">Structured failure classification (see C2). Blank if no failure.</t>
  </si>
  <si>
    <t xml:space="preserve">Any</t>
  </si>
  <si>
    <t xml:space="preserve">Yes (failed activity)</t>
  </si>
  <si>
    <t xml:space="preserve">tracking_failed</t>
  </si>
  <si>
    <t xml:space="preserve">Derived / logs</t>
  </si>
  <si>
    <t xml:space="preserve">failure_attribution</t>
  </si>
  <si>
    <t xml:space="preserve">Best-evidence owner of the failure: user, VELOOP, third_party, unknown.</t>
  </si>
  <si>
    <t xml:space="preserve">data_origin</t>
  </si>
  <si>
    <t xml:space="preserve">How the status was learned: first_party_observed, third_party_reported, inferred.</t>
  </si>
  <si>
    <t xml:space="preserve">third_party_reported</t>
  </si>
  <si>
    <t xml:space="preserve">last_updated_at</t>
  </si>
  <si>
    <t xml:space="preserve">Last time the record changed; supports late-arriving data analysis.</t>
  </si>
  <si>
    <t xml:space="preserve">2026-10-04 09:00</t>
  </si>
  <si>
    <t xml:space="preserve">C2 – Failed activity: proposed structured classification</t>
  </si>
  <si>
    <t xml:space="preserve">No internal failure codes were supplied, so none are assumed. All classes below are Proposed. Use failure_class + failure_attribution + detection_basis together.</t>
  </si>
  <si>
    <t xml:space="preserve">Meaning</t>
  </si>
  <si>
    <t xml:space="preserve">Example sub-reasons (Proposed)</t>
  </si>
  <si>
    <t xml:space="preserve">Typical attribution</t>
  </si>
  <si>
    <t xml:space="preserve">Detection basis</t>
  </si>
  <si>
    <t xml:space="preserve">Counted in failure rate?</t>
  </si>
  <si>
    <t xml:space="preserve">Why it matters / caution</t>
  </si>
  <si>
    <t xml:space="preserve">task_failed</t>
  </si>
  <si>
    <t xml:space="preserve">User attempted the task but did not meet the conditions.</t>
  </si>
  <si>
    <t xml:space="preserve">screen_out, quota_full, task_conditions_not_met, install_not_retained</t>
  </si>
  <si>
    <t xml:space="preserve">user or third_party</t>
  </si>
  <si>
    <t xml:space="preserve">Provider outcome or VELOOP rule</t>
  </si>
  <si>
    <t xml:space="preserve">Screen-outs and quota-full are decided by the provider, not user quality. Do not label all as user failure.</t>
  </si>
  <si>
    <t xml:space="preserve">Start / Completion</t>
  </si>
  <si>
    <t xml:space="preserve">Activity may have happened but no (or late) tracking signal reached VELOOP.</t>
  </si>
  <si>
    <t xml:space="preserve">no_postback, postback_late, id_mismatch, click_not_recorded</t>
  </si>
  <si>
    <t xml:space="preserve">third_party, VELOOP or unknown</t>
  </si>
  <si>
    <t xml:space="preserve">Start without completion after defined window; provider report shows completion VELOOP lacks</t>
  </si>
  <si>
    <t xml:space="preserve">Yes – flagged as 'uncertain outcome'</t>
  </si>
  <si>
    <t xml:space="preserve">Possible true completion with missing data. Reconcile against provider reports before judging the user.</t>
  </si>
  <si>
    <t xml:space="preserve">validation_failed</t>
  </si>
  <si>
    <t xml:space="preserve">Completion recorded but rejected as not eligible/genuine.</t>
  </si>
  <si>
    <t xml:space="preserve">provider_rejected, duplicate, fraud_suspected, ineligible_user</t>
  </si>
  <si>
    <t xml:space="preserve">third_party or VELOOP</t>
  </si>
  <si>
    <t xml:space="preserve">validation_status = rejected + validator</t>
  </si>
  <si>
    <t xml:space="preserve">Activity occurred but reward is not due. Keep as separate from task_failed.</t>
  </si>
  <si>
    <t xml:space="preserve">user_abandoned</t>
  </si>
  <si>
    <t xml:space="preserve">User started and left without completing.</t>
  </si>
  <si>
    <t xml:space="preserve">closed_app, exited_provider, timeout_no_activity</t>
  </si>
  <si>
    <t xml:space="preserve">user</t>
  </si>
  <si>
    <t xml:space="preserve">Start without completion; exit event; window elapsed with no tracking issue</t>
  </si>
  <si>
    <t xml:space="preserve">Only valid when tracking is healthy; otherwise it overlaps with tracking_failed.</t>
  </si>
  <si>
    <t xml:space="preserve">system_error</t>
  </si>
  <si>
    <t xml:space="preserve">Technical error stopped the activity or its recording.</t>
  </si>
  <si>
    <t xml:space="preserve">app_error, api_error, provider_outage, ad_no_fill, content_load_error</t>
  </si>
  <si>
    <t xml:space="preserve">VELOOP or third_party</t>
  </si>
  <si>
    <t xml:space="preserve">Error logs; provider status</t>
  </si>
  <si>
    <t xml:space="preserve">Split internal vs external via attribution; external outages are outside VELOOP control but still affect users.</t>
  </si>
  <si>
    <t xml:space="preserve">reward_credit_failed</t>
  </si>
  <si>
    <t xml:space="preserve">Task completed and validated, but no credit appears in the ledger.</t>
  </si>
  <si>
    <t xml:space="preserve">ledger_write_failed, credit_blocked, budget_cap_reached</t>
  </si>
  <si>
    <t xml:space="preserve">VELOOP or unknown</t>
  </si>
  <si>
    <t xml:space="preserve">Validated task with no reward_credited event after SLA window</t>
  </si>
  <si>
    <t xml:space="preserve">Yes (reward stage)</t>
  </si>
  <si>
    <t xml:space="preserve">Highest trust risk: user did the work and was validated. Alert when it occurs.</t>
  </si>
  <si>
    <t xml:space="preserve">unknown</t>
  </si>
  <si>
    <t xml:space="preserve">Outcome cannot be explained with available evidence.</t>
  </si>
  <si>
    <t xml:space="preserve">insufficient_data</t>
  </si>
  <si>
    <t xml:space="preserve">None of the above</t>
  </si>
  <si>
    <t xml:space="preserve">Yes – tracked separately</t>
  </si>
  <si>
    <t xml:space="preserve">Keep as a first-class value; do not force into another class.</t>
  </si>
  <si>
    <t xml:space="preserve">failure_attribution values (Proposed)</t>
  </si>
  <si>
    <t xml:space="preserve">value</t>
  </si>
  <si>
    <t xml:space="preserve">when to use</t>
  </si>
  <si>
    <t xml:space="preserve">Evidence points to user behaviour (e.g. explicit exit) with healthy tracking.</t>
  </si>
  <si>
    <t xml:space="preserve">Failure occurred in VELOOP systems (app, ledger, internal tracking).</t>
  </si>
  <si>
    <t xml:space="preserve">Failure occurred in an ad network, survey/offer/game provider or external tracker.</t>
  </si>
  <si>
    <t xml:space="preserve">Evidence insufficient. Preferred over guessing.</t>
  </si>
  <si>
    <t xml:space="preserve">C3 – Reward events: activity occurred vs reward credited</t>
  </si>
  <si>
    <t xml:space="preserve">Reward events live in their own table (one row per event) and are never inferred from task status.</t>
  </si>
  <si>
    <t xml:space="preserve">event_type</t>
  </si>
  <si>
    <t xml:space="preserve">Trigger</t>
  </si>
  <si>
    <t xml:space="preserve">Amount sign / rule</t>
  </si>
  <si>
    <t xml:space="preserve">Required fields</t>
  </si>
  <si>
    <t xml:space="preserve">Analytics use</t>
  </si>
  <si>
    <t xml:space="preserve">Third-party link</t>
  </si>
  <si>
    <t xml:space="preserve">reward_pending</t>
  </si>
  <si>
    <t xml:space="preserve">Reward expected but not yet credited (awaiting validation or provider confirmation).</t>
  </si>
  <si>
    <t xml:space="preserve">Completion recorded and validation outstanding.</t>
  </si>
  <si>
    <t xml:space="preserve">Informational. Equals expected amount; NOT added to net credited.</t>
  </si>
  <si>
    <t xml:space="preserve">event_id, task_id, user_id, event_time, amount, unit, reason</t>
  </si>
  <si>
    <t xml:space="preserve">Pending value; ageing of pending; time-to-resolve</t>
  </si>
  <si>
    <t xml:space="preserve">High – waiting on provider</t>
  </si>
  <si>
    <t xml:space="preserve">reward_credited</t>
  </si>
  <si>
    <t xml:space="preserve">Value written to the user's balance/ledger.</t>
  </si>
  <si>
    <t xml:space="preserve">Ledger credit confirmed.</t>
  </si>
  <si>
    <t xml:space="preserve">Positive amount; added to net credited.</t>
  </si>
  <si>
    <t xml:space="preserve">as above + ledger_ref</t>
  </si>
  <si>
    <t xml:space="preserve">Credit rate; credit latency; gross credited</t>
  </si>
  <si>
    <t xml:space="preserve">reward_reversed</t>
  </si>
  <si>
    <t xml:space="preserve">A previous credit was taken back.</t>
  </si>
  <si>
    <t xml:space="preserve">Provider chargeback, fraud review, duplicate found.</t>
  </si>
  <si>
    <t xml:space="preserve">Negative amount (equals reversed credit).</t>
  </si>
  <si>
    <t xml:space="preserve">as above + original_event_id, reversal_reason</t>
  </si>
  <si>
    <t xml:space="preserve">Reversal rate; reversal by provider; value clawed back</t>
  </si>
  <si>
    <t xml:space="preserve">reward_corrected</t>
  </si>
  <si>
    <t xml:space="preserve">Credit amount adjusted without full reversal.</t>
  </si>
  <si>
    <t xml:space="preserve">Provider restates payout or VELOOP fixes an error.</t>
  </si>
  <si>
    <t xml:space="preserve">Signed delta (positive or negative).</t>
  </si>
  <si>
    <t xml:space="preserve">as above + original_event_id, correction_reason</t>
  </si>
  <si>
    <t xml:space="preserve">Correction rate; net impact of corrections</t>
  </si>
  <si>
    <t xml:space="preserve">Activity vs reward – decision matrix</t>
  </si>
  <si>
    <t xml:space="preserve">task status</t>
  </si>
  <si>
    <t xml:space="preserve">validation</t>
  </si>
  <si>
    <t xml:space="preserve">reward events</t>
  </si>
  <si>
    <t xml:space="preserve">interpretation</t>
  </si>
  <si>
    <t xml:space="preserve">Completed</t>
  </si>
  <si>
    <t xml:space="preserve">credited, no reversal</t>
  </si>
  <si>
    <t xml:space="preserve">Normal path. Activity occurred AND reward credited.</t>
  </si>
  <si>
    <t xml:space="preserve">pending</t>
  </si>
  <si>
    <t xml:space="preserve">reward_pending only</t>
  </si>
  <si>
    <t xml:space="preserve">Activity occurred; reward NOT credited yet. Report as pending value, not earned.</t>
  </si>
  <si>
    <t xml:space="preserve">rejected</t>
  </si>
  <si>
    <t xml:space="preserve">none</t>
  </si>
  <si>
    <t xml:space="preserve">Activity occurred; no reward due. Count as validation_failed.</t>
  </si>
  <si>
    <t xml:space="preserve">no credit event after SLA</t>
  </si>
  <si>
    <t xml:space="preserve">Activity + validation occurred; reward NOT credited. reward_credit_failed – investigate.</t>
  </si>
  <si>
    <t xml:space="preserve">credited then reversed</t>
  </si>
  <si>
    <t xml:space="preserve">Credited at one time, not net-credited now. Report gross and net separately.</t>
  </si>
  <si>
    <t xml:space="preserve">credited then corrected</t>
  </si>
  <si>
    <t xml:space="preserve">Net credited differs from expected; show correction delta.</t>
  </si>
  <si>
    <t xml:space="preserve">Not completed</t>
  </si>
  <si>
    <t xml:space="preserve">n/a</t>
  </si>
  <si>
    <t xml:space="preserve">No reward. Failure type per C2.</t>
  </si>
  <si>
    <t xml:space="preserve">Reconciliation rule (Proposed): expected reward on completed tasks - rejected - open pending - credit failed = gross credited; gross credited + reversals + corrections = net credited. Any leftover is 'unexplained' and must be investigated (see KPI_Dashboard).</t>
  </si>
  <si>
    <t xml:space="preserve">C4 – Third-party dependency: what VELOOP does and does not control</t>
  </si>
  <si>
    <t xml:space="preserve">Design principle: record who reported each fact, segment every KPI by provider, and keep 'unknown' as a valid outcome.</t>
  </si>
  <si>
    <t xml:space="preserve">Dependency</t>
  </si>
  <si>
    <t xml:space="preserve">What the external party controls</t>
  </si>
  <si>
    <t xml:space="preserve">How it can distort VELOOP data</t>
  </si>
  <si>
    <t xml:space="preserve">What VELOOP can observe</t>
  </si>
  <si>
    <t xml:space="preserve">Analytics design response (Proposed)</t>
  </si>
  <si>
    <t xml:space="preserve">Segment KPIs by</t>
  </si>
  <si>
    <t xml:space="preserve">Confidence in data</t>
  </si>
  <si>
    <t xml:space="preserve">Advertisements</t>
  </si>
  <si>
    <t xml:space="preserve">Ad inventory, fill, targeting, view verification, payout.</t>
  </si>
  <si>
    <t xml:space="preserve">No-fill looks like low engagement; view counts may differ from provider billing; invalid-traffic reversals arrive later.</t>
  </si>
  <si>
    <t xml:space="preserve">Ad request, ad shown, close events inside VELOOP.</t>
  </si>
  <si>
    <t xml:space="preserve">Log ad_requested and ad_shown separately; capture no_fill as system_error (external). Reconcile views with network report.</t>
  </si>
  <si>
    <t xml:space="preserve">ad network, placement, country</t>
  </si>
  <si>
    <t xml:space="preserve">Medium – first-party view, third-party verification</t>
  </si>
  <si>
    <t xml:space="preserve">Surveys</t>
  </si>
  <si>
    <t xml:space="preserve">Survey availability, screen-outs, quotas, quality checks, completion confirmation.</t>
  </si>
  <si>
    <t xml:space="preserve">Screen-out and quota-full look like user failure; long confirmation delays; late rejections.</t>
  </si>
  <si>
    <t xml:space="preserve">Click-out, return redirect, postback.</t>
  </si>
  <si>
    <t xml:space="preserve">Record screen_out as task_failed with attribution third_party; track postback latency; report rejection rate by provider.</t>
  </si>
  <si>
    <t xml:space="preserve">survey provider, survey length, country</t>
  </si>
  <si>
    <t xml:space="preserve">Low-Medium – outcome decided externally</t>
  </si>
  <si>
    <t xml:space="preserve">Offers</t>
  </si>
  <si>
    <t xml:space="preserve">Install/signup tracking, conversion rules, hold periods, chargebacks.</t>
  </si>
  <si>
    <t xml:space="preserve">Long pending periods; conversions may be rejected or reversed after crediting; user activity not visible after click-out.</t>
  </si>
  <si>
    <t xml:space="preserve">Click-out, postback, conversion status updates.</t>
  </si>
  <si>
    <t xml:space="preserve">Store pending ageing and reversal lag; never report offer reward as earned until credited; track reversal by provider.</t>
  </si>
  <si>
    <t xml:space="preserve">offer provider, offer type, hold period</t>
  </si>
  <si>
    <t xml:space="preserve">Low – long, external lifecycle</t>
  </si>
  <si>
    <t xml:space="preserve">Games</t>
  </si>
  <si>
    <t xml:space="preserve">Milestone tracking inside the game, game servers, payout rules.</t>
  </si>
  <si>
    <t xml:space="preserve">Milestones may not be reported; game outage interrupts progress; payout restated.</t>
  </si>
  <si>
    <t xml:space="preserve">Click-out, milestone postbacks.</t>
  </si>
  <si>
    <t xml:space="preserve">Treat missing milestone as tracking_failed until reconciled; record milestone definition per task.</t>
  </si>
  <si>
    <t xml:space="preserve">game partner, milestone type</t>
  </si>
  <si>
    <t xml:space="preserve">Low-Medium</t>
  </si>
  <si>
    <t xml:space="preserve">Tracking systems / postbacks</t>
  </si>
  <si>
    <t xml:space="preserve">Attribution, click-to-conversion matching, delivery of callbacks.</t>
  </si>
  <si>
    <t xml:space="preserve">Missing, duplicate or late postbacks create phantom failures or double counts; ID mismatches break joins.</t>
  </si>
  <si>
    <t xml:space="preserve">Postback received time, payload, error responses.</t>
  </si>
  <si>
    <t xml:space="preserve">Store event_time and received_time; de-duplicate on external_ref_id; define window after which a missing postback becomes tracking_failed (Proposed, e.g. provider-specific).</t>
  </si>
  <si>
    <t xml:space="preserve">tracking source, provider, postback delay band</t>
  </si>
  <si>
    <t xml:space="preserve">Variable – check postback delivery health first</t>
  </si>
  <si>
    <t xml:space="preserve">Design principles</t>
  </si>
  <si>
    <t xml:space="preserve">#</t>
  </si>
  <si>
    <t xml:space="preserve">principle</t>
  </si>
  <si>
    <t xml:space="preserve">1</t>
  </si>
  <si>
    <t xml:space="preserve">Record data_origin on every status (first_party_observed / third_party_reported / inferred).</t>
  </si>
  <si>
    <t xml:space="preserve">2</t>
  </si>
  <si>
    <t xml:space="preserve">Capture event time AND receipt time for every external signal.</t>
  </si>
  <si>
    <t xml:space="preserve">3</t>
  </si>
  <si>
    <t xml:space="preserve">Reconcile with provider reports on a schedule; track the match rate as a KPI (K22).</t>
  </si>
  <si>
    <t xml:space="preserve">4</t>
  </si>
  <si>
    <t xml:space="preserve">Attribute failures to the best-evidence owner; use 'unknown' instead of guessing.</t>
  </si>
  <si>
    <t xml:space="preserve">5</t>
  </si>
  <si>
    <t xml:space="preserve">Compare providers only after checking tracking health; poor tracking looks like poor engagement.</t>
  </si>
  <si>
    <t xml:space="preserve">6</t>
  </si>
  <si>
    <t xml:space="preserve">Report headline KPIs with third-party-attributable share alongside, so decline is not blamed on VELOOP or users by default.</t>
  </si>
  <si>
    <t xml:space="preserve">duration_min</t>
  </si>
  <si>
    <t xml:space="preserve">n_pending</t>
  </si>
  <si>
    <t xml:space="preserve">n_credited</t>
  </si>
  <si>
    <t xml:space="preserve">n_reversed</t>
  </si>
  <si>
    <t xml:space="preserve">n_corrected</t>
  </si>
  <si>
    <t xml:space="preserve">net_reward_credited</t>
  </si>
  <si>
    <t xml:space="preserve">first_credit_time</t>
  </si>
  <si>
    <t xml:space="preserve">credit_latency_hrs</t>
  </si>
  <si>
    <t xml:space="preserve">flag_started</t>
  </si>
  <si>
    <t xml:space="preserve">flag_completed</t>
  </si>
  <si>
    <t xml:space="preserve">flag_validated</t>
  </si>
  <si>
    <t xml:space="preserve">flag_credited</t>
  </si>
  <si>
    <t xml:space="preserve">T00001</t>
  </si>
  <si>
    <t xml:space="preserve">game_milestone</t>
  </si>
  <si>
    <t xml:space="preserve">U0027</t>
  </si>
  <si>
    <t xml:space="preserve">GamePartner_A</t>
  </si>
  <si>
    <t xml:space="preserve">EXT-88742</t>
  </si>
  <si>
    <t xml:space="preserve">T00002</t>
  </si>
  <si>
    <t xml:space="preserve">offer_install</t>
  </si>
  <si>
    <t xml:space="preserve">U0032</t>
  </si>
  <si>
    <t xml:space="preserve">Offerwall_B</t>
  </si>
  <si>
    <t xml:space="preserve">EXT-63626</t>
  </si>
  <si>
    <t xml:space="preserve">discovered</t>
  </si>
  <si>
    <t xml:space="preserve">T00003</t>
  </si>
  <si>
    <t xml:space="preserve">video_view</t>
  </si>
  <si>
    <t xml:space="preserve">U0029</t>
  </si>
  <si>
    <t xml:space="preserve">AdNetwork_A</t>
  </si>
  <si>
    <t xml:space="preserve">EXT-26962</t>
  </si>
  <si>
    <t xml:space="preserve">T00004</t>
  </si>
  <si>
    <t xml:space="preserve">survey_complete</t>
  </si>
  <si>
    <t xml:space="preserve">U0066</t>
  </si>
  <si>
    <t xml:space="preserve">SurveyProv_A</t>
  </si>
  <si>
    <t xml:space="preserve">EXT-94461</t>
  </si>
  <si>
    <t xml:space="preserve">T00005</t>
  </si>
  <si>
    <t xml:space="preserve">U0026</t>
  </si>
  <si>
    <t xml:space="preserve">AdNetwork_B</t>
  </si>
  <si>
    <t xml:space="preserve">EXT-60372</t>
  </si>
  <si>
    <t xml:space="preserve">T00006</t>
  </si>
  <si>
    <t xml:space="preserve">U0008</t>
  </si>
  <si>
    <t xml:space="preserve">Offerwall_A</t>
  </si>
  <si>
    <t xml:space="preserve">EXT-19816</t>
  </si>
  <si>
    <t xml:space="preserve">T00007</t>
  </si>
  <si>
    <t xml:space="preserve">U0014</t>
  </si>
  <si>
    <t xml:space="preserve">EXT-15901</t>
  </si>
  <si>
    <t xml:space="preserve">T00008</t>
  </si>
  <si>
    <t xml:space="preserve">U0006</t>
  </si>
  <si>
    <t xml:space="preserve">EXT-22617</t>
  </si>
  <si>
    <t xml:space="preserve">T00009</t>
  </si>
  <si>
    <t xml:space="preserve">U0036</t>
  </si>
  <si>
    <t xml:space="preserve">EXT-89303</t>
  </si>
  <si>
    <t xml:space="preserve">T00010</t>
  </si>
  <si>
    <t xml:space="preserve">in_app_action</t>
  </si>
  <si>
    <t xml:space="preserve">In-app tasks</t>
  </si>
  <si>
    <t xml:space="preserve">U0045</t>
  </si>
  <si>
    <t xml:space="preserve">first_party</t>
  </si>
  <si>
    <t xml:space="preserve">T00011</t>
  </si>
  <si>
    <t xml:space="preserve">U0005</t>
  </si>
  <si>
    <t xml:space="preserve">EXT-33990</t>
  </si>
  <si>
    <t xml:space="preserve">T00012</t>
  </si>
  <si>
    <t xml:space="preserve">T00013</t>
  </si>
  <si>
    <t xml:space="preserve">U0004</t>
  </si>
  <si>
    <t xml:space="preserve">EXT-24530</t>
  </si>
  <si>
    <t xml:space="preserve">T00014</t>
  </si>
  <si>
    <t xml:space="preserve">U0030</t>
  </si>
  <si>
    <t xml:space="preserve">SurveyProv_B</t>
  </si>
  <si>
    <t xml:space="preserve">EXT-88090</t>
  </si>
  <si>
    <t xml:space="preserve">T00015</t>
  </si>
  <si>
    <t xml:space="preserve">abandoned</t>
  </si>
  <si>
    <t xml:space="preserve">T00016</t>
  </si>
  <si>
    <t xml:space="preserve">U0061</t>
  </si>
  <si>
    <t xml:space="preserve">EXT-96019</t>
  </si>
  <si>
    <t xml:space="preserve">T00017</t>
  </si>
  <si>
    <t xml:space="preserve">U0013</t>
  </si>
  <si>
    <t xml:space="preserve">EXT-82787</t>
  </si>
  <si>
    <t xml:space="preserve">T00018</t>
  </si>
  <si>
    <t xml:space="preserve">U0063</t>
  </si>
  <si>
    <t xml:space="preserve">EXT-25210</t>
  </si>
  <si>
    <t xml:space="preserve">T00019</t>
  </si>
  <si>
    <t xml:space="preserve">U0042</t>
  </si>
  <si>
    <t xml:space="preserve">EXT-46081</t>
  </si>
  <si>
    <t xml:space="preserve">T00020</t>
  </si>
  <si>
    <t xml:space="preserve">EXT-44310</t>
  </si>
  <si>
    <t xml:space="preserve">T00021</t>
  </si>
  <si>
    <t xml:space="preserve">U0024</t>
  </si>
  <si>
    <t xml:space="preserve">EXT-48875</t>
  </si>
  <si>
    <t xml:space="preserve">T00022</t>
  </si>
  <si>
    <t xml:space="preserve">EXT-11746</t>
  </si>
  <si>
    <t xml:space="preserve">T00023</t>
  </si>
  <si>
    <t xml:space="preserve">U0010</t>
  </si>
  <si>
    <t xml:space="preserve">EXT-59664</t>
  </si>
  <si>
    <t xml:space="preserve">T00024</t>
  </si>
  <si>
    <t xml:space="preserve">U0016</t>
  </si>
  <si>
    <t xml:space="preserve">GamePartner_B</t>
  </si>
  <si>
    <t xml:space="preserve">EXT-61879</t>
  </si>
  <si>
    <t xml:space="preserve">T00025</t>
  </si>
  <si>
    <t xml:space="preserve">U0048</t>
  </si>
  <si>
    <t xml:space="preserve">failed</t>
  </si>
  <si>
    <t xml:space="preserve">T00026</t>
  </si>
  <si>
    <t xml:space="preserve">EXT-75197</t>
  </si>
  <si>
    <t xml:space="preserve">T00027</t>
  </si>
  <si>
    <t xml:space="preserve">EXT-73235</t>
  </si>
  <si>
    <t xml:space="preserve">T00028</t>
  </si>
  <si>
    <t xml:space="preserve">EXT-45347</t>
  </si>
  <si>
    <t xml:space="preserve">T00029</t>
  </si>
  <si>
    <t xml:space="preserve">EXT-56204</t>
  </si>
  <si>
    <t xml:space="preserve">T00030</t>
  </si>
  <si>
    <t xml:space="preserve">U0051</t>
  </si>
  <si>
    <t xml:space="preserve">EXT-73978</t>
  </si>
  <si>
    <t xml:space="preserve">T00031</t>
  </si>
  <si>
    <t xml:space="preserve">U0064</t>
  </si>
  <si>
    <t xml:space="preserve">T00032</t>
  </si>
  <si>
    <t xml:space="preserve">U0002</t>
  </si>
  <si>
    <t xml:space="preserve">EXT-30990</t>
  </si>
  <si>
    <t xml:space="preserve">T00033</t>
  </si>
  <si>
    <t xml:space="preserve">U0031</t>
  </si>
  <si>
    <t xml:space="preserve">EXT-28277</t>
  </si>
  <si>
    <t xml:space="preserve">T00034</t>
  </si>
  <si>
    <t xml:space="preserve">EXT-28716</t>
  </si>
  <si>
    <t xml:space="preserve">T00035</t>
  </si>
  <si>
    <t xml:space="preserve">EXT-69210</t>
  </si>
  <si>
    <t xml:space="preserve">T00036</t>
  </si>
  <si>
    <t xml:space="preserve">U0046</t>
  </si>
  <si>
    <t xml:space="preserve">T00037</t>
  </si>
  <si>
    <t xml:space="preserve">U0050</t>
  </si>
  <si>
    <t xml:space="preserve">EXT-46117</t>
  </si>
  <si>
    <t xml:space="preserve">T00038</t>
  </si>
  <si>
    <t xml:space="preserve">EXT-71813</t>
  </si>
  <si>
    <t xml:space="preserve">T00039</t>
  </si>
  <si>
    <t xml:space="preserve">U0052</t>
  </si>
  <si>
    <t xml:space="preserve">EXT-44795</t>
  </si>
  <si>
    <t xml:space="preserve">T00040</t>
  </si>
  <si>
    <t xml:space="preserve">U0062</t>
  </si>
  <si>
    <t xml:space="preserve">T00041</t>
  </si>
  <si>
    <t xml:space="preserve">U0049</t>
  </si>
  <si>
    <t xml:space="preserve">T00042</t>
  </si>
  <si>
    <t xml:space="preserve">U0044</t>
  </si>
  <si>
    <t xml:space="preserve">T00043</t>
  </si>
  <si>
    <t xml:space="preserve">EXT-44840</t>
  </si>
  <si>
    <t xml:space="preserve">T00044</t>
  </si>
  <si>
    <t xml:space="preserve">U0047</t>
  </si>
  <si>
    <t xml:space="preserve">EXT-68333</t>
  </si>
  <si>
    <t xml:space="preserve">T00045</t>
  </si>
  <si>
    <t xml:space="preserve">EXT-58158</t>
  </si>
  <si>
    <t xml:space="preserve">T00046</t>
  </si>
  <si>
    <t xml:space="preserve">EXT-75418</t>
  </si>
  <si>
    <t xml:space="preserve">T00047</t>
  </si>
  <si>
    <t xml:space="preserve">U0037</t>
  </si>
  <si>
    <t xml:space="preserve">EXT-85888</t>
  </si>
  <si>
    <t xml:space="preserve">T00048</t>
  </si>
  <si>
    <t xml:space="preserve">T00049</t>
  </si>
  <si>
    <t xml:space="preserve">U0068</t>
  </si>
  <si>
    <t xml:space="preserve">EXT-98825</t>
  </si>
  <si>
    <t xml:space="preserve">T00050</t>
  </si>
  <si>
    <t xml:space="preserve">T00051</t>
  </si>
  <si>
    <t xml:space="preserve">T00052</t>
  </si>
  <si>
    <t xml:space="preserve">EXT-52065</t>
  </si>
  <si>
    <t xml:space="preserve">T00053</t>
  </si>
  <si>
    <t xml:space="preserve">EXT-85716</t>
  </si>
  <si>
    <t xml:space="preserve">T00054</t>
  </si>
  <si>
    <t xml:space="preserve">EXT-66640</t>
  </si>
  <si>
    <t xml:space="preserve">T00055</t>
  </si>
  <si>
    <t xml:space="preserve">U0040</t>
  </si>
  <si>
    <t xml:space="preserve">EXT-21360</t>
  </si>
  <si>
    <t xml:space="preserve">T00056</t>
  </si>
  <si>
    <t xml:space="preserve">T00057</t>
  </si>
  <si>
    <t xml:space="preserve">U0009</t>
  </si>
  <si>
    <t xml:space="preserve">EXT-62311</t>
  </si>
  <si>
    <t xml:space="preserve">T00058</t>
  </si>
  <si>
    <t xml:space="preserve">U0041</t>
  </si>
  <si>
    <t xml:space="preserve">EXT-68428</t>
  </si>
  <si>
    <t xml:space="preserve">T00059</t>
  </si>
  <si>
    <t xml:space="preserve">EXT-74154</t>
  </si>
  <si>
    <t xml:space="preserve">T00060</t>
  </si>
  <si>
    <t xml:space="preserve">EXT-54974</t>
  </si>
  <si>
    <t xml:space="preserve">T00061</t>
  </si>
  <si>
    <t xml:space="preserve">U0017</t>
  </si>
  <si>
    <t xml:space="preserve">T00062</t>
  </si>
  <si>
    <t xml:space="preserve">T00063</t>
  </si>
  <si>
    <t xml:space="preserve">EXT-72847</t>
  </si>
  <si>
    <t xml:space="preserve">T00064</t>
  </si>
  <si>
    <t xml:space="preserve">U0059</t>
  </si>
  <si>
    <t xml:space="preserve">EXT-27089</t>
  </si>
  <si>
    <t xml:space="preserve">T00065</t>
  </si>
  <si>
    <t xml:space="preserve">EXT-63819</t>
  </si>
  <si>
    <t xml:space="preserve">T00066</t>
  </si>
  <si>
    <t xml:space="preserve">T00067</t>
  </si>
  <si>
    <t xml:space="preserve">T00068</t>
  </si>
  <si>
    <t xml:space="preserve">EXT-68952</t>
  </si>
  <si>
    <t xml:space="preserve">T00069</t>
  </si>
  <si>
    <t xml:space="preserve">EXT-59884</t>
  </si>
  <si>
    <t xml:space="preserve">T00070</t>
  </si>
  <si>
    <t xml:space="preserve">T00071</t>
  </si>
  <si>
    <t xml:space="preserve">EXT-11524</t>
  </si>
  <si>
    <t xml:space="preserve">T00072</t>
  </si>
  <si>
    <t xml:space="preserve">U0033</t>
  </si>
  <si>
    <t xml:space="preserve">EXT-42770</t>
  </si>
  <si>
    <t xml:space="preserve">T00073</t>
  </si>
  <si>
    <t xml:space="preserve">T00074</t>
  </si>
  <si>
    <t xml:space="preserve">T00075</t>
  </si>
  <si>
    <t xml:space="preserve">U0023</t>
  </si>
  <si>
    <t xml:space="preserve">EXT-73362</t>
  </si>
  <si>
    <t xml:space="preserve">T00076</t>
  </si>
  <si>
    <t xml:space="preserve">EXT-15719</t>
  </si>
  <si>
    <t xml:space="preserve">T00077</t>
  </si>
  <si>
    <t xml:space="preserve">U0057</t>
  </si>
  <si>
    <t xml:space="preserve">T00078</t>
  </si>
  <si>
    <t xml:space="preserve">EXT-74182</t>
  </si>
  <si>
    <t xml:space="preserve">T00079</t>
  </si>
  <si>
    <t xml:space="preserve">U0058</t>
  </si>
  <si>
    <t xml:space="preserve">EXT-96466</t>
  </si>
  <si>
    <t xml:space="preserve">T00080</t>
  </si>
  <si>
    <t xml:space="preserve">T00081</t>
  </si>
  <si>
    <t xml:space="preserve">U0034</t>
  </si>
  <si>
    <t xml:space="preserve">T00082</t>
  </si>
  <si>
    <t xml:space="preserve">EXT-28455</t>
  </si>
  <si>
    <t xml:space="preserve">T00083</t>
  </si>
  <si>
    <t xml:space="preserve">U0011</t>
  </si>
  <si>
    <t xml:space="preserve">EXT-37589</t>
  </si>
  <si>
    <t xml:space="preserve">T00084</t>
  </si>
  <si>
    <t xml:space="preserve">EXT-34130</t>
  </si>
  <si>
    <t xml:space="preserve">T00085</t>
  </si>
  <si>
    <t xml:space="preserve">T00086</t>
  </si>
  <si>
    <t xml:space="preserve">U0038</t>
  </si>
  <si>
    <t xml:space="preserve">EXT-19818</t>
  </si>
  <si>
    <t xml:space="preserve">T00087</t>
  </si>
  <si>
    <t xml:space="preserve">EXT-39876</t>
  </si>
  <si>
    <t xml:space="preserve">T00088</t>
  </si>
  <si>
    <t xml:space="preserve">U0020</t>
  </si>
  <si>
    <t xml:space="preserve">EXT-74500</t>
  </si>
  <si>
    <t xml:space="preserve">T00089</t>
  </si>
  <si>
    <t xml:space="preserve">U0069</t>
  </si>
  <si>
    <t xml:space="preserve">EXT-83630</t>
  </si>
  <si>
    <t xml:space="preserve">T00090</t>
  </si>
  <si>
    <t xml:space="preserve">U0028</t>
  </si>
  <si>
    <t xml:space="preserve">EXT-61258</t>
  </si>
  <si>
    <t xml:space="preserve">T00091</t>
  </si>
  <si>
    <t xml:space="preserve">EXT-47435</t>
  </si>
  <si>
    <t xml:space="preserve">T00092</t>
  </si>
  <si>
    <t xml:space="preserve">U0060</t>
  </si>
  <si>
    <t xml:space="preserve">EXT-31654</t>
  </si>
  <si>
    <t xml:space="preserve">T00093</t>
  </si>
  <si>
    <t xml:space="preserve">U0015</t>
  </si>
  <si>
    <t xml:space="preserve">EXT-66874</t>
  </si>
  <si>
    <t xml:space="preserve">T00094</t>
  </si>
  <si>
    <t xml:space="preserve">EXT-77525</t>
  </si>
  <si>
    <t xml:space="preserve">T00095</t>
  </si>
  <si>
    <t xml:space="preserve">EXT-72110</t>
  </si>
  <si>
    <t xml:space="preserve">T00096</t>
  </si>
  <si>
    <t xml:space="preserve">U0067</t>
  </si>
  <si>
    <t xml:space="preserve">EXT-28515</t>
  </si>
  <si>
    <t xml:space="preserve">T00097</t>
  </si>
  <si>
    <t xml:space="preserve">EXT-91305</t>
  </si>
  <si>
    <t xml:space="preserve">T00098</t>
  </si>
  <si>
    <t xml:space="preserve">U0001</t>
  </si>
  <si>
    <t xml:space="preserve">EXT-28746</t>
  </si>
  <si>
    <t xml:space="preserve">T00099</t>
  </si>
  <si>
    <t xml:space="preserve">EXT-82113</t>
  </si>
  <si>
    <t xml:space="preserve">T00100</t>
  </si>
  <si>
    <t xml:space="preserve">EXT-52361</t>
  </si>
  <si>
    <t xml:space="preserve">T00101</t>
  </si>
  <si>
    <t xml:space="preserve">U0019</t>
  </si>
  <si>
    <t xml:space="preserve">EXT-84249</t>
  </si>
  <si>
    <t xml:space="preserve">T00102</t>
  </si>
  <si>
    <t xml:space="preserve">U0021</t>
  </si>
  <si>
    <t xml:space="preserve">T00103</t>
  </si>
  <si>
    <t xml:space="preserve">EXT-79663</t>
  </si>
  <si>
    <t xml:space="preserve">T00104</t>
  </si>
  <si>
    <t xml:space="preserve">EXT-32009</t>
  </si>
  <si>
    <t xml:space="preserve">T00105</t>
  </si>
  <si>
    <t xml:space="preserve">EXT-79500</t>
  </si>
  <si>
    <t xml:space="preserve">T00106</t>
  </si>
  <si>
    <t xml:space="preserve">T00107</t>
  </si>
  <si>
    <t xml:space="preserve">EXT-28921</t>
  </si>
  <si>
    <t xml:space="preserve">T00108</t>
  </si>
  <si>
    <t xml:space="preserve">EXT-99751</t>
  </si>
  <si>
    <t xml:space="preserve">T00109</t>
  </si>
  <si>
    <t xml:space="preserve">EXT-58317</t>
  </si>
  <si>
    <t xml:space="preserve">T00110</t>
  </si>
  <si>
    <t xml:space="preserve">EXT-86805</t>
  </si>
  <si>
    <t xml:space="preserve">T00111</t>
  </si>
  <si>
    <t xml:space="preserve">U0012</t>
  </si>
  <si>
    <t xml:space="preserve">T00112</t>
  </si>
  <si>
    <t xml:space="preserve">EXT-55068</t>
  </si>
  <si>
    <t xml:space="preserve">T00113</t>
  </si>
  <si>
    <t xml:space="preserve">EXT-82420</t>
  </si>
  <si>
    <t xml:space="preserve">T00114</t>
  </si>
  <si>
    <t xml:space="preserve">EXT-89494</t>
  </si>
  <si>
    <t xml:space="preserve">T00115</t>
  </si>
  <si>
    <t xml:space="preserve">EXT-85694</t>
  </si>
  <si>
    <t xml:space="preserve">T00116</t>
  </si>
  <si>
    <t xml:space="preserve">EXT-64142</t>
  </si>
  <si>
    <t xml:space="preserve">T00117</t>
  </si>
  <si>
    <t xml:space="preserve">EXT-73300</t>
  </si>
  <si>
    <t xml:space="preserve">T00118</t>
  </si>
  <si>
    <t xml:space="preserve">EXT-25699</t>
  </si>
  <si>
    <t xml:space="preserve">T00119</t>
  </si>
  <si>
    <t xml:space="preserve">EXT-29466</t>
  </si>
  <si>
    <t xml:space="preserve">T00120</t>
  </si>
  <si>
    <t xml:space="preserve">EXT-33582</t>
  </si>
  <si>
    <t xml:space="preserve">T00121</t>
  </si>
  <si>
    <t xml:space="preserve">U0070</t>
  </si>
  <si>
    <t xml:space="preserve">T00122</t>
  </si>
  <si>
    <t xml:space="preserve">EXT-48269</t>
  </si>
  <si>
    <t xml:space="preserve">T00123</t>
  </si>
  <si>
    <t xml:space="preserve">EXT-67169</t>
  </si>
  <si>
    <t xml:space="preserve">T00124</t>
  </si>
  <si>
    <t xml:space="preserve">U0065</t>
  </si>
  <si>
    <t xml:space="preserve">EXT-33300</t>
  </si>
  <si>
    <t xml:space="preserve">T00125</t>
  </si>
  <si>
    <t xml:space="preserve">EXT-15442</t>
  </si>
  <si>
    <t xml:space="preserve">T00126</t>
  </si>
  <si>
    <t xml:space="preserve">EXT-70301</t>
  </si>
  <si>
    <t xml:space="preserve">T00127</t>
  </si>
  <si>
    <t xml:space="preserve">EXT-85050</t>
  </si>
  <si>
    <t xml:space="preserve">T00128</t>
  </si>
  <si>
    <t xml:space="preserve">EXT-69484</t>
  </si>
  <si>
    <t xml:space="preserve">T00129</t>
  </si>
  <si>
    <t xml:space="preserve">EXT-32886</t>
  </si>
  <si>
    <t xml:space="preserve">T00130</t>
  </si>
  <si>
    <t xml:space="preserve">EXT-35017</t>
  </si>
  <si>
    <t xml:space="preserve">T00131</t>
  </si>
  <si>
    <t xml:space="preserve">EXT-23774</t>
  </si>
  <si>
    <t xml:space="preserve">T00132</t>
  </si>
  <si>
    <t xml:space="preserve">EXT-24386</t>
  </si>
  <si>
    <t xml:space="preserve">T00133</t>
  </si>
  <si>
    <t xml:space="preserve">EXT-77149</t>
  </si>
  <si>
    <t xml:space="preserve">T00134</t>
  </si>
  <si>
    <t xml:space="preserve">EXT-81230</t>
  </si>
  <si>
    <t xml:space="preserve">T00135</t>
  </si>
  <si>
    <t xml:space="preserve">EXT-87392</t>
  </si>
  <si>
    <t xml:space="preserve">T00136</t>
  </si>
  <si>
    <t xml:space="preserve">EXT-82522</t>
  </si>
  <si>
    <t xml:space="preserve">T00137</t>
  </si>
  <si>
    <t xml:space="preserve">EXT-61165</t>
  </si>
  <si>
    <t xml:space="preserve">T00138</t>
  </si>
  <si>
    <t xml:space="preserve">T00139</t>
  </si>
  <si>
    <t xml:space="preserve">EXT-47083</t>
  </si>
  <si>
    <t xml:space="preserve">T00140</t>
  </si>
  <si>
    <t xml:space="preserve">EXT-65596</t>
  </si>
  <si>
    <t xml:space="preserve">T00141</t>
  </si>
  <si>
    <t xml:space="preserve">EXT-64186</t>
  </si>
  <si>
    <t xml:space="preserve">T00142</t>
  </si>
  <si>
    <t xml:space="preserve">EXT-42546</t>
  </si>
  <si>
    <t xml:space="preserve">T00143</t>
  </si>
  <si>
    <t xml:space="preserve">EXT-93696</t>
  </si>
  <si>
    <t xml:space="preserve">T00144</t>
  </si>
  <si>
    <t xml:space="preserve">EXT-94137</t>
  </si>
  <si>
    <t xml:space="preserve">T00145</t>
  </si>
  <si>
    <t xml:space="preserve">EXT-84329</t>
  </si>
  <si>
    <t xml:space="preserve">T00146</t>
  </si>
  <si>
    <t xml:space="preserve">EXT-75476</t>
  </si>
  <si>
    <t xml:space="preserve">T00147</t>
  </si>
  <si>
    <t xml:space="preserve">EXT-77977</t>
  </si>
  <si>
    <t xml:space="preserve">T00148</t>
  </si>
  <si>
    <t xml:space="preserve">U0035</t>
  </si>
  <si>
    <t xml:space="preserve">EXT-95336</t>
  </si>
  <si>
    <t xml:space="preserve">T00149</t>
  </si>
  <si>
    <t xml:space="preserve">EXT-75921</t>
  </si>
  <si>
    <t xml:space="preserve">T00150</t>
  </si>
  <si>
    <t xml:space="preserve">EXT-41842</t>
  </si>
  <si>
    <t xml:space="preserve">T00151</t>
  </si>
  <si>
    <t xml:space="preserve">U0039</t>
  </si>
  <si>
    <t xml:space="preserve">EXT-96640</t>
  </si>
  <si>
    <t xml:space="preserve">T00152</t>
  </si>
  <si>
    <t xml:space="preserve">EXT-76005</t>
  </si>
  <si>
    <t xml:space="preserve">T00153</t>
  </si>
  <si>
    <t xml:space="preserve">EXT-62134</t>
  </si>
  <si>
    <t xml:space="preserve">T00154</t>
  </si>
  <si>
    <t xml:space="preserve">T00155</t>
  </si>
  <si>
    <t xml:space="preserve">EXT-58516</t>
  </si>
  <si>
    <t xml:space="preserve">T00156</t>
  </si>
  <si>
    <t xml:space="preserve">EXT-18799</t>
  </si>
  <si>
    <t xml:space="preserve">T00157</t>
  </si>
  <si>
    <t xml:space="preserve">T00158</t>
  </si>
  <si>
    <t xml:space="preserve">T00159</t>
  </si>
  <si>
    <t xml:space="preserve">U0003</t>
  </si>
  <si>
    <t xml:space="preserve">EXT-76125</t>
  </si>
  <si>
    <t xml:space="preserve">T00160</t>
  </si>
  <si>
    <t xml:space="preserve">EXT-75986</t>
  </si>
  <si>
    <t xml:space="preserve">T00161</t>
  </si>
  <si>
    <t xml:space="preserve">EXT-93883</t>
  </si>
  <si>
    <t xml:space="preserve">T00162</t>
  </si>
  <si>
    <t xml:space="preserve">EXT-26029</t>
  </si>
  <si>
    <t xml:space="preserve">T00163</t>
  </si>
  <si>
    <t xml:space="preserve">EXT-42751</t>
  </si>
  <si>
    <t xml:space="preserve">T00164</t>
  </si>
  <si>
    <t xml:space="preserve">EXT-66042</t>
  </si>
  <si>
    <t xml:space="preserve">T00165</t>
  </si>
  <si>
    <t xml:space="preserve">EXT-71268</t>
  </si>
  <si>
    <t xml:space="preserve">T00166</t>
  </si>
  <si>
    <t xml:space="preserve">EXT-65408</t>
  </si>
  <si>
    <t xml:space="preserve">T00167</t>
  </si>
  <si>
    <t xml:space="preserve">EXT-44745</t>
  </si>
  <si>
    <t xml:space="preserve">T00168</t>
  </si>
  <si>
    <t xml:space="preserve">EXT-15008</t>
  </si>
  <si>
    <t xml:space="preserve">T00169</t>
  </si>
  <si>
    <t xml:space="preserve">EXT-94480</t>
  </si>
  <si>
    <t xml:space="preserve">T00170</t>
  </si>
  <si>
    <t xml:space="preserve">U0054</t>
  </si>
  <si>
    <t xml:space="preserve">EXT-18752</t>
  </si>
  <si>
    <t xml:space="preserve">T00171</t>
  </si>
  <si>
    <t xml:space="preserve">EXT-63839</t>
  </si>
  <si>
    <t xml:space="preserve">T00172</t>
  </si>
  <si>
    <t xml:space="preserve">EXT-73573</t>
  </si>
  <si>
    <t xml:space="preserve">T00173</t>
  </si>
  <si>
    <t xml:space="preserve">EXT-93774</t>
  </si>
  <si>
    <t xml:space="preserve">T00174</t>
  </si>
  <si>
    <t xml:space="preserve">EXT-93059</t>
  </si>
  <si>
    <t xml:space="preserve">T00175</t>
  </si>
  <si>
    <t xml:space="preserve">U0053</t>
  </si>
  <si>
    <t xml:space="preserve">EXT-39225</t>
  </si>
  <si>
    <t xml:space="preserve">T00176</t>
  </si>
  <si>
    <t xml:space="preserve">EXT-91252</t>
  </si>
  <si>
    <t xml:space="preserve">T00177</t>
  </si>
  <si>
    <t xml:space="preserve">EXT-12882</t>
  </si>
  <si>
    <t xml:space="preserve">T00178</t>
  </si>
  <si>
    <t xml:space="preserve">EXT-58110</t>
  </si>
  <si>
    <t xml:space="preserve">T00179</t>
  </si>
  <si>
    <t xml:space="preserve">T00180</t>
  </si>
  <si>
    <t xml:space="preserve">EXT-34121</t>
  </si>
  <si>
    <t xml:space="preserve">T00181</t>
  </si>
  <si>
    <t xml:space="preserve">EXT-24259</t>
  </si>
  <si>
    <t xml:space="preserve">T00182</t>
  </si>
  <si>
    <t xml:space="preserve">EXT-52647</t>
  </si>
  <si>
    <t xml:space="preserve">T00183</t>
  </si>
  <si>
    <t xml:space="preserve">T00184</t>
  </si>
  <si>
    <t xml:space="preserve">EXT-91921</t>
  </si>
  <si>
    <t xml:space="preserve">T00185</t>
  </si>
  <si>
    <t xml:space="preserve">EXT-27521</t>
  </si>
  <si>
    <t xml:space="preserve">T00186</t>
  </si>
  <si>
    <t xml:space="preserve">EXT-97807</t>
  </si>
  <si>
    <t xml:space="preserve">T00187</t>
  </si>
  <si>
    <t xml:space="preserve">EXT-10748</t>
  </si>
  <si>
    <t xml:space="preserve">T00188</t>
  </si>
  <si>
    <t xml:space="preserve">EXT-24191</t>
  </si>
  <si>
    <t xml:space="preserve">T00189</t>
  </si>
  <si>
    <t xml:space="preserve">T00190</t>
  </si>
  <si>
    <t xml:space="preserve">T00191</t>
  </si>
  <si>
    <t xml:space="preserve">EXT-96156</t>
  </si>
  <si>
    <t xml:space="preserve">T00192</t>
  </si>
  <si>
    <t xml:space="preserve">T00193</t>
  </si>
  <si>
    <t xml:space="preserve">EXT-61424</t>
  </si>
  <si>
    <t xml:space="preserve">T00194</t>
  </si>
  <si>
    <t xml:space="preserve">EXT-17667</t>
  </si>
  <si>
    <t xml:space="preserve">T00195</t>
  </si>
  <si>
    <t xml:space="preserve">T00196</t>
  </si>
  <si>
    <t xml:space="preserve">EXT-18607</t>
  </si>
  <si>
    <t xml:space="preserve">T00197</t>
  </si>
  <si>
    <t xml:space="preserve">EXT-47573</t>
  </si>
  <si>
    <t xml:space="preserve">T00198</t>
  </si>
  <si>
    <t xml:space="preserve">EXT-42586</t>
  </si>
  <si>
    <t xml:space="preserve">T00199</t>
  </si>
  <si>
    <t xml:space="preserve">T00200</t>
  </si>
  <si>
    <t xml:space="preserve">U0056</t>
  </si>
  <si>
    <t xml:space="preserve">EXT-14963</t>
  </si>
  <si>
    <t xml:space="preserve">T00201</t>
  </si>
  <si>
    <t xml:space="preserve">EXT-52742</t>
  </si>
  <si>
    <t xml:space="preserve">T00202</t>
  </si>
  <si>
    <t xml:space="preserve">EXT-63735</t>
  </si>
  <si>
    <t xml:space="preserve">T00203</t>
  </si>
  <si>
    <t xml:space="preserve">EXT-93805</t>
  </si>
  <si>
    <t xml:space="preserve">T00204</t>
  </si>
  <si>
    <t xml:space="preserve">T00205</t>
  </si>
  <si>
    <t xml:space="preserve">EXT-98967</t>
  </si>
  <si>
    <t xml:space="preserve">T00206</t>
  </si>
  <si>
    <t xml:space="preserve">T00207</t>
  </si>
  <si>
    <t xml:space="preserve">T00208</t>
  </si>
  <si>
    <t xml:space="preserve">EXT-20219</t>
  </si>
  <si>
    <t xml:space="preserve">T00209</t>
  </si>
  <si>
    <t xml:space="preserve">EXT-15167</t>
  </si>
  <si>
    <t xml:space="preserve">T00210</t>
  </si>
  <si>
    <t xml:space="preserve">EXT-64577</t>
  </si>
  <si>
    <t xml:space="preserve">T00211</t>
  </si>
  <si>
    <t xml:space="preserve">EXT-11525</t>
  </si>
  <si>
    <t xml:space="preserve">T00212</t>
  </si>
  <si>
    <t xml:space="preserve">EXT-30447</t>
  </si>
  <si>
    <t xml:space="preserve">T00213</t>
  </si>
  <si>
    <t xml:space="preserve">EXT-76492</t>
  </si>
  <si>
    <t xml:space="preserve">T00214</t>
  </si>
  <si>
    <t xml:space="preserve">U0055</t>
  </si>
  <si>
    <t xml:space="preserve">T00215</t>
  </si>
  <si>
    <t xml:space="preserve">EXT-92124</t>
  </si>
  <si>
    <t xml:space="preserve">T00216</t>
  </si>
  <si>
    <t xml:space="preserve">EXT-32629</t>
  </si>
  <si>
    <t xml:space="preserve">T00217</t>
  </si>
  <si>
    <t xml:space="preserve">T00218</t>
  </si>
  <si>
    <t xml:space="preserve">EXT-95013</t>
  </si>
  <si>
    <t xml:space="preserve">T00219</t>
  </si>
  <si>
    <t xml:space="preserve">EXT-81138</t>
  </si>
  <si>
    <t xml:space="preserve">T00220</t>
  </si>
  <si>
    <t xml:space="preserve">U0043</t>
  </si>
  <si>
    <t xml:space="preserve">EXT-55729</t>
  </si>
  <si>
    <t xml:space="preserve">event_id</t>
  </si>
  <si>
    <t xml:space="preserve">event_time</t>
  </si>
  <si>
    <t xml:space="preserve">amount</t>
  </si>
  <si>
    <t xml:space="preserve">reason</t>
  </si>
  <si>
    <t xml:space="preserve">E00001</t>
  </si>
  <si>
    <t xml:space="preserve">validated_credit</t>
  </si>
  <si>
    <t xml:space="preserve">E00002</t>
  </si>
  <si>
    <t xml:space="preserve">E00003</t>
  </si>
  <si>
    <t xml:space="preserve">E00004</t>
  </si>
  <si>
    <t xml:space="preserve">awaiting_provider_confirmation</t>
  </si>
  <si>
    <t xml:space="preserve">E00005</t>
  </si>
  <si>
    <t xml:space="preserve">E00006</t>
  </si>
  <si>
    <t xml:space="preserve">E00007</t>
  </si>
  <si>
    <t xml:space="preserve">E00008</t>
  </si>
  <si>
    <t xml:space="preserve">E00009</t>
  </si>
  <si>
    <t xml:space="preserve">E00010</t>
  </si>
  <si>
    <t xml:space="preserve">amount_restated</t>
  </si>
  <si>
    <t xml:space="preserve">E00011</t>
  </si>
  <si>
    <t xml:space="preserve">E00012</t>
  </si>
  <si>
    <t xml:space="preserve">E00013</t>
  </si>
  <si>
    <t xml:space="preserve">E00014</t>
  </si>
  <si>
    <t xml:space="preserve">E00015</t>
  </si>
  <si>
    <t xml:space="preserve">E00016</t>
  </si>
  <si>
    <t xml:space="preserve">E00017</t>
  </si>
  <si>
    <t xml:space="preserve">E00018</t>
  </si>
  <si>
    <t xml:space="preserve">E00019</t>
  </si>
  <si>
    <t xml:space="preserve">E00020</t>
  </si>
  <si>
    <t xml:space="preserve">E00021</t>
  </si>
  <si>
    <t xml:space="preserve">E00022</t>
  </si>
  <si>
    <t xml:space="preserve">E00023</t>
  </si>
  <si>
    <t xml:space="preserve">E00024</t>
  </si>
  <si>
    <t xml:space="preserve">E00025</t>
  </si>
  <si>
    <t xml:space="preserve">E00026</t>
  </si>
  <si>
    <t xml:space="preserve">E00027</t>
  </si>
  <si>
    <t xml:space="preserve">E00028</t>
  </si>
  <si>
    <t xml:space="preserve">E00029</t>
  </si>
  <si>
    <t xml:space="preserve">E00030</t>
  </si>
  <si>
    <t xml:space="preserve">E00031</t>
  </si>
  <si>
    <t xml:space="preserve">E00032</t>
  </si>
  <si>
    <t xml:space="preserve">E00033</t>
  </si>
  <si>
    <t xml:space="preserve">E00034</t>
  </si>
  <si>
    <t xml:space="preserve">E00035</t>
  </si>
  <si>
    <t xml:space="preserve">E00036</t>
  </si>
  <si>
    <t xml:space="preserve">E00037</t>
  </si>
  <si>
    <t xml:space="preserve">E00038</t>
  </si>
  <si>
    <t xml:space="preserve">E00039</t>
  </si>
  <si>
    <t xml:space="preserve">E00040</t>
  </si>
  <si>
    <t xml:space="preserve">E00041</t>
  </si>
  <si>
    <t xml:space="preserve">E00042</t>
  </si>
  <si>
    <t xml:space="preserve">E00043</t>
  </si>
  <si>
    <t xml:space="preserve">E00044</t>
  </si>
  <si>
    <t xml:space="preserve">E00045</t>
  </si>
  <si>
    <t xml:space="preserve">E00046</t>
  </si>
  <si>
    <t xml:space="preserve">E00047</t>
  </si>
  <si>
    <t xml:space="preserve">E00048</t>
  </si>
  <si>
    <t xml:space="preserve">E00049</t>
  </si>
  <si>
    <t xml:space="preserve">E00050</t>
  </si>
  <si>
    <t xml:space="preserve">E00051</t>
  </si>
  <si>
    <t xml:space="preserve">E00052</t>
  </si>
  <si>
    <t xml:space="preserve">E00053</t>
  </si>
  <si>
    <t xml:space="preserve">E00054</t>
  </si>
  <si>
    <t xml:space="preserve">E00055</t>
  </si>
  <si>
    <t xml:space="preserve">E00056</t>
  </si>
  <si>
    <t xml:space="preserve">E00057</t>
  </si>
  <si>
    <t xml:space="preserve">E00058</t>
  </si>
  <si>
    <t xml:space="preserve">E00059</t>
  </si>
  <si>
    <t xml:space="preserve">E00060</t>
  </si>
  <si>
    <t xml:space="preserve">E00061</t>
  </si>
  <si>
    <t xml:space="preserve">E00062</t>
  </si>
  <si>
    <t xml:space="preserve">E00063</t>
  </si>
  <si>
    <t xml:space="preserve">E00064</t>
  </si>
  <si>
    <t xml:space="preserve">E00065</t>
  </si>
  <si>
    <t xml:space="preserve">E00066</t>
  </si>
  <si>
    <t xml:space="preserve">E00067</t>
  </si>
  <si>
    <t xml:space="preserve">E00068</t>
  </si>
  <si>
    <t xml:space="preserve">E00069</t>
  </si>
  <si>
    <t xml:space="preserve">E00070</t>
  </si>
  <si>
    <t xml:space="preserve">E00071</t>
  </si>
  <si>
    <t xml:space="preserve">E00072</t>
  </si>
  <si>
    <t xml:space="preserve">E00073</t>
  </si>
  <si>
    <t xml:space="preserve">E00074</t>
  </si>
  <si>
    <t xml:space="preserve">E00075</t>
  </si>
  <si>
    <t xml:space="preserve">E00076</t>
  </si>
  <si>
    <t xml:space="preserve">E00077</t>
  </si>
  <si>
    <t xml:space="preserve">E00078</t>
  </si>
  <si>
    <t xml:space="preserve">E00079</t>
  </si>
  <si>
    <t xml:space="preserve">E00080</t>
  </si>
  <si>
    <t xml:space="preserve">E00081</t>
  </si>
  <si>
    <t xml:space="preserve">E00082</t>
  </si>
  <si>
    <t xml:space="preserve">E00083</t>
  </si>
  <si>
    <t xml:space="preserve">E00084</t>
  </si>
  <si>
    <t xml:space="preserve">E00085</t>
  </si>
  <si>
    <t xml:space="preserve">E00086</t>
  </si>
  <si>
    <t xml:space="preserve">E00087</t>
  </si>
  <si>
    <t xml:space="preserve">E00088</t>
  </si>
  <si>
    <t xml:space="preserve">E00089</t>
  </si>
  <si>
    <t xml:space="preserve">E00090</t>
  </si>
  <si>
    <t xml:space="preserve">E00091</t>
  </si>
  <si>
    <t xml:space="preserve">E00092</t>
  </si>
  <si>
    <t xml:space="preserve">E00093</t>
  </si>
  <si>
    <t xml:space="preserve">E00094</t>
  </si>
  <si>
    <t xml:space="preserve">E00095</t>
  </si>
  <si>
    <t xml:space="preserve">E00096</t>
  </si>
  <si>
    <t xml:space="preserve">E00097</t>
  </si>
  <si>
    <t xml:space="preserve">E00098</t>
  </si>
  <si>
    <t xml:space="preserve">E00099</t>
  </si>
  <si>
    <t xml:space="preserve">E00100</t>
  </si>
  <si>
    <t xml:space="preserve">E00101</t>
  </si>
  <si>
    <t xml:space="preserve">E00102</t>
  </si>
  <si>
    <t xml:space="preserve">E00103</t>
  </si>
  <si>
    <t xml:space="preserve">E00104</t>
  </si>
  <si>
    <t xml:space="preserve">E00105</t>
  </si>
  <si>
    <t xml:space="preserve">E00106</t>
  </si>
  <si>
    <t xml:space="preserve">E00107</t>
  </si>
  <si>
    <t xml:space="preserve">E00108</t>
  </si>
  <si>
    <t xml:space="preserve">E00109</t>
  </si>
  <si>
    <t xml:space="preserve">E00110</t>
  </si>
  <si>
    <t xml:space="preserve">E00111</t>
  </si>
  <si>
    <t xml:space="preserve">E00112</t>
  </si>
  <si>
    <t xml:space="preserve">E00113</t>
  </si>
  <si>
    <t xml:space="preserve">E00114</t>
  </si>
  <si>
    <t xml:space="preserve">E00115</t>
  </si>
  <si>
    <t xml:space="preserve">E00116</t>
  </si>
  <si>
    <t xml:space="preserve">E00117</t>
  </si>
  <si>
    <t xml:space="preserve">E00118</t>
  </si>
  <si>
    <t xml:space="preserve">E00119</t>
  </si>
  <si>
    <t xml:space="preserve">E00120</t>
  </si>
  <si>
    <t xml:space="preserve">provider_chargeback</t>
  </si>
  <si>
    <t xml:space="preserve">E00121</t>
  </si>
  <si>
    <t xml:space="preserve">E00122</t>
  </si>
  <si>
    <t xml:space="preserve">E00123</t>
  </si>
  <si>
    <t xml:space="preserve">E00124</t>
  </si>
  <si>
    <t xml:space="preserve">E00125</t>
  </si>
  <si>
    <t xml:space="preserve">E00126</t>
  </si>
  <si>
    <t xml:space="preserve">E00127</t>
  </si>
  <si>
    <t xml:space="preserve">E00128</t>
  </si>
  <si>
    <t xml:space="preserve">E00129</t>
  </si>
  <si>
    <t xml:space="preserve">E00130</t>
  </si>
  <si>
    <t xml:space="preserve">E00131</t>
  </si>
  <si>
    <t xml:space="preserve">E00132</t>
  </si>
  <si>
    <t xml:space="preserve">E00133</t>
  </si>
  <si>
    <t xml:space="preserve">E00134</t>
  </si>
  <si>
    <t xml:space="preserve">E00135</t>
  </si>
  <si>
    <t xml:space="preserve">E00136</t>
  </si>
  <si>
    <t xml:space="preserve">E00137</t>
  </si>
  <si>
    <t xml:space="preserve">E00138</t>
  </si>
  <si>
    <t xml:space="preserve">E00139</t>
  </si>
  <si>
    <t xml:space="preserve">E00140</t>
  </si>
  <si>
    <t xml:space="preserve">E00141</t>
  </si>
  <si>
    <t xml:space="preserve">E00142</t>
  </si>
  <si>
    <t xml:space="preserve">E00143</t>
  </si>
  <si>
    <t xml:space="preserve">E00144</t>
  </si>
  <si>
    <t xml:space="preserve">E00145</t>
  </si>
  <si>
    <t xml:space="preserve">E00146</t>
  </si>
  <si>
    <t xml:space="preserve">E00147</t>
  </si>
  <si>
    <t xml:space="preserve">E00148</t>
  </si>
  <si>
    <t xml:space="preserve">E00149</t>
  </si>
  <si>
    <t xml:space="preserve">E00150</t>
  </si>
  <si>
    <t xml:space="preserve">E00151</t>
  </si>
  <si>
    <t xml:space="preserve">E00152</t>
  </si>
  <si>
    <t xml:space="preserve">E00153</t>
  </si>
  <si>
    <t xml:space="preserve">E00154</t>
  </si>
  <si>
    <t xml:space="preserve">E00155</t>
  </si>
  <si>
    <t xml:space="preserve">E00156</t>
  </si>
  <si>
    <t xml:space="preserve">E00157</t>
  </si>
  <si>
    <t xml:space="preserve">E00158</t>
  </si>
  <si>
    <t xml:space="preserve">E00159</t>
  </si>
  <si>
    <t xml:space="preserve">KPI definitions (all Proposed)</t>
  </si>
  <si>
    <t xml:space="preserve">Each KPI states numerator, denominator and the third-party caution. Values for the sample data are on KPI_Dashboard.</t>
  </si>
  <si>
    <t xml:space="preserve">KPI ID</t>
  </si>
  <si>
    <t xml:space="preserve">KPI</t>
  </si>
  <si>
    <t xml:space="preserve">Numerator</t>
  </si>
  <si>
    <t xml:space="preserve">Denominator</t>
  </si>
  <si>
    <t xml:space="preserve">Segment by</t>
  </si>
  <si>
    <t xml:space="preserve">Third-party caution</t>
  </si>
  <si>
    <t xml:space="preserve">K01</t>
  </si>
  <si>
    <t xml:space="preserve">Discovery-to-start rate</t>
  </si>
  <si>
    <t xml:space="preserve">Share of discovered tasks that were started</t>
  </si>
  <si>
    <t xml:space="preserve">Tasks with start_time</t>
  </si>
  <si>
    <t xml:space="preserve">Tasks discovered</t>
  </si>
  <si>
    <t xml:space="preserve">feature, provider, task_type</t>
  </si>
  <si>
    <t xml:space="preserve">Provider inventory/targeting shapes what is discovered</t>
  </si>
  <si>
    <t xml:space="preserve">K02</t>
  </si>
  <si>
    <t xml:space="preserve">Start-to-completion rate</t>
  </si>
  <si>
    <t xml:space="preserve">Share of started tasks that completed</t>
  </si>
  <si>
    <t xml:space="preserve">status = completed</t>
  </si>
  <si>
    <t xml:space="preserve">Tasks started</t>
  </si>
  <si>
    <t xml:space="preserve">feature, provider</t>
  </si>
  <si>
    <t xml:space="preserve">Completion may be under-recorded if postbacks are missing</t>
  </si>
  <si>
    <t xml:space="preserve">K03</t>
  </si>
  <si>
    <t xml:space="preserve">Completion-to-validation rate</t>
  </si>
  <si>
    <t xml:space="preserve">Share of completed tasks validated</t>
  </si>
  <si>
    <t xml:space="preserve">validation_status = validated</t>
  </si>
  <si>
    <t xml:space="preserve">Tasks completed</t>
  </si>
  <si>
    <t xml:space="preserve">Validation decided by provider; pending counts against this rate</t>
  </si>
  <si>
    <t xml:space="preserve">K04</t>
  </si>
  <si>
    <t xml:space="preserve">Validation-to-credit rate</t>
  </si>
  <si>
    <t xml:space="preserve">Share of validated tasks with a credit event</t>
  </si>
  <si>
    <t xml:space="preserve">Tasks with &gt;=1 reward_credited</t>
  </si>
  <si>
    <t xml:space="preserve">Tasks validated</t>
  </si>
  <si>
    <t xml:space="preserve">Low values signal VELOOP-side credit issues</t>
  </si>
  <si>
    <t xml:space="preserve">K05</t>
  </si>
  <si>
    <t xml:space="preserve">End-to-end yield</t>
  </si>
  <si>
    <t xml:space="preserve">Share of discovered tasks ending in credit</t>
  </si>
  <si>
    <t xml:space="preserve">Tasks credited</t>
  </si>
  <si>
    <t xml:space="preserve">Compound of all stages; always read with stage rates</t>
  </si>
  <si>
    <t xml:space="preserve">K06</t>
  </si>
  <si>
    <t xml:space="preserve">Abandonment rate</t>
  </si>
  <si>
    <t xml:space="preserve">Started tasks abandoned by user</t>
  </si>
  <si>
    <t xml:space="preserve">failure_class = user_abandoned</t>
  </si>
  <si>
    <t xml:space="preserve">Only valid when tracking is healthy</t>
  </si>
  <si>
    <t xml:space="preserve">K07</t>
  </si>
  <si>
    <t xml:space="preserve">Tracking failure rate</t>
  </si>
  <si>
    <t xml:space="preserve">Start/Completion</t>
  </si>
  <si>
    <t xml:space="preserve">Started tasks with a tracking failure</t>
  </si>
  <si>
    <t xml:space="preserve">failure_class = tracking_failed</t>
  </si>
  <si>
    <t xml:space="preserve">provider, tracking source</t>
  </si>
  <si>
    <t xml:space="preserve">Uncertain outcome; may be real completions</t>
  </si>
  <si>
    <t xml:space="preserve">K08</t>
  </si>
  <si>
    <t xml:space="preserve">Validation rejection rate</t>
  </si>
  <si>
    <t xml:space="preserve">Completed tasks rejected</t>
  </si>
  <si>
    <t xml:space="preserve">validation_status = rejected</t>
  </si>
  <si>
    <t xml:space="preserve">provider, rejection_reason</t>
  </si>
  <si>
    <t xml:space="preserve">Often provider-decided</t>
  </si>
  <si>
    <t xml:space="preserve">K09</t>
  </si>
  <si>
    <t xml:space="preserve">System error rate</t>
  </si>
  <si>
    <t xml:space="preserve">Started tasks with a system error</t>
  </si>
  <si>
    <t xml:space="preserve">failure_class = system_error</t>
  </si>
  <si>
    <t xml:space="preserve">attribution, provider</t>
  </si>
  <si>
    <t xml:space="preserve">Split internal vs external</t>
  </si>
  <si>
    <t xml:space="preserve">K10</t>
  </si>
  <si>
    <t xml:space="preserve">Overall failure rate</t>
  </si>
  <si>
    <t xml:space="preserve">Started tasks with any failure_class</t>
  </si>
  <si>
    <t xml:space="preserve">failure_class not blank</t>
  </si>
  <si>
    <t xml:space="preserve">failure_class, attribution</t>
  </si>
  <si>
    <t xml:space="preserve">Includes validation and credit failures that occur after completion</t>
  </si>
  <si>
    <t xml:space="preserve">K11</t>
  </si>
  <si>
    <t xml:space="preserve">Third-party attributable failure share</t>
  </si>
  <si>
    <t xml:space="preserve">Share of failures attributed to third parties</t>
  </si>
  <si>
    <t xml:space="preserve">failure_attribution = third_party</t>
  </si>
  <si>
    <t xml:space="preserve">All failures</t>
  </si>
  <si>
    <t xml:space="preserve">Depends on attribution quality; track 'unknown' share too</t>
  </si>
  <si>
    <t xml:space="preserve">K12</t>
  </si>
  <si>
    <t xml:space="preserve">Unknown-attribution share</t>
  </si>
  <si>
    <t xml:space="preserve">Share of failures with unknown cause</t>
  </si>
  <si>
    <t xml:space="preserve">failure_attribution = unknown</t>
  </si>
  <si>
    <t xml:space="preserve">provider</t>
  </si>
  <si>
    <t xml:space="preserve">Data-quality indicator for the classification itself</t>
  </si>
  <si>
    <t xml:space="preserve">K13</t>
  </si>
  <si>
    <t xml:space="preserve">Reward realisation rate (value)</t>
  </si>
  <si>
    <t xml:space="preserve">Net credited value as share of expected reward on completed tasks</t>
  </si>
  <si>
    <t xml:space="preserve">Sum net credited</t>
  </si>
  <si>
    <t xml:space="preserve">Sum expected reward, completed tasks</t>
  </si>
  <si>
    <t xml:space="preserve">Gap = rejected + pending + credit failures + reversals/corrections</t>
  </si>
  <si>
    <t xml:space="preserve">K14</t>
  </si>
  <si>
    <t xml:space="preserve">Open pending reward value</t>
  </si>
  <si>
    <t xml:space="preserve">Expected value completed but awaiting validation</t>
  </si>
  <si>
    <t xml:space="preserve">Sum expected where validation = pending</t>
  </si>
  <si>
    <t xml:space="preserve">n/a (value)</t>
  </si>
  <si>
    <t xml:space="preserve">provider, ageing band</t>
  </si>
  <si>
    <t xml:space="preserve">Not earned yet; do not report as earned</t>
  </si>
  <si>
    <t xml:space="preserve">K15</t>
  </si>
  <si>
    <t xml:space="preserve">Reversal rate</t>
  </si>
  <si>
    <t xml:space="preserve">Credited tasks later reversed</t>
  </si>
  <si>
    <t xml:space="preserve">Tasks with reward_reversed</t>
  </si>
  <si>
    <t xml:space="preserve">Usually originates from provider chargebacks</t>
  </si>
  <si>
    <t xml:space="preserve">K16</t>
  </si>
  <si>
    <t xml:space="preserve">Correction rate</t>
  </si>
  <si>
    <t xml:space="preserve">Credited tasks later corrected</t>
  </si>
  <si>
    <t xml:space="preserve">Tasks with reward_corrected</t>
  </si>
  <si>
    <t xml:space="preserve">Provider restatements</t>
  </si>
  <si>
    <t xml:space="preserve">K17</t>
  </si>
  <si>
    <t xml:space="preserve">Median time to complete (min)</t>
  </si>
  <si>
    <t xml:space="preserve">Median of completion_time - start_time</t>
  </si>
  <si>
    <t xml:space="preserve">feature, task_type</t>
  </si>
  <si>
    <t xml:space="preserve">Offers/games include external time</t>
  </si>
  <si>
    <t xml:space="preserve">K18</t>
  </si>
  <si>
    <t xml:space="preserve">Median credit latency (hrs)</t>
  </si>
  <si>
    <t xml:space="preserve">Median of first credit - completion_time</t>
  </si>
  <si>
    <t xml:space="preserve">Driven by provider confirmation speed</t>
  </si>
  <si>
    <t xml:space="preserve">K19</t>
  </si>
  <si>
    <t xml:space="preserve">Reward reconciliation gap</t>
  </si>
  <si>
    <t xml:space="preserve">Unexplained difference in the reward waterfall</t>
  </si>
  <si>
    <t xml:space="preserve">Expected on completed - explained losses - net credited</t>
  </si>
  <si>
    <t xml:space="preserve">Must be zero; non-zero = data defect</t>
  </si>
  <si>
    <t xml:space="preserve">K20</t>
  </si>
  <si>
    <t xml:space="preserve">Credit failure count</t>
  </si>
  <si>
    <t xml:space="preserve">Validated tasks without a credit</t>
  </si>
  <si>
    <t xml:space="preserve">failure_class = reward_credit_failed</t>
  </si>
  <si>
    <t xml:space="preserve">Alert metric – trust risk</t>
  </si>
  <si>
    <t xml:space="preserve">K21</t>
  </si>
  <si>
    <t xml:space="preserve">Pending ageing (&gt;72h) – recommended</t>
  </si>
  <si>
    <t xml:space="preserve">Pending tasks older than SLA window</t>
  </si>
  <si>
    <t xml:space="preserve">pending tasks older than threshold</t>
  </si>
  <si>
    <t xml:space="preserve">Pending tasks</t>
  </si>
  <si>
    <t xml:space="preserve">Requires snapshot date and SLA threshold (To confirm)</t>
  </si>
  <si>
    <t xml:space="preserve">K22</t>
  </si>
  <si>
    <t xml:space="preserve">Provider reconciliation match rate – recommended</t>
  </si>
  <si>
    <t xml:space="preserve">Tasks matching provider-side reports</t>
  </si>
  <si>
    <t xml:space="preserve">Matched external_ref_id</t>
  </si>
  <si>
    <t xml:space="preserve">Provider-reported transactions</t>
  </si>
  <si>
    <t xml:space="preserve">Needs provider reports; not available in sample data</t>
  </si>
  <si>
    <t xml:space="preserve">KPI dashboard – computed live from Data_Tasks / Data_RewardEvents</t>
  </si>
  <si>
    <t xml:space="preserve">SYNTHETIC sample data. Ranges cover rows 2-221; extend if you paste more rows.</t>
  </si>
  <si>
    <t xml:space="preserve">1. Lifecycle funnel</t>
  </si>
  <si>
    <t xml:space="preserve">6. Headline KPI scorecard</t>
  </si>
  <si>
    <t xml:space="preserve">Tasks</t>
  </si>
  <si>
    <t xml:space="preserve">Step conversion</t>
  </si>
  <si>
    <t xml:space="preserve">% of discovered</t>
  </si>
  <si>
    <t xml:space="preserve">Value</t>
  </si>
  <si>
    <t xml:space="preserve">Discovered</t>
  </si>
  <si>
    <t xml:space="preserve">-</t>
  </si>
  <si>
    <t xml:space="preserve">Started</t>
  </si>
  <si>
    <t xml:space="preserve">Validated</t>
  </si>
  <si>
    <t xml:space="preserve">Credited (&gt;=1 credit event)</t>
  </si>
  <si>
    <t xml:space="preserve">Overall failure rate (of started)</t>
  </si>
  <si>
    <t xml:space="preserve">2. Activity vs reward reconciliation (value in reward units)</t>
  </si>
  <si>
    <t xml:space="preserve">Line</t>
  </si>
  <si>
    <t xml:space="preserve">Note</t>
  </si>
  <si>
    <t xml:space="preserve">Reward realisation rate</t>
  </si>
  <si>
    <t xml:space="preserve">Expected reward on completed tasks (activity occurred)</t>
  </si>
  <si>
    <t xml:space="preserve">Value if every completion were rewarded</t>
  </si>
  <si>
    <t xml:space="preserve">less: rejected in validation</t>
  </si>
  <si>
    <t xml:space="preserve">Activity occurred, no reward due</t>
  </si>
  <si>
    <t xml:space="preserve">less: pending validation (not yet earned)</t>
  </si>
  <si>
    <t xml:space="preserve">Open pending value</t>
  </si>
  <si>
    <t xml:space="preserve">less: validated but credit failed</t>
  </si>
  <si>
    <t xml:space="preserve">Trust risk</t>
  </si>
  <si>
    <t xml:space="preserve">Subtotal: expected gross credited</t>
  </si>
  <si>
    <t xml:space="preserve">Gross credited (ledger events)</t>
  </si>
  <si>
    <t xml:space="preserve">From reward_credited events</t>
  </si>
  <si>
    <t xml:space="preserve">Reward reconciliation gap (must be 0)</t>
  </si>
  <si>
    <t xml:space="preserve">Unexplained difference (must be 0)</t>
  </si>
  <si>
    <t xml:space="preserve">K19 – data defect if non-zero</t>
  </si>
  <si>
    <t xml:space="preserve">add: reversals</t>
  </si>
  <si>
    <t xml:space="preserve">Negative</t>
  </si>
  <si>
    <t xml:space="preserve">K21 and K22 need ageing thresholds / provider reports and are not computable from the sample data (see KPI_Definitions).</t>
  </si>
  <si>
    <t xml:space="preserve">add: corrections (net delta)</t>
  </si>
  <si>
    <t xml:space="preserve">Signed</t>
  </si>
  <si>
    <t xml:space="preserve">Subtotal: net credited</t>
  </si>
  <si>
    <t xml:space="preserve">Reward realisation rate (net credited / expected on completed)</t>
  </si>
  <si>
    <t xml:space="preserve">3. Failed activity by class and attribution</t>
  </si>
  <si>
    <t xml:space="preserve">Count</t>
  </si>
  <si>
    <t xml:space="preserve">% of started</t>
  </si>
  <si>
    <t xml:space="preserve">Total</t>
  </si>
  <si>
    <t xml:space="preserve">4. Funnel and reward KPIs by feature</t>
  </si>
  <si>
    <t xml:space="preserve">Feature</t>
  </si>
  <si>
    <t xml:space="preserve">Start rate (K01)</t>
  </si>
  <si>
    <t xml:space="preserve">Completion rate (K02)</t>
  </si>
  <si>
    <t xml:space="preserve">Validation rate (K03)</t>
  </si>
  <si>
    <t xml:space="preserve">Credited</t>
  </si>
  <si>
    <t xml:space="preserve">Credit rate (K04)</t>
  </si>
  <si>
    <t xml:space="preserve">Failure rate (K10)</t>
  </si>
  <si>
    <t xml:space="preserve">Expected on completed</t>
  </si>
  <si>
    <t xml:space="preserve">Net credited</t>
  </si>
  <si>
    <t xml:space="preserve">Realisation (K13)</t>
  </si>
  <si>
    <t xml:space="preserve">5. Third-party dependency view by provider</t>
  </si>
  <si>
    <t xml:space="preserve">Completion rate</t>
  </si>
  <si>
    <t xml:space="preserve">Tracking failure rate (K07)</t>
  </si>
  <si>
    <t xml:space="preserve">Validation rejection rate (K08)</t>
  </si>
  <si>
    <t xml:space="preserve">System error rate (K09)</t>
  </si>
  <si>
    <t xml:space="preserve">Failures attributed third_party</t>
  </si>
  <si>
    <t xml:space="preserve">Total failures</t>
  </si>
  <si>
    <t xml:space="preserve">Third-party share (K11)</t>
  </si>
  <si>
    <t xml:space="preserve">Reversal rate (K15)</t>
  </si>
  <si>
    <t xml:space="preserve">Avg credit latency (hrs)</t>
  </si>
  <si>
    <t xml:space="preserve">Reading note: VELOOP (first-party) rows have no third-party attribution by design – compare them with provider rows only after checking tracking health.</t>
  </si>
  <si>
    <t xml:space="preserve">Open questions to confirm with VELOOP before implementation</t>
  </si>
  <si>
    <t xml:space="preserve">Question</t>
  </si>
  <si>
    <t xml:space="preserve">Why it matters</t>
  </si>
  <si>
    <t xml:space="preserve">Owner (suggested)</t>
  </si>
  <si>
    <t xml:space="preserve">Which of the Proposed fields in C1 already exist in VELOOP data, and under what names?</t>
  </si>
  <si>
    <t xml:space="preserve">Avoid inventing structures that duplicate or conflict with existing ones.</t>
  </si>
  <si>
    <t xml:space="preserve">Data engineering</t>
  </si>
  <si>
    <t xml:space="preserve">Is there any existing failure/error code set? If so, map it to C2 classes.</t>
  </si>
  <si>
    <t xml:space="preserve">The brief says not to invent codes; Proposed classes must map to real ones.</t>
  </si>
  <si>
    <t xml:space="preserve">Engineering</t>
  </si>
  <si>
    <t xml:space="preserve">Does a discovery/impression event exist for each earning feature?</t>
  </si>
  <si>
    <t xml:space="preserve">Required as funnel denominator.</t>
  </si>
  <si>
    <t xml:space="preserve">Product / Engineering</t>
  </si>
  <si>
    <t xml:space="preserve">Which completions are first-party observed vs reported by third parties via postback?</t>
  </si>
  <si>
    <t xml:space="preserve">Determines data_origin and reliability.</t>
  </si>
  <si>
    <t xml:space="preserve">What is the reward unit(s) and is a single unit used across features?</t>
  </si>
  <si>
    <t xml:space="preserve">Avoids summing mixed units; sample uses 'points' as an assumption.</t>
  </si>
  <si>
    <t xml:space="preserve">Product / Finance</t>
  </si>
  <si>
    <t xml:space="preserve">Is there a reward ledger with event history (credits, reversals, corrections)?</t>
  </si>
  <si>
    <t xml:space="preserve">Needed for C3 and net credited.</t>
  </si>
  <si>
    <t xml:space="preserve">Engineering / Finance</t>
  </si>
  <si>
    <t xml:space="preserve">What time windows define abandoned, tracking_failed and pending timeout per provider?</t>
  </si>
  <si>
    <t xml:space="preserve">Prevents mislabelling late postbacks as failures.</t>
  </si>
  <si>
    <t xml:space="preserve">Product / Partnerships</t>
  </si>
  <si>
    <t xml:space="preserve">Do providers supply periodic reports that can be reconciled by external_ref_id?</t>
  </si>
  <si>
    <t xml:space="preserve">Enables K22 and independent validation of failures.</t>
  </si>
  <si>
    <t xml:space="preserve">Partnerships</t>
  </si>
  <si>
    <t xml:space="preserve">Which provider-side contractual terms apply to reversals/chargebacks and hold periods?</t>
  </si>
  <si>
    <t xml:space="preserve">Explains reward reversals and pending ageing.</t>
  </si>
  <si>
    <t xml:space="preserve">Partnerships / Finance</t>
  </si>
  <si>
    <t xml:space="preserve">What privacy/consent rules limit user-level event retention and sharing?</t>
  </si>
  <si>
    <t xml:space="preserve">Constrains user_id handling and event granularity.</t>
  </si>
  <si>
    <t xml:space="preserve">Legal / Privacy</t>
  </si>
</sst>
</file>

<file path=xl/styles.xml><?xml version="1.0" encoding="utf-8"?>
<styleSheet xmlns="http://schemas.openxmlformats.org/spreadsheetml/2006/main">
  <numFmts count="6">
    <numFmt numFmtId="164" formatCode="General"/>
    <numFmt numFmtId="165" formatCode="yyyy\-mm\-dd"/>
    <numFmt numFmtId="166" formatCode="yyyy\-mm\-dd\ hh:mm"/>
    <numFmt numFmtId="167" formatCode="0.0"/>
    <numFmt numFmtId="168" formatCode="#,##0;\(#,##0\);\-"/>
    <numFmt numFmtId="169"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i val="true"/>
      <sz val="10"/>
      <color rgb="FF000000"/>
      <name val="Arial"/>
      <family val="0"/>
      <charset val="1"/>
    </font>
    <font>
      <b val="true"/>
      <sz val="10"/>
      <color rgb="FFFFFFFF"/>
      <name val="Arial"/>
      <family val="0"/>
      <charset val="1"/>
    </font>
    <font>
      <sz val="10"/>
      <name val="Arial"/>
      <family val="2"/>
    </font>
    <font>
      <b val="true"/>
      <sz val="12"/>
      <color rgb="FF1F3864"/>
      <name val="Arial"/>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548235"/>
        <bgColor rgb="FF339966"/>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10" fillId="5" borderId="0" xfId="0" applyFont="true" applyBorder="false" applyAlignment="true" applyProtection="false">
      <alignment horizontal="general"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8" fontId="6" fillId="6"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9" fontId="6"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4823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F81BD"/>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Lifecycle funnel (tasks)</a:t>
            </a:r>
          </a:p>
        </c:rich>
      </c:tx>
      <c:overlay val="0"/>
      <c:spPr>
        <a:noFill/>
        <a:ln w="0">
          <a:noFill/>
        </a:ln>
      </c:spPr>
    </c:title>
    <c:autoTitleDeleted val="0"/>
    <c:plotArea>
      <c:barChart>
        <c:barDir val="bar"/>
        <c:grouping val="clustered"/>
        <c:varyColors val="0"/>
        <c:ser>
          <c:idx val="0"/>
          <c:order val="0"/>
          <c:tx>
            <c:strRef>
              <c:f>KPI_Dashboard!B5</c:f>
              <c:strCache>
                <c:ptCount val="1"/>
                <c:pt idx="0">
                  <c:v>Tasks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KPI_Dashboard!$A$6:$A$10</c:f>
              <c:strCache>
                <c:ptCount val="5"/>
                <c:pt idx="0">
                  <c:v>Discovered</c:v>
                </c:pt>
                <c:pt idx="1">
                  <c:v>Started</c:v>
                </c:pt>
                <c:pt idx="2">
                  <c:v>Completed</c:v>
                </c:pt>
                <c:pt idx="3">
                  <c:v>Validated</c:v>
                </c:pt>
                <c:pt idx="4">
                  <c:v>Credited (&gt;=1 credit event)</c:v>
                </c:pt>
              </c:strCache>
            </c:strRef>
          </c:cat>
          <c:val>
            <c:numRef>
              <c:f>KPI_Dashboard!$B$6:$B$10</c:f>
              <c:numCache>
                <c:formatCode>#,##0;\(#,##0\);\-</c:formatCode>
                <c:ptCount val="5"/>
                <c:pt idx="0">
                  <c:v>220</c:v>
                </c:pt>
                <c:pt idx="1">
                  <c:v>166</c:v>
                </c:pt>
                <c:pt idx="2">
                  <c:v>122</c:v>
                </c:pt>
                <c:pt idx="3">
                  <c:v>115</c:v>
                </c:pt>
                <c:pt idx="4">
                  <c:v>111</c:v>
                </c:pt>
              </c:numCache>
            </c:numRef>
          </c:val>
        </c:ser>
        <c:gapWidth val="150"/>
        <c:overlap val="0"/>
        <c:axId val="8510651"/>
        <c:axId val="66254876"/>
      </c:barChart>
      <c:catAx>
        <c:axId val="85106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254876"/>
        <c:crosses val="autoZero"/>
        <c:auto val="1"/>
        <c:lblAlgn val="ctr"/>
        <c:lblOffset val="100"/>
        <c:noMultiLvlLbl val="0"/>
      </c:catAx>
      <c:valAx>
        <c:axId val="6625487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06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Failures by class</a:t>
            </a:r>
          </a:p>
        </c:rich>
      </c:tx>
      <c:overlay val="0"/>
      <c:spPr>
        <a:noFill/>
        <a:ln w="0">
          <a:noFill/>
        </a:ln>
      </c:spPr>
    </c:title>
    <c:autoTitleDeleted val="0"/>
    <c:plotArea>
      <c:barChart>
        <c:barDir val="col"/>
        <c:grouping val="clustered"/>
        <c:varyColors val="0"/>
        <c:ser>
          <c:idx val="0"/>
          <c:order val="0"/>
          <c:tx>
            <c:strRef>
              <c:f>KPI_Dashboard!B29</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KPI_Dashboard!$A$30:$A$35</c:f>
              <c:strCache>
                <c:ptCount val="6"/>
                <c:pt idx="0">
                  <c:v>task_failed</c:v>
                </c:pt>
                <c:pt idx="1">
                  <c:v>tracking_failed</c:v>
                </c:pt>
                <c:pt idx="2">
                  <c:v>validation_failed</c:v>
                </c:pt>
                <c:pt idx="3">
                  <c:v>user_abandoned</c:v>
                </c:pt>
                <c:pt idx="4">
                  <c:v>system_error</c:v>
                </c:pt>
                <c:pt idx="5">
                  <c:v>reward_credit_failed</c:v>
                </c:pt>
              </c:strCache>
            </c:strRef>
          </c:cat>
          <c:val>
            <c:numRef>
              <c:f>KPI_Dashboard!$B$30:$B$35</c:f>
              <c:numCache>
                <c:formatCode>#,##0;\(#,##0\);\-</c:formatCode>
                <c:ptCount val="6"/>
                <c:pt idx="0">
                  <c:v>8</c:v>
                </c:pt>
                <c:pt idx="1">
                  <c:v>11</c:v>
                </c:pt>
                <c:pt idx="2">
                  <c:v>4</c:v>
                </c:pt>
                <c:pt idx="3">
                  <c:v>19</c:v>
                </c:pt>
                <c:pt idx="4">
                  <c:v>6</c:v>
                </c:pt>
                <c:pt idx="5">
                  <c:v>4</c:v>
                </c:pt>
              </c:numCache>
            </c:numRef>
          </c:val>
        </c:ser>
        <c:gapWidth val="150"/>
        <c:overlap val="0"/>
        <c:axId val="74620658"/>
        <c:axId val="27252120"/>
      </c:barChart>
      <c:catAx>
        <c:axId val="746206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52120"/>
        <c:crosses val="autoZero"/>
        <c:auto val="1"/>
        <c:lblAlgn val="ctr"/>
        <c:lblOffset val="100"/>
        <c:noMultiLvlLbl val="0"/>
      </c:catAx>
      <c:valAx>
        <c:axId val="2725212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6206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Realisation rate by feature</a:t>
            </a:r>
          </a:p>
        </c:rich>
      </c:tx>
      <c:overlay val="0"/>
      <c:spPr>
        <a:noFill/>
        <a:ln w="0">
          <a:noFill/>
        </a:ln>
      </c:spPr>
    </c:title>
    <c:autoTitleDeleted val="0"/>
    <c:plotArea>
      <c:barChart>
        <c:barDir val="col"/>
        <c:grouping val="clustered"/>
        <c:varyColors val="0"/>
        <c:ser>
          <c:idx val="0"/>
          <c:order val="0"/>
          <c:tx>
            <c:strRef>
              <c:f>KPI_Dashboard!N40</c:f>
              <c:strCache>
                <c:ptCount val="1"/>
                <c:pt idx="0">
                  <c:v>Realisation (K13)</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KPI_Dashboard!$A$41:$A$45</c:f>
              <c:strCache>
                <c:ptCount val="5"/>
                <c:pt idx="0">
                  <c:v>Advertisements</c:v>
                </c:pt>
                <c:pt idx="1">
                  <c:v>Surveys</c:v>
                </c:pt>
                <c:pt idx="2">
                  <c:v>Offers</c:v>
                </c:pt>
                <c:pt idx="3">
                  <c:v>Games</c:v>
                </c:pt>
                <c:pt idx="4">
                  <c:v>In-app tasks</c:v>
                </c:pt>
              </c:strCache>
            </c:strRef>
          </c:cat>
          <c:val>
            <c:numRef>
              <c:f>KPI_Dashboard!$N$41:$N$45</c:f>
              <c:numCache>
                <c:formatCode>0.0%;\-0.0%;\-</c:formatCode>
                <c:ptCount val="5"/>
                <c:pt idx="0">
                  <c:v>0.985365853658537</c:v>
                </c:pt>
                <c:pt idx="1">
                  <c:v>0.727272727272727</c:v>
                </c:pt>
                <c:pt idx="2">
                  <c:v>0.709090909090909</c:v>
                </c:pt>
                <c:pt idx="3">
                  <c:v>0.846153846153846</c:v>
                </c:pt>
                <c:pt idx="4">
                  <c:v>0.965714285714286</c:v>
                </c:pt>
              </c:numCache>
            </c:numRef>
          </c:val>
        </c:ser>
        <c:gapWidth val="150"/>
        <c:overlap val="0"/>
        <c:axId val="78721173"/>
        <c:axId val="96068011"/>
      </c:barChart>
      <c:catAx>
        <c:axId val="787211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68011"/>
        <c:crosses val="autoZero"/>
        <c:auto val="1"/>
        <c:lblAlgn val="ctr"/>
        <c:lblOffset val="100"/>
        <c:noMultiLvlLbl val="0"/>
      </c:catAx>
      <c:valAx>
        <c:axId val="96068011"/>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211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160920</xdr:rowOff>
    </xdr:from>
    <xdr:to>
      <xdr:col>23</xdr:col>
      <xdr:colOff>147600</xdr:colOff>
      <xdr:row>16</xdr:row>
      <xdr:rowOff>13320</xdr:rowOff>
    </xdr:to>
    <xdr:graphicFrame>
      <xdr:nvGraphicFramePr>
        <xdr:cNvPr id="0" name="Chart 1"/>
        <xdr:cNvGraphicFramePr/>
      </xdr:nvGraphicFramePr>
      <xdr:xfrm>
        <a:off x="20347200" y="57168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18</xdr:row>
      <xdr:rowOff>160560</xdr:rowOff>
    </xdr:from>
    <xdr:to>
      <xdr:col>23</xdr:col>
      <xdr:colOff>147600</xdr:colOff>
      <xdr:row>31</xdr:row>
      <xdr:rowOff>146520</xdr:rowOff>
    </xdr:to>
    <xdr:graphicFrame>
      <xdr:nvGraphicFramePr>
        <xdr:cNvPr id="1" name="Chart 2"/>
        <xdr:cNvGraphicFramePr/>
      </xdr:nvGraphicFramePr>
      <xdr:xfrm>
        <a:off x="20347200" y="361944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34</xdr:row>
      <xdr:rowOff>160920</xdr:rowOff>
    </xdr:from>
    <xdr:to>
      <xdr:col>23</xdr:col>
      <xdr:colOff>147600</xdr:colOff>
      <xdr:row>46</xdr:row>
      <xdr:rowOff>51480</xdr:rowOff>
    </xdr:to>
    <xdr:graphicFrame>
      <xdr:nvGraphicFramePr>
        <xdr:cNvPr id="2" name="Chart 3"/>
        <xdr:cNvGraphicFramePr/>
      </xdr:nvGraphicFramePr>
      <xdr:xfrm>
        <a:off x="20347200" y="672480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23.85" hidden="false" customHeight="false" outlineLevel="0" collapsed="false">
      <c r="A6" s="3" t="s">
        <v>6</v>
      </c>
      <c r="B6" s="4" t="s">
        <v>7</v>
      </c>
    </row>
    <row r="7" customFormat="false" ht="23.85" hidden="false" customHeight="false" outlineLevel="0" collapsed="false">
      <c r="A7" s="3" t="s">
        <v>8</v>
      </c>
      <c r="B7" s="4" t="s">
        <v>9</v>
      </c>
    </row>
    <row r="8" customFormat="false" ht="23.85" hidden="false" customHeight="false" outlineLevel="0" collapsed="false">
      <c r="A8" s="3" t="s">
        <v>10</v>
      </c>
      <c r="B8" s="4" t="s">
        <v>11</v>
      </c>
    </row>
    <row r="9" customFormat="false" ht="23.85" hidden="false" customHeight="false" outlineLevel="0" collapsed="false">
      <c r="A9" s="3" t="s">
        <v>12</v>
      </c>
      <c r="B9" s="4" t="s">
        <v>13</v>
      </c>
    </row>
    <row r="10" customFormat="false" ht="15" hidden="false" customHeight="false" outlineLevel="0" collapsed="false">
      <c r="A10" s="3" t="s">
        <v>14</v>
      </c>
      <c r="B10" s="4" t="s">
        <v>15</v>
      </c>
    </row>
    <row r="11" customFormat="false" ht="23.85" hidden="false" customHeight="false" outlineLevel="0" collapsed="false">
      <c r="A11" s="3" t="s">
        <v>16</v>
      </c>
      <c r="B11" s="4" t="s">
        <v>17</v>
      </c>
    </row>
    <row r="13" customFormat="false" ht="15" hidden="false" customHeight="false" outlineLevel="0" collapsed="false">
      <c r="A13" s="5" t="s">
        <v>18</v>
      </c>
    </row>
    <row r="14" customFormat="false" ht="15" hidden="false" customHeight="false" outlineLevel="0" collapsed="false">
      <c r="A14" s="6" t="s">
        <v>19</v>
      </c>
      <c r="B14" s="7" t="s">
        <v>20</v>
      </c>
    </row>
    <row r="15" customFormat="false" ht="15" hidden="false" customHeight="false" outlineLevel="0" collapsed="false">
      <c r="A15" s="6" t="s">
        <v>21</v>
      </c>
      <c r="B15" s="8" t="n">
        <v>46319</v>
      </c>
    </row>
    <row r="16" customFormat="false" ht="15" hidden="false" customHeight="false" outlineLevel="0" collapsed="false">
      <c r="A16" s="6" t="s">
        <v>22</v>
      </c>
      <c r="B16" s="9"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34"/>
    <col collapsed="false" customWidth="true" hidden="false" outlineLevel="0" max="4" min="4" style="0" width="20"/>
    <col collapsed="false" customWidth="true" hidden="false" outlineLevel="0" max="5" min="5" style="0" width="38"/>
    <col collapsed="false" customWidth="true" hidden="false" outlineLevel="0" max="6" min="6" style="0" width="36"/>
    <col collapsed="false" customWidth="true" hidden="false" outlineLevel="0" max="7" min="7" style="0" width="28"/>
    <col collapsed="false" customWidth="true" hidden="false" outlineLevel="0" max="8" min="8" style="0" width="36"/>
    <col collapsed="false" customWidth="true" hidden="false" outlineLevel="0" max="9" min="9" style="0" width="48"/>
    <col collapsed="false" customWidth="true" hidden="false" outlineLevel="0" max="10" min="10" style="0" width="11"/>
  </cols>
  <sheetData>
    <row r="1" customFormat="false" ht="17.35" hidden="false" customHeight="false" outlineLevel="0" collapsed="false">
      <c r="A1" s="1" t="s">
        <v>24</v>
      </c>
    </row>
    <row r="2" customFormat="false" ht="15" hidden="false" customHeight="false" outlineLevel="0" collapsed="false">
      <c r="A2" s="2" t="s">
        <v>25</v>
      </c>
    </row>
    <row r="4" customFormat="false" ht="15" hidden="false" customHeight="false" outlineLevel="0" collapsed="false">
      <c r="A4" s="10" t="s">
        <v>26</v>
      </c>
      <c r="B4" s="10" t="s">
        <v>27</v>
      </c>
      <c r="C4" s="10" t="s">
        <v>28</v>
      </c>
      <c r="D4" s="10" t="s">
        <v>29</v>
      </c>
      <c r="E4" s="10" t="s">
        <v>30</v>
      </c>
      <c r="F4" s="10" t="s">
        <v>31</v>
      </c>
      <c r="G4" s="10" t="s">
        <v>32</v>
      </c>
      <c r="H4" s="10" t="s">
        <v>33</v>
      </c>
      <c r="I4" s="10" t="s">
        <v>34</v>
      </c>
      <c r="J4" s="10" t="s">
        <v>35</v>
      </c>
    </row>
    <row r="5" customFormat="false" ht="35.05" hidden="false" customHeight="false" outlineLevel="0" collapsed="false">
      <c r="A5" s="11" t="s">
        <v>36</v>
      </c>
      <c r="B5" s="11" t="s">
        <v>37</v>
      </c>
      <c r="C5" s="11" t="s">
        <v>38</v>
      </c>
      <c r="D5" s="11" t="s">
        <v>39</v>
      </c>
      <c r="E5" s="11" t="s">
        <v>40</v>
      </c>
      <c r="F5" s="11" t="s">
        <v>41</v>
      </c>
      <c r="G5" s="11" t="s">
        <v>42</v>
      </c>
      <c r="H5" s="11" t="s">
        <v>43</v>
      </c>
      <c r="I5" s="11" t="s">
        <v>44</v>
      </c>
      <c r="J5" s="12" t="s">
        <v>45</v>
      </c>
    </row>
    <row r="6" customFormat="false" ht="35.05" hidden="false" customHeight="false" outlineLevel="0" collapsed="false">
      <c r="A6" s="11" t="s">
        <v>46</v>
      </c>
      <c r="B6" s="11" t="s">
        <v>47</v>
      </c>
      <c r="C6" s="11" t="s">
        <v>48</v>
      </c>
      <c r="D6" s="11" t="s">
        <v>49</v>
      </c>
      <c r="E6" s="11" t="s">
        <v>50</v>
      </c>
      <c r="F6" s="11" t="s">
        <v>51</v>
      </c>
      <c r="G6" s="11" t="s">
        <v>52</v>
      </c>
      <c r="H6" s="11" t="s">
        <v>53</v>
      </c>
      <c r="I6" s="11" t="s">
        <v>54</v>
      </c>
      <c r="J6" s="12" t="s">
        <v>45</v>
      </c>
    </row>
    <row r="7" customFormat="false" ht="35.05" hidden="false" customHeight="false" outlineLevel="0" collapsed="false">
      <c r="A7" s="11" t="s">
        <v>55</v>
      </c>
      <c r="B7" s="11" t="s">
        <v>56</v>
      </c>
      <c r="C7" s="11" t="s">
        <v>57</v>
      </c>
      <c r="D7" s="11" t="s">
        <v>58</v>
      </c>
      <c r="E7" s="11" t="s">
        <v>59</v>
      </c>
      <c r="F7" s="11" t="s">
        <v>60</v>
      </c>
      <c r="G7" s="11" t="s">
        <v>61</v>
      </c>
      <c r="H7" s="11" t="s">
        <v>62</v>
      </c>
      <c r="I7" s="11" t="s">
        <v>63</v>
      </c>
      <c r="J7" s="12" t="s">
        <v>45</v>
      </c>
    </row>
    <row r="8" customFormat="false" ht="35.05" hidden="false" customHeight="false" outlineLevel="0" collapsed="false">
      <c r="A8" s="11" t="s">
        <v>64</v>
      </c>
      <c r="B8" s="11" t="s">
        <v>65</v>
      </c>
      <c r="C8" s="11" t="s">
        <v>66</v>
      </c>
      <c r="D8" s="11" t="s">
        <v>67</v>
      </c>
      <c r="E8" s="11" t="s">
        <v>68</v>
      </c>
      <c r="F8" s="11" t="s">
        <v>69</v>
      </c>
      <c r="G8" s="11" t="s">
        <v>70</v>
      </c>
      <c r="H8" s="11" t="s">
        <v>71</v>
      </c>
      <c r="I8" s="11" t="s">
        <v>72</v>
      </c>
      <c r="J8" s="12" t="s">
        <v>45</v>
      </c>
    </row>
    <row r="9" customFormat="false" ht="23.85" hidden="false" customHeight="false" outlineLevel="0" collapsed="false">
      <c r="A9" s="11" t="s">
        <v>73</v>
      </c>
      <c r="B9" s="11" t="s">
        <v>74</v>
      </c>
      <c r="C9" s="11" t="s">
        <v>75</v>
      </c>
      <c r="D9" s="11" t="s">
        <v>76</v>
      </c>
      <c r="E9" s="11" t="s">
        <v>77</v>
      </c>
      <c r="F9" s="11" t="s">
        <v>78</v>
      </c>
      <c r="G9" s="11" t="s">
        <v>79</v>
      </c>
      <c r="H9" s="11" t="s">
        <v>80</v>
      </c>
      <c r="I9" s="11" t="s">
        <v>81</v>
      </c>
      <c r="J9" s="1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16"/>
    <col collapsed="false" customWidth="true" hidden="false" outlineLevel="0" max="4" min="4" style="0" width="14"/>
    <col collapsed="false" customWidth="true" hidden="false" outlineLevel="0" max="5" min="5" style="0" width="18"/>
    <col collapsed="false" customWidth="true" hidden="false" outlineLevel="0" max="6" min="6" style="0" width="36"/>
    <col collapsed="false" customWidth="true" hidden="false" outlineLevel="0" max="7" min="7" style="0" width="22"/>
    <col collapsed="false" customWidth="true" hidden="false" outlineLevel="0" max="8" min="8" style="0" width="28"/>
    <col collapsed="false" customWidth="true" hidden="false" outlineLevel="0" max="9" min="9" style="0" width="12"/>
  </cols>
  <sheetData>
    <row r="1" customFormat="false" ht="17.35" hidden="false" customHeight="false" outlineLevel="0" collapsed="false">
      <c r="A1" s="1" t="s">
        <v>82</v>
      </c>
    </row>
    <row r="2" customFormat="false" ht="15" hidden="false" customHeight="false" outlineLevel="0" collapsed="false">
      <c r="A2" s="2" t="s">
        <v>83</v>
      </c>
    </row>
    <row r="4" customFormat="false" ht="15" hidden="false" customHeight="false" outlineLevel="0" collapsed="false">
      <c r="A4" s="10" t="s">
        <v>84</v>
      </c>
      <c r="B4" s="10" t="s">
        <v>85</v>
      </c>
      <c r="C4" s="10" t="s">
        <v>86</v>
      </c>
      <c r="D4" s="10" t="s">
        <v>87</v>
      </c>
      <c r="E4" s="10" t="s">
        <v>88</v>
      </c>
      <c r="F4" s="10" t="s">
        <v>89</v>
      </c>
      <c r="G4" s="10" t="s">
        <v>90</v>
      </c>
      <c r="H4" s="10" t="s">
        <v>91</v>
      </c>
      <c r="I4" s="10" t="s">
        <v>35</v>
      </c>
    </row>
    <row r="5" customFormat="false" ht="23.85" hidden="false" customHeight="false" outlineLevel="0" collapsed="false">
      <c r="A5" s="11" t="s">
        <v>92</v>
      </c>
      <c r="B5" s="11" t="s">
        <v>93</v>
      </c>
      <c r="C5" s="11" t="s">
        <v>94</v>
      </c>
      <c r="D5" s="11" t="s">
        <v>95</v>
      </c>
      <c r="E5" s="11" t="s">
        <v>96</v>
      </c>
      <c r="F5" s="11" t="s">
        <v>97</v>
      </c>
      <c r="G5" s="11" t="s">
        <v>98</v>
      </c>
      <c r="H5" s="11" t="s">
        <v>99</v>
      </c>
      <c r="I5" s="12" t="s">
        <v>45</v>
      </c>
    </row>
    <row r="6" customFormat="false" ht="23.85" hidden="false" customHeight="false" outlineLevel="0" collapsed="false">
      <c r="A6" s="11" t="s">
        <v>100</v>
      </c>
      <c r="B6" s="11" t="s">
        <v>101</v>
      </c>
      <c r="C6" s="11" t="s">
        <v>102</v>
      </c>
      <c r="D6" s="11" t="s">
        <v>103</v>
      </c>
      <c r="E6" s="11" t="s">
        <v>96</v>
      </c>
      <c r="F6" s="11" t="s">
        <v>104</v>
      </c>
      <c r="G6" s="11" t="s">
        <v>105</v>
      </c>
      <c r="H6" s="11" t="s">
        <v>106</v>
      </c>
      <c r="I6" s="12" t="s">
        <v>45</v>
      </c>
    </row>
    <row r="7" customFormat="false" ht="15" hidden="false" customHeight="false" outlineLevel="0" collapsed="false">
      <c r="A7" s="11" t="s">
        <v>107</v>
      </c>
      <c r="B7" s="11" t="s">
        <v>108</v>
      </c>
      <c r="C7" s="11" t="s">
        <v>102</v>
      </c>
      <c r="D7" s="11" t="s">
        <v>103</v>
      </c>
      <c r="E7" s="11" t="s">
        <v>96</v>
      </c>
      <c r="F7" s="11" t="s">
        <v>109</v>
      </c>
      <c r="G7" s="11" t="s">
        <v>98</v>
      </c>
      <c r="H7" s="11" t="s">
        <v>110</v>
      </c>
      <c r="I7" s="12" t="s">
        <v>45</v>
      </c>
    </row>
    <row r="8" customFormat="false" ht="15" hidden="false" customHeight="false" outlineLevel="0" collapsed="false">
      <c r="A8" s="11" t="s">
        <v>111</v>
      </c>
      <c r="B8" s="11" t="s">
        <v>112</v>
      </c>
      <c r="C8" s="11" t="s">
        <v>94</v>
      </c>
      <c r="D8" s="11" t="s">
        <v>95</v>
      </c>
      <c r="E8" s="11" t="s">
        <v>96</v>
      </c>
      <c r="F8" s="11" t="s">
        <v>113</v>
      </c>
      <c r="G8" s="11" t="s">
        <v>98</v>
      </c>
      <c r="H8" s="11" t="s">
        <v>110</v>
      </c>
      <c r="I8" s="12" t="s">
        <v>45</v>
      </c>
    </row>
    <row r="9" customFormat="false" ht="15" hidden="false" customHeight="false" outlineLevel="0" collapsed="false">
      <c r="A9" s="11" t="s">
        <v>39</v>
      </c>
      <c r="B9" s="11" t="s">
        <v>114</v>
      </c>
      <c r="C9" s="11" t="s">
        <v>115</v>
      </c>
      <c r="D9" s="11" t="s">
        <v>103</v>
      </c>
      <c r="E9" s="11" t="s">
        <v>116</v>
      </c>
      <c r="F9" s="11" t="s">
        <v>117</v>
      </c>
      <c r="G9" s="11" t="s">
        <v>98</v>
      </c>
      <c r="H9" s="11" t="s">
        <v>106</v>
      </c>
      <c r="I9" s="12" t="s">
        <v>45</v>
      </c>
    </row>
    <row r="10" customFormat="false" ht="15" hidden="false" customHeight="false" outlineLevel="0" collapsed="false">
      <c r="A10" s="11" t="s">
        <v>118</v>
      </c>
      <c r="B10" s="11" t="s">
        <v>119</v>
      </c>
      <c r="C10" s="11" t="s">
        <v>115</v>
      </c>
      <c r="D10" s="11" t="s">
        <v>120</v>
      </c>
      <c r="E10" s="11" t="s">
        <v>96</v>
      </c>
      <c r="F10" s="11" t="s">
        <v>121</v>
      </c>
      <c r="G10" s="11" t="s">
        <v>122</v>
      </c>
      <c r="H10" s="11" t="s">
        <v>123</v>
      </c>
      <c r="I10" s="12" t="s">
        <v>45</v>
      </c>
    </row>
    <row r="11" customFormat="false" ht="23.85" hidden="false" customHeight="false" outlineLevel="0" collapsed="false">
      <c r="A11" s="11" t="s">
        <v>58</v>
      </c>
      <c r="B11" s="11" t="s">
        <v>124</v>
      </c>
      <c r="C11" s="11" t="s">
        <v>115</v>
      </c>
      <c r="D11" s="11" t="s">
        <v>125</v>
      </c>
      <c r="E11" s="11" t="s">
        <v>96</v>
      </c>
      <c r="F11" s="11" t="s">
        <v>126</v>
      </c>
      <c r="G11" s="11" t="s">
        <v>105</v>
      </c>
      <c r="H11" s="11" t="s">
        <v>123</v>
      </c>
      <c r="I11" s="12" t="s">
        <v>45</v>
      </c>
    </row>
    <row r="12" customFormat="false" ht="23.85" hidden="false" customHeight="false" outlineLevel="0" collapsed="false">
      <c r="A12" s="11" t="s">
        <v>127</v>
      </c>
      <c r="B12" s="11" t="s">
        <v>128</v>
      </c>
      <c r="C12" s="11" t="s">
        <v>115</v>
      </c>
      <c r="D12" s="11" t="s">
        <v>125</v>
      </c>
      <c r="E12" s="11" t="s">
        <v>116</v>
      </c>
      <c r="F12" s="11" t="s">
        <v>129</v>
      </c>
      <c r="G12" s="11" t="s">
        <v>98</v>
      </c>
      <c r="H12" s="11" t="s">
        <v>123</v>
      </c>
      <c r="I12" s="12" t="s">
        <v>45</v>
      </c>
    </row>
    <row r="13" customFormat="false" ht="23.85" hidden="false" customHeight="false" outlineLevel="0" collapsed="false">
      <c r="A13" s="11" t="s">
        <v>130</v>
      </c>
      <c r="B13" s="11" t="s">
        <v>131</v>
      </c>
      <c r="C13" s="11" t="s">
        <v>102</v>
      </c>
      <c r="D13" s="11" t="s">
        <v>125</v>
      </c>
      <c r="E13" s="11" t="s">
        <v>96</v>
      </c>
      <c r="F13" s="11" t="s">
        <v>132</v>
      </c>
      <c r="G13" s="11" t="s">
        <v>133</v>
      </c>
      <c r="H13" s="11" t="s">
        <v>123</v>
      </c>
      <c r="I13" s="12" t="s">
        <v>45</v>
      </c>
    </row>
    <row r="14" customFormat="false" ht="15" hidden="false" customHeight="false" outlineLevel="0" collapsed="false">
      <c r="A14" s="11" t="s">
        <v>134</v>
      </c>
      <c r="B14" s="11" t="s">
        <v>135</v>
      </c>
      <c r="C14" s="11" t="s">
        <v>102</v>
      </c>
      <c r="D14" s="11" t="s">
        <v>136</v>
      </c>
      <c r="E14" s="11" t="s">
        <v>96</v>
      </c>
      <c r="F14" s="11" t="s">
        <v>137</v>
      </c>
      <c r="G14" s="11" t="s">
        <v>138</v>
      </c>
      <c r="H14" s="11" t="s">
        <v>123</v>
      </c>
      <c r="I14" s="12" t="s">
        <v>45</v>
      </c>
    </row>
    <row r="15" customFormat="false" ht="15" hidden="false" customHeight="false" outlineLevel="0" collapsed="false">
      <c r="A15" s="11" t="s">
        <v>139</v>
      </c>
      <c r="B15" s="11" t="s">
        <v>140</v>
      </c>
      <c r="C15" s="11" t="s">
        <v>141</v>
      </c>
      <c r="D15" s="11" t="s">
        <v>142</v>
      </c>
      <c r="E15" s="11" t="s">
        <v>143</v>
      </c>
      <c r="F15" s="11" t="s">
        <v>144</v>
      </c>
      <c r="G15" s="11" t="s">
        <v>105</v>
      </c>
      <c r="H15" s="11" t="s">
        <v>106</v>
      </c>
      <c r="I15" s="12" t="s">
        <v>45</v>
      </c>
    </row>
    <row r="16" customFormat="false" ht="23.85" hidden="false" customHeight="false" outlineLevel="0" collapsed="false">
      <c r="A16" s="11" t="s">
        <v>145</v>
      </c>
      <c r="B16" s="11" t="s">
        <v>146</v>
      </c>
      <c r="C16" s="11" t="s">
        <v>141</v>
      </c>
      <c r="D16" s="11" t="s">
        <v>142</v>
      </c>
      <c r="E16" s="11" t="s">
        <v>143</v>
      </c>
      <c r="F16" s="11" t="s">
        <v>144</v>
      </c>
      <c r="G16" s="11" t="s">
        <v>147</v>
      </c>
      <c r="H16" s="11" t="s">
        <v>106</v>
      </c>
      <c r="I16" s="12" t="s">
        <v>45</v>
      </c>
    </row>
    <row r="17" customFormat="false" ht="15" hidden="false" customHeight="false" outlineLevel="0" collapsed="false">
      <c r="A17" s="11" t="s">
        <v>148</v>
      </c>
      <c r="B17" s="11" t="s">
        <v>149</v>
      </c>
      <c r="C17" s="11" t="s">
        <v>94</v>
      </c>
      <c r="D17" s="11" t="s">
        <v>142</v>
      </c>
      <c r="E17" s="11" t="s">
        <v>96</v>
      </c>
      <c r="F17" s="11" t="s">
        <v>150</v>
      </c>
      <c r="G17" s="11" t="s">
        <v>98</v>
      </c>
      <c r="H17" s="11" t="s">
        <v>110</v>
      </c>
      <c r="I17" s="13" t="s">
        <v>151</v>
      </c>
    </row>
    <row r="18" customFormat="false" ht="23.85" hidden="false" customHeight="false" outlineLevel="0" collapsed="false">
      <c r="A18" s="11" t="s">
        <v>152</v>
      </c>
      <c r="B18" s="11" t="s">
        <v>153</v>
      </c>
      <c r="C18" s="11" t="s">
        <v>94</v>
      </c>
      <c r="D18" s="11" t="s">
        <v>103</v>
      </c>
      <c r="E18" s="11" t="s">
        <v>154</v>
      </c>
      <c r="F18" s="11" t="s">
        <v>155</v>
      </c>
      <c r="G18" s="11" t="s">
        <v>105</v>
      </c>
      <c r="H18" s="11" t="s">
        <v>123</v>
      </c>
      <c r="I18" s="12" t="s">
        <v>45</v>
      </c>
    </row>
    <row r="19" customFormat="false" ht="15" hidden="false" customHeight="false" outlineLevel="0" collapsed="false">
      <c r="A19" s="11" t="s">
        <v>156</v>
      </c>
      <c r="B19" s="11" t="s">
        <v>157</v>
      </c>
      <c r="C19" s="11" t="s">
        <v>102</v>
      </c>
      <c r="D19" s="11" t="s">
        <v>103</v>
      </c>
      <c r="E19" s="11" t="s">
        <v>154</v>
      </c>
      <c r="F19" s="11" t="s">
        <v>158</v>
      </c>
      <c r="G19" s="11" t="s">
        <v>98</v>
      </c>
      <c r="H19" s="11" t="s">
        <v>123</v>
      </c>
      <c r="I19" s="12" t="s">
        <v>45</v>
      </c>
    </row>
    <row r="20" customFormat="false" ht="15" hidden="false" customHeight="false" outlineLevel="0" collapsed="false">
      <c r="A20" s="11" t="s">
        <v>159</v>
      </c>
      <c r="B20" s="11" t="s">
        <v>160</v>
      </c>
      <c r="C20" s="11" t="s">
        <v>94</v>
      </c>
      <c r="D20" s="11" t="s">
        <v>120</v>
      </c>
      <c r="E20" s="11" t="s">
        <v>154</v>
      </c>
      <c r="F20" s="11" t="s">
        <v>161</v>
      </c>
      <c r="G20" s="11" t="s">
        <v>162</v>
      </c>
      <c r="H20" s="11" t="s">
        <v>123</v>
      </c>
      <c r="I20" s="12" t="s">
        <v>45</v>
      </c>
    </row>
    <row r="21" customFormat="false" ht="15" hidden="false" customHeight="false" outlineLevel="0" collapsed="false">
      <c r="A21" s="11" t="s">
        <v>163</v>
      </c>
      <c r="B21" s="11" t="s">
        <v>164</v>
      </c>
      <c r="C21" s="11" t="s">
        <v>102</v>
      </c>
      <c r="D21" s="11" t="s">
        <v>165</v>
      </c>
      <c r="E21" s="11" t="s">
        <v>166</v>
      </c>
      <c r="F21" s="11" t="s">
        <v>167</v>
      </c>
      <c r="G21" s="11" t="s">
        <v>168</v>
      </c>
      <c r="H21" s="11" t="s">
        <v>123</v>
      </c>
      <c r="I21" s="12" t="s">
        <v>45</v>
      </c>
    </row>
    <row r="22" customFormat="false" ht="15" hidden="false" customHeight="false" outlineLevel="0" collapsed="false">
      <c r="A22" s="11" t="s">
        <v>169</v>
      </c>
      <c r="B22" s="11" t="s">
        <v>170</v>
      </c>
      <c r="C22" s="11" t="s">
        <v>102</v>
      </c>
      <c r="D22" s="11" t="s">
        <v>165</v>
      </c>
      <c r="E22" s="11" t="s">
        <v>166</v>
      </c>
      <c r="F22" s="11" t="s">
        <v>158</v>
      </c>
      <c r="G22" s="11" t="s">
        <v>133</v>
      </c>
      <c r="H22" s="11" t="s">
        <v>123</v>
      </c>
      <c r="I22" s="12" t="s">
        <v>45</v>
      </c>
    </row>
    <row r="23" customFormat="false" ht="23.85" hidden="false" customHeight="false" outlineLevel="0" collapsed="false">
      <c r="A23" s="11" t="s">
        <v>171</v>
      </c>
      <c r="B23" s="11" t="s">
        <v>172</v>
      </c>
      <c r="C23" s="11" t="s">
        <v>102</v>
      </c>
      <c r="D23" s="11" t="s">
        <v>165</v>
      </c>
      <c r="E23" s="11" t="s">
        <v>116</v>
      </c>
      <c r="F23" s="11" t="s">
        <v>173</v>
      </c>
      <c r="G23" s="11" t="s">
        <v>98</v>
      </c>
      <c r="H23" s="11" t="s">
        <v>123</v>
      </c>
      <c r="I23" s="12" t="s">
        <v>45</v>
      </c>
    </row>
    <row r="24" customFormat="false" ht="15" hidden="false" customHeight="false" outlineLevel="0" collapsed="false">
      <c r="A24" s="11" t="s">
        <v>174</v>
      </c>
      <c r="B24" s="11" t="s">
        <v>175</v>
      </c>
      <c r="C24" s="11" t="s">
        <v>115</v>
      </c>
      <c r="D24" s="11" t="s">
        <v>165</v>
      </c>
      <c r="E24" s="11" t="s">
        <v>116</v>
      </c>
      <c r="F24" s="11" t="s">
        <v>176</v>
      </c>
      <c r="G24" s="11" t="s">
        <v>98</v>
      </c>
      <c r="H24" s="11" t="s">
        <v>106</v>
      </c>
      <c r="I24" s="1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4" min="3" style="0" width="44"/>
    <col collapsed="false" customWidth="true" hidden="false" outlineLevel="0" max="5" min="5" style="0" width="22"/>
    <col collapsed="false" customWidth="true" hidden="false" outlineLevel="0" max="6" min="6" style="0" width="40"/>
    <col collapsed="false" customWidth="true" hidden="false" outlineLevel="0" max="7" min="7" style="0" width="20"/>
    <col collapsed="false" customWidth="true" hidden="false" outlineLevel="0" max="8" min="8" style="0" width="52"/>
    <col collapsed="false" customWidth="true" hidden="false" outlineLevel="0" max="9" min="9" style="0" width="11"/>
  </cols>
  <sheetData>
    <row r="1" customFormat="false" ht="17.35" hidden="false" customHeight="false" outlineLevel="0" collapsed="false">
      <c r="A1" s="1" t="s">
        <v>177</v>
      </c>
    </row>
    <row r="2" customFormat="false" ht="15" hidden="false" customHeight="false" outlineLevel="0" collapsed="false">
      <c r="A2" s="2" t="s">
        <v>178</v>
      </c>
    </row>
    <row r="4" customFormat="false" ht="23.85" hidden="false" customHeight="false" outlineLevel="0" collapsed="false">
      <c r="A4" s="10" t="s">
        <v>163</v>
      </c>
      <c r="B4" s="10" t="s">
        <v>87</v>
      </c>
      <c r="C4" s="10" t="s">
        <v>179</v>
      </c>
      <c r="D4" s="10" t="s">
        <v>180</v>
      </c>
      <c r="E4" s="10" t="s">
        <v>181</v>
      </c>
      <c r="F4" s="10" t="s">
        <v>182</v>
      </c>
      <c r="G4" s="10" t="s">
        <v>183</v>
      </c>
      <c r="H4" s="10" t="s">
        <v>184</v>
      </c>
      <c r="I4" s="10" t="s">
        <v>35</v>
      </c>
    </row>
    <row r="5" customFormat="false" ht="23.85" hidden="false" customHeight="false" outlineLevel="0" collapsed="false">
      <c r="A5" s="11" t="s">
        <v>185</v>
      </c>
      <c r="B5" s="11" t="s">
        <v>125</v>
      </c>
      <c r="C5" s="11" t="s">
        <v>186</v>
      </c>
      <c r="D5" s="11" t="s">
        <v>187</v>
      </c>
      <c r="E5" s="11" t="s">
        <v>188</v>
      </c>
      <c r="F5" s="11" t="s">
        <v>189</v>
      </c>
      <c r="G5" s="11" t="s">
        <v>96</v>
      </c>
      <c r="H5" s="11" t="s">
        <v>190</v>
      </c>
      <c r="I5" s="12" t="s">
        <v>45</v>
      </c>
    </row>
    <row r="6" customFormat="false" ht="23.85" hidden="false" customHeight="false" outlineLevel="0" collapsed="false">
      <c r="A6" s="11" t="s">
        <v>167</v>
      </c>
      <c r="B6" s="11" t="s">
        <v>191</v>
      </c>
      <c r="C6" s="11" t="s">
        <v>192</v>
      </c>
      <c r="D6" s="11" t="s">
        <v>193</v>
      </c>
      <c r="E6" s="11" t="s">
        <v>194</v>
      </c>
      <c r="F6" s="11" t="s">
        <v>195</v>
      </c>
      <c r="G6" s="11" t="s">
        <v>196</v>
      </c>
      <c r="H6" s="11" t="s">
        <v>197</v>
      </c>
      <c r="I6" s="12" t="s">
        <v>45</v>
      </c>
    </row>
    <row r="7" customFormat="false" ht="23.85" hidden="false" customHeight="false" outlineLevel="0" collapsed="false">
      <c r="A7" s="11" t="s">
        <v>198</v>
      </c>
      <c r="B7" s="11" t="s">
        <v>136</v>
      </c>
      <c r="C7" s="11" t="s">
        <v>199</v>
      </c>
      <c r="D7" s="11" t="s">
        <v>200</v>
      </c>
      <c r="E7" s="11" t="s">
        <v>201</v>
      </c>
      <c r="F7" s="11" t="s">
        <v>202</v>
      </c>
      <c r="G7" s="11" t="s">
        <v>96</v>
      </c>
      <c r="H7" s="11" t="s">
        <v>203</v>
      </c>
      <c r="I7" s="12" t="s">
        <v>45</v>
      </c>
    </row>
    <row r="8" customFormat="false" ht="23.85" hidden="false" customHeight="false" outlineLevel="0" collapsed="false">
      <c r="A8" s="11" t="s">
        <v>204</v>
      </c>
      <c r="B8" s="11" t="s">
        <v>191</v>
      </c>
      <c r="C8" s="11" t="s">
        <v>205</v>
      </c>
      <c r="D8" s="11" t="s">
        <v>206</v>
      </c>
      <c r="E8" s="11" t="s">
        <v>207</v>
      </c>
      <c r="F8" s="11" t="s">
        <v>208</v>
      </c>
      <c r="G8" s="11" t="s">
        <v>96</v>
      </c>
      <c r="H8" s="11" t="s">
        <v>209</v>
      </c>
      <c r="I8" s="12" t="s">
        <v>45</v>
      </c>
    </row>
    <row r="9" customFormat="false" ht="23.85" hidden="false" customHeight="false" outlineLevel="0" collapsed="false">
      <c r="A9" s="11" t="s">
        <v>210</v>
      </c>
      <c r="B9" s="11" t="s">
        <v>165</v>
      </c>
      <c r="C9" s="11" t="s">
        <v>211</v>
      </c>
      <c r="D9" s="11" t="s">
        <v>212</v>
      </c>
      <c r="E9" s="11" t="s">
        <v>213</v>
      </c>
      <c r="F9" s="11" t="s">
        <v>214</v>
      </c>
      <c r="G9" s="11" t="s">
        <v>96</v>
      </c>
      <c r="H9" s="11" t="s">
        <v>215</v>
      </c>
      <c r="I9" s="12" t="s">
        <v>45</v>
      </c>
    </row>
    <row r="10" customFormat="false" ht="23.85" hidden="false" customHeight="false" outlineLevel="0" collapsed="false">
      <c r="A10" s="11" t="s">
        <v>216</v>
      </c>
      <c r="B10" s="11" t="s">
        <v>142</v>
      </c>
      <c r="C10" s="11" t="s">
        <v>217</v>
      </c>
      <c r="D10" s="11" t="s">
        <v>218</v>
      </c>
      <c r="E10" s="11" t="s">
        <v>219</v>
      </c>
      <c r="F10" s="11" t="s">
        <v>220</v>
      </c>
      <c r="G10" s="11" t="s">
        <v>221</v>
      </c>
      <c r="H10" s="11" t="s">
        <v>222</v>
      </c>
      <c r="I10" s="12" t="s">
        <v>45</v>
      </c>
    </row>
    <row r="11" customFormat="false" ht="23.85" hidden="false" customHeight="false" outlineLevel="0" collapsed="false">
      <c r="A11" s="11" t="s">
        <v>223</v>
      </c>
      <c r="B11" s="11" t="s">
        <v>165</v>
      </c>
      <c r="C11" s="11" t="s">
        <v>224</v>
      </c>
      <c r="D11" s="11" t="s">
        <v>225</v>
      </c>
      <c r="E11" s="11" t="s">
        <v>223</v>
      </c>
      <c r="F11" s="11" t="s">
        <v>226</v>
      </c>
      <c r="G11" s="11" t="s">
        <v>227</v>
      </c>
      <c r="H11" s="11" t="s">
        <v>228</v>
      </c>
      <c r="I11" s="12" t="s">
        <v>45</v>
      </c>
    </row>
    <row r="14" customFormat="false" ht="15" hidden="false" customHeight="false" outlineLevel="0" collapsed="false">
      <c r="A14" s="5" t="s">
        <v>229</v>
      </c>
    </row>
    <row r="15" customFormat="false" ht="15" hidden="false" customHeight="false" outlineLevel="0" collapsed="false">
      <c r="A15" s="10" t="s">
        <v>230</v>
      </c>
      <c r="B15" s="10" t="s">
        <v>231</v>
      </c>
    </row>
    <row r="16" customFormat="false" ht="46.25" hidden="false" customHeight="false" outlineLevel="0" collapsed="false">
      <c r="A16" s="11" t="s">
        <v>207</v>
      </c>
      <c r="B16" s="11" t="s">
        <v>232</v>
      </c>
    </row>
    <row r="17" customFormat="false" ht="46.25" hidden="false" customHeight="false" outlineLevel="0" collapsed="false">
      <c r="A17" s="11" t="s">
        <v>98</v>
      </c>
      <c r="B17" s="11" t="s">
        <v>233</v>
      </c>
    </row>
    <row r="18" customFormat="false" ht="57.45" hidden="false" customHeight="false" outlineLevel="0" collapsed="false">
      <c r="A18" s="11" t="s">
        <v>158</v>
      </c>
      <c r="B18" s="11" t="s">
        <v>234</v>
      </c>
    </row>
    <row r="19" customFormat="false" ht="35.05" hidden="false" customHeight="false" outlineLevel="0" collapsed="false">
      <c r="A19" s="11" t="s">
        <v>223</v>
      </c>
      <c r="B19" s="11"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4"/>
    <col collapsed="false" customWidth="true" hidden="false" outlineLevel="0" max="3" min="3" style="0" width="36"/>
    <col collapsed="false" customWidth="true" hidden="false" outlineLevel="0" max="6" min="4" style="0" width="40"/>
    <col collapsed="false" customWidth="true" hidden="false" outlineLevel="0" max="7" min="7" style="0" width="22"/>
    <col collapsed="false" customWidth="true" hidden="false" outlineLevel="0" max="8" min="8" style="0" width="11"/>
  </cols>
  <sheetData>
    <row r="1" customFormat="false" ht="17.35" hidden="false" customHeight="false" outlineLevel="0" collapsed="false">
      <c r="A1" s="1" t="s">
        <v>236</v>
      </c>
    </row>
    <row r="2" customFormat="false" ht="15" hidden="false" customHeight="false" outlineLevel="0" collapsed="false">
      <c r="A2" s="2" t="s">
        <v>237</v>
      </c>
    </row>
    <row r="4" customFormat="false" ht="15" hidden="false" customHeight="false" outlineLevel="0" collapsed="false">
      <c r="A4" s="10" t="s">
        <v>238</v>
      </c>
      <c r="B4" s="10" t="s">
        <v>179</v>
      </c>
      <c r="C4" s="10" t="s">
        <v>239</v>
      </c>
      <c r="D4" s="10" t="s">
        <v>240</v>
      </c>
      <c r="E4" s="10" t="s">
        <v>241</v>
      </c>
      <c r="F4" s="10" t="s">
        <v>242</v>
      </c>
      <c r="G4" s="10" t="s">
        <v>243</v>
      </c>
      <c r="H4" s="10" t="s">
        <v>35</v>
      </c>
    </row>
    <row r="5" customFormat="false" ht="23.85" hidden="false" customHeight="false" outlineLevel="0" collapsed="false">
      <c r="A5" s="11" t="s">
        <v>244</v>
      </c>
      <c r="B5" s="11" t="s">
        <v>245</v>
      </c>
      <c r="C5" s="11" t="s">
        <v>246</v>
      </c>
      <c r="D5" s="11" t="s">
        <v>247</v>
      </c>
      <c r="E5" s="11" t="s">
        <v>248</v>
      </c>
      <c r="F5" s="11" t="s">
        <v>249</v>
      </c>
      <c r="G5" s="11" t="s">
        <v>250</v>
      </c>
      <c r="H5" s="12" t="s">
        <v>45</v>
      </c>
    </row>
    <row r="6" customFormat="false" ht="15" hidden="false" customHeight="false" outlineLevel="0" collapsed="false">
      <c r="A6" s="11" t="s">
        <v>251</v>
      </c>
      <c r="B6" s="11" t="s">
        <v>252</v>
      </c>
      <c r="C6" s="11" t="s">
        <v>253</v>
      </c>
      <c r="D6" s="11" t="s">
        <v>254</v>
      </c>
      <c r="E6" s="11" t="s">
        <v>255</v>
      </c>
      <c r="F6" s="11" t="s">
        <v>256</v>
      </c>
      <c r="G6" s="11" t="s">
        <v>106</v>
      </c>
      <c r="H6" s="12" t="s">
        <v>45</v>
      </c>
    </row>
    <row r="7" customFormat="false" ht="23.85" hidden="false" customHeight="false" outlineLevel="0" collapsed="false">
      <c r="A7" s="11" t="s">
        <v>257</v>
      </c>
      <c r="B7" s="11" t="s">
        <v>258</v>
      </c>
      <c r="C7" s="11" t="s">
        <v>259</v>
      </c>
      <c r="D7" s="11" t="s">
        <v>260</v>
      </c>
      <c r="E7" s="11" t="s">
        <v>261</v>
      </c>
      <c r="F7" s="11" t="s">
        <v>262</v>
      </c>
      <c r="G7" s="11" t="s">
        <v>123</v>
      </c>
      <c r="H7" s="12" t="s">
        <v>45</v>
      </c>
    </row>
    <row r="8" customFormat="false" ht="23.85" hidden="false" customHeight="false" outlineLevel="0" collapsed="false">
      <c r="A8" s="11" t="s">
        <v>263</v>
      </c>
      <c r="B8" s="11" t="s">
        <v>264</v>
      </c>
      <c r="C8" s="11" t="s">
        <v>265</v>
      </c>
      <c r="D8" s="11" t="s">
        <v>266</v>
      </c>
      <c r="E8" s="11" t="s">
        <v>267</v>
      </c>
      <c r="F8" s="11" t="s">
        <v>268</v>
      </c>
      <c r="G8" s="11" t="s">
        <v>123</v>
      </c>
      <c r="H8" s="12" t="s">
        <v>45</v>
      </c>
    </row>
    <row r="11" customFormat="false" ht="15" hidden="false" customHeight="false" outlineLevel="0" collapsed="false">
      <c r="A11" s="5" t="s">
        <v>269</v>
      </c>
    </row>
    <row r="12" customFormat="false" ht="15" hidden="false" customHeight="false" outlineLevel="0" collapsed="false">
      <c r="A12" s="10" t="s">
        <v>270</v>
      </c>
      <c r="B12" s="10" t="s">
        <v>271</v>
      </c>
      <c r="C12" s="10" t="s">
        <v>272</v>
      </c>
      <c r="D12" s="10" t="s">
        <v>273</v>
      </c>
    </row>
    <row r="13" customFormat="false" ht="23.85" hidden="false" customHeight="false" outlineLevel="0" collapsed="false">
      <c r="A13" s="11" t="s">
        <v>274</v>
      </c>
      <c r="B13" s="11" t="s">
        <v>137</v>
      </c>
      <c r="C13" s="11" t="s">
        <v>275</v>
      </c>
      <c r="D13" s="11" t="s">
        <v>276</v>
      </c>
    </row>
    <row r="14" customFormat="false" ht="23.85" hidden="false" customHeight="false" outlineLevel="0" collapsed="false">
      <c r="A14" s="11" t="s">
        <v>274</v>
      </c>
      <c r="B14" s="11" t="s">
        <v>277</v>
      </c>
      <c r="C14" s="11" t="s">
        <v>278</v>
      </c>
      <c r="D14" s="11" t="s">
        <v>279</v>
      </c>
    </row>
    <row r="15" customFormat="false" ht="23.85" hidden="false" customHeight="false" outlineLevel="0" collapsed="false">
      <c r="A15" s="11" t="s">
        <v>274</v>
      </c>
      <c r="B15" s="11" t="s">
        <v>280</v>
      </c>
      <c r="C15" s="11" t="s">
        <v>281</v>
      </c>
      <c r="D15" s="11" t="s">
        <v>282</v>
      </c>
    </row>
    <row r="16" customFormat="false" ht="23.85" hidden="false" customHeight="false" outlineLevel="0" collapsed="false">
      <c r="A16" s="11" t="s">
        <v>274</v>
      </c>
      <c r="B16" s="11" t="s">
        <v>137</v>
      </c>
      <c r="C16" s="11" t="s">
        <v>283</v>
      </c>
      <c r="D16" s="11" t="s">
        <v>284</v>
      </c>
    </row>
    <row r="17" customFormat="false" ht="23.85" hidden="false" customHeight="false" outlineLevel="0" collapsed="false">
      <c r="A17" s="11" t="s">
        <v>274</v>
      </c>
      <c r="B17" s="11" t="s">
        <v>137</v>
      </c>
      <c r="C17" s="11" t="s">
        <v>285</v>
      </c>
      <c r="D17" s="11" t="s">
        <v>286</v>
      </c>
    </row>
    <row r="18" customFormat="false" ht="23.85" hidden="false" customHeight="false" outlineLevel="0" collapsed="false">
      <c r="A18" s="11" t="s">
        <v>274</v>
      </c>
      <c r="B18" s="11" t="s">
        <v>137</v>
      </c>
      <c r="C18" s="11" t="s">
        <v>287</v>
      </c>
      <c r="D18" s="11" t="s">
        <v>288</v>
      </c>
    </row>
    <row r="19" customFormat="false" ht="15" hidden="false" customHeight="false" outlineLevel="0" collapsed="false">
      <c r="A19" s="11" t="s">
        <v>289</v>
      </c>
      <c r="B19" s="11" t="s">
        <v>290</v>
      </c>
      <c r="C19" s="11" t="s">
        <v>281</v>
      </c>
      <c r="D19" s="11" t="s">
        <v>291</v>
      </c>
    </row>
    <row r="21" customFormat="false" ht="15" hidden="false" customHeight="false" outlineLevel="0" collapsed="false">
      <c r="A21" s="9"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52"/>
    <col collapsed="false" customWidth="true" hidden="false" outlineLevel="0" max="4" min="4" style="0" width="36"/>
    <col collapsed="false" customWidth="true" hidden="false" outlineLevel="0" max="5" min="5" style="0" width="58"/>
    <col collapsed="false" customWidth="true" hidden="false" outlineLevel="0" max="7" min="6" style="0" width="30"/>
  </cols>
  <sheetData>
    <row r="1" customFormat="false" ht="17.35" hidden="false" customHeight="false" outlineLevel="0" collapsed="false">
      <c r="A1" s="1" t="s">
        <v>293</v>
      </c>
    </row>
    <row r="2" customFormat="false" ht="15" hidden="false" customHeight="false" outlineLevel="0" collapsed="false">
      <c r="A2" s="2" t="s">
        <v>294</v>
      </c>
    </row>
    <row r="4" customFormat="false" ht="15" hidden="false" customHeight="false" outlineLevel="0" collapsed="false">
      <c r="A4" s="10" t="s">
        <v>295</v>
      </c>
      <c r="B4" s="10" t="s">
        <v>296</v>
      </c>
      <c r="C4" s="10" t="s">
        <v>297</v>
      </c>
      <c r="D4" s="10" t="s">
        <v>298</v>
      </c>
      <c r="E4" s="10" t="s">
        <v>299</v>
      </c>
      <c r="F4" s="10" t="s">
        <v>300</v>
      </c>
      <c r="G4" s="10" t="s">
        <v>301</v>
      </c>
    </row>
    <row r="5" customFormat="false" ht="23.85" hidden="false" customHeight="false" outlineLevel="0" collapsed="false">
      <c r="A5" s="11" t="s">
        <v>302</v>
      </c>
      <c r="B5" s="11" t="s">
        <v>303</v>
      </c>
      <c r="C5" s="11" t="s">
        <v>304</v>
      </c>
      <c r="D5" s="11" t="s">
        <v>305</v>
      </c>
      <c r="E5" s="11" t="s">
        <v>306</v>
      </c>
      <c r="F5" s="11" t="s">
        <v>307</v>
      </c>
      <c r="G5" s="11" t="s">
        <v>308</v>
      </c>
    </row>
    <row r="6" customFormat="false" ht="23.85" hidden="false" customHeight="false" outlineLevel="0" collapsed="false">
      <c r="A6" s="11" t="s">
        <v>309</v>
      </c>
      <c r="B6" s="11" t="s">
        <v>310</v>
      </c>
      <c r="C6" s="11" t="s">
        <v>311</v>
      </c>
      <c r="D6" s="11" t="s">
        <v>312</v>
      </c>
      <c r="E6" s="11" t="s">
        <v>313</v>
      </c>
      <c r="F6" s="11" t="s">
        <v>314</v>
      </c>
      <c r="G6" s="11" t="s">
        <v>315</v>
      </c>
    </row>
    <row r="7" customFormat="false" ht="23.85" hidden="false" customHeight="false" outlineLevel="0" collapsed="false">
      <c r="A7" s="11" t="s">
        <v>316</v>
      </c>
      <c r="B7" s="11" t="s">
        <v>317</v>
      </c>
      <c r="C7" s="11" t="s">
        <v>318</v>
      </c>
      <c r="D7" s="11" t="s">
        <v>319</v>
      </c>
      <c r="E7" s="11" t="s">
        <v>320</v>
      </c>
      <c r="F7" s="11" t="s">
        <v>321</v>
      </c>
      <c r="G7" s="11" t="s">
        <v>322</v>
      </c>
    </row>
    <row r="8" customFormat="false" ht="23.85" hidden="false" customHeight="false" outlineLevel="0" collapsed="false">
      <c r="A8" s="11" t="s">
        <v>323</v>
      </c>
      <c r="B8" s="11" t="s">
        <v>324</v>
      </c>
      <c r="C8" s="11" t="s">
        <v>325</v>
      </c>
      <c r="D8" s="11" t="s">
        <v>326</v>
      </c>
      <c r="E8" s="11" t="s">
        <v>327</v>
      </c>
      <c r="F8" s="11" t="s">
        <v>328</v>
      </c>
      <c r="G8" s="11" t="s">
        <v>329</v>
      </c>
    </row>
    <row r="9" customFormat="false" ht="35.05" hidden="false" customHeight="false" outlineLevel="0" collapsed="false">
      <c r="A9" s="11" t="s">
        <v>330</v>
      </c>
      <c r="B9" s="11" t="s">
        <v>331</v>
      </c>
      <c r="C9" s="11" t="s">
        <v>332</v>
      </c>
      <c r="D9" s="11" t="s">
        <v>333</v>
      </c>
      <c r="E9" s="11" t="s">
        <v>334</v>
      </c>
      <c r="F9" s="11" t="s">
        <v>335</v>
      </c>
      <c r="G9" s="11" t="s">
        <v>336</v>
      </c>
    </row>
    <row r="12" customFormat="false" ht="15" hidden="false" customHeight="false" outlineLevel="0" collapsed="false">
      <c r="A12" s="5" t="s">
        <v>337</v>
      </c>
    </row>
    <row r="13" customFormat="false" ht="15" hidden="false" customHeight="false" outlineLevel="0" collapsed="false">
      <c r="A13" s="10" t="s">
        <v>338</v>
      </c>
      <c r="B13" s="10" t="s">
        <v>339</v>
      </c>
    </row>
    <row r="14" customFormat="false" ht="35.05" hidden="false" customHeight="false" outlineLevel="0" collapsed="false">
      <c r="A14" s="11" t="s">
        <v>340</v>
      </c>
      <c r="B14" s="11" t="s">
        <v>341</v>
      </c>
    </row>
    <row r="15" customFormat="false" ht="23.85" hidden="false" customHeight="false" outlineLevel="0" collapsed="false">
      <c r="A15" s="11" t="s">
        <v>342</v>
      </c>
      <c r="B15" s="11" t="s">
        <v>343</v>
      </c>
    </row>
    <row r="16" customFormat="false" ht="23.85" hidden="false" customHeight="false" outlineLevel="0" collapsed="false">
      <c r="A16" s="11" t="s">
        <v>344</v>
      </c>
      <c r="B16" s="11" t="s">
        <v>345</v>
      </c>
    </row>
    <row r="17" customFormat="false" ht="23.85" hidden="false" customHeight="false" outlineLevel="0" collapsed="false">
      <c r="A17" s="11" t="s">
        <v>346</v>
      </c>
      <c r="B17" s="11" t="s">
        <v>347</v>
      </c>
    </row>
    <row r="18" customFormat="false" ht="35.05" hidden="false" customHeight="false" outlineLevel="0" collapsed="false">
      <c r="A18" s="11" t="s">
        <v>348</v>
      </c>
      <c r="B18" s="11" t="s">
        <v>349</v>
      </c>
    </row>
    <row r="19" customFormat="false" ht="35.05" hidden="false" customHeight="false" outlineLevel="0" collapsed="false">
      <c r="A19" s="11" t="s">
        <v>350</v>
      </c>
      <c r="B19" s="11" t="s">
        <v>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AB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8" min="1" style="0" width="17"/>
  </cols>
  <sheetData>
    <row r="1" customFormat="false" ht="30" hidden="false" customHeight="true" outlineLevel="0" collapsed="false">
      <c r="A1" s="14" t="s">
        <v>92</v>
      </c>
      <c r="B1" s="14" t="s">
        <v>100</v>
      </c>
      <c r="C1" s="14" t="s">
        <v>107</v>
      </c>
      <c r="D1" s="14" t="s">
        <v>111</v>
      </c>
      <c r="E1" s="14" t="s">
        <v>152</v>
      </c>
      <c r="F1" s="14" t="s">
        <v>156</v>
      </c>
      <c r="G1" s="14" t="s">
        <v>159</v>
      </c>
      <c r="H1" s="14" t="s">
        <v>39</v>
      </c>
      <c r="I1" s="14" t="s">
        <v>118</v>
      </c>
      <c r="J1" s="14" t="s">
        <v>58</v>
      </c>
      <c r="K1" s="14" t="s">
        <v>130</v>
      </c>
      <c r="L1" s="14" t="s">
        <v>134</v>
      </c>
      <c r="M1" s="14" t="s">
        <v>139</v>
      </c>
      <c r="N1" s="14" t="s">
        <v>148</v>
      </c>
      <c r="O1" s="14" t="s">
        <v>163</v>
      </c>
      <c r="P1" s="14" t="s">
        <v>169</v>
      </c>
      <c r="Q1" s="15" t="s">
        <v>352</v>
      </c>
      <c r="R1" s="15" t="s">
        <v>353</v>
      </c>
      <c r="S1" s="15" t="s">
        <v>354</v>
      </c>
      <c r="T1" s="15" t="s">
        <v>355</v>
      </c>
      <c r="U1" s="15" t="s">
        <v>356</v>
      </c>
      <c r="V1" s="15" t="s">
        <v>357</v>
      </c>
      <c r="W1" s="15" t="s">
        <v>358</v>
      </c>
      <c r="X1" s="15" t="s">
        <v>359</v>
      </c>
      <c r="Y1" s="15" t="s">
        <v>360</v>
      </c>
      <c r="Z1" s="15" t="s">
        <v>361</v>
      </c>
      <c r="AA1" s="15" t="s">
        <v>362</v>
      </c>
      <c r="AB1" s="15" t="s">
        <v>363</v>
      </c>
    </row>
    <row r="2" customFormat="false" ht="15" hidden="false" customHeight="false" outlineLevel="0" collapsed="false">
      <c r="A2" s="6" t="s">
        <v>364</v>
      </c>
      <c r="B2" s="6" t="s">
        <v>365</v>
      </c>
      <c r="C2" s="6" t="s">
        <v>323</v>
      </c>
      <c r="D2" s="6" t="s">
        <v>366</v>
      </c>
      <c r="E2" s="6" t="s">
        <v>367</v>
      </c>
      <c r="F2" s="6" t="s">
        <v>158</v>
      </c>
      <c r="G2" s="6" t="s">
        <v>368</v>
      </c>
      <c r="H2" s="16" t="n">
        <v>46294.8402777778</v>
      </c>
      <c r="I2" s="16" t="n">
        <v>46294.84375</v>
      </c>
      <c r="J2" s="16" t="n">
        <v>46294.8931617304</v>
      </c>
      <c r="K2" s="6" t="s">
        <v>132</v>
      </c>
      <c r="L2" s="6" t="s">
        <v>280</v>
      </c>
      <c r="M2" s="6" t="n">
        <v>30</v>
      </c>
      <c r="N2" s="6" t="str">
        <f aca="false">README!$B$14</f>
        <v>points</v>
      </c>
      <c r="O2" s="6" t="s">
        <v>198</v>
      </c>
      <c r="P2" s="6" t="s">
        <v>98</v>
      </c>
      <c r="Q2" s="17" t="n">
        <f aca="false">IF(AND(I2&lt;&gt;"",J2&lt;&gt;""),(J2-I2)*1440,"")</f>
        <v>71.1528918030667</v>
      </c>
      <c r="R2" s="6" t="n">
        <f aca="false">COUNTIFS(Data_RewardEvents!$B$2:$B$160,A2,Data_RewardEvents!$D$2:$D$160,"reward_pending")</f>
        <v>0</v>
      </c>
      <c r="S2" s="6" t="n">
        <f aca="false">COUNTIFS(Data_RewardEvents!$B$2:$B$160,A2,Data_RewardEvents!$D$2:$D$160,"reward_credited")</f>
        <v>0</v>
      </c>
      <c r="T2" s="6" t="n">
        <f aca="false">COUNTIFS(Data_RewardEvents!$B$2:$B$160,A2,Data_RewardEvents!$D$2:$D$160,"reward_reversed")</f>
        <v>0</v>
      </c>
      <c r="U2" s="6" t="n">
        <f aca="false">COUNTIFS(Data_RewardEvents!$B$2:$B$160,A2,Data_RewardEvents!$D$2:$D$160,"reward_corrected")</f>
        <v>0</v>
      </c>
      <c r="V2" s="6" t="n">
        <f aca="false">SUMIFS(Data_RewardEvents!$F$2:$F$160,Data_RewardEvents!$B$2:$B$160,A2,Data_RewardEvents!$D$2:$D$160,"reward_credited")+SUMIFS(Data_RewardEvents!$F$2:$F$160,Data_RewardEvents!$B$2:$B$160,A2,Data_RewardEvents!$D$2:$D$160,"reward_reversed")+SUMIFS(Data_RewardEvents!$F$2:$F$160,Data_RewardEvents!$B$2:$B$160,A2,Data_RewardEvents!$D$2:$D$160,"reward_corrected")</f>
        <v>0</v>
      </c>
      <c r="W2" s="16" t="str">
        <f aca="false">IF(S2&gt;0,_xlfn.MINIFS(Data_RewardEvents!$E$2:$E$160,Data_RewardEvents!$B$2:$B$160,A2,Data_RewardEvents!$D$2:$D$160,"reward_credited"),"")</f>
        <v/>
      </c>
      <c r="X2" s="17" t="str">
        <f aca="false">IF(W2="","",(W2-J2)*24)</f>
        <v/>
      </c>
      <c r="Y2" s="6" t="n">
        <f aca="false">IF(I2&lt;&gt;"",1,0)</f>
        <v>1</v>
      </c>
      <c r="Z2" s="6" t="n">
        <f aca="false">IF(K2="completed",1,0)</f>
        <v>1</v>
      </c>
      <c r="AA2" s="6" t="n">
        <f aca="false">IF(L2="validated",1,0)</f>
        <v>0</v>
      </c>
      <c r="AB2" s="6" t="n">
        <f aca="false">IF(S2&gt;0,1,0)</f>
        <v>0</v>
      </c>
    </row>
    <row r="3" customFormat="false" ht="15" hidden="false" customHeight="false" outlineLevel="0" collapsed="false">
      <c r="A3" s="6" t="s">
        <v>369</v>
      </c>
      <c r="B3" s="6" t="s">
        <v>370</v>
      </c>
      <c r="C3" s="6" t="s">
        <v>316</v>
      </c>
      <c r="D3" s="6" t="s">
        <v>371</v>
      </c>
      <c r="E3" s="6" t="s">
        <v>372</v>
      </c>
      <c r="F3" s="6" t="s">
        <v>158</v>
      </c>
      <c r="G3" s="6" t="s">
        <v>373</v>
      </c>
      <c r="H3" s="16" t="n">
        <v>46302.0145833333</v>
      </c>
      <c r="I3" s="16"/>
      <c r="J3" s="16"/>
      <c r="K3" s="6" t="s">
        <v>374</v>
      </c>
      <c r="L3" s="6"/>
      <c r="M3" s="6" t="n">
        <v>100</v>
      </c>
      <c r="N3" s="6" t="str">
        <f aca="false">README!$B$14</f>
        <v>points</v>
      </c>
      <c r="O3" s="6"/>
      <c r="P3" s="6"/>
      <c r="Q3" s="17" t="str">
        <f aca="false">IF(AND(I3&lt;&gt;"",J3&lt;&gt;""),(J3-I3)*1440,"")</f>
        <v/>
      </c>
      <c r="R3" s="6" t="n">
        <f aca="false">COUNTIFS(Data_RewardEvents!$B$2:$B$160,A3,Data_RewardEvents!$D$2:$D$160,"reward_pending")</f>
        <v>0</v>
      </c>
      <c r="S3" s="6" t="n">
        <f aca="false">COUNTIFS(Data_RewardEvents!$B$2:$B$160,A3,Data_RewardEvents!$D$2:$D$160,"reward_credited")</f>
        <v>0</v>
      </c>
      <c r="T3" s="6" t="n">
        <f aca="false">COUNTIFS(Data_RewardEvents!$B$2:$B$160,A3,Data_RewardEvents!$D$2:$D$160,"reward_reversed")</f>
        <v>0</v>
      </c>
      <c r="U3" s="6" t="n">
        <f aca="false">COUNTIFS(Data_RewardEvents!$B$2:$B$160,A3,Data_RewardEvents!$D$2:$D$160,"reward_corrected")</f>
        <v>0</v>
      </c>
      <c r="V3" s="6" t="n">
        <f aca="false">SUMIFS(Data_RewardEvents!$F$2:$F$160,Data_RewardEvents!$B$2:$B$160,A3,Data_RewardEvents!$D$2:$D$160,"reward_credited")+SUMIFS(Data_RewardEvents!$F$2:$F$160,Data_RewardEvents!$B$2:$B$160,A3,Data_RewardEvents!$D$2:$D$160,"reward_reversed")+SUMIFS(Data_RewardEvents!$F$2:$F$160,Data_RewardEvents!$B$2:$B$160,A3,Data_RewardEvents!$D$2:$D$160,"reward_corrected")</f>
        <v>0</v>
      </c>
      <c r="W3" s="16" t="str">
        <f aca="false">IF(S3&gt;0,_xlfn.MINIFS(Data_RewardEvents!$E$2:$E$160,Data_RewardEvents!$B$2:$B$160,A3,Data_RewardEvents!$D$2:$D$160,"reward_credited"),"")</f>
        <v/>
      </c>
      <c r="X3" s="17" t="str">
        <f aca="false">IF(W3="","",(W3-J3)*24)</f>
        <v/>
      </c>
      <c r="Y3" s="6" t="n">
        <f aca="false">IF(I3&lt;&gt;"",1,0)</f>
        <v>0</v>
      </c>
      <c r="Z3" s="6" t="n">
        <f aca="false">IF(K3="completed",1,0)</f>
        <v>0</v>
      </c>
      <c r="AA3" s="6" t="n">
        <f aca="false">IF(L3="validated",1,0)</f>
        <v>0</v>
      </c>
      <c r="AB3" s="6" t="n">
        <f aca="false">IF(S3&gt;0,1,0)</f>
        <v>0</v>
      </c>
    </row>
    <row r="4" customFormat="false" ht="15" hidden="false" customHeight="false" outlineLevel="0" collapsed="false">
      <c r="A4" s="6" t="s">
        <v>375</v>
      </c>
      <c r="B4" s="6" t="s">
        <v>376</v>
      </c>
      <c r="C4" s="6" t="s">
        <v>302</v>
      </c>
      <c r="D4" s="6" t="s">
        <v>377</v>
      </c>
      <c r="E4" s="6" t="s">
        <v>378</v>
      </c>
      <c r="F4" s="6" t="s">
        <v>158</v>
      </c>
      <c r="G4" s="6" t="s">
        <v>379</v>
      </c>
      <c r="H4" s="16" t="n">
        <v>46288.28125</v>
      </c>
      <c r="I4" s="16" t="n">
        <v>46288.2923611111</v>
      </c>
      <c r="J4" s="16" t="n">
        <v>46288.2931733831</v>
      </c>
      <c r="K4" s="6" t="s">
        <v>132</v>
      </c>
      <c r="L4" s="6" t="s">
        <v>137</v>
      </c>
      <c r="M4" s="6" t="n">
        <v>5</v>
      </c>
      <c r="N4" s="6" t="str">
        <f aca="false">README!$B$14</f>
        <v>points</v>
      </c>
      <c r="O4" s="6"/>
      <c r="P4" s="6"/>
      <c r="Q4" s="17" t="n">
        <f aca="false">IF(AND(I4&lt;&gt;"",J4&lt;&gt;""),(J4-I4)*1440,"")</f>
        <v>1.16967166306667</v>
      </c>
      <c r="R4" s="6" t="n">
        <f aca="false">COUNTIFS(Data_RewardEvents!$B$2:$B$160,A4,Data_RewardEvents!$D$2:$D$160,"reward_pending")</f>
        <v>0</v>
      </c>
      <c r="S4" s="6" t="n">
        <f aca="false">COUNTIFS(Data_RewardEvents!$B$2:$B$160,A4,Data_RewardEvents!$D$2:$D$160,"reward_credited")</f>
        <v>1</v>
      </c>
      <c r="T4" s="6" t="n">
        <f aca="false">COUNTIFS(Data_RewardEvents!$B$2:$B$160,A4,Data_RewardEvents!$D$2:$D$160,"reward_reversed")</f>
        <v>0</v>
      </c>
      <c r="U4" s="6" t="n">
        <f aca="false">COUNTIFS(Data_RewardEvents!$B$2:$B$160,A4,Data_RewardEvents!$D$2:$D$160,"reward_corrected")</f>
        <v>0</v>
      </c>
      <c r="V4" s="6" t="n">
        <f aca="false">SUMIFS(Data_RewardEvents!$F$2:$F$160,Data_RewardEvents!$B$2:$B$160,A4,Data_RewardEvents!$D$2:$D$160,"reward_credited")+SUMIFS(Data_RewardEvents!$F$2:$F$160,Data_RewardEvents!$B$2:$B$160,A4,Data_RewardEvents!$D$2:$D$160,"reward_reversed")+SUMIFS(Data_RewardEvents!$F$2:$F$160,Data_RewardEvents!$B$2:$B$160,A4,Data_RewardEvents!$D$2:$D$160,"reward_corrected")</f>
        <v>5</v>
      </c>
      <c r="W4" s="16" t="n">
        <f aca="false">IF(S4&gt;0,_xlfn.MINIFS(Data_RewardEvents!$E$2:$E$160,Data_RewardEvents!$B$2:$B$160,A4,Data_RewardEvents!$D$2:$D$160,"reward_credited"),"")</f>
        <v>46288.2940602692</v>
      </c>
      <c r="X4" s="17" t="n">
        <f aca="false">IF(W4="","",(W4-J4)*24)</f>
        <v>0.0212852664988889</v>
      </c>
      <c r="Y4" s="6" t="n">
        <f aca="false">IF(I4&lt;&gt;"",1,0)</f>
        <v>1</v>
      </c>
      <c r="Z4" s="6" t="n">
        <f aca="false">IF(K4="completed",1,0)</f>
        <v>1</v>
      </c>
      <c r="AA4" s="6" t="n">
        <f aca="false">IF(L4="validated",1,0)</f>
        <v>1</v>
      </c>
      <c r="AB4" s="6" t="n">
        <f aca="false">IF(S4&gt;0,1,0)</f>
        <v>1</v>
      </c>
    </row>
    <row r="5" customFormat="false" ht="15" hidden="false" customHeight="false" outlineLevel="0" collapsed="false">
      <c r="A5" s="6" t="s">
        <v>380</v>
      </c>
      <c r="B5" s="6" t="s">
        <v>381</v>
      </c>
      <c r="C5" s="6" t="s">
        <v>309</v>
      </c>
      <c r="D5" s="6" t="s">
        <v>382</v>
      </c>
      <c r="E5" s="6" t="s">
        <v>383</v>
      </c>
      <c r="F5" s="6" t="s">
        <v>158</v>
      </c>
      <c r="G5" s="6" t="s">
        <v>384</v>
      </c>
      <c r="H5" s="16" t="n">
        <v>46285.9972222222</v>
      </c>
      <c r="I5" s="16" t="n">
        <v>46286.0111111111</v>
      </c>
      <c r="J5" s="16" t="n">
        <v>46286.0178501611</v>
      </c>
      <c r="K5" s="6" t="s">
        <v>132</v>
      </c>
      <c r="L5" s="6" t="s">
        <v>137</v>
      </c>
      <c r="M5" s="6" t="n">
        <v>50</v>
      </c>
      <c r="N5" s="6" t="str">
        <f aca="false">README!$B$14</f>
        <v>points</v>
      </c>
      <c r="O5" s="6"/>
      <c r="P5" s="6"/>
      <c r="Q5" s="17" t="n">
        <f aca="false">IF(AND(I5&lt;&gt;"",J5&lt;&gt;""),(J5-I5)*1440,"")</f>
        <v>9.7042319225</v>
      </c>
      <c r="R5" s="6" t="n">
        <f aca="false">COUNTIFS(Data_RewardEvents!$B$2:$B$160,A5,Data_RewardEvents!$D$2:$D$160,"reward_pending")</f>
        <v>1</v>
      </c>
      <c r="S5" s="6" t="n">
        <f aca="false">COUNTIFS(Data_RewardEvents!$B$2:$B$160,A5,Data_RewardEvents!$D$2:$D$160,"reward_credited")</f>
        <v>1</v>
      </c>
      <c r="T5" s="6" t="n">
        <f aca="false">COUNTIFS(Data_RewardEvents!$B$2:$B$160,A5,Data_RewardEvents!$D$2:$D$160,"reward_reversed")</f>
        <v>0</v>
      </c>
      <c r="U5" s="6" t="n">
        <f aca="false">COUNTIFS(Data_RewardEvents!$B$2:$B$160,A5,Data_RewardEvents!$D$2:$D$160,"reward_corrected")</f>
        <v>0</v>
      </c>
      <c r="V5" s="6" t="n">
        <f aca="false">SUMIFS(Data_RewardEvents!$F$2:$F$160,Data_RewardEvents!$B$2:$B$160,A5,Data_RewardEvents!$D$2:$D$160,"reward_credited")+SUMIFS(Data_RewardEvents!$F$2:$F$160,Data_RewardEvents!$B$2:$B$160,A5,Data_RewardEvents!$D$2:$D$160,"reward_reversed")+SUMIFS(Data_RewardEvents!$F$2:$F$160,Data_RewardEvents!$B$2:$B$160,A5,Data_RewardEvents!$D$2:$D$160,"reward_corrected")</f>
        <v>50</v>
      </c>
      <c r="W5" s="16" t="n">
        <f aca="false">IF(S5&gt;0,_xlfn.MINIFS(Data_RewardEvents!$E$2:$E$160,Data_RewardEvents!$B$2:$B$160,A5,Data_RewardEvents!$D$2:$D$160,"reward_credited"),"")</f>
        <v>46287.3375508011</v>
      </c>
      <c r="X5" s="17" t="n">
        <f aca="false">IF(W5="","",(W5-J5)*24)</f>
        <v>31.6728153615839</v>
      </c>
      <c r="Y5" s="6" t="n">
        <f aca="false">IF(I5&lt;&gt;"",1,0)</f>
        <v>1</v>
      </c>
      <c r="Z5" s="6" t="n">
        <f aca="false">IF(K5="completed",1,0)</f>
        <v>1</v>
      </c>
      <c r="AA5" s="6" t="n">
        <f aca="false">IF(L5="validated",1,0)</f>
        <v>1</v>
      </c>
      <c r="AB5" s="6" t="n">
        <f aca="false">IF(S5&gt;0,1,0)</f>
        <v>1</v>
      </c>
    </row>
    <row r="6" customFormat="false" ht="15" hidden="false" customHeight="false" outlineLevel="0" collapsed="false">
      <c r="A6" s="6" t="s">
        <v>385</v>
      </c>
      <c r="B6" s="6" t="s">
        <v>376</v>
      </c>
      <c r="C6" s="6" t="s">
        <v>302</v>
      </c>
      <c r="D6" s="6" t="s">
        <v>386</v>
      </c>
      <c r="E6" s="6" t="s">
        <v>387</v>
      </c>
      <c r="F6" s="6" t="s">
        <v>158</v>
      </c>
      <c r="G6" s="6" t="s">
        <v>388</v>
      </c>
      <c r="H6" s="16" t="n">
        <v>46299.2041666667</v>
      </c>
      <c r="I6" s="16"/>
      <c r="J6" s="16"/>
      <c r="K6" s="6" t="s">
        <v>374</v>
      </c>
      <c r="L6" s="6"/>
      <c r="M6" s="6" t="n">
        <v>5</v>
      </c>
      <c r="N6" s="6" t="str">
        <f aca="false">README!$B$14</f>
        <v>points</v>
      </c>
      <c r="O6" s="6"/>
      <c r="P6" s="6"/>
      <c r="Q6" s="17" t="str">
        <f aca="false">IF(AND(I6&lt;&gt;"",J6&lt;&gt;""),(J6-I6)*1440,"")</f>
        <v/>
      </c>
      <c r="R6" s="6" t="n">
        <f aca="false">COUNTIFS(Data_RewardEvents!$B$2:$B$160,A6,Data_RewardEvents!$D$2:$D$160,"reward_pending")</f>
        <v>0</v>
      </c>
      <c r="S6" s="6" t="n">
        <f aca="false">COUNTIFS(Data_RewardEvents!$B$2:$B$160,A6,Data_RewardEvents!$D$2:$D$160,"reward_credited")</f>
        <v>0</v>
      </c>
      <c r="T6" s="6" t="n">
        <f aca="false">COUNTIFS(Data_RewardEvents!$B$2:$B$160,A6,Data_RewardEvents!$D$2:$D$160,"reward_reversed")</f>
        <v>0</v>
      </c>
      <c r="U6" s="6" t="n">
        <f aca="false">COUNTIFS(Data_RewardEvents!$B$2:$B$160,A6,Data_RewardEvents!$D$2:$D$160,"reward_corrected")</f>
        <v>0</v>
      </c>
      <c r="V6" s="6" t="n">
        <f aca="false">SUMIFS(Data_RewardEvents!$F$2:$F$160,Data_RewardEvents!$B$2:$B$160,A6,Data_RewardEvents!$D$2:$D$160,"reward_credited")+SUMIFS(Data_RewardEvents!$F$2:$F$160,Data_RewardEvents!$B$2:$B$160,A6,Data_RewardEvents!$D$2:$D$160,"reward_reversed")+SUMIFS(Data_RewardEvents!$F$2:$F$160,Data_RewardEvents!$B$2:$B$160,A6,Data_RewardEvents!$D$2:$D$160,"reward_corrected")</f>
        <v>0</v>
      </c>
      <c r="W6" s="16" t="str">
        <f aca="false">IF(S6&gt;0,_xlfn.MINIFS(Data_RewardEvents!$E$2:$E$160,Data_RewardEvents!$B$2:$B$160,A6,Data_RewardEvents!$D$2:$D$160,"reward_credited"),"")</f>
        <v/>
      </c>
      <c r="X6" s="17" t="str">
        <f aca="false">IF(W6="","",(W6-J6)*24)</f>
        <v/>
      </c>
      <c r="Y6" s="6" t="n">
        <f aca="false">IF(I6&lt;&gt;"",1,0)</f>
        <v>0</v>
      </c>
      <c r="Z6" s="6" t="n">
        <f aca="false">IF(K6="completed",1,0)</f>
        <v>0</v>
      </c>
      <c r="AA6" s="6" t="n">
        <f aca="false">IF(L6="validated",1,0)</f>
        <v>0</v>
      </c>
      <c r="AB6" s="6" t="n">
        <f aca="false">IF(S6&gt;0,1,0)</f>
        <v>0</v>
      </c>
    </row>
    <row r="7" customFormat="false" ht="15" hidden="false" customHeight="false" outlineLevel="0" collapsed="false">
      <c r="A7" s="6" t="s">
        <v>389</v>
      </c>
      <c r="B7" s="6" t="s">
        <v>370</v>
      </c>
      <c r="C7" s="6" t="s">
        <v>316</v>
      </c>
      <c r="D7" s="6" t="s">
        <v>390</v>
      </c>
      <c r="E7" s="6" t="s">
        <v>391</v>
      </c>
      <c r="F7" s="6" t="s">
        <v>158</v>
      </c>
      <c r="G7" s="6" t="s">
        <v>392</v>
      </c>
      <c r="H7" s="16" t="n">
        <v>46287.2618055556</v>
      </c>
      <c r="I7" s="16" t="n">
        <v>46287.2743055556</v>
      </c>
      <c r="J7" s="16" t="n">
        <v>46287.2995845649</v>
      </c>
      <c r="K7" s="6" t="s">
        <v>132</v>
      </c>
      <c r="L7" s="6" t="s">
        <v>137</v>
      </c>
      <c r="M7" s="6" t="n">
        <v>100</v>
      </c>
      <c r="N7" s="6" t="str">
        <f aca="false">README!$B$14</f>
        <v>points</v>
      </c>
      <c r="O7" s="6"/>
      <c r="P7" s="6"/>
      <c r="Q7" s="17" t="n">
        <f aca="false">IF(AND(I7&lt;&gt;"",J7&lt;&gt;""),(J7-I7)*1440,"")</f>
        <v>36.4017734653167</v>
      </c>
      <c r="R7" s="6" t="n">
        <f aca="false">COUNTIFS(Data_RewardEvents!$B$2:$B$160,A7,Data_RewardEvents!$D$2:$D$160,"reward_pending")</f>
        <v>1</v>
      </c>
      <c r="S7" s="6" t="n">
        <f aca="false">COUNTIFS(Data_RewardEvents!$B$2:$B$160,A7,Data_RewardEvents!$D$2:$D$160,"reward_credited")</f>
        <v>1</v>
      </c>
      <c r="T7" s="6" t="n">
        <f aca="false">COUNTIFS(Data_RewardEvents!$B$2:$B$160,A7,Data_RewardEvents!$D$2:$D$160,"reward_reversed")</f>
        <v>0</v>
      </c>
      <c r="U7" s="6" t="n">
        <f aca="false">COUNTIFS(Data_RewardEvents!$B$2:$B$160,A7,Data_RewardEvents!$D$2:$D$160,"reward_corrected")</f>
        <v>0</v>
      </c>
      <c r="V7" s="6" t="n">
        <f aca="false">SUMIFS(Data_RewardEvents!$F$2:$F$160,Data_RewardEvents!$B$2:$B$160,A7,Data_RewardEvents!$D$2:$D$160,"reward_credited")+SUMIFS(Data_RewardEvents!$F$2:$F$160,Data_RewardEvents!$B$2:$B$160,A7,Data_RewardEvents!$D$2:$D$160,"reward_reversed")+SUMIFS(Data_RewardEvents!$F$2:$F$160,Data_RewardEvents!$B$2:$B$160,A7,Data_RewardEvents!$D$2:$D$160,"reward_corrected")</f>
        <v>100</v>
      </c>
      <c r="W7" s="16" t="n">
        <f aca="false">IF(S7&gt;0,_xlfn.MINIFS(Data_RewardEvents!$E$2:$E$160,Data_RewardEvents!$B$2:$B$160,A7,Data_RewardEvents!$D$2:$D$160,"reward_credited"),"")</f>
        <v>46289.6521667329</v>
      </c>
      <c r="X7" s="17" t="n">
        <f aca="false">IF(W7="","",(W7-J7)*24)</f>
        <v>56.4619720308108</v>
      </c>
      <c r="Y7" s="6" t="n">
        <f aca="false">IF(I7&lt;&gt;"",1,0)</f>
        <v>1</v>
      </c>
      <c r="Z7" s="6" t="n">
        <f aca="false">IF(K7="completed",1,0)</f>
        <v>1</v>
      </c>
      <c r="AA7" s="6" t="n">
        <f aca="false">IF(L7="validated",1,0)</f>
        <v>1</v>
      </c>
      <c r="AB7" s="6" t="n">
        <f aca="false">IF(S7&gt;0,1,0)</f>
        <v>1</v>
      </c>
    </row>
    <row r="8" customFormat="false" ht="15" hidden="false" customHeight="false" outlineLevel="0" collapsed="false">
      <c r="A8" s="6" t="s">
        <v>393</v>
      </c>
      <c r="B8" s="6" t="s">
        <v>376</v>
      </c>
      <c r="C8" s="6" t="s">
        <v>302</v>
      </c>
      <c r="D8" s="6" t="s">
        <v>394</v>
      </c>
      <c r="E8" s="6" t="s">
        <v>387</v>
      </c>
      <c r="F8" s="6" t="s">
        <v>158</v>
      </c>
      <c r="G8" s="6" t="s">
        <v>395</v>
      </c>
      <c r="H8" s="16" t="n">
        <v>46294.2666666667</v>
      </c>
      <c r="I8" s="16"/>
      <c r="J8" s="16"/>
      <c r="K8" s="6" t="s">
        <v>374</v>
      </c>
      <c r="L8" s="6"/>
      <c r="M8" s="6" t="n">
        <v>5</v>
      </c>
      <c r="N8" s="6" t="str">
        <f aca="false">README!$B$14</f>
        <v>points</v>
      </c>
      <c r="O8" s="6"/>
      <c r="P8" s="6"/>
      <c r="Q8" s="17" t="str">
        <f aca="false">IF(AND(I8&lt;&gt;"",J8&lt;&gt;""),(J8-I8)*1440,"")</f>
        <v/>
      </c>
      <c r="R8" s="6" t="n">
        <f aca="false">COUNTIFS(Data_RewardEvents!$B$2:$B$160,A8,Data_RewardEvents!$D$2:$D$160,"reward_pending")</f>
        <v>0</v>
      </c>
      <c r="S8" s="6" t="n">
        <f aca="false">COUNTIFS(Data_RewardEvents!$B$2:$B$160,A8,Data_RewardEvents!$D$2:$D$160,"reward_credited")</f>
        <v>0</v>
      </c>
      <c r="T8" s="6" t="n">
        <f aca="false">COUNTIFS(Data_RewardEvents!$B$2:$B$160,A8,Data_RewardEvents!$D$2:$D$160,"reward_reversed")</f>
        <v>0</v>
      </c>
      <c r="U8" s="6" t="n">
        <f aca="false">COUNTIFS(Data_RewardEvents!$B$2:$B$160,A8,Data_RewardEvents!$D$2:$D$160,"reward_corrected")</f>
        <v>0</v>
      </c>
      <c r="V8" s="6" t="n">
        <f aca="false">SUMIFS(Data_RewardEvents!$F$2:$F$160,Data_RewardEvents!$B$2:$B$160,A8,Data_RewardEvents!$D$2:$D$160,"reward_credited")+SUMIFS(Data_RewardEvents!$F$2:$F$160,Data_RewardEvents!$B$2:$B$160,A8,Data_RewardEvents!$D$2:$D$160,"reward_reversed")+SUMIFS(Data_RewardEvents!$F$2:$F$160,Data_RewardEvents!$B$2:$B$160,A8,Data_RewardEvents!$D$2:$D$160,"reward_corrected")</f>
        <v>0</v>
      </c>
      <c r="W8" s="16" t="str">
        <f aca="false">IF(S8&gt;0,_xlfn.MINIFS(Data_RewardEvents!$E$2:$E$160,Data_RewardEvents!$B$2:$B$160,A8,Data_RewardEvents!$D$2:$D$160,"reward_credited"),"")</f>
        <v/>
      </c>
      <c r="X8" s="17" t="str">
        <f aca="false">IF(W8="","",(W8-J8)*24)</f>
        <v/>
      </c>
      <c r="Y8" s="6" t="n">
        <f aca="false">IF(I8&lt;&gt;"",1,0)</f>
        <v>0</v>
      </c>
      <c r="Z8" s="6" t="n">
        <f aca="false">IF(K8="completed",1,0)</f>
        <v>0</v>
      </c>
      <c r="AA8" s="6" t="n">
        <f aca="false">IF(L8="validated",1,0)</f>
        <v>0</v>
      </c>
      <c r="AB8" s="6" t="n">
        <f aca="false">IF(S8&gt;0,1,0)</f>
        <v>0</v>
      </c>
    </row>
    <row r="9" customFormat="false" ht="15" hidden="false" customHeight="false" outlineLevel="0" collapsed="false">
      <c r="A9" s="6" t="s">
        <v>396</v>
      </c>
      <c r="B9" s="6" t="s">
        <v>365</v>
      </c>
      <c r="C9" s="6" t="s">
        <v>323</v>
      </c>
      <c r="D9" s="6" t="s">
        <v>397</v>
      </c>
      <c r="E9" s="6" t="s">
        <v>367</v>
      </c>
      <c r="F9" s="6" t="s">
        <v>158</v>
      </c>
      <c r="G9" s="6" t="s">
        <v>398</v>
      </c>
      <c r="H9" s="16" t="n">
        <v>46293.0159722222</v>
      </c>
      <c r="I9" s="16"/>
      <c r="J9" s="16"/>
      <c r="K9" s="6" t="s">
        <v>374</v>
      </c>
      <c r="L9" s="6"/>
      <c r="M9" s="6" t="n">
        <v>30</v>
      </c>
      <c r="N9" s="6" t="str">
        <f aca="false">README!$B$14</f>
        <v>points</v>
      </c>
      <c r="O9" s="6"/>
      <c r="P9" s="6"/>
      <c r="Q9" s="17" t="str">
        <f aca="false">IF(AND(I9&lt;&gt;"",J9&lt;&gt;""),(J9-I9)*1440,"")</f>
        <v/>
      </c>
      <c r="R9" s="6" t="n">
        <f aca="false">COUNTIFS(Data_RewardEvents!$B$2:$B$160,A9,Data_RewardEvents!$D$2:$D$160,"reward_pending")</f>
        <v>0</v>
      </c>
      <c r="S9" s="6" t="n">
        <f aca="false">COUNTIFS(Data_RewardEvents!$B$2:$B$160,A9,Data_RewardEvents!$D$2:$D$160,"reward_credited")</f>
        <v>0</v>
      </c>
      <c r="T9" s="6" t="n">
        <f aca="false">COUNTIFS(Data_RewardEvents!$B$2:$B$160,A9,Data_RewardEvents!$D$2:$D$160,"reward_reversed")</f>
        <v>0</v>
      </c>
      <c r="U9" s="6" t="n">
        <f aca="false">COUNTIFS(Data_RewardEvents!$B$2:$B$160,A9,Data_RewardEvents!$D$2:$D$160,"reward_corrected")</f>
        <v>0</v>
      </c>
      <c r="V9" s="6" t="n">
        <f aca="false">SUMIFS(Data_RewardEvents!$F$2:$F$160,Data_RewardEvents!$B$2:$B$160,A9,Data_RewardEvents!$D$2:$D$160,"reward_credited")+SUMIFS(Data_RewardEvents!$F$2:$F$160,Data_RewardEvents!$B$2:$B$160,A9,Data_RewardEvents!$D$2:$D$160,"reward_reversed")+SUMIFS(Data_RewardEvents!$F$2:$F$160,Data_RewardEvents!$B$2:$B$160,A9,Data_RewardEvents!$D$2:$D$160,"reward_corrected")</f>
        <v>0</v>
      </c>
      <c r="W9" s="16" t="str">
        <f aca="false">IF(S9&gt;0,_xlfn.MINIFS(Data_RewardEvents!$E$2:$E$160,Data_RewardEvents!$B$2:$B$160,A9,Data_RewardEvents!$D$2:$D$160,"reward_credited"),"")</f>
        <v/>
      </c>
      <c r="X9" s="17" t="str">
        <f aca="false">IF(W9="","",(W9-J9)*24)</f>
        <v/>
      </c>
      <c r="Y9" s="6" t="n">
        <f aca="false">IF(I9&lt;&gt;"",1,0)</f>
        <v>0</v>
      </c>
      <c r="Z9" s="6" t="n">
        <f aca="false">IF(K9="completed",1,0)</f>
        <v>0</v>
      </c>
      <c r="AA9" s="6" t="n">
        <f aca="false">IF(L9="validated",1,0)</f>
        <v>0</v>
      </c>
      <c r="AB9" s="6" t="n">
        <f aca="false">IF(S9&gt;0,1,0)</f>
        <v>0</v>
      </c>
    </row>
    <row r="10" customFormat="false" ht="15" hidden="false" customHeight="false" outlineLevel="0" collapsed="false">
      <c r="A10" s="6" t="s">
        <v>399</v>
      </c>
      <c r="B10" s="6" t="s">
        <v>365</v>
      </c>
      <c r="C10" s="6" t="s">
        <v>323</v>
      </c>
      <c r="D10" s="6" t="s">
        <v>400</v>
      </c>
      <c r="E10" s="6" t="s">
        <v>367</v>
      </c>
      <c r="F10" s="6" t="s">
        <v>158</v>
      </c>
      <c r="G10" s="6" t="s">
        <v>401</v>
      </c>
      <c r="H10" s="16" t="n">
        <v>46292.9166666667</v>
      </c>
      <c r="I10" s="16"/>
      <c r="J10" s="16"/>
      <c r="K10" s="6" t="s">
        <v>374</v>
      </c>
      <c r="L10" s="6"/>
      <c r="M10" s="6" t="n">
        <v>30</v>
      </c>
      <c r="N10" s="6" t="str">
        <f aca="false">README!$B$14</f>
        <v>points</v>
      </c>
      <c r="O10" s="6"/>
      <c r="P10" s="6"/>
      <c r="Q10" s="17" t="str">
        <f aca="false">IF(AND(I10&lt;&gt;"",J10&lt;&gt;""),(J10-I10)*1440,"")</f>
        <v/>
      </c>
      <c r="R10" s="6" t="n">
        <f aca="false">COUNTIFS(Data_RewardEvents!$B$2:$B$160,A10,Data_RewardEvents!$D$2:$D$160,"reward_pending")</f>
        <v>0</v>
      </c>
      <c r="S10" s="6" t="n">
        <f aca="false">COUNTIFS(Data_RewardEvents!$B$2:$B$160,A10,Data_RewardEvents!$D$2:$D$160,"reward_credited")</f>
        <v>0</v>
      </c>
      <c r="T10" s="6" t="n">
        <f aca="false">COUNTIFS(Data_RewardEvents!$B$2:$B$160,A10,Data_RewardEvents!$D$2:$D$160,"reward_reversed")</f>
        <v>0</v>
      </c>
      <c r="U10" s="6" t="n">
        <f aca="false">COUNTIFS(Data_RewardEvents!$B$2:$B$160,A10,Data_RewardEvents!$D$2:$D$160,"reward_corrected")</f>
        <v>0</v>
      </c>
      <c r="V10" s="6" t="n">
        <f aca="false">SUMIFS(Data_RewardEvents!$F$2:$F$160,Data_RewardEvents!$B$2:$B$160,A10,Data_RewardEvents!$D$2:$D$160,"reward_credited")+SUMIFS(Data_RewardEvents!$F$2:$F$160,Data_RewardEvents!$B$2:$B$160,A10,Data_RewardEvents!$D$2:$D$160,"reward_reversed")+SUMIFS(Data_RewardEvents!$F$2:$F$160,Data_RewardEvents!$B$2:$B$160,A10,Data_RewardEvents!$D$2:$D$160,"reward_corrected")</f>
        <v>0</v>
      </c>
      <c r="W10" s="16" t="str">
        <f aca="false">IF(S10&gt;0,_xlfn.MINIFS(Data_RewardEvents!$E$2:$E$160,Data_RewardEvents!$B$2:$B$160,A10,Data_RewardEvents!$D$2:$D$160,"reward_credited"),"")</f>
        <v/>
      </c>
      <c r="X10" s="17" t="str">
        <f aca="false">IF(W10="","",(W10-J10)*24)</f>
        <v/>
      </c>
      <c r="Y10" s="6" t="n">
        <f aca="false">IF(I10&lt;&gt;"",1,0)</f>
        <v>0</v>
      </c>
      <c r="Z10" s="6" t="n">
        <f aca="false">IF(K10="completed",1,0)</f>
        <v>0</v>
      </c>
      <c r="AA10" s="6" t="n">
        <f aca="false">IF(L10="validated",1,0)</f>
        <v>0</v>
      </c>
      <c r="AB10" s="6" t="n">
        <f aca="false">IF(S10&gt;0,1,0)</f>
        <v>0</v>
      </c>
    </row>
    <row r="11" customFormat="false" ht="15" hidden="false" customHeight="false" outlineLevel="0" collapsed="false">
      <c r="A11" s="6" t="s">
        <v>402</v>
      </c>
      <c r="B11" s="6" t="s">
        <v>403</v>
      </c>
      <c r="C11" s="6" t="s">
        <v>404</v>
      </c>
      <c r="D11" s="6" t="s">
        <v>405</v>
      </c>
      <c r="E11" s="6" t="s">
        <v>98</v>
      </c>
      <c r="F11" s="6" t="s">
        <v>406</v>
      </c>
      <c r="G11" s="6"/>
      <c r="H11" s="16" t="n">
        <v>46296.8604166667</v>
      </c>
      <c r="I11" s="16" t="n">
        <v>46296.8694444444</v>
      </c>
      <c r="J11" s="16" t="n">
        <v>46296.8728235941</v>
      </c>
      <c r="K11" s="6" t="s">
        <v>132</v>
      </c>
      <c r="L11" s="6" t="s">
        <v>137</v>
      </c>
      <c r="M11" s="6" t="n">
        <v>10</v>
      </c>
      <c r="N11" s="6" t="str">
        <f aca="false">README!$B$14</f>
        <v>points</v>
      </c>
      <c r="O11" s="6" t="s">
        <v>216</v>
      </c>
      <c r="P11" s="6" t="s">
        <v>98</v>
      </c>
      <c r="Q11" s="17" t="n">
        <f aca="false">IF(AND(I11&lt;&gt;"",J11&lt;&gt;""),(J11-I11)*1440,"")</f>
        <v>4.86597543815</v>
      </c>
      <c r="R11" s="6" t="n">
        <f aca="false">COUNTIFS(Data_RewardEvents!$B$2:$B$160,A11,Data_RewardEvents!$D$2:$D$160,"reward_pending")</f>
        <v>0</v>
      </c>
      <c r="S11" s="6" t="n">
        <f aca="false">COUNTIFS(Data_RewardEvents!$B$2:$B$160,A11,Data_RewardEvents!$D$2:$D$160,"reward_credited")</f>
        <v>0</v>
      </c>
      <c r="T11" s="6" t="n">
        <f aca="false">COUNTIFS(Data_RewardEvents!$B$2:$B$160,A11,Data_RewardEvents!$D$2:$D$160,"reward_reversed")</f>
        <v>0</v>
      </c>
      <c r="U11" s="6" t="n">
        <f aca="false">COUNTIFS(Data_RewardEvents!$B$2:$B$160,A11,Data_RewardEvents!$D$2:$D$160,"reward_corrected")</f>
        <v>0</v>
      </c>
      <c r="V11" s="6" t="n">
        <f aca="false">SUMIFS(Data_RewardEvents!$F$2:$F$160,Data_RewardEvents!$B$2:$B$160,A11,Data_RewardEvents!$D$2:$D$160,"reward_credited")+SUMIFS(Data_RewardEvents!$F$2:$F$160,Data_RewardEvents!$B$2:$B$160,A11,Data_RewardEvents!$D$2:$D$160,"reward_reversed")+SUMIFS(Data_RewardEvents!$F$2:$F$160,Data_RewardEvents!$B$2:$B$160,A11,Data_RewardEvents!$D$2:$D$160,"reward_corrected")</f>
        <v>0</v>
      </c>
      <c r="W11" s="16" t="str">
        <f aca="false">IF(S11&gt;0,_xlfn.MINIFS(Data_RewardEvents!$E$2:$E$160,Data_RewardEvents!$B$2:$B$160,A11,Data_RewardEvents!$D$2:$D$160,"reward_credited"),"")</f>
        <v/>
      </c>
      <c r="X11" s="17" t="str">
        <f aca="false">IF(W11="","",(W11-J11)*24)</f>
        <v/>
      </c>
      <c r="Y11" s="6" t="n">
        <f aca="false">IF(I11&lt;&gt;"",1,0)</f>
        <v>1</v>
      </c>
      <c r="Z11" s="6" t="n">
        <f aca="false">IF(K11="completed",1,0)</f>
        <v>1</v>
      </c>
      <c r="AA11" s="6" t="n">
        <f aca="false">IF(L11="validated",1,0)</f>
        <v>1</v>
      </c>
      <c r="AB11" s="6" t="n">
        <f aca="false">IF(S11&gt;0,1,0)</f>
        <v>0</v>
      </c>
    </row>
    <row r="12" customFormat="false" ht="15" hidden="false" customHeight="false" outlineLevel="0" collapsed="false">
      <c r="A12" s="6" t="s">
        <v>407</v>
      </c>
      <c r="B12" s="6" t="s">
        <v>376</v>
      </c>
      <c r="C12" s="6" t="s">
        <v>302</v>
      </c>
      <c r="D12" s="6" t="s">
        <v>408</v>
      </c>
      <c r="E12" s="6" t="s">
        <v>387</v>
      </c>
      <c r="F12" s="6" t="s">
        <v>158</v>
      </c>
      <c r="G12" s="6" t="s">
        <v>409</v>
      </c>
      <c r="H12" s="16" t="n">
        <v>46298.24375</v>
      </c>
      <c r="I12" s="16" t="n">
        <v>46298.2451388889</v>
      </c>
      <c r="J12" s="16" t="n">
        <v>46298.2458789205</v>
      </c>
      <c r="K12" s="6" t="s">
        <v>132</v>
      </c>
      <c r="L12" s="6" t="s">
        <v>137</v>
      </c>
      <c r="M12" s="6" t="n">
        <v>5</v>
      </c>
      <c r="N12" s="6" t="str">
        <f aca="false">README!$B$14</f>
        <v>points</v>
      </c>
      <c r="O12" s="6"/>
      <c r="P12" s="6"/>
      <c r="Q12" s="17" t="n">
        <f aca="false">IF(AND(I12&lt;&gt;"",J12&lt;&gt;""),(J12-I12)*1440,"")</f>
        <v>1.06564546585</v>
      </c>
      <c r="R12" s="6" t="n">
        <f aca="false">COUNTIFS(Data_RewardEvents!$B$2:$B$160,A12,Data_RewardEvents!$D$2:$D$160,"reward_pending")</f>
        <v>0</v>
      </c>
      <c r="S12" s="6" t="n">
        <f aca="false">COUNTIFS(Data_RewardEvents!$B$2:$B$160,A12,Data_RewardEvents!$D$2:$D$160,"reward_credited")</f>
        <v>1</v>
      </c>
      <c r="T12" s="6" t="n">
        <f aca="false">COUNTIFS(Data_RewardEvents!$B$2:$B$160,A12,Data_RewardEvents!$D$2:$D$160,"reward_reversed")</f>
        <v>0</v>
      </c>
      <c r="U12" s="6" t="n">
        <f aca="false">COUNTIFS(Data_RewardEvents!$B$2:$B$160,A12,Data_RewardEvents!$D$2:$D$160,"reward_corrected")</f>
        <v>0</v>
      </c>
      <c r="V12" s="6" t="n">
        <f aca="false">SUMIFS(Data_RewardEvents!$F$2:$F$160,Data_RewardEvents!$B$2:$B$160,A12,Data_RewardEvents!$D$2:$D$160,"reward_credited")+SUMIFS(Data_RewardEvents!$F$2:$F$160,Data_RewardEvents!$B$2:$B$160,A12,Data_RewardEvents!$D$2:$D$160,"reward_reversed")+SUMIFS(Data_RewardEvents!$F$2:$F$160,Data_RewardEvents!$B$2:$B$160,A12,Data_RewardEvents!$D$2:$D$160,"reward_corrected")</f>
        <v>5</v>
      </c>
      <c r="W12" s="16" t="n">
        <f aca="false">IF(S12&gt;0,_xlfn.MINIFS(Data_RewardEvents!$E$2:$E$160,Data_RewardEvents!$B$2:$B$160,A12,Data_RewardEvents!$D$2:$D$160,"reward_credited"),"")</f>
        <v>46298.2475976111</v>
      </c>
      <c r="X12" s="17" t="n">
        <f aca="false">IF(W12="","",(W12-J12)*24)</f>
        <v>0.0412485759005556</v>
      </c>
      <c r="Y12" s="6" t="n">
        <f aca="false">IF(I12&lt;&gt;"",1,0)</f>
        <v>1</v>
      </c>
      <c r="Z12" s="6" t="n">
        <f aca="false">IF(K12="completed",1,0)</f>
        <v>1</v>
      </c>
      <c r="AA12" s="6" t="n">
        <f aca="false">IF(L12="validated",1,0)</f>
        <v>1</v>
      </c>
      <c r="AB12" s="6" t="n">
        <f aca="false">IF(S12&gt;0,1,0)</f>
        <v>1</v>
      </c>
    </row>
    <row r="13" customFormat="false" ht="15" hidden="false" customHeight="false" outlineLevel="0" collapsed="false">
      <c r="A13" s="6" t="s">
        <v>410</v>
      </c>
      <c r="B13" s="6" t="s">
        <v>403</v>
      </c>
      <c r="C13" s="6" t="s">
        <v>404</v>
      </c>
      <c r="D13" s="6" t="s">
        <v>408</v>
      </c>
      <c r="E13" s="6" t="s">
        <v>98</v>
      </c>
      <c r="F13" s="6" t="s">
        <v>406</v>
      </c>
      <c r="G13" s="6"/>
      <c r="H13" s="16" t="n">
        <v>46285.4666666667</v>
      </c>
      <c r="I13" s="16" t="n">
        <v>46285.4875</v>
      </c>
      <c r="J13" s="16" t="n">
        <v>46285.4882576738</v>
      </c>
      <c r="K13" s="6" t="s">
        <v>132</v>
      </c>
      <c r="L13" s="6" t="s">
        <v>137</v>
      </c>
      <c r="M13" s="6" t="n">
        <v>10</v>
      </c>
      <c r="N13" s="6" t="str">
        <f aca="false">README!$B$14</f>
        <v>points</v>
      </c>
      <c r="O13" s="6"/>
      <c r="P13" s="6"/>
      <c r="Q13" s="17" t="n">
        <f aca="false">IF(AND(I13&lt;&gt;"",J13&lt;&gt;""),(J13-I13)*1440,"")</f>
        <v>1.09105022856667</v>
      </c>
      <c r="R13" s="6" t="n">
        <f aca="false">COUNTIFS(Data_RewardEvents!$B$2:$B$160,A13,Data_RewardEvents!$D$2:$D$160,"reward_pending")</f>
        <v>0</v>
      </c>
      <c r="S13" s="6" t="n">
        <f aca="false">COUNTIFS(Data_RewardEvents!$B$2:$B$160,A13,Data_RewardEvents!$D$2:$D$160,"reward_credited")</f>
        <v>1</v>
      </c>
      <c r="T13" s="6" t="n">
        <f aca="false">COUNTIFS(Data_RewardEvents!$B$2:$B$160,A13,Data_RewardEvents!$D$2:$D$160,"reward_reversed")</f>
        <v>0</v>
      </c>
      <c r="U13" s="6" t="n">
        <f aca="false">COUNTIFS(Data_RewardEvents!$B$2:$B$160,A13,Data_RewardEvents!$D$2:$D$160,"reward_corrected")</f>
        <v>0</v>
      </c>
      <c r="V13" s="6" t="n">
        <f aca="false">SUMIFS(Data_RewardEvents!$F$2:$F$160,Data_RewardEvents!$B$2:$B$160,A13,Data_RewardEvents!$D$2:$D$160,"reward_credited")+SUMIFS(Data_RewardEvents!$F$2:$F$160,Data_RewardEvents!$B$2:$B$160,A13,Data_RewardEvents!$D$2:$D$160,"reward_reversed")+SUMIFS(Data_RewardEvents!$F$2:$F$160,Data_RewardEvents!$B$2:$B$160,A13,Data_RewardEvents!$D$2:$D$160,"reward_corrected")</f>
        <v>10</v>
      </c>
      <c r="W13" s="16" t="n">
        <f aca="false">IF(S13&gt;0,_xlfn.MINIFS(Data_RewardEvents!$E$2:$E$160,Data_RewardEvents!$B$2:$B$160,A13,Data_RewardEvents!$D$2:$D$160,"reward_credited"),"")</f>
        <v>46285.4948088776</v>
      </c>
      <c r="X13" s="17" t="n">
        <f aca="false">IF(W13="","",(W13-J13)*24)</f>
        <v>0.157228891155556</v>
      </c>
      <c r="Y13" s="6" t="n">
        <f aca="false">IF(I13&lt;&gt;"",1,0)</f>
        <v>1</v>
      </c>
      <c r="Z13" s="6" t="n">
        <f aca="false">IF(K13="completed",1,0)</f>
        <v>1</v>
      </c>
      <c r="AA13" s="6" t="n">
        <f aca="false">IF(L13="validated",1,0)</f>
        <v>1</v>
      </c>
      <c r="AB13" s="6" t="n">
        <f aca="false">IF(S13&gt;0,1,0)</f>
        <v>1</v>
      </c>
    </row>
    <row r="14" customFormat="false" ht="15" hidden="false" customHeight="false" outlineLevel="0" collapsed="false">
      <c r="A14" s="6" t="s">
        <v>411</v>
      </c>
      <c r="B14" s="6" t="s">
        <v>370</v>
      </c>
      <c r="C14" s="6" t="s">
        <v>316</v>
      </c>
      <c r="D14" s="6" t="s">
        <v>412</v>
      </c>
      <c r="E14" s="6" t="s">
        <v>372</v>
      </c>
      <c r="F14" s="6" t="s">
        <v>158</v>
      </c>
      <c r="G14" s="6" t="s">
        <v>413</v>
      </c>
      <c r="H14" s="16" t="n">
        <v>46287.2895833333</v>
      </c>
      <c r="I14" s="16"/>
      <c r="J14" s="16"/>
      <c r="K14" s="6" t="s">
        <v>374</v>
      </c>
      <c r="L14" s="6"/>
      <c r="M14" s="6" t="n">
        <v>100</v>
      </c>
      <c r="N14" s="6" t="str">
        <f aca="false">README!$B$14</f>
        <v>points</v>
      </c>
      <c r="O14" s="6"/>
      <c r="P14" s="6"/>
      <c r="Q14" s="17" t="str">
        <f aca="false">IF(AND(I14&lt;&gt;"",J14&lt;&gt;""),(J14-I14)*1440,"")</f>
        <v/>
      </c>
      <c r="R14" s="6" t="n">
        <f aca="false">COUNTIFS(Data_RewardEvents!$B$2:$B$160,A14,Data_RewardEvents!$D$2:$D$160,"reward_pending")</f>
        <v>0</v>
      </c>
      <c r="S14" s="6" t="n">
        <f aca="false">COUNTIFS(Data_RewardEvents!$B$2:$B$160,A14,Data_RewardEvents!$D$2:$D$160,"reward_credited")</f>
        <v>0</v>
      </c>
      <c r="T14" s="6" t="n">
        <f aca="false">COUNTIFS(Data_RewardEvents!$B$2:$B$160,A14,Data_RewardEvents!$D$2:$D$160,"reward_reversed")</f>
        <v>0</v>
      </c>
      <c r="U14" s="6" t="n">
        <f aca="false">COUNTIFS(Data_RewardEvents!$B$2:$B$160,A14,Data_RewardEvents!$D$2:$D$160,"reward_corrected")</f>
        <v>0</v>
      </c>
      <c r="V14" s="6" t="n">
        <f aca="false">SUMIFS(Data_RewardEvents!$F$2:$F$160,Data_RewardEvents!$B$2:$B$160,A14,Data_RewardEvents!$D$2:$D$160,"reward_credited")+SUMIFS(Data_RewardEvents!$F$2:$F$160,Data_RewardEvents!$B$2:$B$160,A14,Data_RewardEvents!$D$2:$D$160,"reward_reversed")+SUMIFS(Data_RewardEvents!$F$2:$F$160,Data_RewardEvents!$B$2:$B$160,A14,Data_RewardEvents!$D$2:$D$160,"reward_corrected")</f>
        <v>0</v>
      </c>
      <c r="W14" s="16" t="str">
        <f aca="false">IF(S14&gt;0,_xlfn.MINIFS(Data_RewardEvents!$E$2:$E$160,Data_RewardEvents!$B$2:$B$160,A14,Data_RewardEvents!$D$2:$D$160,"reward_credited"),"")</f>
        <v/>
      </c>
      <c r="X14" s="17" t="str">
        <f aca="false">IF(W14="","",(W14-J14)*24)</f>
        <v/>
      </c>
      <c r="Y14" s="6" t="n">
        <f aca="false">IF(I14&lt;&gt;"",1,0)</f>
        <v>0</v>
      </c>
      <c r="Z14" s="6" t="n">
        <f aca="false">IF(K14="completed",1,0)</f>
        <v>0</v>
      </c>
      <c r="AA14" s="6" t="n">
        <f aca="false">IF(L14="validated",1,0)</f>
        <v>0</v>
      </c>
      <c r="AB14" s="6" t="n">
        <f aca="false">IF(S14&gt;0,1,0)</f>
        <v>0</v>
      </c>
    </row>
    <row r="15" customFormat="false" ht="15" hidden="false" customHeight="false" outlineLevel="0" collapsed="false">
      <c r="A15" s="6" t="s">
        <v>414</v>
      </c>
      <c r="B15" s="6" t="s">
        <v>381</v>
      </c>
      <c r="C15" s="6" t="s">
        <v>309</v>
      </c>
      <c r="D15" s="6" t="s">
        <v>415</v>
      </c>
      <c r="E15" s="6" t="s">
        <v>416</v>
      </c>
      <c r="F15" s="6" t="s">
        <v>158</v>
      </c>
      <c r="G15" s="6" t="s">
        <v>417</v>
      </c>
      <c r="H15" s="16" t="n">
        <v>46288.3104166667</v>
      </c>
      <c r="I15" s="16" t="n">
        <v>46288.3194444445</v>
      </c>
      <c r="J15" s="16" t="n">
        <v>46288.3313235665</v>
      </c>
      <c r="K15" s="6" t="s">
        <v>132</v>
      </c>
      <c r="L15" s="6" t="s">
        <v>137</v>
      </c>
      <c r="M15" s="6" t="n">
        <v>50</v>
      </c>
      <c r="N15" s="6" t="str">
        <f aca="false">README!$B$14</f>
        <v>points</v>
      </c>
      <c r="O15" s="6"/>
      <c r="P15" s="6"/>
      <c r="Q15" s="17" t="n">
        <f aca="false">IF(AND(I15&lt;&gt;"",J15&lt;&gt;""),(J15-I15)*1440,"")</f>
        <v>17.1059357235167</v>
      </c>
      <c r="R15" s="6" t="n">
        <f aca="false">COUNTIFS(Data_RewardEvents!$B$2:$B$160,A15,Data_RewardEvents!$D$2:$D$160,"reward_pending")</f>
        <v>1</v>
      </c>
      <c r="S15" s="6" t="n">
        <f aca="false">COUNTIFS(Data_RewardEvents!$B$2:$B$160,A15,Data_RewardEvents!$D$2:$D$160,"reward_credited")</f>
        <v>1</v>
      </c>
      <c r="T15" s="6" t="n">
        <f aca="false">COUNTIFS(Data_RewardEvents!$B$2:$B$160,A15,Data_RewardEvents!$D$2:$D$160,"reward_reversed")</f>
        <v>0</v>
      </c>
      <c r="U15" s="6" t="n">
        <f aca="false">COUNTIFS(Data_RewardEvents!$B$2:$B$160,A15,Data_RewardEvents!$D$2:$D$160,"reward_corrected")</f>
        <v>0</v>
      </c>
      <c r="V15" s="6" t="n">
        <f aca="false">SUMIFS(Data_RewardEvents!$F$2:$F$160,Data_RewardEvents!$B$2:$B$160,A15,Data_RewardEvents!$D$2:$D$160,"reward_credited")+SUMIFS(Data_RewardEvents!$F$2:$F$160,Data_RewardEvents!$B$2:$B$160,A15,Data_RewardEvents!$D$2:$D$160,"reward_reversed")+SUMIFS(Data_RewardEvents!$F$2:$F$160,Data_RewardEvents!$B$2:$B$160,A15,Data_RewardEvents!$D$2:$D$160,"reward_corrected")</f>
        <v>50</v>
      </c>
      <c r="W15" s="16" t="n">
        <f aca="false">IF(S15&gt;0,_xlfn.MINIFS(Data_RewardEvents!$E$2:$E$160,Data_RewardEvents!$B$2:$B$160,A15,Data_RewardEvents!$D$2:$D$160,"reward_credited"),"")</f>
        <v>46290.3058243361</v>
      </c>
      <c r="X15" s="17" t="n">
        <f aca="false">IF(W15="","",(W15-J15)*24)</f>
        <v>47.3880184717125</v>
      </c>
      <c r="Y15" s="6" t="n">
        <f aca="false">IF(I15&lt;&gt;"",1,0)</f>
        <v>1</v>
      </c>
      <c r="Z15" s="6" t="n">
        <f aca="false">IF(K15="completed",1,0)</f>
        <v>1</v>
      </c>
      <c r="AA15" s="6" t="n">
        <f aca="false">IF(L15="validated",1,0)</f>
        <v>1</v>
      </c>
      <c r="AB15" s="6" t="n">
        <f aca="false">IF(S15&gt;0,1,0)</f>
        <v>1</v>
      </c>
    </row>
    <row r="16" customFormat="false" ht="15" hidden="false" customHeight="false" outlineLevel="0" collapsed="false">
      <c r="A16" s="6" t="s">
        <v>418</v>
      </c>
      <c r="B16" s="6" t="s">
        <v>403</v>
      </c>
      <c r="C16" s="6" t="s">
        <v>404</v>
      </c>
      <c r="D16" s="6" t="s">
        <v>412</v>
      </c>
      <c r="E16" s="6" t="s">
        <v>98</v>
      </c>
      <c r="F16" s="6" t="s">
        <v>406</v>
      </c>
      <c r="G16" s="6"/>
      <c r="H16" s="16" t="n">
        <v>46288.2729166667</v>
      </c>
      <c r="I16" s="16" t="n">
        <v>46288.2805555556</v>
      </c>
      <c r="J16" s="16"/>
      <c r="K16" s="6" t="s">
        <v>419</v>
      </c>
      <c r="L16" s="6"/>
      <c r="M16" s="6" t="n">
        <v>10</v>
      </c>
      <c r="N16" s="6" t="str">
        <f aca="false">README!$B$14</f>
        <v>points</v>
      </c>
      <c r="O16" s="6" t="s">
        <v>204</v>
      </c>
      <c r="P16" s="6" t="s">
        <v>207</v>
      </c>
      <c r="Q16" s="17" t="str">
        <f aca="false">IF(AND(I16&lt;&gt;"",J16&lt;&gt;""),(J16-I16)*1440,"")</f>
        <v/>
      </c>
      <c r="R16" s="6" t="n">
        <f aca="false">COUNTIFS(Data_RewardEvents!$B$2:$B$160,A16,Data_RewardEvents!$D$2:$D$160,"reward_pending")</f>
        <v>0</v>
      </c>
      <c r="S16" s="6" t="n">
        <f aca="false">COUNTIFS(Data_RewardEvents!$B$2:$B$160,A16,Data_RewardEvents!$D$2:$D$160,"reward_credited")</f>
        <v>0</v>
      </c>
      <c r="T16" s="6" t="n">
        <f aca="false">COUNTIFS(Data_RewardEvents!$B$2:$B$160,A16,Data_RewardEvents!$D$2:$D$160,"reward_reversed")</f>
        <v>0</v>
      </c>
      <c r="U16" s="6" t="n">
        <f aca="false">COUNTIFS(Data_RewardEvents!$B$2:$B$160,A16,Data_RewardEvents!$D$2:$D$160,"reward_corrected")</f>
        <v>0</v>
      </c>
      <c r="V16" s="6" t="n">
        <f aca="false">SUMIFS(Data_RewardEvents!$F$2:$F$160,Data_RewardEvents!$B$2:$B$160,A16,Data_RewardEvents!$D$2:$D$160,"reward_credited")+SUMIFS(Data_RewardEvents!$F$2:$F$160,Data_RewardEvents!$B$2:$B$160,A16,Data_RewardEvents!$D$2:$D$160,"reward_reversed")+SUMIFS(Data_RewardEvents!$F$2:$F$160,Data_RewardEvents!$B$2:$B$160,A16,Data_RewardEvents!$D$2:$D$160,"reward_corrected")</f>
        <v>0</v>
      </c>
      <c r="W16" s="16" t="str">
        <f aca="false">IF(S16&gt;0,_xlfn.MINIFS(Data_RewardEvents!$E$2:$E$160,Data_RewardEvents!$B$2:$B$160,A16,Data_RewardEvents!$D$2:$D$160,"reward_credited"),"")</f>
        <v/>
      </c>
      <c r="X16" s="17" t="str">
        <f aca="false">IF(W16="","",(W16-J16)*24)</f>
        <v/>
      </c>
      <c r="Y16" s="6" t="n">
        <f aca="false">IF(I16&lt;&gt;"",1,0)</f>
        <v>1</v>
      </c>
      <c r="Z16" s="6" t="n">
        <f aca="false">IF(K16="completed",1,0)</f>
        <v>0</v>
      </c>
      <c r="AA16" s="6" t="n">
        <f aca="false">IF(L16="validated",1,0)</f>
        <v>0</v>
      </c>
      <c r="AB16" s="6" t="n">
        <f aca="false">IF(S16&gt;0,1,0)</f>
        <v>0</v>
      </c>
    </row>
    <row r="17" customFormat="false" ht="15" hidden="false" customHeight="false" outlineLevel="0" collapsed="false">
      <c r="A17" s="6" t="s">
        <v>420</v>
      </c>
      <c r="B17" s="6" t="s">
        <v>381</v>
      </c>
      <c r="C17" s="6" t="s">
        <v>309</v>
      </c>
      <c r="D17" s="6" t="s">
        <v>421</v>
      </c>
      <c r="E17" s="6" t="s">
        <v>416</v>
      </c>
      <c r="F17" s="6" t="s">
        <v>158</v>
      </c>
      <c r="G17" s="6" t="s">
        <v>422</v>
      </c>
      <c r="H17" s="16" t="n">
        <v>46289.96875</v>
      </c>
      <c r="I17" s="16" t="n">
        <v>46289.9694444445</v>
      </c>
      <c r="J17" s="16" t="n">
        <v>46289.9830736377</v>
      </c>
      <c r="K17" s="6" t="s">
        <v>132</v>
      </c>
      <c r="L17" s="6" t="s">
        <v>277</v>
      </c>
      <c r="M17" s="6" t="n">
        <v>50</v>
      </c>
      <c r="N17" s="6" t="str">
        <f aca="false">README!$B$14</f>
        <v>points</v>
      </c>
      <c r="O17" s="6"/>
      <c r="P17" s="6"/>
      <c r="Q17" s="17" t="n">
        <f aca="false">IF(AND(I17&lt;&gt;"",J17&lt;&gt;""),(J17-I17)*1440,"")</f>
        <v>19.62603822815</v>
      </c>
      <c r="R17" s="6" t="n">
        <f aca="false">COUNTIFS(Data_RewardEvents!$B$2:$B$160,A17,Data_RewardEvents!$D$2:$D$160,"reward_pending")</f>
        <v>1</v>
      </c>
      <c r="S17" s="6" t="n">
        <f aca="false">COUNTIFS(Data_RewardEvents!$B$2:$B$160,A17,Data_RewardEvents!$D$2:$D$160,"reward_credited")</f>
        <v>0</v>
      </c>
      <c r="T17" s="6" t="n">
        <f aca="false">COUNTIFS(Data_RewardEvents!$B$2:$B$160,A17,Data_RewardEvents!$D$2:$D$160,"reward_reversed")</f>
        <v>0</v>
      </c>
      <c r="U17" s="6" t="n">
        <f aca="false">COUNTIFS(Data_RewardEvents!$B$2:$B$160,A17,Data_RewardEvents!$D$2:$D$160,"reward_corrected")</f>
        <v>0</v>
      </c>
      <c r="V17" s="6" t="n">
        <f aca="false">SUMIFS(Data_RewardEvents!$F$2:$F$160,Data_RewardEvents!$B$2:$B$160,A17,Data_RewardEvents!$D$2:$D$160,"reward_credited")+SUMIFS(Data_RewardEvents!$F$2:$F$160,Data_RewardEvents!$B$2:$B$160,A17,Data_RewardEvents!$D$2:$D$160,"reward_reversed")+SUMIFS(Data_RewardEvents!$F$2:$F$160,Data_RewardEvents!$B$2:$B$160,A17,Data_RewardEvents!$D$2:$D$160,"reward_corrected")</f>
        <v>0</v>
      </c>
      <c r="W17" s="16" t="str">
        <f aca="false">IF(S17&gt;0,_xlfn.MINIFS(Data_RewardEvents!$E$2:$E$160,Data_RewardEvents!$B$2:$B$160,A17,Data_RewardEvents!$D$2:$D$160,"reward_credited"),"")</f>
        <v/>
      </c>
      <c r="X17" s="17" t="str">
        <f aca="false">IF(W17="","",(W17-J17)*24)</f>
        <v/>
      </c>
      <c r="Y17" s="6" t="n">
        <f aca="false">IF(I17&lt;&gt;"",1,0)</f>
        <v>1</v>
      </c>
      <c r="Z17" s="6" t="n">
        <f aca="false">IF(K17="completed",1,0)</f>
        <v>1</v>
      </c>
      <c r="AA17" s="6" t="n">
        <f aca="false">IF(L17="validated",1,0)</f>
        <v>0</v>
      </c>
      <c r="AB17" s="6" t="n">
        <f aca="false">IF(S17&gt;0,1,0)</f>
        <v>0</v>
      </c>
    </row>
    <row r="18" customFormat="false" ht="15" hidden="false" customHeight="false" outlineLevel="0" collapsed="false">
      <c r="A18" s="6" t="s">
        <v>423</v>
      </c>
      <c r="B18" s="6" t="s">
        <v>376</v>
      </c>
      <c r="C18" s="6" t="s">
        <v>302</v>
      </c>
      <c r="D18" s="6" t="s">
        <v>424</v>
      </c>
      <c r="E18" s="6" t="s">
        <v>378</v>
      </c>
      <c r="F18" s="6" t="s">
        <v>158</v>
      </c>
      <c r="G18" s="6" t="s">
        <v>425</v>
      </c>
      <c r="H18" s="16" t="n">
        <v>46288.2479166667</v>
      </c>
      <c r="I18" s="16" t="n">
        <v>46288.2493055556</v>
      </c>
      <c r="J18" s="16" t="n">
        <v>46288.2501254883</v>
      </c>
      <c r="K18" s="6" t="s">
        <v>132</v>
      </c>
      <c r="L18" s="6" t="s">
        <v>137</v>
      </c>
      <c r="M18" s="6" t="n">
        <v>5</v>
      </c>
      <c r="N18" s="6" t="str">
        <f aca="false">README!$B$14</f>
        <v>points</v>
      </c>
      <c r="O18" s="6"/>
      <c r="P18" s="6"/>
      <c r="Q18" s="17" t="n">
        <f aca="false">IF(AND(I18&lt;&gt;"",J18&lt;&gt;""),(J18-I18)*1440,"")</f>
        <v>1.18070311726667</v>
      </c>
      <c r="R18" s="6" t="n">
        <f aca="false">COUNTIFS(Data_RewardEvents!$B$2:$B$160,A18,Data_RewardEvents!$D$2:$D$160,"reward_pending")</f>
        <v>0</v>
      </c>
      <c r="S18" s="6" t="n">
        <f aca="false">COUNTIFS(Data_RewardEvents!$B$2:$B$160,A18,Data_RewardEvents!$D$2:$D$160,"reward_credited")</f>
        <v>1</v>
      </c>
      <c r="T18" s="6" t="n">
        <f aca="false">COUNTIFS(Data_RewardEvents!$B$2:$B$160,A18,Data_RewardEvents!$D$2:$D$160,"reward_reversed")</f>
        <v>0</v>
      </c>
      <c r="U18" s="6" t="n">
        <f aca="false">COUNTIFS(Data_RewardEvents!$B$2:$B$160,A18,Data_RewardEvents!$D$2:$D$160,"reward_corrected")</f>
        <v>0</v>
      </c>
      <c r="V18" s="6" t="n">
        <f aca="false">SUMIFS(Data_RewardEvents!$F$2:$F$160,Data_RewardEvents!$B$2:$B$160,A18,Data_RewardEvents!$D$2:$D$160,"reward_credited")+SUMIFS(Data_RewardEvents!$F$2:$F$160,Data_RewardEvents!$B$2:$B$160,A18,Data_RewardEvents!$D$2:$D$160,"reward_reversed")+SUMIFS(Data_RewardEvents!$F$2:$F$160,Data_RewardEvents!$B$2:$B$160,A18,Data_RewardEvents!$D$2:$D$160,"reward_corrected")</f>
        <v>5</v>
      </c>
      <c r="W18" s="16" t="n">
        <f aca="false">IF(S18&gt;0,_xlfn.MINIFS(Data_RewardEvents!$E$2:$E$160,Data_RewardEvents!$B$2:$B$160,A18,Data_RewardEvents!$D$2:$D$160,"reward_credited"),"")</f>
        <v>46288.2518454173</v>
      </c>
      <c r="X18" s="17" t="n">
        <f aca="false">IF(W18="","",(W18-J18)*24)</f>
        <v>0.0412782958591667</v>
      </c>
      <c r="Y18" s="6" t="n">
        <f aca="false">IF(I18&lt;&gt;"",1,0)</f>
        <v>1</v>
      </c>
      <c r="Z18" s="6" t="n">
        <f aca="false">IF(K18="completed",1,0)</f>
        <v>1</v>
      </c>
      <c r="AA18" s="6" t="n">
        <f aca="false">IF(L18="validated",1,0)</f>
        <v>1</v>
      </c>
      <c r="AB18" s="6" t="n">
        <f aca="false">IF(S18&gt;0,1,0)</f>
        <v>1</v>
      </c>
    </row>
    <row r="19" customFormat="false" ht="15" hidden="false" customHeight="false" outlineLevel="0" collapsed="false">
      <c r="A19" s="6" t="s">
        <v>426</v>
      </c>
      <c r="B19" s="6" t="s">
        <v>376</v>
      </c>
      <c r="C19" s="6" t="s">
        <v>302</v>
      </c>
      <c r="D19" s="6" t="s">
        <v>427</v>
      </c>
      <c r="E19" s="6" t="s">
        <v>387</v>
      </c>
      <c r="F19" s="6" t="s">
        <v>158</v>
      </c>
      <c r="G19" s="6" t="s">
        <v>428</v>
      </c>
      <c r="H19" s="16" t="n">
        <v>46297.2194444445</v>
      </c>
      <c r="I19" s="16" t="n">
        <v>46297.2361111111</v>
      </c>
      <c r="J19" s="16" t="n">
        <v>46297.2365398871</v>
      </c>
      <c r="K19" s="6" t="s">
        <v>132</v>
      </c>
      <c r="L19" s="6" t="s">
        <v>137</v>
      </c>
      <c r="M19" s="6" t="n">
        <v>5</v>
      </c>
      <c r="N19" s="6" t="str">
        <f aca="false">README!$B$14</f>
        <v>points</v>
      </c>
      <c r="O19" s="6"/>
      <c r="P19" s="6"/>
      <c r="Q19" s="17" t="n">
        <f aca="false">IF(AND(I19&lt;&gt;"",J19&lt;&gt;""),(J19-I19)*1440,"")</f>
        <v>0.617437453466667</v>
      </c>
      <c r="R19" s="6" t="n">
        <f aca="false">COUNTIFS(Data_RewardEvents!$B$2:$B$160,A19,Data_RewardEvents!$D$2:$D$160,"reward_pending")</f>
        <v>0</v>
      </c>
      <c r="S19" s="6" t="n">
        <f aca="false">COUNTIFS(Data_RewardEvents!$B$2:$B$160,A19,Data_RewardEvents!$D$2:$D$160,"reward_credited")</f>
        <v>1</v>
      </c>
      <c r="T19" s="6" t="n">
        <f aca="false">COUNTIFS(Data_RewardEvents!$B$2:$B$160,A19,Data_RewardEvents!$D$2:$D$160,"reward_reversed")</f>
        <v>0</v>
      </c>
      <c r="U19" s="6" t="n">
        <f aca="false">COUNTIFS(Data_RewardEvents!$B$2:$B$160,A19,Data_RewardEvents!$D$2:$D$160,"reward_corrected")</f>
        <v>0</v>
      </c>
      <c r="V19" s="6" t="n">
        <f aca="false">SUMIFS(Data_RewardEvents!$F$2:$F$160,Data_RewardEvents!$B$2:$B$160,A19,Data_RewardEvents!$D$2:$D$160,"reward_credited")+SUMIFS(Data_RewardEvents!$F$2:$F$160,Data_RewardEvents!$B$2:$B$160,A19,Data_RewardEvents!$D$2:$D$160,"reward_reversed")+SUMIFS(Data_RewardEvents!$F$2:$F$160,Data_RewardEvents!$B$2:$B$160,A19,Data_RewardEvents!$D$2:$D$160,"reward_corrected")</f>
        <v>5</v>
      </c>
      <c r="W19" s="16" t="n">
        <f aca="false">IF(S19&gt;0,_xlfn.MINIFS(Data_RewardEvents!$E$2:$E$160,Data_RewardEvents!$B$2:$B$160,A19,Data_RewardEvents!$D$2:$D$160,"reward_credited"),"")</f>
        <v>46297.2388682775</v>
      </c>
      <c r="X19" s="17" t="n">
        <f aca="false">IF(W19="","",(W19-J19)*24)</f>
        <v>0.0558813687527778</v>
      </c>
      <c r="Y19" s="6" t="n">
        <f aca="false">IF(I19&lt;&gt;"",1,0)</f>
        <v>1</v>
      </c>
      <c r="Z19" s="6" t="n">
        <f aca="false">IF(K19="completed",1,0)</f>
        <v>1</v>
      </c>
      <c r="AA19" s="6" t="n">
        <f aca="false">IF(L19="validated",1,0)</f>
        <v>1</v>
      </c>
      <c r="AB19" s="6" t="n">
        <f aca="false">IF(S19&gt;0,1,0)</f>
        <v>1</v>
      </c>
    </row>
    <row r="20" customFormat="false" ht="15" hidden="false" customHeight="false" outlineLevel="0" collapsed="false">
      <c r="A20" s="6" t="s">
        <v>429</v>
      </c>
      <c r="B20" s="6" t="s">
        <v>370</v>
      </c>
      <c r="C20" s="6" t="s">
        <v>316</v>
      </c>
      <c r="D20" s="6" t="s">
        <v>430</v>
      </c>
      <c r="E20" s="6" t="s">
        <v>372</v>
      </c>
      <c r="F20" s="6" t="s">
        <v>158</v>
      </c>
      <c r="G20" s="6" t="s">
        <v>431</v>
      </c>
      <c r="H20" s="16" t="n">
        <v>46290.8256944444</v>
      </c>
      <c r="I20" s="16"/>
      <c r="J20" s="16"/>
      <c r="K20" s="6" t="s">
        <v>374</v>
      </c>
      <c r="L20" s="6"/>
      <c r="M20" s="6" t="n">
        <v>100</v>
      </c>
      <c r="N20" s="6" t="str">
        <f aca="false">README!$B$14</f>
        <v>points</v>
      </c>
      <c r="O20" s="6"/>
      <c r="P20" s="6"/>
      <c r="Q20" s="17" t="str">
        <f aca="false">IF(AND(I20&lt;&gt;"",J20&lt;&gt;""),(J20-I20)*1440,"")</f>
        <v/>
      </c>
      <c r="R20" s="6" t="n">
        <f aca="false">COUNTIFS(Data_RewardEvents!$B$2:$B$160,A20,Data_RewardEvents!$D$2:$D$160,"reward_pending")</f>
        <v>0</v>
      </c>
      <c r="S20" s="6" t="n">
        <f aca="false">COUNTIFS(Data_RewardEvents!$B$2:$B$160,A20,Data_RewardEvents!$D$2:$D$160,"reward_credited")</f>
        <v>0</v>
      </c>
      <c r="T20" s="6" t="n">
        <f aca="false">COUNTIFS(Data_RewardEvents!$B$2:$B$160,A20,Data_RewardEvents!$D$2:$D$160,"reward_reversed")</f>
        <v>0</v>
      </c>
      <c r="U20" s="6" t="n">
        <f aca="false">COUNTIFS(Data_RewardEvents!$B$2:$B$160,A20,Data_RewardEvents!$D$2:$D$160,"reward_corrected")</f>
        <v>0</v>
      </c>
      <c r="V20" s="6" t="n">
        <f aca="false">SUMIFS(Data_RewardEvents!$F$2:$F$160,Data_RewardEvents!$B$2:$B$160,A20,Data_RewardEvents!$D$2:$D$160,"reward_credited")+SUMIFS(Data_RewardEvents!$F$2:$F$160,Data_RewardEvents!$B$2:$B$160,A20,Data_RewardEvents!$D$2:$D$160,"reward_reversed")+SUMIFS(Data_RewardEvents!$F$2:$F$160,Data_RewardEvents!$B$2:$B$160,A20,Data_RewardEvents!$D$2:$D$160,"reward_corrected")</f>
        <v>0</v>
      </c>
      <c r="W20" s="16" t="str">
        <f aca="false">IF(S20&gt;0,_xlfn.MINIFS(Data_RewardEvents!$E$2:$E$160,Data_RewardEvents!$B$2:$B$160,A20,Data_RewardEvents!$D$2:$D$160,"reward_credited"),"")</f>
        <v/>
      </c>
      <c r="X20" s="17" t="str">
        <f aca="false">IF(W20="","",(W20-J20)*24)</f>
        <v/>
      </c>
      <c r="Y20" s="6" t="n">
        <f aca="false">IF(I20&lt;&gt;"",1,0)</f>
        <v>0</v>
      </c>
      <c r="Z20" s="6" t="n">
        <f aca="false">IF(K20="completed",1,0)</f>
        <v>0</v>
      </c>
      <c r="AA20" s="6" t="n">
        <f aca="false">IF(L20="validated",1,0)</f>
        <v>0</v>
      </c>
      <c r="AB20" s="6" t="n">
        <f aca="false">IF(S20&gt;0,1,0)</f>
        <v>0</v>
      </c>
    </row>
    <row r="21" customFormat="false" ht="15" hidden="false" customHeight="false" outlineLevel="0" collapsed="false">
      <c r="A21" s="6" t="s">
        <v>432</v>
      </c>
      <c r="B21" s="6" t="s">
        <v>381</v>
      </c>
      <c r="C21" s="6" t="s">
        <v>309</v>
      </c>
      <c r="D21" s="6" t="s">
        <v>113</v>
      </c>
      <c r="E21" s="6" t="s">
        <v>416</v>
      </c>
      <c r="F21" s="6" t="s">
        <v>158</v>
      </c>
      <c r="G21" s="6" t="s">
        <v>433</v>
      </c>
      <c r="H21" s="16" t="n">
        <v>46303.9736111111</v>
      </c>
      <c r="I21" s="16" t="n">
        <v>46303.99375</v>
      </c>
      <c r="J21" s="16"/>
      <c r="K21" s="6" t="s">
        <v>419</v>
      </c>
      <c r="L21" s="6"/>
      <c r="M21" s="6" t="n">
        <v>50</v>
      </c>
      <c r="N21" s="6" t="str">
        <f aca="false">README!$B$14</f>
        <v>points</v>
      </c>
      <c r="O21" s="6" t="s">
        <v>204</v>
      </c>
      <c r="P21" s="6" t="s">
        <v>207</v>
      </c>
      <c r="Q21" s="17" t="str">
        <f aca="false">IF(AND(I21&lt;&gt;"",J21&lt;&gt;""),(J21-I21)*1440,"")</f>
        <v/>
      </c>
      <c r="R21" s="6" t="n">
        <f aca="false">COUNTIFS(Data_RewardEvents!$B$2:$B$160,A21,Data_RewardEvents!$D$2:$D$160,"reward_pending")</f>
        <v>0</v>
      </c>
      <c r="S21" s="6" t="n">
        <f aca="false">COUNTIFS(Data_RewardEvents!$B$2:$B$160,A21,Data_RewardEvents!$D$2:$D$160,"reward_credited")</f>
        <v>0</v>
      </c>
      <c r="T21" s="6" t="n">
        <f aca="false">COUNTIFS(Data_RewardEvents!$B$2:$B$160,A21,Data_RewardEvents!$D$2:$D$160,"reward_reversed")</f>
        <v>0</v>
      </c>
      <c r="U21" s="6" t="n">
        <f aca="false">COUNTIFS(Data_RewardEvents!$B$2:$B$160,A21,Data_RewardEvents!$D$2:$D$160,"reward_corrected")</f>
        <v>0</v>
      </c>
      <c r="V21" s="6" t="n">
        <f aca="false">SUMIFS(Data_RewardEvents!$F$2:$F$160,Data_RewardEvents!$B$2:$B$160,A21,Data_RewardEvents!$D$2:$D$160,"reward_credited")+SUMIFS(Data_RewardEvents!$F$2:$F$160,Data_RewardEvents!$B$2:$B$160,A21,Data_RewardEvents!$D$2:$D$160,"reward_reversed")+SUMIFS(Data_RewardEvents!$F$2:$F$160,Data_RewardEvents!$B$2:$B$160,A21,Data_RewardEvents!$D$2:$D$160,"reward_corrected")</f>
        <v>0</v>
      </c>
      <c r="W21" s="16" t="str">
        <f aca="false">IF(S21&gt;0,_xlfn.MINIFS(Data_RewardEvents!$E$2:$E$160,Data_RewardEvents!$B$2:$B$160,A21,Data_RewardEvents!$D$2:$D$160,"reward_credited"),"")</f>
        <v/>
      </c>
      <c r="X21" s="17" t="str">
        <f aca="false">IF(W21="","",(W21-J21)*24)</f>
        <v/>
      </c>
      <c r="Y21" s="6" t="n">
        <f aca="false">IF(I21&lt;&gt;"",1,0)</f>
        <v>1</v>
      </c>
      <c r="Z21" s="6" t="n">
        <f aca="false">IF(K21="completed",1,0)</f>
        <v>0</v>
      </c>
      <c r="AA21" s="6" t="n">
        <f aca="false">IF(L21="validated",1,0)</f>
        <v>0</v>
      </c>
      <c r="AB21" s="6" t="n">
        <f aca="false">IF(S21&gt;0,1,0)</f>
        <v>0</v>
      </c>
    </row>
    <row r="22" customFormat="false" ht="15" hidden="false" customHeight="false" outlineLevel="0" collapsed="false">
      <c r="A22" s="6" t="s">
        <v>434</v>
      </c>
      <c r="B22" s="6" t="s">
        <v>376</v>
      </c>
      <c r="C22" s="6" t="s">
        <v>302</v>
      </c>
      <c r="D22" s="6" t="s">
        <v>435</v>
      </c>
      <c r="E22" s="6" t="s">
        <v>387</v>
      </c>
      <c r="F22" s="6" t="s">
        <v>158</v>
      </c>
      <c r="G22" s="6" t="s">
        <v>436</v>
      </c>
      <c r="H22" s="16" t="n">
        <v>46298.625</v>
      </c>
      <c r="I22" s="16" t="n">
        <v>46298.6305555556</v>
      </c>
      <c r="J22" s="16" t="n">
        <v>46298.631147866</v>
      </c>
      <c r="K22" s="6" t="s">
        <v>132</v>
      </c>
      <c r="L22" s="6" t="s">
        <v>137</v>
      </c>
      <c r="M22" s="6" t="n">
        <v>5</v>
      </c>
      <c r="N22" s="6" t="str">
        <f aca="false">README!$B$14</f>
        <v>points</v>
      </c>
      <c r="O22" s="6"/>
      <c r="P22" s="6"/>
      <c r="Q22" s="17" t="n">
        <f aca="false">IF(AND(I22&lt;&gt;"",J22&lt;&gt;""),(J22-I22)*1440,"")</f>
        <v>0.852926991633333</v>
      </c>
      <c r="R22" s="6" t="n">
        <f aca="false">COUNTIFS(Data_RewardEvents!$B$2:$B$160,A22,Data_RewardEvents!$D$2:$D$160,"reward_pending")</f>
        <v>0</v>
      </c>
      <c r="S22" s="6" t="n">
        <f aca="false">COUNTIFS(Data_RewardEvents!$B$2:$B$160,A22,Data_RewardEvents!$D$2:$D$160,"reward_credited")</f>
        <v>1</v>
      </c>
      <c r="T22" s="6" t="n">
        <f aca="false">COUNTIFS(Data_RewardEvents!$B$2:$B$160,A22,Data_RewardEvents!$D$2:$D$160,"reward_reversed")</f>
        <v>0</v>
      </c>
      <c r="U22" s="6" t="n">
        <f aca="false">COUNTIFS(Data_RewardEvents!$B$2:$B$160,A22,Data_RewardEvents!$D$2:$D$160,"reward_corrected")</f>
        <v>0</v>
      </c>
      <c r="V22" s="6" t="n">
        <f aca="false">SUMIFS(Data_RewardEvents!$F$2:$F$160,Data_RewardEvents!$B$2:$B$160,A22,Data_RewardEvents!$D$2:$D$160,"reward_credited")+SUMIFS(Data_RewardEvents!$F$2:$F$160,Data_RewardEvents!$B$2:$B$160,A22,Data_RewardEvents!$D$2:$D$160,"reward_reversed")+SUMIFS(Data_RewardEvents!$F$2:$F$160,Data_RewardEvents!$B$2:$B$160,A22,Data_RewardEvents!$D$2:$D$160,"reward_corrected")</f>
        <v>5</v>
      </c>
      <c r="W22" s="16" t="n">
        <f aca="false">IF(S22&gt;0,_xlfn.MINIFS(Data_RewardEvents!$E$2:$E$160,Data_RewardEvents!$B$2:$B$160,A22,Data_RewardEvents!$D$2:$D$160,"reward_credited"),"")</f>
        <v>46298.6356423854</v>
      </c>
      <c r="X22" s="17" t="n">
        <f aca="false">IF(W22="","",(W22-J22)*24)</f>
        <v>0.107868465129167</v>
      </c>
      <c r="Y22" s="6" t="n">
        <f aca="false">IF(I22&lt;&gt;"",1,0)</f>
        <v>1</v>
      </c>
      <c r="Z22" s="6" t="n">
        <f aca="false">IF(K22="completed",1,0)</f>
        <v>1</v>
      </c>
      <c r="AA22" s="6" t="n">
        <f aca="false">IF(L22="validated",1,0)</f>
        <v>1</v>
      </c>
      <c r="AB22" s="6" t="n">
        <f aca="false">IF(S22&gt;0,1,0)</f>
        <v>1</v>
      </c>
    </row>
    <row r="23" customFormat="false" ht="15" hidden="false" customHeight="false" outlineLevel="0" collapsed="false">
      <c r="A23" s="6" t="s">
        <v>437</v>
      </c>
      <c r="B23" s="6" t="s">
        <v>376</v>
      </c>
      <c r="C23" s="6" t="s">
        <v>302</v>
      </c>
      <c r="D23" s="6" t="s">
        <v>424</v>
      </c>
      <c r="E23" s="6" t="s">
        <v>387</v>
      </c>
      <c r="F23" s="6" t="s">
        <v>158</v>
      </c>
      <c r="G23" s="6" t="s">
        <v>438</v>
      </c>
      <c r="H23" s="16" t="n">
        <v>46303.9159722222</v>
      </c>
      <c r="I23" s="16" t="n">
        <v>46303.9277777778</v>
      </c>
      <c r="J23" s="16"/>
      <c r="K23" s="6" t="s">
        <v>419</v>
      </c>
      <c r="L23" s="6"/>
      <c r="M23" s="6" t="n">
        <v>5</v>
      </c>
      <c r="N23" s="6" t="str">
        <f aca="false">README!$B$14</f>
        <v>points</v>
      </c>
      <c r="O23" s="6" t="s">
        <v>204</v>
      </c>
      <c r="P23" s="6" t="s">
        <v>207</v>
      </c>
      <c r="Q23" s="17" t="str">
        <f aca="false">IF(AND(I23&lt;&gt;"",J23&lt;&gt;""),(J23-I23)*1440,"")</f>
        <v/>
      </c>
      <c r="R23" s="6" t="n">
        <f aca="false">COUNTIFS(Data_RewardEvents!$B$2:$B$160,A23,Data_RewardEvents!$D$2:$D$160,"reward_pending")</f>
        <v>0</v>
      </c>
      <c r="S23" s="6" t="n">
        <f aca="false">COUNTIFS(Data_RewardEvents!$B$2:$B$160,A23,Data_RewardEvents!$D$2:$D$160,"reward_credited")</f>
        <v>0</v>
      </c>
      <c r="T23" s="6" t="n">
        <f aca="false">COUNTIFS(Data_RewardEvents!$B$2:$B$160,A23,Data_RewardEvents!$D$2:$D$160,"reward_reversed")</f>
        <v>0</v>
      </c>
      <c r="U23" s="6" t="n">
        <f aca="false">COUNTIFS(Data_RewardEvents!$B$2:$B$160,A23,Data_RewardEvents!$D$2:$D$160,"reward_corrected")</f>
        <v>0</v>
      </c>
      <c r="V23" s="6" t="n">
        <f aca="false">SUMIFS(Data_RewardEvents!$F$2:$F$160,Data_RewardEvents!$B$2:$B$160,A23,Data_RewardEvents!$D$2:$D$160,"reward_credited")+SUMIFS(Data_RewardEvents!$F$2:$F$160,Data_RewardEvents!$B$2:$B$160,A23,Data_RewardEvents!$D$2:$D$160,"reward_reversed")+SUMIFS(Data_RewardEvents!$F$2:$F$160,Data_RewardEvents!$B$2:$B$160,A23,Data_RewardEvents!$D$2:$D$160,"reward_corrected")</f>
        <v>0</v>
      </c>
      <c r="W23" s="16" t="str">
        <f aca="false">IF(S23&gt;0,_xlfn.MINIFS(Data_RewardEvents!$E$2:$E$160,Data_RewardEvents!$B$2:$B$160,A23,Data_RewardEvents!$D$2:$D$160,"reward_credited"),"")</f>
        <v/>
      </c>
      <c r="X23" s="17" t="str">
        <f aca="false">IF(W23="","",(W23-J23)*24)</f>
        <v/>
      </c>
      <c r="Y23" s="6" t="n">
        <f aca="false">IF(I23&lt;&gt;"",1,0)</f>
        <v>1</v>
      </c>
      <c r="Z23" s="6" t="n">
        <f aca="false">IF(K23="completed",1,0)</f>
        <v>0</v>
      </c>
      <c r="AA23" s="6" t="n">
        <f aca="false">IF(L23="validated",1,0)</f>
        <v>0</v>
      </c>
      <c r="AB23" s="6" t="n">
        <f aca="false">IF(S23&gt;0,1,0)</f>
        <v>0</v>
      </c>
    </row>
    <row r="24" customFormat="false" ht="15" hidden="false" customHeight="false" outlineLevel="0" collapsed="false">
      <c r="A24" s="6" t="s">
        <v>439</v>
      </c>
      <c r="B24" s="6" t="s">
        <v>376</v>
      </c>
      <c r="C24" s="6" t="s">
        <v>302</v>
      </c>
      <c r="D24" s="6" t="s">
        <v>440</v>
      </c>
      <c r="E24" s="6" t="s">
        <v>378</v>
      </c>
      <c r="F24" s="6" t="s">
        <v>158</v>
      </c>
      <c r="G24" s="6" t="s">
        <v>441</v>
      </c>
      <c r="H24" s="16" t="n">
        <v>46288.0638888889</v>
      </c>
      <c r="I24" s="16" t="n">
        <v>46288.0798611111</v>
      </c>
      <c r="J24" s="16"/>
      <c r="K24" s="6" t="s">
        <v>419</v>
      </c>
      <c r="L24" s="6"/>
      <c r="M24" s="6" t="n">
        <v>5</v>
      </c>
      <c r="N24" s="6" t="str">
        <f aca="false">README!$B$14</f>
        <v>points</v>
      </c>
      <c r="O24" s="6" t="s">
        <v>204</v>
      </c>
      <c r="P24" s="6" t="s">
        <v>207</v>
      </c>
      <c r="Q24" s="17" t="str">
        <f aca="false">IF(AND(I24&lt;&gt;"",J24&lt;&gt;""),(J24-I24)*1440,"")</f>
        <v/>
      </c>
      <c r="R24" s="6" t="n">
        <f aca="false">COUNTIFS(Data_RewardEvents!$B$2:$B$160,A24,Data_RewardEvents!$D$2:$D$160,"reward_pending")</f>
        <v>0</v>
      </c>
      <c r="S24" s="6" t="n">
        <f aca="false">COUNTIFS(Data_RewardEvents!$B$2:$B$160,A24,Data_RewardEvents!$D$2:$D$160,"reward_credited")</f>
        <v>0</v>
      </c>
      <c r="T24" s="6" t="n">
        <f aca="false">COUNTIFS(Data_RewardEvents!$B$2:$B$160,A24,Data_RewardEvents!$D$2:$D$160,"reward_reversed")</f>
        <v>0</v>
      </c>
      <c r="U24" s="6" t="n">
        <f aca="false">COUNTIFS(Data_RewardEvents!$B$2:$B$160,A24,Data_RewardEvents!$D$2:$D$160,"reward_corrected")</f>
        <v>0</v>
      </c>
      <c r="V24" s="6" t="n">
        <f aca="false">SUMIFS(Data_RewardEvents!$F$2:$F$160,Data_RewardEvents!$B$2:$B$160,A24,Data_RewardEvents!$D$2:$D$160,"reward_credited")+SUMIFS(Data_RewardEvents!$F$2:$F$160,Data_RewardEvents!$B$2:$B$160,A24,Data_RewardEvents!$D$2:$D$160,"reward_reversed")+SUMIFS(Data_RewardEvents!$F$2:$F$160,Data_RewardEvents!$B$2:$B$160,A24,Data_RewardEvents!$D$2:$D$160,"reward_corrected")</f>
        <v>0</v>
      </c>
      <c r="W24" s="16" t="str">
        <f aca="false">IF(S24&gt;0,_xlfn.MINIFS(Data_RewardEvents!$E$2:$E$160,Data_RewardEvents!$B$2:$B$160,A24,Data_RewardEvents!$D$2:$D$160,"reward_credited"),"")</f>
        <v/>
      </c>
      <c r="X24" s="17" t="str">
        <f aca="false">IF(W24="","",(W24-J24)*24)</f>
        <v/>
      </c>
      <c r="Y24" s="6" t="n">
        <f aca="false">IF(I24&lt;&gt;"",1,0)</f>
        <v>1</v>
      </c>
      <c r="Z24" s="6" t="n">
        <f aca="false">IF(K24="completed",1,0)</f>
        <v>0</v>
      </c>
      <c r="AA24" s="6" t="n">
        <f aca="false">IF(L24="validated",1,0)</f>
        <v>0</v>
      </c>
      <c r="AB24" s="6" t="n">
        <f aca="false">IF(S24&gt;0,1,0)</f>
        <v>0</v>
      </c>
    </row>
    <row r="25" customFormat="false" ht="15" hidden="false" customHeight="false" outlineLevel="0" collapsed="false">
      <c r="A25" s="6" t="s">
        <v>442</v>
      </c>
      <c r="B25" s="6" t="s">
        <v>365</v>
      </c>
      <c r="C25" s="6" t="s">
        <v>323</v>
      </c>
      <c r="D25" s="6" t="s">
        <v>443</v>
      </c>
      <c r="E25" s="6" t="s">
        <v>444</v>
      </c>
      <c r="F25" s="6" t="s">
        <v>158</v>
      </c>
      <c r="G25" s="6" t="s">
        <v>445</v>
      </c>
      <c r="H25" s="16" t="n">
        <v>46296.0076388889</v>
      </c>
      <c r="I25" s="16" t="n">
        <v>46296.025</v>
      </c>
      <c r="J25" s="16" t="n">
        <v>46296.0425046585</v>
      </c>
      <c r="K25" s="6" t="s">
        <v>132</v>
      </c>
      <c r="L25" s="6" t="s">
        <v>137</v>
      </c>
      <c r="M25" s="6" t="n">
        <v>30</v>
      </c>
      <c r="N25" s="6" t="str">
        <f aca="false">README!$B$14</f>
        <v>points</v>
      </c>
      <c r="O25" s="6"/>
      <c r="P25" s="6"/>
      <c r="Q25" s="17" t="n">
        <f aca="false">IF(AND(I25&lt;&gt;"",J25&lt;&gt;""),(J25-I25)*1440,"")</f>
        <v>25.2067081758167</v>
      </c>
      <c r="R25" s="6" t="n">
        <f aca="false">COUNTIFS(Data_RewardEvents!$B$2:$B$160,A25,Data_RewardEvents!$D$2:$D$160,"reward_pending")</f>
        <v>1</v>
      </c>
      <c r="S25" s="6" t="n">
        <f aca="false">COUNTIFS(Data_RewardEvents!$B$2:$B$160,A25,Data_RewardEvents!$D$2:$D$160,"reward_credited")</f>
        <v>1</v>
      </c>
      <c r="T25" s="6" t="n">
        <f aca="false">COUNTIFS(Data_RewardEvents!$B$2:$B$160,A25,Data_RewardEvents!$D$2:$D$160,"reward_reversed")</f>
        <v>0</v>
      </c>
      <c r="U25" s="6" t="n">
        <f aca="false">COUNTIFS(Data_RewardEvents!$B$2:$B$160,A25,Data_RewardEvents!$D$2:$D$160,"reward_corrected")</f>
        <v>0</v>
      </c>
      <c r="V25" s="6" t="n">
        <f aca="false">SUMIFS(Data_RewardEvents!$F$2:$F$160,Data_RewardEvents!$B$2:$B$160,A25,Data_RewardEvents!$D$2:$D$160,"reward_credited")+SUMIFS(Data_RewardEvents!$F$2:$F$160,Data_RewardEvents!$B$2:$B$160,A25,Data_RewardEvents!$D$2:$D$160,"reward_reversed")+SUMIFS(Data_RewardEvents!$F$2:$F$160,Data_RewardEvents!$B$2:$B$160,A25,Data_RewardEvents!$D$2:$D$160,"reward_corrected")</f>
        <v>30</v>
      </c>
      <c r="W25" s="16" t="n">
        <f aca="false">IF(S25&gt;0,_xlfn.MINIFS(Data_RewardEvents!$E$2:$E$160,Data_RewardEvents!$B$2:$B$160,A25,Data_RewardEvents!$D$2:$D$160,"reward_credited"),"")</f>
        <v>46296.8569903781</v>
      </c>
      <c r="X25" s="17" t="n">
        <f aca="false">IF(W25="","",(W25-J25)*24)</f>
        <v>19.5476572707992</v>
      </c>
      <c r="Y25" s="6" t="n">
        <f aca="false">IF(I25&lt;&gt;"",1,0)</f>
        <v>1</v>
      </c>
      <c r="Z25" s="6" t="n">
        <f aca="false">IF(K25="completed",1,0)</f>
        <v>1</v>
      </c>
      <c r="AA25" s="6" t="n">
        <f aca="false">IF(L25="validated",1,0)</f>
        <v>1</v>
      </c>
      <c r="AB25" s="6" t="n">
        <f aca="false">IF(S25&gt;0,1,0)</f>
        <v>1</v>
      </c>
    </row>
    <row r="26" customFormat="false" ht="15" hidden="false" customHeight="false" outlineLevel="0" collapsed="false">
      <c r="A26" s="6" t="s">
        <v>446</v>
      </c>
      <c r="B26" s="6" t="s">
        <v>403</v>
      </c>
      <c r="C26" s="6" t="s">
        <v>404</v>
      </c>
      <c r="D26" s="6" t="s">
        <v>447</v>
      </c>
      <c r="E26" s="6" t="s">
        <v>98</v>
      </c>
      <c r="F26" s="6" t="s">
        <v>406</v>
      </c>
      <c r="G26" s="6"/>
      <c r="H26" s="16" t="n">
        <v>46303.6791666667</v>
      </c>
      <c r="I26" s="16" t="n">
        <v>46303.6854166667</v>
      </c>
      <c r="J26" s="16"/>
      <c r="K26" s="6" t="s">
        <v>448</v>
      </c>
      <c r="L26" s="6"/>
      <c r="M26" s="6" t="n">
        <v>10</v>
      </c>
      <c r="N26" s="6" t="str">
        <f aca="false">README!$B$14</f>
        <v>points</v>
      </c>
      <c r="O26" s="6" t="s">
        <v>185</v>
      </c>
      <c r="P26" s="6" t="s">
        <v>207</v>
      </c>
      <c r="Q26" s="17" t="str">
        <f aca="false">IF(AND(I26&lt;&gt;"",J26&lt;&gt;""),(J26-I26)*1440,"")</f>
        <v/>
      </c>
      <c r="R26" s="6" t="n">
        <f aca="false">COUNTIFS(Data_RewardEvents!$B$2:$B$160,A26,Data_RewardEvents!$D$2:$D$160,"reward_pending")</f>
        <v>0</v>
      </c>
      <c r="S26" s="6" t="n">
        <f aca="false">COUNTIFS(Data_RewardEvents!$B$2:$B$160,A26,Data_RewardEvents!$D$2:$D$160,"reward_credited")</f>
        <v>0</v>
      </c>
      <c r="T26" s="6" t="n">
        <f aca="false">COUNTIFS(Data_RewardEvents!$B$2:$B$160,A26,Data_RewardEvents!$D$2:$D$160,"reward_reversed")</f>
        <v>0</v>
      </c>
      <c r="U26" s="6" t="n">
        <f aca="false">COUNTIFS(Data_RewardEvents!$B$2:$B$160,A26,Data_RewardEvents!$D$2:$D$160,"reward_corrected")</f>
        <v>0</v>
      </c>
      <c r="V26" s="6" t="n">
        <f aca="false">SUMIFS(Data_RewardEvents!$F$2:$F$160,Data_RewardEvents!$B$2:$B$160,A26,Data_RewardEvents!$D$2:$D$160,"reward_credited")+SUMIFS(Data_RewardEvents!$F$2:$F$160,Data_RewardEvents!$B$2:$B$160,A26,Data_RewardEvents!$D$2:$D$160,"reward_reversed")+SUMIFS(Data_RewardEvents!$F$2:$F$160,Data_RewardEvents!$B$2:$B$160,A26,Data_RewardEvents!$D$2:$D$160,"reward_corrected")</f>
        <v>0</v>
      </c>
      <c r="W26" s="16" t="str">
        <f aca="false">IF(S26&gt;0,_xlfn.MINIFS(Data_RewardEvents!$E$2:$E$160,Data_RewardEvents!$B$2:$B$160,A26,Data_RewardEvents!$D$2:$D$160,"reward_credited"),"")</f>
        <v/>
      </c>
      <c r="X26" s="17" t="str">
        <f aca="false">IF(W26="","",(W26-J26)*24)</f>
        <v/>
      </c>
      <c r="Y26" s="6" t="n">
        <f aca="false">IF(I26&lt;&gt;"",1,0)</f>
        <v>1</v>
      </c>
      <c r="Z26" s="6" t="n">
        <f aca="false">IF(K26="completed",1,0)</f>
        <v>0</v>
      </c>
      <c r="AA26" s="6" t="n">
        <f aca="false">IF(L26="validated",1,0)</f>
        <v>0</v>
      </c>
      <c r="AB26" s="6" t="n">
        <f aca="false">IF(S26&gt;0,1,0)</f>
        <v>0</v>
      </c>
    </row>
    <row r="27" customFormat="false" ht="15" hidden="false" customHeight="false" outlineLevel="0" collapsed="false">
      <c r="A27" s="6" t="s">
        <v>449</v>
      </c>
      <c r="B27" s="6" t="s">
        <v>376</v>
      </c>
      <c r="C27" s="6" t="s">
        <v>302</v>
      </c>
      <c r="D27" s="6" t="s">
        <v>405</v>
      </c>
      <c r="E27" s="6" t="s">
        <v>378</v>
      </c>
      <c r="F27" s="6" t="s">
        <v>158</v>
      </c>
      <c r="G27" s="6" t="s">
        <v>450</v>
      </c>
      <c r="H27" s="16" t="n">
        <v>46288.1006944445</v>
      </c>
      <c r="I27" s="16"/>
      <c r="J27" s="16"/>
      <c r="K27" s="6" t="s">
        <v>374</v>
      </c>
      <c r="L27" s="6"/>
      <c r="M27" s="6" t="n">
        <v>5</v>
      </c>
      <c r="N27" s="6" t="str">
        <f aca="false">README!$B$14</f>
        <v>points</v>
      </c>
      <c r="O27" s="6"/>
      <c r="P27" s="6"/>
      <c r="Q27" s="17" t="str">
        <f aca="false">IF(AND(I27&lt;&gt;"",J27&lt;&gt;""),(J27-I27)*1440,"")</f>
        <v/>
      </c>
      <c r="R27" s="6" t="n">
        <f aca="false">COUNTIFS(Data_RewardEvents!$B$2:$B$160,A27,Data_RewardEvents!$D$2:$D$160,"reward_pending")</f>
        <v>0</v>
      </c>
      <c r="S27" s="6" t="n">
        <f aca="false">COUNTIFS(Data_RewardEvents!$B$2:$B$160,A27,Data_RewardEvents!$D$2:$D$160,"reward_credited")</f>
        <v>0</v>
      </c>
      <c r="T27" s="6" t="n">
        <f aca="false">COUNTIFS(Data_RewardEvents!$B$2:$B$160,A27,Data_RewardEvents!$D$2:$D$160,"reward_reversed")</f>
        <v>0</v>
      </c>
      <c r="U27" s="6" t="n">
        <f aca="false">COUNTIFS(Data_RewardEvents!$B$2:$B$160,A27,Data_RewardEvents!$D$2:$D$160,"reward_corrected")</f>
        <v>0</v>
      </c>
      <c r="V27" s="6" t="n">
        <f aca="false">SUMIFS(Data_RewardEvents!$F$2:$F$160,Data_RewardEvents!$B$2:$B$160,A27,Data_RewardEvents!$D$2:$D$160,"reward_credited")+SUMIFS(Data_RewardEvents!$F$2:$F$160,Data_RewardEvents!$B$2:$B$160,A27,Data_RewardEvents!$D$2:$D$160,"reward_reversed")+SUMIFS(Data_RewardEvents!$F$2:$F$160,Data_RewardEvents!$B$2:$B$160,A27,Data_RewardEvents!$D$2:$D$160,"reward_corrected")</f>
        <v>0</v>
      </c>
      <c r="W27" s="16" t="str">
        <f aca="false">IF(S27&gt;0,_xlfn.MINIFS(Data_RewardEvents!$E$2:$E$160,Data_RewardEvents!$B$2:$B$160,A27,Data_RewardEvents!$D$2:$D$160,"reward_credited"),"")</f>
        <v/>
      </c>
      <c r="X27" s="17" t="str">
        <f aca="false">IF(W27="","",(W27-J27)*24)</f>
        <v/>
      </c>
      <c r="Y27" s="6" t="n">
        <f aca="false">IF(I27&lt;&gt;"",1,0)</f>
        <v>0</v>
      </c>
      <c r="Z27" s="6" t="n">
        <f aca="false">IF(K27="completed",1,0)</f>
        <v>0</v>
      </c>
      <c r="AA27" s="6" t="n">
        <f aca="false">IF(L27="validated",1,0)</f>
        <v>0</v>
      </c>
      <c r="AB27" s="6" t="n">
        <f aca="false">IF(S27&gt;0,1,0)</f>
        <v>0</v>
      </c>
    </row>
    <row r="28" customFormat="false" ht="15" hidden="false" customHeight="false" outlineLevel="0" collapsed="false">
      <c r="A28" s="6" t="s">
        <v>451</v>
      </c>
      <c r="B28" s="6" t="s">
        <v>370</v>
      </c>
      <c r="C28" s="6" t="s">
        <v>316</v>
      </c>
      <c r="D28" s="6" t="s">
        <v>394</v>
      </c>
      <c r="E28" s="6" t="s">
        <v>372</v>
      </c>
      <c r="F28" s="6" t="s">
        <v>158</v>
      </c>
      <c r="G28" s="6" t="s">
        <v>452</v>
      </c>
      <c r="H28" s="16" t="n">
        <v>46295.1708333333</v>
      </c>
      <c r="I28" s="16" t="n">
        <v>46295.1868055556</v>
      </c>
      <c r="J28" s="16" t="n">
        <v>46295.4991506498</v>
      </c>
      <c r="K28" s="6" t="s">
        <v>132</v>
      </c>
      <c r="L28" s="6" t="s">
        <v>137</v>
      </c>
      <c r="M28" s="6" t="n">
        <v>100</v>
      </c>
      <c r="N28" s="6" t="str">
        <f aca="false">README!$B$14</f>
        <v>points</v>
      </c>
      <c r="O28" s="6"/>
      <c r="P28" s="6"/>
      <c r="Q28" s="17" t="n">
        <f aca="false">IF(AND(I28&lt;&gt;"",J28&lt;&gt;""),(J28-I28)*1440,"")</f>
        <v>449.776935732217</v>
      </c>
      <c r="R28" s="6" t="n">
        <f aca="false">COUNTIFS(Data_RewardEvents!$B$2:$B$160,A28,Data_RewardEvents!$D$2:$D$160,"reward_pending")</f>
        <v>1</v>
      </c>
      <c r="S28" s="6" t="n">
        <f aca="false">COUNTIFS(Data_RewardEvents!$B$2:$B$160,A28,Data_RewardEvents!$D$2:$D$160,"reward_credited")</f>
        <v>1</v>
      </c>
      <c r="T28" s="6" t="n">
        <f aca="false">COUNTIFS(Data_RewardEvents!$B$2:$B$160,A28,Data_RewardEvents!$D$2:$D$160,"reward_reversed")</f>
        <v>0</v>
      </c>
      <c r="U28" s="6" t="n">
        <f aca="false">COUNTIFS(Data_RewardEvents!$B$2:$B$160,A28,Data_RewardEvents!$D$2:$D$160,"reward_corrected")</f>
        <v>0</v>
      </c>
      <c r="V28" s="6" t="n">
        <f aca="false">SUMIFS(Data_RewardEvents!$F$2:$F$160,Data_RewardEvents!$B$2:$B$160,A28,Data_RewardEvents!$D$2:$D$160,"reward_credited")+SUMIFS(Data_RewardEvents!$F$2:$F$160,Data_RewardEvents!$B$2:$B$160,A28,Data_RewardEvents!$D$2:$D$160,"reward_reversed")+SUMIFS(Data_RewardEvents!$F$2:$F$160,Data_RewardEvents!$B$2:$B$160,A28,Data_RewardEvents!$D$2:$D$160,"reward_corrected")</f>
        <v>100</v>
      </c>
      <c r="W28" s="16" t="n">
        <f aca="false">IF(S28&gt;0,_xlfn.MINIFS(Data_RewardEvents!$E$2:$E$160,Data_RewardEvents!$B$2:$B$160,A28,Data_RewardEvents!$D$2:$D$160,"reward_credited"),"")</f>
        <v>46296.358587075</v>
      </c>
      <c r="X28" s="17" t="n">
        <f aca="false">IF(W28="","",(W28-J28)*24)</f>
        <v>20.6264742049386</v>
      </c>
      <c r="Y28" s="6" t="n">
        <f aca="false">IF(I28&lt;&gt;"",1,0)</f>
        <v>1</v>
      </c>
      <c r="Z28" s="6" t="n">
        <f aca="false">IF(K28="completed",1,0)</f>
        <v>1</v>
      </c>
      <c r="AA28" s="6" t="n">
        <f aca="false">IF(L28="validated",1,0)</f>
        <v>1</v>
      </c>
      <c r="AB28" s="6" t="n">
        <f aca="false">IF(S28&gt;0,1,0)</f>
        <v>1</v>
      </c>
    </row>
    <row r="29" customFormat="false" ht="15" hidden="false" customHeight="false" outlineLevel="0" collapsed="false">
      <c r="A29" s="6" t="s">
        <v>453</v>
      </c>
      <c r="B29" s="6" t="s">
        <v>370</v>
      </c>
      <c r="C29" s="6" t="s">
        <v>316</v>
      </c>
      <c r="D29" s="6" t="s">
        <v>408</v>
      </c>
      <c r="E29" s="6" t="s">
        <v>391</v>
      </c>
      <c r="F29" s="6" t="s">
        <v>158</v>
      </c>
      <c r="G29" s="6" t="s">
        <v>454</v>
      </c>
      <c r="H29" s="16" t="n">
        <v>46287.4138888889</v>
      </c>
      <c r="I29" s="16"/>
      <c r="J29" s="16"/>
      <c r="K29" s="6" t="s">
        <v>374</v>
      </c>
      <c r="L29" s="6"/>
      <c r="M29" s="6" t="n">
        <v>100</v>
      </c>
      <c r="N29" s="6" t="str">
        <f aca="false">README!$B$14</f>
        <v>points</v>
      </c>
      <c r="O29" s="6"/>
      <c r="P29" s="6"/>
      <c r="Q29" s="17" t="str">
        <f aca="false">IF(AND(I29&lt;&gt;"",J29&lt;&gt;""),(J29-I29)*1440,"")</f>
        <v/>
      </c>
      <c r="R29" s="6" t="n">
        <f aca="false">COUNTIFS(Data_RewardEvents!$B$2:$B$160,A29,Data_RewardEvents!$D$2:$D$160,"reward_pending")</f>
        <v>0</v>
      </c>
      <c r="S29" s="6" t="n">
        <f aca="false">COUNTIFS(Data_RewardEvents!$B$2:$B$160,A29,Data_RewardEvents!$D$2:$D$160,"reward_credited")</f>
        <v>0</v>
      </c>
      <c r="T29" s="6" t="n">
        <f aca="false">COUNTIFS(Data_RewardEvents!$B$2:$B$160,A29,Data_RewardEvents!$D$2:$D$160,"reward_reversed")</f>
        <v>0</v>
      </c>
      <c r="U29" s="6" t="n">
        <f aca="false">COUNTIFS(Data_RewardEvents!$B$2:$B$160,A29,Data_RewardEvents!$D$2:$D$160,"reward_corrected")</f>
        <v>0</v>
      </c>
      <c r="V29" s="6" t="n">
        <f aca="false">SUMIFS(Data_RewardEvents!$F$2:$F$160,Data_RewardEvents!$B$2:$B$160,A29,Data_RewardEvents!$D$2:$D$160,"reward_credited")+SUMIFS(Data_RewardEvents!$F$2:$F$160,Data_RewardEvents!$B$2:$B$160,A29,Data_RewardEvents!$D$2:$D$160,"reward_reversed")+SUMIFS(Data_RewardEvents!$F$2:$F$160,Data_RewardEvents!$B$2:$B$160,A29,Data_RewardEvents!$D$2:$D$160,"reward_corrected")</f>
        <v>0</v>
      </c>
      <c r="W29" s="16" t="str">
        <f aca="false">IF(S29&gt;0,_xlfn.MINIFS(Data_RewardEvents!$E$2:$E$160,Data_RewardEvents!$B$2:$B$160,A29,Data_RewardEvents!$D$2:$D$160,"reward_credited"),"")</f>
        <v/>
      </c>
      <c r="X29" s="17" t="str">
        <f aca="false">IF(W29="","",(W29-J29)*24)</f>
        <v/>
      </c>
      <c r="Y29" s="6" t="n">
        <f aca="false">IF(I29&lt;&gt;"",1,0)</f>
        <v>0</v>
      </c>
      <c r="Z29" s="6" t="n">
        <f aca="false">IF(K29="completed",1,0)</f>
        <v>0</v>
      </c>
      <c r="AA29" s="6" t="n">
        <f aca="false">IF(L29="validated",1,0)</f>
        <v>0</v>
      </c>
      <c r="AB29" s="6" t="n">
        <f aca="false">IF(S29&gt;0,1,0)</f>
        <v>0</v>
      </c>
    </row>
    <row r="30" customFormat="false" ht="15" hidden="false" customHeight="false" outlineLevel="0" collapsed="false">
      <c r="A30" s="6" t="s">
        <v>455</v>
      </c>
      <c r="B30" s="6" t="s">
        <v>365</v>
      </c>
      <c r="C30" s="6" t="s">
        <v>323</v>
      </c>
      <c r="D30" s="6" t="s">
        <v>443</v>
      </c>
      <c r="E30" s="6" t="s">
        <v>444</v>
      </c>
      <c r="F30" s="6" t="s">
        <v>158</v>
      </c>
      <c r="G30" s="6" t="s">
        <v>456</v>
      </c>
      <c r="H30" s="16" t="n">
        <v>46289.0368055556</v>
      </c>
      <c r="I30" s="16" t="n">
        <v>46289.0472222222</v>
      </c>
      <c r="J30" s="16" t="n">
        <v>46289.0776664446</v>
      </c>
      <c r="K30" s="6" t="s">
        <v>132</v>
      </c>
      <c r="L30" s="6" t="s">
        <v>137</v>
      </c>
      <c r="M30" s="6" t="n">
        <v>30</v>
      </c>
      <c r="N30" s="6" t="str">
        <f aca="false">README!$B$14</f>
        <v>points</v>
      </c>
      <c r="O30" s="6"/>
      <c r="P30" s="6"/>
      <c r="Q30" s="17" t="n">
        <f aca="false">IF(AND(I30&lt;&gt;"",J30&lt;&gt;""),(J30-I30)*1440,"")</f>
        <v>43.83968026725</v>
      </c>
      <c r="R30" s="6" t="n">
        <f aca="false">COUNTIFS(Data_RewardEvents!$B$2:$B$160,A30,Data_RewardEvents!$D$2:$D$160,"reward_pending")</f>
        <v>1</v>
      </c>
      <c r="S30" s="6" t="n">
        <f aca="false">COUNTIFS(Data_RewardEvents!$B$2:$B$160,A30,Data_RewardEvents!$D$2:$D$160,"reward_credited")</f>
        <v>1</v>
      </c>
      <c r="T30" s="6" t="n">
        <f aca="false">COUNTIFS(Data_RewardEvents!$B$2:$B$160,A30,Data_RewardEvents!$D$2:$D$160,"reward_reversed")</f>
        <v>0</v>
      </c>
      <c r="U30" s="6" t="n">
        <f aca="false">COUNTIFS(Data_RewardEvents!$B$2:$B$160,A30,Data_RewardEvents!$D$2:$D$160,"reward_corrected")</f>
        <v>0</v>
      </c>
      <c r="V30" s="6" t="n">
        <f aca="false">SUMIFS(Data_RewardEvents!$F$2:$F$160,Data_RewardEvents!$B$2:$B$160,A30,Data_RewardEvents!$D$2:$D$160,"reward_credited")+SUMIFS(Data_RewardEvents!$F$2:$F$160,Data_RewardEvents!$B$2:$B$160,A30,Data_RewardEvents!$D$2:$D$160,"reward_reversed")+SUMIFS(Data_RewardEvents!$F$2:$F$160,Data_RewardEvents!$B$2:$B$160,A30,Data_RewardEvents!$D$2:$D$160,"reward_corrected")</f>
        <v>30</v>
      </c>
      <c r="W30" s="16" t="n">
        <f aca="false">IF(S30&gt;0,_xlfn.MINIFS(Data_RewardEvents!$E$2:$E$160,Data_RewardEvents!$B$2:$B$160,A30,Data_RewardEvents!$D$2:$D$160,"reward_credited"),"")</f>
        <v>46289.4167181115</v>
      </c>
      <c r="X30" s="17" t="n">
        <f aca="false">IF(W30="","",(W30-J30)*24)</f>
        <v>8.13724000391083</v>
      </c>
      <c r="Y30" s="6" t="n">
        <f aca="false">IF(I30&lt;&gt;"",1,0)</f>
        <v>1</v>
      </c>
      <c r="Z30" s="6" t="n">
        <f aca="false">IF(K30="completed",1,0)</f>
        <v>1</v>
      </c>
      <c r="AA30" s="6" t="n">
        <f aca="false">IF(L30="validated",1,0)</f>
        <v>1</v>
      </c>
      <c r="AB30" s="6" t="n">
        <f aca="false">IF(S30&gt;0,1,0)</f>
        <v>1</v>
      </c>
    </row>
    <row r="31" customFormat="false" ht="15" hidden="false" customHeight="false" outlineLevel="0" collapsed="false">
      <c r="A31" s="6" t="s">
        <v>457</v>
      </c>
      <c r="B31" s="6" t="s">
        <v>365</v>
      </c>
      <c r="C31" s="6" t="s">
        <v>323</v>
      </c>
      <c r="D31" s="6" t="s">
        <v>458</v>
      </c>
      <c r="E31" s="6" t="s">
        <v>367</v>
      </c>
      <c r="F31" s="6" t="s">
        <v>158</v>
      </c>
      <c r="G31" s="6" t="s">
        <v>459</v>
      </c>
      <c r="H31" s="16" t="n">
        <v>46291.7819444445</v>
      </c>
      <c r="I31" s="16" t="n">
        <v>46291.7840277778</v>
      </c>
      <c r="J31" s="16" t="n">
        <v>46291.8204764951</v>
      </c>
      <c r="K31" s="6" t="s">
        <v>132</v>
      </c>
      <c r="L31" s="6" t="s">
        <v>137</v>
      </c>
      <c r="M31" s="6" t="n">
        <v>30</v>
      </c>
      <c r="N31" s="6" t="str">
        <f aca="false">README!$B$14</f>
        <v>points</v>
      </c>
      <c r="O31" s="6"/>
      <c r="P31" s="6"/>
      <c r="Q31" s="17" t="n">
        <f aca="false">IF(AND(I31&lt;&gt;"",J31&lt;&gt;""),(J31-I31)*1440,"")</f>
        <v>52.4861529422833</v>
      </c>
      <c r="R31" s="6" t="n">
        <f aca="false">COUNTIFS(Data_RewardEvents!$B$2:$B$160,A31,Data_RewardEvents!$D$2:$D$160,"reward_pending")</f>
        <v>1</v>
      </c>
      <c r="S31" s="6" t="n">
        <f aca="false">COUNTIFS(Data_RewardEvents!$B$2:$B$160,A31,Data_RewardEvents!$D$2:$D$160,"reward_credited")</f>
        <v>1</v>
      </c>
      <c r="T31" s="6" t="n">
        <f aca="false">COUNTIFS(Data_RewardEvents!$B$2:$B$160,A31,Data_RewardEvents!$D$2:$D$160,"reward_reversed")</f>
        <v>0</v>
      </c>
      <c r="U31" s="6" t="n">
        <f aca="false">COUNTIFS(Data_RewardEvents!$B$2:$B$160,A31,Data_RewardEvents!$D$2:$D$160,"reward_corrected")</f>
        <v>0</v>
      </c>
      <c r="V31" s="6" t="n">
        <f aca="false">SUMIFS(Data_RewardEvents!$F$2:$F$160,Data_RewardEvents!$B$2:$B$160,A31,Data_RewardEvents!$D$2:$D$160,"reward_credited")+SUMIFS(Data_RewardEvents!$F$2:$F$160,Data_RewardEvents!$B$2:$B$160,A31,Data_RewardEvents!$D$2:$D$160,"reward_reversed")+SUMIFS(Data_RewardEvents!$F$2:$F$160,Data_RewardEvents!$B$2:$B$160,A31,Data_RewardEvents!$D$2:$D$160,"reward_corrected")</f>
        <v>30</v>
      </c>
      <c r="W31" s="16" t="n">
        <f aca="false">IF(S31&gt;0,_xlfn.MINIFS(Data_RewardEvents!$E$2:$E$160,Data_RewardEvents!$B$2:$B$160,A31,Data_RewardEvents!$D$2:$D$160,"reward_credited"),"")</f>
        <v>46292.2944624863</v>
      </c>
      <c r="X31" s="17" t="n">
        <f aca="false">IF(W31="","",(W31-J31)*24)</f>
        <v>11.3756637889892</v>
      </c>
      <c r="Y31" s="6" t="n">
        <f aca="false">IF(I31&lt;&gt;"",1,0)</f>
        <v>1</v>
      </c>
      <c r="Z31" s="6" t="n">
        <f aca="false">IF(K31="completed",1,0)</f>
        <v>1</v>
      </c>
      <c r="AA31" s="6" t="n">
        <f aca="false">IF(L31="validated",1,0)</f>
        <v>1</v>
      </c>
      <c r="AB31" s="6" t="n">
        <f aca="false">IF(S31&gt;0,1,0)</f>
        <v>1</v>
      </c>
    </row>
    <row r="32" customFormat="false" ht="15" hidden="false" customHeight="false" outlineLevel="0" collapsed="false">
      <c r="A32" s="6" t="s">
        <v>460</v>
      </c>
      <c r="B32" s="6" t="s">
        <v>403</v>
      </c>
      <c r="C32" s="6" t="s">
        <v>404</v>
      </c>
      <c r="D32" s="6" t="s">
        <v>461</v>
      </c>
      <c r="E32" s="6" t="s">
        <v>98</v>
      </c>
      <c r="F32" s="6" t="s">
        <v>406</v>
      </c>
      <c r="G32" s="6"/>
      <c r="H32" s="16" t="n">
        <v>46296.5666666667</v>
      </c>
      <c r="I32" s="16" t="n">
        <v>46296.575</v>
      </c>
      <c r="J32" s="16" t="n">
        <v>46296.5776853977</v>
      </c>
      <c r="K32" s="6" t="s">
        <v>132</v>
      </c>
      <c r="L32" s="6" t="s">
        <v>137</v>
      </c>
      <c r="M32" s="6" t="n">
        <v>10</v>
      </c>
      <c r="N32" s="6" t="str">
        <f aca="false">README!$B$14</f>
        <v>points</v>
      </c>
      <c r="O32" s="6"/>
      <c r="P32" s="6"/>
      <c r="Q32" s="17" t="n">
        <f aca="false">IF(AND(I32&lt;&gt;"",J32&lt;&gt;""),(J32-I32)*1440,"")</f>
        <v>3.8669727242</v>
      </c>
      <c r="R32" s="6" t="n">
        <f aca="false">COUNTIFS(Data_RewardEvents!$B$2:$B$160,A32,Data_RewardEvents!$D$2:$D$160,"reward_pending")</f>
        <v>0</v>
      </c>
      <c r="S32" s="6" t="n">
        <f aca="false">COUNTIFS(Data_RewardEvents!$B$2:$B$160,A32,Data_RewardEvents!$D$2:$D$160,"reward_credited")</f>
        <v>1</v>
      </c>
      <c r="T32" s="6" t="n">
        <f aca="false">COUNTIFS(Data_RewardEvents!$B$2:$B$160,A32,Data_RewardEvents!$D$2:$D$160,"reward_reversed")</f>
        <v>0</v>
      </c>
      <c r="U32" s="6" t="n">
        <f aca="false">COUNTIFS(Data_RewardEvents!$B$2:$B$160,A32,Data_RewardEvents!$D$2:$D$160,"reward_corrected")</f>
        <v>0</v>
      </c>
      <c r="V32" s="6" t="n">
        <f aca="false">SUMIFS(Data_RewardEvents!$F$2:$F$160,Data_RewardEvents!$B$2:$B$160,A32,Data_RewardEvents!$D$2:$D$160,"reward_credited")+SUMIFS(Data_RewardEvents!$F$2:$F$160,Data_RewardEvents!$B$2:$B$160,A32,Data_RewardEvents!$D$2:$D$160,"reward_reversed")+SUMIFS(Data_RewardEvents!$F$2:$F$160,Data_RewardEvents!$B$2:$B$160,A32,Data_RewardEvents!$D$2:$D$160,"reward_corrected")</f>
        <v>10</v>
      </c>
      <c r="W32" s="16" t="n">
        <f aca="false">IF(S32&gt;0,_xlfn.MINIFS(Data_RewardEvents!$E$2:$E$160,Data_RewardEvents!$B$2:$B$160,A32,Data_RewardEvents!$D$2:$D$160,"reward_credited"),"")</f>
        <v>46296.580493646</v>
      </c>
      <c r="X32" s="17" t="n">
        <f aca="false">IF(W32="","",(W32-J32)*24)</f>
        <v>0.0673979585988889</v>
      </c>
      <c r="Y32" s="6" t="n">
        <f aca="false">IF(I32&lt;&gt;"",1,0)</f>
        <v>1</v>
      </c>
      <c r="Z32" s="6" t="n">
        <f aca="false">IF(K32="completed",1,0)</f>
        <v>1</v>
      </c>
      <c r="AA32" s="6" t="n">
        <f aca="false">IF(L32="validated",1,0)</f>
        <v>1</v>
      </c>
      <c r="AB32" s="6" t="n">
        <f aca="false">IF(S32&gt;0,1,0)</f>
        <v>1</v>
      </c>
    </row>
    <row r="33" customFormat="false" ht="15" hidden="false" customHeight="false" outlineLevel="0" collapsed="false">
      <c r="A33" s="6" t="s">
        <v>462</v>
      </c>
      <c r="B33" s="6" t="s">
        <v>381</v>
      </c>
      <c r="C33" s="6" t="s">
        <v>309</v>
      </c>
      <c r="D33" s="6" t="s">
        <v>463</v>
      </c>
      <c r="E33" s="6" t="s">
        <v>383</v>
      </c>
      <c r="F33" s="6" t="s">
        <v>158</v>
      </c>
      <c r="G33" s="6" t="s">
        <v>464</v>
      </c>
      <c r="H33" s="16" t="n">
        <v>46293.2569444445</v>
      </c>
      <c r="I33" s="16"/>
      <c r="J33" s="16"/>
      <c r="K33" s="6" t="s">
        <v>374</v>
      </c>
      <c r="L33" s="6"/>
      <c r="M33" s="6" t="n">
        <v>50</v>
      </c>
      <c r="N33" s="6" t="str">
        <f aca="false">README!$B$14</f>
        <v>points</v>
      </c>
      <c r="O33" s="6"/>
      <c r="P33" s="6"/>
      <c r="Q33" s="17" t="str">
        <f aca="false">IF(AND(I33&lt;&gt;"",J33&lt;&gt;""),(J33-I33)*1440,"")</f>
        <v/>
      </c>
      <c r="R33" s="6" t="n">
        <f aca="false">COUNTIFS(Data_RewardEvents!$B$2:$B$160,A33,Data_RewardEvents!$D$2:$D$160,"reward_pending")</f>
        <v>0</v>
      </c>
      <c r="S33" s="6" t="n">
        <f aca="false">COUNTIFS(Data_RewardEvents!$B$2:$B$160,A33,Data_RewardEvents!$D$2:$D$160,"reward_credited")</f>
        <v>0</v>
      </c>
      <c r="T33" s="6" t="n">
        <f aca="false">COUNTIFS(Data_RewardEvents!$B$2:$B$160,A33,Data_RewardEvents!$D$2:$D$160,"reward_reversed")</f>
        <v>0</v>
      </c>
      <c r="U33" s="6" t="n">
        <f aca="false">COUNTIFS(Data_RewardEvents!$B$2:$B$160,A33,Data_RewardEvents!$D$2:$D$160,"reward_corrected")</f>
        <v>0</v>
      </c>
      <c r="V33" s="6" t="n">
        <f aca="false">SUMIFS(Data_RewardEvents!$F$2:$F$160,Data_RewardEvents!$B$2:$B$160,A33,Data_RewardEvents!$D$2:$D$160,"reward_credited")+SUMIFS(Data_RewardEvents!$F$2:$F$160,Data_RewardEvents!$B$2:$B$160,A33,Data_RewardEvents!$D$2:$D$160,"reward_reversed")+SUMIFS(Data_RewardEvents!$F$2:$F$160,Data_RewardEvents!$B$2:$B$160,A33,Data_RewardEvents!$D$2:$D$160,"reward_corrected")</f>
        <v>0</v>
      </c>
      <c r="W33" s="16" t="str">
        <f aca="false">IF(S33&gt;0,_xlfn.MINIFS(Data_RewardEvents!$E$2:$E$160,Data_RewardEvents!$B$2:$B$160,A33,Data_RewardEvents!$D$2:$D$160,"reward_credited"),"")</f>
        <v/>
      </c>
      <c r="X33" s="17" t="str">
        <f aca="false">IF(W33="","",(W33-J33)*24)</f>
        <v/>
      </c>
      <c r="Y33" s="6" t="n">
        <f aca="false">IF(I33&lt;&gt;"",1,0)</f>
        <v>0</v>
      </c>
      <c r="Z33" s="6" t="n">
        <f aca="false">IF(K33="completed",1,0)</f>
        <v>0</v>
      </c>
      <c r="AA33" s="6" t="n">
        <f aca="false">IF(L33="validated",1,0)</f>
        <v>0</v>
      </c>
      <c r="AB33" s="6" t="n">
        <f aca="false">IF(S33&gt;0,1,0)</f>
        <v>0</v>
      </c>
    </row>
    <row r="34" customFormat="false" ht="15" hidden="false" customHeight="false" outlineLevel="0" collapsed="false">
      <c r="A34" s="6" t="s">
        <v>465</v>
      </c>
      <c r="B34" s="6" t="s">
        <v>381</v>
      </c>
      <c r="C34" s="6" t="s">
        <v>309</v>
      </c>
      <c r="D34" s="6" t="s">
        <v>466</v>
      </c>
      <c r="E34" s="6" t="s">
        <v>416</v>
      </c>
      <c r="F34" s="6" t="s">
        <v>158</v>
      </c>
      <c r="G34" s="6" t="s">
        <v>467</v>
      </c>
      <c r="H34" s="16" t="n">
        <v>46298.4430555556</v>
      </c>
      <c r="I34" s="16" t="n">
        <v>46298.4638888889</v>
      </c>
      <c r="J34" s="16" t="n">
        <v>46298.4726723078</v>
      </c>
      <c r="K34" s="6" t="s">
        <v>132</v>
      </c>
      <c r="L34" s="6" t="s">
        <v>137</v>
      </c>
      <c r="M34" s="6" t="n">
        <v>50</v>
      </c>
      <c r="N34" s="6" t="str">
        <f aca="false">README!$B$14</f>
        <v>points</v>
      </c>
      <c r="O34" s="6"/>
      <c r="P34" s="6"/>
      <c r="Q34" s="17" t="n">
        <f aca="false">IF(AND(I34&lt;&gt;"",J34&lt;&gt;""),(J34-I34)*1440,"")</f>
        <v>12.6481232524333</v>
      </c>
      <c r="R34" s="6" t="n">
        <f aca="false">COUNTIFS(Data_RewardEvents!$B$2:$B$160,A34,Data_RewardEvents!$D$2:$D$160,"reward_pending")</f>
        <v>1</v>
      </c>
      <c r="S34" s="6" t="n">
        <f aca="false">COUNTIFS(Data_RewardEvents!$B$2:$B$160,A34,Data_RewardEvents!$D$2:$D$160,"reward_credited")</f>
        <v>1</v>
      </c>
      <c r="T34" s="6" t="n">
        <f aca="false">COUNTIFS(Data_RewardEvents!$B$2:$B$160,A34,Data_RewardEvents!$D$2:$D$160,"reward_reversed")</f>
        <v>0</v>
      </c>
      <c r="U34" s="6" t="n">
        <f aca="false">COUNTIFS(Data_RewardEvents!$B$2:$B$160,A34,Data_RewardEvents!$D$2:$D$160,"reward_corrected")</f>
        <v>0</v>
      </c>
      <c r="V34" s="6" t="n">
        <f aca="false">SUMIFS(Data_RewardEvents!$F$2:$F$160,Data_RewardEvents!$B$2:$B$160,A34,Data_RewardEvents!$D$2:$D$160,"reward_credited")+SUMIFS(Data_RewardEvents!$F$2:$F$160,Data_RewardEvents!$B$2:$B$160,A34,Data_RewardEvents!$D$2:$D$160,"reward_reversed")+SUMIFS(Data_RewardEvents!$F$2:$F$160,Data_RewardEvents!$B$2:$B$160,A34,Data_RewardEvents!$D$2:$D$160,"reward_corrected")</f>
        <v>50</v>
      </c>
      <c r="W34" s="16" t="n">
        <f aca="false">IF(S34&gt;0,_xlfn.MINIFS(Data_RewardEvents!$E$2:$E$160,Data_RewardEvents!$B$2:$B$160,A34,Data_RewardEvents!$D$2:$D$160,"reward_credited"),"")</f>
        <v>46298.9376557085</v>
      </c>
      <c r="X34" s="17" t="n">
        <f aca="false">IF(W34="","",(W34-J34)*24)</f>
        <v>11.1596016164403</v>
      </c>
      <c r="Y34" s="6" t="n">
        <f aca="false">IF(I34&lt;&gt;"",1,0)</f>
        <v>1</v>
      </c>
      <c r="Z34" s="6" t="n">
        <f aca="false">IF(K34="completed",1,0)</f>
        <v>1</v>
      </c>
      <c r="AA34" s="6" t="n">
        <f aca="false">IF(L34="validated",1,0)</f>
        <v>1</v>
      </c>
      <c r="AB34" s="6" t="n">
        <f aca="false">IF(S34&gt;0,1,0)</f>
        <v>1</v>
      </c>
    </row>
    <row r="35" customFormat="false" ht="15" hidden="false" customHeight="false" outlineLevel="0" collapsed="false">
      <c r="A35" s="6" t="s">
        <v>468</v>
      </c>
      <c r="B35" s="6" t="s">
        <v>376</v>
      </c>
      <c r="C35" s="6" t="s">
        <v>302</v>
      </c>
      <c r="D35" s="6" t="s">
        <v>461</v>
      </c>
      <c r="E35" s="6" t="s">
        <v>387</v>
      </c>
      <c r="F35" s="6" t="s">
        <v>158</v>
      </c>
      <c r="G35" s="6" t="s">
        <v>469</v>
      </c>
      <c r="H35" s="16" t="n">
        <v>46288.6361111111</v>
      </c>
      <c r="I35" s="16" t="n">
        <v>46288.6388888889</v>
      </c>
      <c r="J35" s="16" t="n">
        <v>46288.6396082413</v>
      </c>
      <c r="K35" s="6" t="s">
        <v>132</v>
      </c>
      <c r="L35" s="6" t="s">
        <v>137</v>
      </c>
      <c r="M35" s="6" t="n">
        <v>5</v>
      </c>
      <c r="N35" s="6" t="str">
        <f aca="false">README!$B$14</f>
        <v>points</v>
      </c>
      <c r="O35" s="6"/>
      <c r="P35" s="6"/>
      <c r="Q35" s="17" t="n">
        <f aca="false">IF(AND(I35&lt;&gt;"",J35&lt;&gt;""),(J35-I35)*1440,"")</f>
        <v>1.03586746611667</v>
      </c>
      <c r="R35" s="6" t="n">
        <f aca="false">COUNTIFS(Data_RewardEvents!$B$2:$B$160,A35,Data_RewardEvents!$D$2:$D$160,"reward_pending")</f>
        <v>0</v>
      </c>
      <c r="S35" s="6" t="n">
        <f aca="false">COUNTIFS(Data_RewardEvents!$B$2:$B$160,A35,Data_RewardEvents!$D$2:$D$160,"reward_credited")</f>
        <v>1</v>
      </c>
      <c r="T35" s="6" t="n">
        <f aca="false">COUNTIFS(Data_RewardEvents!$B$2:$B$160,A35,Data_RewardEvents!$D$2:$D$160,"reward_reversed")</f>
        <v>0</v>
      </c>
      <c r="U35" s="6" t="n">
        <f aca="false">COUNTIFS(Data_RewardEvents!$B$2:$B$160,A35,Data_RewardEvents!$D$2:$D$160,"reward_corrected")</f>
        <v>0</v>
      </c>
      <c r="V35" s="6" t="n">
        <f aca="false">SUMIFS(Data_RewardEvents!$F$2:$F$160,Data_RewardEvents!$B$2:$B$160,A35,Data_RewardEvents!$D$2:$D$160,"reward_credited")+SUMIFS(Data_RewardEvents!$F$2:$F$160,Data_RewardEvents!$B$2:$B$160,A35,Data_RewardEvents!$D$2:$D$160,"reward_reversed")+SUMIFS(Data_RewardEvents!$F$2:$F$160,Data_RewardEvents!$B$2:$B$160,A35,Data_RewardEvents!$D$2:$D$160,"reward_corrected")</f>
        <v>5</v>
      </c>
      <c r="W35" s="16" t="n">
        <f aca="false">IF(S35&gt;0,_xlfn.MINIFS(Data_RewardEvents!$E$2:$E$160,Data_RewardEvents!$B$2:$B$160,A35,Data_RewardEvents!$D$2:$D$160,"reward_credited"),"")</f>
        <v>46288.6422333111</v>
      </c>
      <c r="X35" s="17" t="n">
        <f aca="false">IF(W35="","",(W35-J35)*24)</f>
        <v>0.063001676055</v>
      </c>
      <c r="Y35" s="6" t="n">
        <f aca="false">IF(I35&lt;&gt;"",1,0)</f>
        <v>1</v>
      </c>
      <c r="Z35" s="6" t="n">
        <f aca="false">IF(K35="completed",1,0)</f>
        <v>1</v>
      </c>
      <c r="AA35" s="6" t="n">
        <f aca="false">IF(L35="validated",1,0)</f>
        <v>1</v>
      </c>
      <c r="AB35" s="6" t="n">
        <f aca="false">IF(S35&gt;0,1,0)</f>
        <v>1</v>
      </c>
    </row>
    <row r="36" customFormat="false" ht="15" hidden="false" customHeight="false" outlineLevel="0" collapsed="false">
      <c r="A36" s="6" t="s">
        <v>470</v>
      </c>
      <c r="B36" s="6" t="s">
        <v>370</v>
      </c>
      <c r="C36" s="6" t="s">
        <v>316</v>
      </c>
      <c r="D36" s="6" t="s">
        <v>366</v>
      </c>
      <c r="E36" s="6" t="s">
        <v>372</v>
      </c>
      <c r="F36" s="6" t="s">
        <v>158</v>
      </c>
      <c r="G36" s="6" t="s">
        <v>471</v>
      </c>
      <c r="H36" s="16" t="n">
        <v>46286.2861111111</v>
      </c>
      <c r="I36" s="16" t="n">
        <v>46286.3034722222</v>
      </c>
      <c r="J36" s="16" t="n">
        <v>46286.3713844288</v>
      </c>
      <c r="K36" s="6" t="s">
        <v>132</v>
      </c>
      <c r="L36" s="6" t="s">
        <v>277</v>
      </c>
      <c r="M36" s="6" t="n">
        <v>100</v>
      </c>
      <c r="N36" s="6" t="str">
        <f aca="false">README!$B$14</f>
        <v>points</v>
      </c>
      <c r="O36" s="6"/>
      <c r="P36" s="6"/>
      <c r="Q36" s="17" t="n">
        <f aca="false">IF(AND(I36&lt;&gt;"",J36&lt;&gt;""),(J36-I36)*1440,"")</f>
        <v>97.7935774822167</v>
      </c>
      <c r="R36" s="6" t="n">
        <f aca="false">COUNTIFS(Data_RewardEvents!$B$2:$B$160,A36,Data_RewardEvents!$D$2:$D$160,"reward_pending")</f>
        <v>1</v>
      </c>
      <c r="S36" s="6" t="n">
        <f aca="false">COUNTIFS(Data_RewardEvents!$B$2:$B$160,A36,Data_RewardEvents!$D$2:$D$160,"reward_credited")</f>
        <v>0</v>
      </c>
      <c r="T36" s="6" t="n">
        <f aca="false">COUNTIFS(Data_RewardEvents!$B$2:$B$160,A36,Data_RewardEvents!$D$2:$D$160,"reward_reversed")</f>
        <v>0</v>
      </c>
      <c r="U36" s="6" t="n">
        <f aca="false">COUNTIFS(Data_RewardEvents!$B$2:$B$160,A36,Data_RewardEvents!$D$2:$D$160,"reward_corrected")</f>
        <v>0</v>
      </c>
      <c r="V36" s="6" t="n">
        <f aca="false">SUMIFS(Data_RewardEvents!$F$2:$F$160,Data_RewardEvents!$B$2:$B$160,A36,Data_RewardEvents!$D$2:$D$160,"reward_credited")+SUMIFS(Data_RewardEvents!$F$2:$F$160,Data_RewardEvents!$B$2:$B$160,A36,Data_RewardEvents!$D$2:$D$160,"reward_reversed")+SUMIFS(Data_RewardEvents!$F$2:$F$160,Data_RewardEvents!$B$2:$B$160,A36,Data_RewardEvents!$D$2:$D$160,"reward_corrected")</f>
        <v>0</v>
      </c>
      <c r="W36" s="16" t="str">
        <f aca="false">IF(S36&gt;0,_xlfn.MINIFS(Data_RewardEvents!$E$2:$E$160,Data_RewardEvents!$B$2:$B$160,A36,Data_RewardEvents!$D$2:$D$160,"reward_credited"),"")</f>
        <v/>
      </c>
      <c r="X36" s="17" t="str">
        <f aca="false">IF(W36="","",(W36-J36)*24)</f>
        <v/>
      </c>
      <c r="Y36" s="6" t="n">
        <f aca="false">IF(I36&lt;&gt;"",1,0)</f>
        <v>1</v>
      </c>
      <c r="Z36" s="6" t="n">
        <f aca="false">IF(K36="completed",1,0)</f>
        <v>1</v>
      </c>
      <c r="AA36" s="6" t="n">
        <f aca="false">IF(L36="validated",1,0)</f>
        <v>0</v>
      </c>
      <c r="AB36" s="6" t="n">
        <f aca="false">IF(S36&gt;0,1,0)</f>
        <v>0</v>
      </c>
    </row>
    <row r="37" customFormat="false" ht="15" hidden="false" customHeight="false" outlineLevel="0" collapsed="false">
      <c r="A37" s="6" t="s">
        <v>472</v>
      </c>
      <c r="B37" s="6" t="s">
        <v>403</v>
      </c>
      <c r="C37" s="6" t="s">
        <v>404</v>
      </c>
      <c r="D37" s="6" t="s">
        <v>473</v>
      </c>
      <c r="E37" s="6" t="s">
        <v>98</v>
      </c>
      <c r="F37" s="6" t="s">
        <v>406</v>
      </c>
      <c r="G37" s="6"/>
      <c r="H37" s="16" t="n">
        <v>46297.2125</v>
      </c>
      <c r="I37" s="16" t="n">
        <v>46297.2152777778</v>
      </c>
      <c r="J37" s="16"/>
      <c r="K37" s="6" t="s">
        <v>448</v>
      </c>
      <c r="L37" s="6"/>
      <c r="M37" s="6" t="n">
        <v>10</v>
      </c>
      <c r="N37" s="6" t="str">
        <f aca="false">README!$B$14</f>
        <v>points</v>
      </c>
      <c r="O37" s="6" t="s">
        <v>185</v>
      </c>
      <c r="P37" s="6" t="s">
        <v>207</v>
      </c>
      <c r="Q37" s="17" t="str">
        <f aca="false">IF(AND(I37&lt;&gt;"",J37&lt;&gt;""),(J37-I37)*1440,"")</f>
        <v/>
      </c>
      <c r="R37" s="6" t="n">
        <f aca="false">COUNTIFS(Data_RewardEvents!$B$2:$B$160,A37,Data_RewardEvents!$D$2:$D$160,"reward_pending")</f>
        <v>0</v>
      </c>
      <c r="S37" s="6" t="n">
        <f aca="false">COUNTIFS(Data_RewardEvents!$B$2:$B$160,A37,Data_RewardEvents!$D$2:$D$160,"reward_credited")</f>
        <v>0</v>
      </c>
      <c r="T37" s="6" t="n">
        <f aca="false">COUNTIFS(Data_RewardEvents!$B$2:$B$160,A37,Data_RewardEvents!$D$2:$D$160,"reward_reversed")</f>
        <v>0</v>
      </c>
      <c r="U37" s="6" t="n">
        <f aca="false">COUNTIFS(Data_RewardEvents!$B$2:$B$160,A37,Data_RewardEvents!$D$2:$D$160,"reward_corrected")</f>
        <v>0</v>
      </c>
      <c r="V37" s="6" t="n">
        <f aca="false">SUMIFS(Data_RewardEvents!$F$2:$F$160,Data_RewardEvents!$B$2:$B$160,A37,Data_RewardEvents!$D$2:$D$160,"reward_credited")+SUMIFS(Data_RewardEvents!$F$2:$F$160,Data_RewardEvents!$B$2:$B$160,A37,Data_RewardEvents!$D$2:$D$160,"reward_reversed")+SUMIFS(Data_RewardEvents!$F$2:$F$160,Data_RewardEvents!$B$2:$B$160,A37,Data_RewardEvents!$D$2:$D$160,"reward_corrected")</f>
        <v>0</v>
      </c>
      <c r="W37" s="16" t="str">
        <f aca="false">IF(S37&gt;0,_xlfn.MINIFS(Data_RewardEvents!$E$2:$E$160,Data_RewardEvents!$B$2:$B$160,A37,Data_RewardEvents!$D$2:$D$160,"reward_credited"),"")</f>
        <v/>
      </c>
      <c r="X37" s="17" t="str">
        <f aca="false">IF(W37="","",(W37-J37)*24)</f>
        <v/>
      </c>
      <c r="Y37" s="6" t="n">
        <f aca="false">IF(I37&lt;&gt;"",1,0)</f>
        <v>1</v>
      </c>
      <c r="Z37" s="6" t="n">
        <f aca="false">IF(K37="completed",1,0)</f>
        <v>0</v>
      </c>
      <c r="AA37" s="6" t="n">
        <f aca="false">IF(L37="validated",1,0)</f>
        <v>0</v>
      </c>
      <c r="AB37" s="6" t="n">
        <f aca="false">IF(S37&gt;0,1,0)</f>
        <v>0</v>
      </c>
    </row>
    <row r="38" customFormat="false" ht="15" hidden="false" customHeight="false" outlineLevel="0" collapsed="false">
      <c r="A38" s="6" t="s">
        <v>474</v>
      </c>
      <c r="B38" s="6" t="s">
        <v>381</v>
      </c>
      <c r="C38" s="6" t="s">
        <v>309</v>
      </c>
      <c r="D38" s="6" t="s">
        <v>475</v>
      </c>
      <c r="E38" s="6" t="s">
        <v>416</v>
      </c>
      <c r="F38" s="6" t="s">
        <v>158</v>
      </c>
      <c r="G38" s="6" t="s">
        <v>476</v>
      </c>
      <c r="H38" s="16" t="n">
        <v>46296.0236111111</v>
      </c>
      <c r="I38" s="16" t="n">
        <v>46296.0333333333</v>
      </c>
      <c r="J38" s="16"/>
      <c r="K38" s="6" t="s">
        <v>448</v>
      </c>
      <c r="L38" s="6"/>
      <c r="M38" s="6" t="n">
        <v>50</v>
      </c>
      <c r="N38" s="6" t="str">
        <f aca="false">README!$B$14</f>
        <v>points</v>
      </c>
      <c r="O38" s="6" t="s">
        <v>185</v>
      </c>
      <c r="P38" s="6" t="s">
        <v>207</v>
      </c>
      <c r="Q38" s="17" t="str">
        <f aca="false">IF(AND(I38&lt;&gt;"",J38&lt;&gt;""),(J38-I38)*1440,"")</f>
        <v/>
      </c>
      <c r="R38" s="6" t="n">
        <f aca="false">COUNTIFS(Data_RewardEvents!$B$2:$B$160,A38,Data_RewardEvents!$D$2:$D$160,"reward_pending")</f>
        <v>0</v>
      </c>
      <c r="S38" s="6" t="n">
        <f aca="false">COUNTIFS(Data_RewardEvents!$B$2:$B$160,A38,Data_RewardEvents!$D$2:$D$160,"reward_credited")</f>
        <v>0</v>
      </c>
      <c r="T38" s="6" t="n">
        <f aca="false">COUNTIFS(Data_RewardEvents!$B$2:$B$160,A38,Data_RewardEvents!$D$2:$D$160,"reward_reversed")</f>
        <v>0</v>
      </c>
      <c r="U38" s="6" t="n">
        <f aca="false">COUNTIFS(Data_RewardEvents!$B$2:$B$160,A38,Data_RewardEvents!$D$2:$D$160,"reward_corrected")</f>
        <v>0</v>
      </c>
      <c r="V38" s="6" t="n">
        <f aca="false">SUMIFS(Data_RewardEvents!$F$2:$F$160,Data_RewardEvents!$B$2:$B$160,A38,Data_RewardEvents!$D$2:$D$160,"reward_credited")+SUMIFS(Data_RewardEvents!$F$2:$F$160,Data_RewardEvents!$B$2:$B$160,A38,Data_RewardEvents!$D$2:$D$160,"reward_reversed")+SUMIFS(Data_RewardEvents!$F$2:$F$160,Data_RewardEvents!$B$2:$B$160,A38,Data_RewardEvents!$D$2:$D$160,"reward_corrected")</f>
        <v>0</v>
      </c>
      <c r="W38" s="16" t="str">
        <f aca="false">IF(S38&gt;0,_xlfn.MINIFS(Data_RewardEvents!$E$2:$E$160,Data_RewardEvents!$B$2:$B$160,A38,Data_RewardEvents!$D$2:$D$160,"reward_credited"),"")</f>
        <v/>
      </c>
      <c r="X38" s="17" t="str">
        <f aca="false">IF(W38="","",(W38-J38)*24)</f>
        <v/>
      </c>
      <c r="Y38" s="6" t="n">
        <f aca="false">IF(I38&lt;&gt;"",1,0)</f>
        <v>1</v>
      </c>
      <c r="Z38" s="6" t="n">
        <f aca="false">IF(K38="completed",1,0)</f>
        <v>0</v>
      </c>
      <c r="AA38" s="6" t="n">
        <f aca="false">IF(L38="validated",1,0)</f>
        <v>0</v>
      </c>
      <c r="AB38" s="6" t="n">
        <f aca="false">IF(S38&gt;0,1,0)</f>
        <v>0</v>
      </c>
    </row>
    <row r="39" customFormat="false" ht="15" hidden="false" customHeight="false" outlineLevel="0" collapsed="false">
      <c r="A39" s="6" t="s">
        <v>477</v>
      </c>
      <c r="B39" s="6" t="s">
        <v>381</v>
      </c>
      <c r="C39" s="6" t="s">
        <v>309</v>
      </c>
      <c r="D39" s="6" t="s">
        <v>475</v>
      </c>
      <c r="E39" s="6" t="s">
        <v>416</v>
      </c>
      <c r="F39" s="6" t="s">
        <v>158</v>
      </c>
      <c r="G39" s="6" t="s">
        <v>478</v>
      </c>
      <c r="H39" s="16" t="n">
        <v>46291.3777777778</v>
      </c>
      <c r="I39" s="16" t="n">
        <v>46291.39375</v>
      </c>
      <c r="J39" s="16"/>
      <c r="K39" s="6" t="s">
        <v>448</v>
      </c>
      <c r="L39" s="6"/>
      <c r="M39" s="6" t="n">
        <v>50</v>
      </c>
      <c r="N39" s="6" t="str">
        <f aca="false">README!$B$14</f>
        <v>points</v>
      </c>
      <c r="O39" s="6" t="s">
        <v>185</v>
      </c>
      <c r="P39" s="6" t="s">
        <v>158</v>
      </c>
      <c r="Q39" s="17" t="str">
        <f aca="false">IF(AND(I39&lt;&gt;"",J39&lt;&gt;""),(J39-I39)*1440,"")</f>
        <v/>
      </c>
      <c r="R39" s="6" t="n">
        <f aca="false">COUNTIFS(Data_RewardEvents!$B$2:$B$160,A39,Data_RewardEvents!$D$2:$D$160,"reward_pending")</f>
        <v>0</v>
      </c>
      <c r="S39" s="6" t="n">
        <f aca="false">COUNTIFS(Data_RewardEvents!$B$2:$B$160,A39,Data_RewardEvents!$D$2:$D$160,"reward_credited")</f>
        <v>0</v>
      </c>
      <c r="T39" s="6" t="n">
        <f aca="false">COUNTIFS(Data_RewardEvents!$B$2:$B$160,A39,Data_RewardEvents!$D$2:$D$160,"reward_reversed")</f>
        <v>0</v>
      </c>
      <c r="U39" s="6" t="n">
        <f aca="false">COUNTIFS(Data_RewardEvents!$B$2:$B$160,A39,Data_RewardEvents!$D$2:$D$160,"reward_corrected")</f>
        <v>0</v>
      </c>
      <c r="V39" s="6" t="n">
        <f aca="false">SUMIFS(Data_RewardEvents!$F$2:$F$160,Data_RewardEvents!$B$2:$B$160,A39,Data_RewardEvents!$D$2:$D$160,"reward_credited")+SUMIFS(Data_RewardEvents!$F$2:$F$160,Data_RewardEvents!$B$2:$B$160,A39,Data_RewardEvents!$D$2:$D$160,"reward_reversed")+SUMIFS(Data_RewardEvents!$F$2:$F$160,Data_RewardEvents!$B$2:$B$160,A39,Data_RewardEvents!$D$2:$D$160,"reward_corrected")</f>
        <v>0</v>
      </c>
      <c r="W39" s="16" t="str">
        <f aca="false">IF(S39&gt;0,_xlfn.MINIFS(Data_RewardEvents!$E$2:$E$160,Data_RewardEvents!$B$2:$B$160,A39,Data_RewardEvents!$D$2:$D$160,"reward_credited"),"")</f>
        <v/>
      </c>
      <c r="X39" s="17" t="str">
        <f aca="false">IF(W39="","",(W39-J39)*24)</f>
        <v/>
      </c>
      <c r="Y39" s="6" t="n">
        <f aca="false">IF(I39&lt;&gt;"",1,0)</f>
        <v>1</v>
      </c>
      <c r="Z39" s="6" t="n">
        <f aca="false">IF(K39="completed",1,0)</f>
        <v>0</v>
      </c>
      <c r="AA39" s="6" t="n">
        <f aca="false">IF(L39="validated",1,0)</f>
        <v>0</v>
      </c>
      <c r="AB39" s="6" t="n">
        <f aca="false">IF(S39&gt;0,1,0)</f>
        <v>0</v>
      </c>
    </row>
    <row r="40" customFormat="false" ht="15" hidden="false" customHeight="false" outlineLevel="0" collapsed="false">
      <c r="A40" s="6" t="s">
        <v>479</v>
      </c>
      <c r="B40" s="6" t="s">
        <v>376</v>
      </c>
      <c r="C40" s="6" t="s">
        <v>302</v>
      </c>
      <c r="D40" s="6" t="s">
        <v>480</v>
      </c>
      <c r="E40" s="6" t="s">
        <v>387</v>
      </c>
      <c r="F40" s="6" t="s">
        <v>158</v>
      </c>
      <c r="G40" s="6" t="s">
        <v>481</v>
      </c>
      <c r="H40" s="16" t="n">
        <v>46298.1458333333</v>
      </c>
      <c r="I40" s="16" t="n">
        <v>46298.15</v>
      </c>
      <c r="J40" s="16" t="n">
        <v>46298.1504617854</v>
      </c>
      <c r="K40" s="6" t="s">
        <v>132</v>
      </c>
      <c r="L40" s="6" t="s">
        <v>137</v>
      </c>
      <c r="M40" s="6" t="n">
        <v>5</v>
      </c>
      <c r="N40" s="6" t="str">
        <f aca="false">README!$B$14</f>
        <v>points</v>
      </c>
      <c r="O40" s="6"/>
      <c r="P40" s="6"/>
      <c r="Q40" s="17" t="n">
        <f aca="false">IF(AND(I40&lt;&gt;"",J40&lt;&gt;""),(J40-I40)*1440,"")</f>
        <v>0.664971006333333</v>
      </c>
      <c r="R40" s="6" t="n">
        <f aca="false">COUNTIFS(Data_RewardEvents!$B$2:$B$160,A40,Data_RewardEvents!$D$2:$D$160,"reward_pending")</f>
        <v>0</v>
      </c>
      <c r="S40" s="6" t="n">
        <f aca="false">COUNTIFS(Data_RewardEvents!$B$2:$B$160,A40,Data_RewardEvents!$D$2:$D$160,"reward_credited")</f>
        <v>1</v>
      </c>
      <c r="T40" s="6" t="n">
        <f aca="false">COUNTIFS(Data_RewardEvents!$B$2:$B$160,A40,Data_RewardEvents!$D$2:$D$160,"reward_reversed")</f>
        <v>0</v>
      </c>
      <c r="U40" s="6" t="n">
        <f aca="false">COUNTIFS(Data_RewardEvents!$B$2:$B$160,A40,Data_RewardEvents!$D$2:$D$160,"reward_corrected")</f>
        <v>0</v>
      </c>
      <c r="V40" s="6" t="n">
        <f aca="false">SUMIFS(Data_RewardEvents!$F$2:$F$160,Data_RewardEvents!$B$2:$B$160,A40,Data_RewardEvents!$D$2:$D$160,"reward_credited")+SUMIFS(Data_RewardEvents!$F$2:$F$160,Data_RewardEvents!$B$2:$B$160,A40,Data_RewardEvents!$D$2:$D$160,"reward_reversed")+SUMIFS(Data_RewardEvents!$F$2:$F$160,Data_RewardEvents!$B$2:$B$160,A40,Data_RewardEvents!$D$2:$D$160,"reward_corrected")</f>
        <v>5</v>
      </c>
      <c r="W40" s="16" t="n">
        <f aca="false">IF(S40&gt;0,_xlfn.MINIFS(Data_RewardEvents!$E$2:$E$160,Data_RewardEvents!$B$2:$B$160,A40,Data_RewardEvents!$D$2:$D$160,"reward_credited"),"")</f>
        <v>46298.1515658076</v>
      </c>
      <c r="X40" s="17" t="n">
        <f aca="false">IF(W40="","",(W40-J40)*24)</f>
        <v>0.0264965323147222</v>
      </c>
      <c r="Y40" s="6" t="n">
        <f aca="false">IF(I40&lt;&gt;"",1,0)</f>
        <v>1</v>
      </c>
      <c r="Z40" s="6" t="n">
        <f aca="false">IF(K40="completed",1,0)</f>
        <v>1</v>
      </c>
      <c r="AA40" s="6" t="n">
        <f aca="false">IF(L40="validated",1,0)</f>
        <v>1</v>
      </c>
      <c r="AB40" s="6" t="n">
        <f aca="false">IF(S40&gt;0,1,0)</f>
        <v>1</v>
      </c>
    </row>
    <row r="41" customFormat="false" ht="15" hidden="false" customHeight="false" outlineLevel="0" collapsed="false">
      <c r="A41" s="6" t="s">
        <v>482</v>
      </c>
      <c r="B41" s="6" t="s">
        <v>403</v>
      </c>
      <c r="C41" s="6" t="s">
        <v>404</v>
      </c>
      <c r="D41" s="6" t="s">
        <v>483</v>
      </c>
      <c r="E41" s="6" t="s">
        <v>98</v>
      </c>
      <c r="F41" s="6" t="s">
        <v>406</v>
      </c>
      <c r="G41" s="6"/>
      <c r="H41" s="16" t="n">
        <v>46292.7597222222</v>
      </c>
      <c r="I41" s="16" t="n">
        <v>46292.7756944444</v>
      </c>
      <c r="J41" s="16" t="n">
        <v>46292.7770955492</v>
      </c>
      <c r="K41" s="6" t="s">
        <v>132</v>
      </c>
      <c r="L41" s="6" t="s">
        <v>137</v>
      </c>
      <c r="M41" s="6" t="n">
        <v>10</v>
      </c>
      <c r="N41" s="6" t="str">
        <f aca="false">README!$B$14</f>
        <v>points</v>
      </c>
      <c r="O41" s="6"/>
      <c r="P41" s="6"/>
      <c r="Q41" s="17" t="n">
        <f aca="false">IF(AND(I41&lt;&gt;"",J41&lt;&gt;""),(J41-I41)*1440,"")</f>
        <v>2.01759079238333</v>
      </c>
      <c r="R41" s="6" t="n">
        <f aca="false">COUNTIFS(Data_RewardEvents!$B$2:$B$160,A41,Data_RewardEvents!$D$2:$D$160,"reward_pending")</f>
        <v>0</v>
      </c>
      <c r="S41" s="6" t="n">
        <f aca="false">COUNTIFS(Data_RewardEvents!$B$2:$B$160,A41,Data_RewardEvents!$D$2:$D$160,"reward_credited")</f>
        <v>1</v>
      </c>
      <c r="T41" s="6" t="n">
        <f aca="false">COUNTIFS(Data_RewardEvents!$B$2:$B$160,A41,Data_RewardEvents!$D$2:$D$160,"reward_reversed")</f>
        <v>0</v>
      </c>
      <c r="U41" s="6" t="n">
        <f aca="false">COUNTIFS(Data_RewardEvents!$B$2:$B$160,A41,Data_RewardEvents!$D$2:$D$160,"reward_corrected")</f>
        <v>0</v>
      </c>
      <c r="V41" s="6" t="n">
        <f aca="false">SUMIFS(Data_RewardEvents!$F$2:$F$160,Data_RewardEvents!$B$2:$B$160,A41,Data_RewardEvents!$D$2:$D$160,"reward_credited")+SUMIFS(Data_RewardEvents!$F$2:$F$160,Data_RewardEvents!$B$2:$B$160,A41,Data_RewardEvents!$D$2:$D$160,"reward_reversed")+SUMIFS(Data_RewardEvents!$F$2:$F$160,Data_RewardEvents!$B$2:$B$160,A41,Data_RewardEvents!$D$2:$D$160,"reward_corrected")</f>
        <v>10</v>
      </c>
      <c r="W41" s="16" t="n">
        <f aca="false">IF(S41&gt;0,_xlfn.MINIFS(Data_RewardEvents!$E$2:$E$160,Data_RewardEvents!$B$2:$B$160,A41,Data_RewardEvents!$D$2:$D$160,"reward_credited"),"")</f>
        <v>46292.78045985</v>
      </c>
      <c r="X41" s="17" t="n">
        <f aca="false">IF(W41="","",(W41-J41)*24)</f>
        <v>0.0807432202272222</v>
      </c>
      <c r="Y41" s="6" t="n">
        <f aca="false">IF(I41&lt;&gt;"",1,0)</f>
        <v>1</v>
      </c>
      <c r="Z41" s="6" t="n">
        <f aca="false">IF(K41="completed",1,0)</f>
        <v>1</v>
      </c>
      <c r="AA41" s="6" t="n">
        <f aca="false">IF(L41="validated",1,0)</f>
        <v>1</v>
      </c>
      <c r="AB41" s="6" t="n">
        <f aca="false">IF(S41&gt;0,1,0)</f>
        <v>1</v>
      </c>
    </row>
    <row r="42" customFormat="false" ht="15" hidden="false" customHeight="false" outlineLevel="0" collapsed="false">
      <c r="A42" s="6" t="s">
        <v>484</v>
      </c>
      <c r="B42" s="6" t="s">
        <v>403</v>
      </c>
      <c r="C42" s="6" t="s">
        <v>404</v>
      </c>
      <c r="D42" s="6" t="s">
        <v>485</v>
      </c>
      <c r="E42" s="6" t="s">
        <v>98</v>
      </c>
      <c r="F42" s="6" t="s">
        <v>406</v>
      </c>
      <c r="G42" s="6"/>
      <c r="H42" s="16" t="n">
        <v>46289.5930555556</v>
      </c>
      <c r="I42" s="16"/>
      <c r="J42" s="16"/>
      <c r="K42" s="6" t="s">
        <v>374</v>
      </c>
      <c r="L42" s="6"/>
      <c r="M42" s="6" t="n">
        <v>10</v>
      </c>
      <c r="N42" s="6" t="str">
        <f aca="false">README!$B$14</f>
        <v>points</v>
      </c>
      <c r="O42" s="6"/>
      <c r="P42" s="6"/>
      <c r="Q42" s="17" t="str">
        <f aca="false">IF(AND(I42&lt;&gt;"",J42&lt;&gt;""),(J42-I42)*1440,"")</f>
        <v/>
      </c>
      <c r="R42" s="6" t="n">
        <f aca="false">COUNTIFS(Data_RewardEvents!$B$2:$B$160,A42,Data_RewardEvents!$D$2:$D$160,"reward_pending")</f>
        <v>0</v>
      </c>
      <c r="S42" s="6" t="n">
        <f aca="false">COUNTIFS(Data_RewardEvents!$B$2:$B$160,A42,Data_RewardEvents!$D$2:$D$160,"reward_credited")</f>
        <v>0</v>
      </c>
      <c r="T42" s="6" t="n">
        <f aca="false">COUNTIFS(Data_RewardEvents!$B$2:$B$160,A42,Data_RewardEvents!$D$2:$D$160,"reward_reversed")</f>
        <v>0</v>
      </c>
      <c r="U42" s="6" t="n">
        <f aca="false">COUNTIFS(Data_RewardEvents!$B$2:$B$160,A42,Data_RewardEvents!$D$2:$D$160,"reward_corrected")</f>
        <v>0</v>
      </c>
      <c r="V42" s="6" t="n">
        <f aca="false">SUMIFS(Data_RewardEvents!$F$2:$F$160,Data_RewardEvents!$B$2:$B$160,A42,Data_RewardEvents!$D$2:$D$160,"reward_credited")+SUMIFS(Data_RewardEvents!$F$2:$F$160,Data_RewardEvents!$B$2:$B$160,A42,Data_RewardEvents!$D$2:$D$160,"reward_reversed")+SUMIFS(Data_RewardEvents!$F$2:$F$160,Data_RewardEvents!$B$2:$B$160,A42,Data_RewardEvents!$D$2:$D$160,"reward_corrected")</f>
        <v>0</v>
      </c>
      <c r="W42" s="16" t="str">
        <f aca="false">IF(S42&gt;0,_xlfn.MINIFS(Data_RewardEvents!$E$2:$E$160,Data_RewardEvents!$B$2:$B$160,A42,Data_RewardEvents!$D$2:$D$160,"reward_credited"),"")</f>
        <v/>
      </c>
      <c r="X42" s="17" t="str">
        <f aca="false">IF(W42="","",(W42-J42)*24)</f>
        <v/>
      </c>
      <c r="Y42" s="6" t="n">
        <f aca="false">IF(I42&lt;&gt;"",1,0)</f>
        <v>0</v>
      </c>
      <c r="Z42" s="6" t="n">
        <f aca="false">IF(K42="completed",1,0)</f>
        <v>0</v>
      </c>
      <c r="AA42" s="6" t="n">
        <f aca="false">IF(L42="validated",1,0)</f>
        <v>0</v>
      </c>
      <c r="AB42" s="6" t="n">
        <f aca="false">IF(S42&gt;0,1,0)</f>
        <v>0</v>
      </c>
    </row>
    <row r="43" customFormat="false" ht="15" hidden="false" customHeight="false" outlineLevel="0" collapsed="false">
      <c r="A43" s="6" t="s">
        <v>486</v>
      </c>
      <c r="B43" s="6" t="s">
        <v>403</v>
      </c>
      <c r="C43" s="6" t="s">
        <v>404</v>
      </c>
      <c r="D43" s="6" t="s">
        <v>487</v>
      </c>
      <c r="E43" s="6" t="s">
        <v>98</v>
      </c>
      <c r="F43" s="6" t="s">
        <v>406</v>
      </c>
      <c r="G43" s="6"/>
      <c r="H43" s="16" t="n">
        <v>46292.7416666667</v>
      </c>
      <c r="I43" s="16" t="n">
        <v>46292.7506944445</v>
      </c>
      <c r="J43" s="16" t="n">
        <v>46292.7522010569</v>
      </c>
      <c r="K43" s="6" t="s">
        <v>132</v>
      </c>
      <c r="L43" s="6" t="s">
        <v>137</v>
      </c>
      <c r="M43" s="6" t="n">
        <v>10</v>
      </c>
      <c r="N43" s="6" t="str">
        <f aca="false">README!$B$14</f>
        <v>points</v>
      </c>
      <c r="O43" s="6"/>
      <c r="P43" s="6"/>
      <c r="Q43" s="17" t="n">
        <f aca="false">IF(AND(I43&lt;&gt;"",J43&lt;&gt;""),(J43-I43)*1440,"")</f>
        <v>2.16952196555</v>
      </c>
      <c r="R43" s="6" t="n">
        <f aca="false">COUNTIFS(Data_RewardEvents!$B$2:$B$160,A43,Data_RewardEvents!$D$2:$D$160,"reward_pending")</f>
        <v>0</v>
      </c>
      <c r="S43" s="6" t="n">
        <f aca="false">COUNTIFS(Data_RewardEvents!$B$2:$B$160,A43,Data_RewardEvents!$D$2:$D$160,"reward_credited")</f>
        <v>1</v>
      </c>
      <c r="T43" s="6" t="n">
        <f aca="false">COUNTIFS(Data_RewardEvents!$B$2:$B$160,A43,Data_RewardEvents!$D$2:$D$160,"reward_reversed")</f>
        <v>0</v>
      </c>
      <c r="U43" s="6" t="n">
        <f aca="false">COUNTIFS(Data_RewardEvents!$B$2:$B$160,A43,Data_RewardEvents!$D$2:$D$160,"reward_corrected")</f>
        <v>0</v>
      </c>
      <c r="V43" s="6" t="n">
        <f aca="false">SUMIFS(Data_RewardEvents!$F$2:$F$160,Data_RewardEvents!$B$2:$B$160,A43,Data_RewardEvents!$D$2:$D$160,"reward_credited")+SUMIFS(Data_RewardEvents!$F$2:$F$160,Data_RewardEvents!$B$2:$B$160,A43,Data_RewardEvents!$D$2:$D$160,"reward_reversed")+SUMIFS(Data_RewardEvents!$F$2:$F$160,Data_RewardEvents!$B$2:$B$160,A43,Data_RewardEvents!$D$2:$D$160,"reward_corrected")</f>
        <v>10</v>
      </c>
      <c r="W43" s="16" t="n">
        <f aca="false">IF(S43&gt;0,_xlfn.MINIFS(Data_RewardEvents!$E$2:$E$160,Data_RewardEvents!$B$2:$B$160,A43,Data_RewardEvents!$D$2:$D$160,"reward_credited"),"")</f>
        <v>46292.7549457737</v>
      </c>
      <c r="X43" s="17" t="n">
        <f aca="false">IF(W43="","",(W43-J43)*24)</f>
        <v>0.0658732024019445</v>
      </c>
      <c r="Y43" s="6" t="n">
        <f aca="false">IF(I43&lt;&gt;"",1,0)</f>
        <v>1</v>
      </c>
      <c r="Z43" s="6" t="n">
        <f aca="false">IF(K43="completed",1,0)</f>
        <v>1</v>
      </c>
      <c r="AA43" s="6" t="n">
        <f aca="false">IF(L43="validated",1,0)</f>
        <v>1</v>
      </c>
      <c r="AB43" s="6" t="n">
        <f aca="false">IF(S43&gt;0,1,0)</f>
        <v>1</v>
      </c>
    </row>
    <row r="44" customFormat="false" ht="15" hidden="false" customHeight="false" outlineLevel="0" collapsed="false">
      <c r="A44" s="6" t="s">
        <v>488</v>
      </c>
      <c r="B44" s="6" t="s">
        <v>365</v>
      </c>
      <c r="C44" s="6" t="s">
        <v>323</v>
      </c>
      <c r="D44" s="6" t="s">
        <v>382</v>
      </c>
      <c r="E44" s="6" t="s">
        <v>444</v>
      </c>
      <c r="F44" s="6" t="s">
        <v>158</v>
      </c>
      <c r="G44" s="6" t="s">
        <v>489</v>
      </c>
      <c r="H44" s="16" t="n">
        <v>46285.0798611111</v>
      </c>
      <c r="I44" s="16" t="n">
        <v>46285.0944444445</v>
      </c>
      <c r="J44" s="16"/>
      <c r="K44" s="6" t="s">
        <v>448</v>
      </c>
      <c r="L44" s="6"/>
      <c r="M44" s="6" t="n">
        <v>30</v>
      </c>
      <c r="N44" s="6" t="str">
        <f aca="false">README!$B$14</f>
        <v>points</v>
      </c>
      <c r="O44" s="6" t="s">
        <v>210</v>
      </c>
      <c r="P44" s="6" t="s">
        <v>158</v>
      </c>
      <c r="Q44" s="17" t="str">
        <f aca="false">IF(AND(I44&lt;&gt;"",J44&lt;&gt;""),(J44-I44)*1440,"")</f>
        <v/>
      </c>
      <c r="R44" s="6" t="n">
        <f aca="false">COUNTIFS(Data_RewardEvents!$B$2:$B$160,A44,Data_RewardEvents!$D$2:$D$160,"reward_pending")</f>
        <v>0</v>
      </c>
      <c r="S44" s="6" t="n">
        <f aca="false">COUNTIFS(Data_RewardEvents!$B$2:$B$160,A44,Data_RewardEvents!$D$2:$D$160,"reward_credited")</f>
        <v>0</v>
      </c>
      <c r="T44" s="6" t="n">
        <f aca="false">COUNTIFS(Data_RewardEvents!$B$2:$B$160,A44,Data_RewardEvents!$D$2:$D$160,"reward_reversed")</f>
        <v>0</v>
      </c>
      <c r="U44" s="6" t="n">
        <f aca="false">COUNTIFS(Data_RewardEvents!$B$2:$B$160,A44,Data_RewardEvents!$D$2:$D$160,"reward_corrected")</f>
        <v>0</v>
      </c>
      <c r="V44" s="6" t="n">
        <f aca="false">SUMIFS(Data_RewardEvents!$F$2:$F$160,Data_RewardEvents!$B$2:$B$160,A44,Data_RewardEvents!$D$2:$D$160,"reward_credited")+SUMIFS(Data_RewardEvents!$F$2:$F$160,Data_RewardEvents!$B$2:$B$160,A44,Data_RewardEvents!$D$2:$D$160,"reward_reversed")+SUMIFS(Data_RewardEvents!$F$2:$F$160,Data_RewardEvents!$B$2:$B$160,A44,Data_RewardEvents!$D$2:$D$160,"reward_corrected")</f>
        <v>0</v>
      </c>
      <c r="W44" s="16" t="str">
        <f aca="false">IF(S44&gt;0,_xlfn.MINIFS(Data_RewardEvents!$E$2:$E$160,Data_RewardEvents!$B$2:$B$160,A44,Data_RewardEvents!$D$2:$D$160,"reward_credited"),"")</f>
        <v/>
      </c>
      <c r="X44" s="17" t="str">
        <f aca="false">IF(W44="","",(W44-J44)*24)</f>
        <v/>
      </c>
      <c r="Y44" s="6" t="n">
        <f aca="false">IF(I44&lt;&gt;"",1,0)</f>
        <v>1</v>
      </c>
      <c r="Z44" s="6" t="n">
        <f aca="false">IF(K44="completed",1,0)</f>
        <v>0</v>
      </c>
      <c r="AA44" s="6" t="n">
        <f aca="false">IF(L44="validated",1,0)</f>
        <v>0</v>
      </c>
      <c r="AB44" s="6" t="n">
        <f aca="false">IF(S44&gt;0,1,0)</f>
        <v>0</v>
      </c>
    </row>
    <row r="45" customFormat="false" ht="15" hidden="false" customHeight="false" outlineLevel="0" collapsed="false">
      <c r="A45" s="6" t="s">
        <v>490</v>
      </c>
      <c r="B45" s="6" t="s">
        <v>381</v>
      </c>
      <c r="C45" s="6" t="s">
        <v>309</v>
      </c>
      <c r="D45" s="6" t="s">
        <v>491</v>
      </c>
      <c r="E45" s="6" t="s">
        <v>416</v>
      </c>
      <c r="F45" s="6" t="s">
        <v>158</v>
      </c>
      <c r="G45" s="6" t="s">
        <v>492</v>
      </c>
      <c r="H45" s="16" t="n">
        <v>46291.9319444444</v>
      </c>
      <c r="I45" s="16" t="n">
        <v>46291.9423611111</v>
      </c>
      <c r="J45" s="16" t="n">
        <v>46291.9489734382</v>
      </c>
      <c r="K45" s="6" t="s">
        <v>132</v>
      </c>
      <c r="L45" s="6" t="s">
        <v>137</v>
      </c>
      <c r="M45" s="6" t="n">
        <v>50</v>
      </c>
      <c r="N45" s="6" t="str">
        <f aca="false">README!$B$14</f>
        <v>points</v>
      </c>
      <c r="O45" s="6"/>
      <c r="P45" s="6"/>
      <c r="Q45" s="17" t="n">
        <f aca="false">IF(AND(I45&lt;&gt;"",J45&lt;&gt;""),(J45-I45)*1440,"")</f>
        <v>9.5217510173</v>
      </c>
      <c r="R45" s="6" t="n">
        <f aca="false">COUNTIFS(Data_RewardEvents!$B$2:$B$160,A45,Data_RewardEvents!$D$2:$D$160,"reward_pending")</f>
        <v>1</v>
      </c>
      <c r="S45" s="6" t="n">
        <f aca="false">COUNTIFS(Data_RewardEvents!$B$2:$B$160,A45,Data_RewardEvents!$D$2:$D$160,"reward_credited")</f>
        <v>1</v>
      </c>
      <c r="T45" s="6" t="n">
        <f aca="false">COUNTIFS(Data_RewardEvents!$B$2:$B$160,A45,Data_RewardEvents!$D$2:$D$160,"reward_reversed")</f>
        <v>0</v>
      </c>
      <c r="U45" s="6" t="n">
        <f aca="false">COUNTIFS(Data_RewardEvents!$B$2:$B$160,A45,Data_RewardEvents!$D$2:$D$160,"reward_corrected")</f>
        <v>0</v>
      </c>
      <c r="V45" s="6" t="n">
        <f aca="false">SUMIFS(Data_RewardEvents!$F$2:$F$160,Data_RewardEvents!$B$2:$B$160,A45,Data_RewardEvents!$D$2:$D$160,"reward_credited")+SUMIFS(Data_RewardEvents!$F$2:$F$160,Data_RewardEvents!$B$2:$B$160,A45,Data_RewardEvents!$D$2:$D$160,"reward_reversed")+SUMIFS(Data_RewardEvents!$F$2:$F$160,Data_RewardEvents!$B$2:$B$160,A45,Data_RewardEvents!$D$2:$D$160,"reward_corrected")</f>
        <v>50</v>
      </c>
      <c r="W45" s="16" t="n">
        <f aca="false">IF(S45&gt;0,_xlfn.MINIFS(Data_RewardEvents!$E$2:$E$160,Data_RewardEvents!$B$2:$B$160,A45,Data_RewardEvents!$D$2:$D$160,"reward_credited"),"")</f>
        <v>46292.7965894193</v>
      </c>
      <c r="X45" s="17" t="n">
        <f aca="false">IF(W45="","",(W45-J45)*24)</f>
        <v>20.3427835470064</v>
      </c>
      <c r="Y45" s="6" t="n">
        <f aca="false">IF(I45&lt;&gt;"",1,0)</f>
        <v>1</v>
      </c>
      <c r="Z45" s="6" t="n">
        <f aca="false">IF(K45="completed",1,0)</f>
        <v>1</v>
      </c>
      <c r="AA45" s="6" t="n">
        <f aca="false">IF(L45="validated",1,0)</f>
        <v>1</v>
      </c>
      <c r="AB45" s="6" t="n">
        <f aca="false">IF(S45&gt;0,1,0)</f>
        <v>1</v>
      </c>
    </row>
    <row r="46" customFormat="false" ht="15" hidden="false" customHeight="false" outlineLevel="0" collapsed="false">
      <c r="A46" s="6" t="s">
        <v>493</v>
      </c>
      <c r="B46" s="6" t="s">
        <v>376</v>
      </c>
      <c r="C46" s="6" t="s">
        <v>302</v>
      </c>
      <c r="D46" s="6" t="s">
        <v>394</v>
      </c>
      <c r="E46" s="6" t="s">
        <v>387</v>
      </c>
      <c r="F46" s="6" t="s">
        <v>158</v>
      </c>
      <c r="G46" s="6" t="s">
        <v>494</v>
      </c>
      <c r="H46" s="16" t="n">
        <v>46286.5090277778</v>
      </c>
      <c r="I46" s="16"/>
      <c r="J46" s="16"/>
      <c r="K46" s="6" t="s">
        <v>374</v>
      </c>
      <c r="L46" s="6"/>
      <c r="M46" s="6" t="n">
        <v>5</v>
      </c>
      <c r="N46" s="6" t="str">
        <f aca="false">README!$B$14</f>
        <v>points</v>
      </c>
      <c r="O46" s="6"/>
      <c r="P46" s="6"/>
      <c r="Q46" s="17" t="str">
        <f aca="false">IF(AND(I46&lt;&gt;"",J46&lt;&gt;""),(J46-I46)*1440,"")</f>
        <v/>
      </c>
      <c r="R46" s="6" t="n">
        <f aca="false">COUNTIFS(Data_RewardEvents!$B$2:$B$160,A46,Data_RewardEvents!$D$2:$D$160,"reward_pending")</f>
        <v>0</v>
      </c>
      <c r="S46" s="6" t="n">
        <f aca="false">COUNTIFS(Data_RewardEvents!$B$2:$B$160,A46,Data_RewardEvents!$D$2:$D$160,"reward_credited")</f>
        <v>0</v>
      </c>
      <c r="T46" s="6" t="n">
        <f aca="false">COUNTIFS(Data_RewardEvents!$B$2:$B$160,A46,Data_RewardEvents!$D$2:$D$160,"reward_reversed")</f>
        <v>0</v>
      </c>
      <c r="U46" s="6" t="n">
        <f aca="false">COUNTIFS(Data_RewardEvents!$B$2:$B$160,A46,Data_RewardEvents!$D$2:$D$160,"reward_corrected")</f>
        <v>0</v>
      </c>
      <c r="V46" s="6" t="n">
        <f aca="false">SUMIFS(Data_RewardEvents!$F$2:$F$160,Data_RewardEvents!$B$2:$B$160,A46,Data_RewardEvents!$D$2:$D$160,"reward_credited")+SUMIFS(Data_RewardEvents!$F$2:$F$160,Data_RewardEvents!$B$2:$B$160,A46,Data_RewardEvents!$D$2:$D$160,"reward_reversed")+SUMIFS(Data_RewardEvents!$F$2:$F$160,Data_RewardEvents!$B$2:$B$160,A46,Data_RewardEvents!$D$2:$D$160,"reward_corrected")</f>
        <v>0</v>
      </c>
      <c r="W46" s="16" t="str">
        <f aca="false">IF(S46&gt;0,_xlfn.MINIFS(Data_RewardEvents!$E$2:$E$160,Data_RewardEvents!$B$2:$B$160,A46,Data_RewardEvents!$D$2:$D$160,"reward_credited"),"")</f>
        <v/>
      </c>
      <c r="X46" s="17" t="str">
        <f aca="false">IF(W46="","",(W46-J46)*24)</f>
        <v/>
      </c>
      <c r="Y46" s="6" t="n">
        <f aca="false">IF(I46&lt;&gt;"",1,0)</f>
        <v>0</v>
      </c>
      <c r="Z46" s="6" t="n">
        <f aca="false">IF(K46="completed",1,0)</f>
        <v>0</v>
      </c>
      <c r="AA46" s="6" t="n">
        <f aca="false">IF(L46="validated",1,0)</f>
        <v>0</v>
      </c>
      <c r="AB46" s="6" t="n">
        <f aca="false">IF(S46&gt;0,1,0)</f>
        <v>0</v>
      </c>
    </row>
    <row r="47" customFormat="false" ht="15" hidden="false" customHeight="false" outlineLevel="0" collapsed="false">
      <c r="A47" s="6" t="s">
        <v>495</v>
      </c>
      <c r="B47" s="6" t="s">
        <v>376</v>
      </c>
      <c r="C47" s="6" t="s">
        <v>302</v>
      </c>
      <c r="D47" s="6" t="s">
        <v>485</v>
      </c>
      <c r="E47" s="6" t="s">
        <v>378</v>
      </c>
      <c r="F47" s="6" t="s">
        <v>158</v>
      </c>
      <c r="G47" s="6" t="s">
        <v>496</v>
      </c>
      <c r="H47" s="16" t="n">
        <v>46290.3458333333</v>
      </c>
      <c r="I47" s="16" t="n">
        <v>46290.3590277778</v>
      </c>
      <c r="J47" s="16" t="n">
        <v>46290.3598168064</v>
      </c>
      <c r="K47" s="6" t="s">
        <v>132</v>
      </c>
      <c r="L47" s="6" t="s">
        <v>137</v>
      </c>
      <c r="M47" s="6" t="n">
        <v>5</v>
      </c>
      <c r="N47" s="6" t="str">
        <f aca="false">README!$B$14</f>
        <v>points</v>
      </c>
      <c r="O47" s="6"/>
      <c r="P47" s="6"/>
      <c r="Q47" s="17" t="n">
        <f aca="false">IF(AND(I47&lt;&gt;"",J47&lt;&gt;""),(J47-I47)*1440,"")</f>
        <v>1.13620125688333</v>
      </c>
      <c r="R47" s="6" t="n">
        <f aca="false">COUNTIFS(Data_RewardEvents!$B$2:$B$160,A47,Data_RewardEvents!$D$2:$D$160,"reward_pending")</f>
        <v>0</v>
      </c>
      <c r="S47" s="6" t="n">
        <f aca="false">COUNTIFS(Data_RewardEvents!$B$2:$B$160,A47,Data_RewardEvents!$D$2:$D$160,"reward_credited")</f>
        <v>1</v>
      </c>
      <c r="T47" s="6" t="n">
        <f aca="false">COUNTIFS(Data_RewardEvents!$B$2:$B$160,A47,Data_RewardEvents!$D$2:$D$160,"reward_reversed")</f>
        <v>0</v>
      </c>
      <c r="U47" s="6" t="n">
        <f aca="false">COUNTIFS(Data_RewardEvents!$B$2:$B$160,A47,Data_RewardEvents!$D$2:$D$160,"reward_corrected")</f>
        <v>0</v>
      </c>
      <c r="V47" s="6" t="n">
        <f aca="false">SUMIFS(Data_RewardEvents!$F$2:$F$160,Data_RewardEvents!$B$2:$B$160,A47,Data_RewardEvents!$D$2:$D$160,"reward_credited")+SUMIFS(Data_RewardEvents!$F$2:$F$160,Data_RewardEvents!$B$2:$B$160,A47,Data_RewardEvents!$D$2:$D$160,"reward_reversed")+SUMIFS(Data_RewardEvents!$F$2:$F$160,Data_RewardEvents!$B$2:$B$160,A47,Data_RewardEvents!$D$2:$D$160,"reward_corrected")</f>
        <v>5</v>
      </c>
      <c r="W47" s="16" t="n">
        <f aca="false">IF(S47&gt;0,_xlfn.MINIFS(Data_RewardEvents!$E$2:$E$160,Data_RewardEvents!$B$2:$B$160,A47,Data_RewardEvents!$D$2:$D$160,"reward_credited"),"")</f>
        <v>46290.363911335</v>
      </c>
      <c r="X47" s="17" t="n">
        <f aca="false">IF(W47="","",(W47-J47)*24)</f>
        <v>0.0982686848727778</v>
      </c>
      <c r="Y47" s="6" t="n">
        <f aca="false">IF(I47&lt;&gt;"",1,0)</f>
        <v>1</v>
      </c>
      <c r="Z47" s="6" t="n">
        <f aca="false">IF(K47="completed",1,0)</f>
        <v>1</v>
      </c>
      <c r="AA47" s="6" t="n">
        <f aca="false">IF(L47="validated",1,0)</f>
        <v>1</v>
      </c>
      <c r="AB47" s="6" t="n">
        <f aca="false">IF(S47&gt;0,1,0)</f>
        <v>1</v>
      </c>
    </row>
    <row r="48" customFormat="false" ht="15" hidden="false" customHeight="false" outlineLevel="0" collapsed="false">
      <c r="A48" s="6" t="s">
        <v>497</v>
      </c>
      <c r="B48" s="6" t="s">
        <v>381</v>
      </c>
      <c r="C48" s="6" t="s">
        <v>309</v>
      </c>
      <c r="D48" s="6" t="s">
        <v>498</v>
      </c>
      <c r="E48" s="6" t="s">
        <v>383</v>
      </c>
      <c r="F48" s="6" t="s">
        <v>158</v>
      </c>
      <c r="G48" s="6" t="s">
        <v>499</v>
      </c>
      <c r="H48" s="16" t="n">
        <v>46304.8527777778</v>
      </c>
      <c r="I48" s="16"/>
      <c r="J48" s="16"/>
      <c r="K48" s="6" t="s">
        <v>374</v>
      </c>
      <c r="L48" s="6"/>
      <c r="M48" s="6" t="n">
        <v>50</v>
      </c>
      <c r="N48" s="6" t="str">
        <f aca="false">README!$B$14</f>
        <v>points</v>
      </c>
      <c r="O48" s="6"/>
      <c r="P48" s="6"/>
      <c r="Q48" s="17" t="str">
        <f aca="false">IF(AND(I48&lt;&gt;"",J48&lt;&gt;""),(J48-I48)*1440,"")</f>
        <v/>
      </c>
      <c r="R48" s="6" t="n">
        <f aca="false">COUNTIFS(Data_RewardEvents!$B$2:$B$160,A48,Data_RewardEvents!$D$2:$D$160,"reward_pending")</f>
        <v>0</v>
      </c>
      <c r="S48" s="6" t="n">
        <f aca="false">COUNTIFS(Data_RewardEvents!$B$2:$B$160,A48,Data_RewardEvents!$D$2:$D$160,"reward_credited")</f>
        <v>0</v>
      </c>
      <c r="T48" s="6" t="n">
        <f aca="false">COUNTIFS(Data_RewardEvents!$B$2:$B$160,A48,Data_RewardEvents!$D$2:$D$160,"reward_reversed")</f>
        <v>0</v>
      </c>
      <c r="U48" s="6" t="n">
        <f aca="false">COUNTIFS(Data_RewardEvents!$B$2:$B$160,A48,Data_RewardEvents!$D$2:$D$160,"reward_corrected")</f>
        <v>0</v>
      </c>
      <c r="V48" s="6" t="n">
        <f aca="false">SUMIFS(Data_RewardEvents!$F$2:$F$160,Data_RewardEvents!$B$2:$B$160,A48,Data_RewardEvents!$D$2:$D$160,"reward_credited")+SUMIFS(Data_RewardEvents!$F$2:$F$160,Data_RewardEvents!$B$2:$B$160,A48,Data_RewardEvents!$D$2:$D$160,"reward_reversed")+SUMIFS(Data_RewardEvents!$F$2:$F$160,Data_RewardEvents!$B$2:$B$160,A48,Data_RewardEvents!$D$2:$D$160,"reward_corrected")</f>
        <v>0</v>
      </c>
      <c r="W48" s="16" t="str">
        <f aca="false">IF(S48&gt;0,_xlfn.MINIFS(Data_RewardEvents!$E$2:$E$160,Data_RewardEvents!$B$2:$B$160,A48,Data_RewardEvents!$D$2:$D$160,"reward_credited"),"")</f>
        <v/>
      </c>
      <c r="X48" s="17" t="str">
        <f aca="false">IF(W48="","",(W48-J48)*24)</f>
        <v/>
      </c>
      <c r="Y48" s="6" t="n">
        <f aca="false">IF(I48&lt;&gt;"",1,0)</f>
        <v>0</v>
      </c>
      <c r="Z48" s="6" t="n">
        <f aca="false">IF(K48="completed",1,0)</f>
        <v>0</v>
      </c>
      <c r="AA48" s="6" t="n">
        <f aca="false">IF(L48="validated",1,0)</f>
        <v>0</v>
      </c>
      <c r="AB48" s="6" t="n">
        <f aca="false">IF(S48&gt;0,1,0)</f>
        <v>0</v>
      </c>
    </row>
    <row r="49" customFormat="false" ht="15" hidden="false" customHeight="false" outlineLevel="0" collapsed="false">
      <c r="A49" s="6" t="s">
        <v>500</v>
      </c>
      <c r="B49" s="6" t="s">
        <v>403</v>
      </c>
      <c r="C49" s="6" t="s">
        <v>404</v>
      </c>
      <c r="D49" s="6" t="s">
        <v>394</v>
      </c>
      <c r="E49" s="6" t="s">
        <v>98</v>
      </c>
      <c r="F49" s="6" t="s">
        <v>406</v>
      </c>
      <c r="G49" s="6"/>
      <c r="H49" s="16" t="n">
        <v>46285.5444444444</v>
      </c>
      <c r="I49" s="16" t="n">
        <v>46285.5479166667</v>
      </c>
      <c r="J49" s="16" t="n">
        <v>46285.5490379044</v>
      </c>
      <c r="K49" s="6" t="s">
        <v>132</v>
      </c>
      <c r="L49" s="6" t="s">
        <v>137</v>
      </c>
      <c r="M49" s="6" t="n">
        <v>10</v>
      </c>
      <c r="N49" s="6" t="str">
        <f aca="false">README!$B$14</f>
        <v>points</v>
      </c>
      <c r="O49" s="6"/>
      <c r="P49" s="6"/>
      <c r="Q49" s="17" t="n">
        <f aca="false">IF(AND(I49&lt;&gt;"",J49&lt;&gt;""),(J49-I49)*1440,"")</f>
        <v>1.61458229761667</v>
      </c>
      <c r="R49" s="6" t="n">
        <f aca="false">COUNTIFS(Data_RewardEvents!$B$2:$B$160,A49,Data_RewardEvents!$D$2:$D$160,"reward_pending")</f>
        <v>0</v>
      </c>
      <c r="S49" s="6" t="n">
        <f aca="false">COUNTIFS(Data_RewardEvents!$B$2:$B$160,A49,Data_RewardEvents!$D$2:$D$160,"reward_credited")</f>
        <v>1</v>
      </c>
      <c r="T49" s="6" t="n">
        <f aca="false">COUNTIFS(Data_RewardEvents!$B$2:$B$160,A49,Data_RewardEvents!$D$2:$D$160,"reward_reversed")</f>
        <v>0</v>
      </c>
      <c r="U49" s="6" t="n">
        <f aca="false">COUNTIFS(Data_RewardEvents!$B$2:$B$160,A49,Data_RewardEvents!$D$2:$D$160,"reward_corrected")</f>
        <v>0</v>
      </c>
      <c r="V49" s="6" t="n">
        <f aca="false">SUMIFS(Data_RewardEvents!$F$2:$F$160,Data_RewardEvents!$B$2:$B$160,A49,Data_RewardEvents!$D$2:$D$160,"reward_credited")+SUMIFS(Data_RewardEvents!$F$2:$F$160,Data_RewardEvents!$B$2:$B$160,A49,Data_RewardEvents!$D$2:$D$160,"reward_reversed")+SUMIFS(Data_RewardEvents!$F$2:$F$160,Data_RewardEvents!$B$2:$B$160,A49,Data_RewardEvents!$D$2:$D$160,"reward_corrected")</f>
        <v>10</v>
      </c>
      <c r="W49" s="16" t="n">
        <f aca="false">IF(S49&gt;0,_xlfn.MINIFS(Data_RewardEvents!$E$2:$E$160,Data_RewardEvents!$B$2:$B$160,A49,Data_RewardEvents!$D$2:$D$160,"reward_credited"),"")</f>
        <v>46285.5515959924</v>
      </c>
      <c r="X49" s="17" t="n">
        <f aca="false">IF(W49="","",(W49-J49)*24)</f>
        <v>0.0613941127666667</v>
      </c>
      <c r="Y49" s="6" t="n">
        <f aca="false">IF(I49&lt;&gt;"",1,0)</f>
        <v>1</v>
      </c>
      <c r="Z49" s="6" t="n">
        <f aca="false">IF(K49="completed",1,0)</f>
        <v>1</v>
      </c>
      <c r="AA49" s="6" t="n">
        <f aca="false">IF(L49="validated",1,0)</f>
        <v>1</v>
      </c>
      <c r="AB49" s="6" t="n">
        <f aca="false">IF(S49&gt;0,1,0)</f>
        <v>1</v>
      </c>
    </row>
    <row r="50" customFormat="false" ht="15" hidden="false" customHeight="false" outlineLevel="0" collapsed="false">
      <c r="A50" s="6" t="s">
        <v>501</v>
      </c>
      <c r="B50" s="6" t="s">
        <v>370</v>
      </c>
      <c r="C50" s="6" t="s">
        <v>316</v>
      </c>
      <c r="D50" s="6" t="s">
        <v>502</v>
      </c>
      <c r="E50" s="6" t="s">
        <v>391</v>
      </c>
      <c r="F50" s="6" t="s">
        <v>158</v>
      </c>
      <c r="G50" s="6" t="s">
        <v>503</v>
      </c>
      <c r="H50" s="16" t="n">
        <v>46291.7770833333</v>
      </c>
      <c r="I50" s="16"/>
      <c r="J50" s="16"/>
      <c r="K50" s="6" t="s">
        <v>374</v>
      </c>
      <c r="L50" s="6"/>
      <c r="M50" s="6" t="n">
        <v>100</v>
      </c>
      <c r="N50" s="6" t="str">
        <f aca="false">README!$B$14</f>
        <v>points</v>
      </c>
      <c r="O50" s="6"/>
      <c r="P50" s="6"/>
      <c r="Q50" s="17" t="str">
        <f aca="false">IF(AND(I50&lt;&gt;"",J50&lt;&gt;""),(J50-I50)*1440,"")</f>
        <v/>
      </c>
      <c r="R50" s="6" t="n">
        <f aca="false">COUNTIFS(Data_RewardEvents!$B$2:$B$160,A50,Data_RewardEvents!$D$2:$D$160,"reward_pending")</f>
        <v>0</v>
      </c>
      <c r="S50" s="6" t="n">
        <f aca="false">COUNTIFS(Data_RewardEvents!$B$2:$B$160,A50,Data_RewardEvents!$D$2:$D$160,"reward_credited")</f>
        <v>0</v>
      </c>
      <c r="T50" s="6" t="n">
        <f aca="false">COUNTIFS(Data_RewardEvents!$B$2:$B$160,A50,Data_RewardEvents!$D$2:$D$160,"reward_reversed")</f>
        <v>0</v>
      </c>
      <c r="U50" s="6" t="n">
        <f aca="false">COUNTIFS(Data_RewardEvents!$B$2:$B$160,A50,Data_RewardEvents!$D$2:$D$160,"reward_corrected")</f>
        <v>0</v>
      </c>
      <c r="V50" s="6" t="n">
        <f aca="false">SUMIFS(Data_RewardEvents!$F$2:$F$160,Data_RewardEvents!$B$2:$B$160,A50,Data_RewardEvents!$D$2:$D$160,"reward_credited")+SUMIFS(Data_RewardEvents!$F$2:$F$160,Data_RewardEvents!$B$2:$B$160,A50,Data_RewardEvents!$D$2:$D$160,"reward_reversed")+SUMIFS(Data_RewardEvents!$F$2:$F$160,Data_RewardEvents!$B$2:$B$160,A50,Data_RewardEvents!$D$2:$D$160,"reward_corrected")</f>
        <v>0</v>
      </c>
      <c r="W50" s="16" t="str">
        <f aca="false">IF(S50&gt;0,_xlfn.MINIFS(Data_RewardEvents!$E$2:$E$160,Data_RewardEvents!$B$2:$B$160,A50,Data_RewardEvents!$D$2:$D$160,"reward_credited"),"")</f>
        <v/>
      </c>
      <c r="X50" s="17" t="str">
        <f aca="false">IF(W50="","",(W50-J50)*24)</f>
        <v/>
      </c>
      <c r="Y50" s="6" t="n">
        <f aca="false">IF(I50&lt;&gt;"",1,0)</f>
        <v>0</v>
      </c>
      <c r="Z50" s="6" t="n">
        <f aca="false">IF(K50="completed",1,0)</f>
        <v>0</v>
      </c>
      <c r="AA50" s="6" t="n">
        <f aca="false">IF(L50="validated",1,0)</f>
        <v>0</v>
      </c>
      <c r="AB50" s="6" t="n">
        <f aca="false">IF(S50&gt;0,1,0)</f>
        <v>0</v>
      </c>
    </row>
    <row r="51" customFormat="false" ht="15" hidden="false" customHeight="false" outlineLevel="0" collapsed="false">
      <c r="A51" s="6" t="s">
        <v>504</v>
      </c>
      <c r="B51" s="6" t="s">
        <v>403</v>
      </c>
      <c r="C51" s="6" t="s">
        <v>404</v>
      </c>
      <c r="D51" s="6" t="s">
        <v>386</v>
      </c>
      <c r="E51" s="6" t="s">
        <v>98</v>
      </c>
      <c r="F51" s="6" t="s">
        <v>406</v>
      </c>
      <c r="G51" s="6"/>
      <c r="H51" s="16" t="n">
        <v>46296.8041666667</v>
      </c>
      <c r="I51" s="16" t="n">
        <v>46296.8111111111</v>
      </c>
      <c r="J51" s="16" t="n">
        <v>46296.8136686757</v>
      </c>
      <c r="K51" s="6" t="s">
        <v>132</v>
      </c>
      <c r="L51" s="6" t="s">
        <v>137</v>
      </c>
      <c r="M51" s="6" t="n">
        <v>10</v>
      </c>
      <c r="N51" s="6" t="str">
        <f aca="false">README!$B$14</f>
        <v>points</v>
      </c>
      <c r="O51" s="6"/>
      <c r="P51" s="6"/>
      <c r="Q51" s="17" t="n">
        <f aca="false">IF(AND(I51&lt;&gt;"",J51&lt;&gt;""),(J51-I51)*1440,"")</f>
        <v>3.68289305478333</v>
      </c>
      <c r="R51" s="6" t="n">
        <f aca="false">COUNTIFS(Data_RewardEvents!$B$2:$B$160,A51,Data_RewardEvents!$D$2:$D$160,"reward_pending")</f>
        <v>0</v>
      </c>
      <c r="S51" s="6" t="n">
        <f aca="false">COUNTIFS(Data_RewardEvents!$B$2:$B$160,A51,Data_RewardEvents!$D$2:$D$160,"reward_credited")</f>
        <v>1</v>
      </c>
      <c r="T51" s="6" t="n">
        <f aca="false">COUNTIFS(Data_RewardEvents!$B$2:$B$160,A51,Data_RewardEvents!$D$2:$D$160,"reward_reversed")</f>
        <v>0</v>
      </c>
      <c r="U51" s="6" t="n">
        <f aca="false">COUNTIFS(Data_RewardEvents!$B$2:$B$160,A51,Data_RewardEvents!$D$2:$D$160,"reward_corrected")</f>
        <v>0</v>
      </c>
      <c r="V51" s="6" t="n">
        <f aca="false">SUMIFS(Data_RewardEvents!$F$2:$F$160,Data_RewardEvents!$B$2:$B$160,A51,Data_RewardEvents!$D$2:$D$160,"reward_credited")+SUMIFS(Data_RewardEvents!$F$2:$F$160,Data_RewardEvents!$B$2:$B$160,A51,Data_RewardEvents!$D$2:$D$160,"reward_reversed")+SUMIFS(Data_RewardEvents!$F$2:$F$160,Data_RewardEvents!$B$2:$B$160,A51,Data_RewardEvents!$D$2:$D$160,"reward_corrected")</f>
        <v>10</v>
      </c>
      <c r="W51" s="16" t="n">
        <f aca="false">IF(S51&gt;0,_xlfn.MINIFS(Data_RewardEvents!$E$2:$E$160,Data_RewardEvents!$B$2:$B$160,A51,Data_RewardEvents!$D$2:$D$160,"reward_credited"),"")</f>
        <v>46296.8150590825</v>
      </c>
      <c r="X51" s="17" t="n">
        <f aca="false">IF(W51="","",(W51-J51)*24)</f>
        <v>0.0333697618913889</v>
      </c>
      <c r="Y51" s="6" t="n">
        <f aca="false">IF(I51&lt;&gt;"",1,0)</f>
        <v>1</v>
      </c>
      <c r="Z51" s="6" t="n">
        <f aca="false">IF(K51="completed",1,0)</f>
        <v>1</v>
      </c>
      <c r="AA51" s="6" t="n">
        <f aca="false">IF(L51="validated",1,0)</f>
        <v>1</v>
      </c>
      <c r="AB51" s="6" t="n">
        <f aca="false">IF(S51&gt;0,1,0)</f>
        <v>1</v>
      </c>
    </row>
    <row r="52" customFormat="false" ht="15" hidden="false" customHeight="false" outlineLevel="0" collapsed="false">
      <c r="A52" s="6" t="s">
        <v>505</v>
      </c>
      <c r="B52" s="6" t="s">
        <v>403</v>
      </c>
      <c r="C52" s="6" t="s">
        <v>404</v>
      </c>
      <c r="D52" s="6" t="s">
        <v>405</v>
      </c>
      <c r="E52" s="6" t="s">
        <v>98</v>
      </c>
      <c r="F52" s="6" t="s">
        <v>406</v>
      </c>
      <c r="G52" s="6"/>
      <c r="H52" s="16" t="n">
        <v>46289.1986111111</v>
      </c>
      <c r="I52" s="16" t="n">
        <v>46289.2166666667</v>
      </c>
      <c r="J52" s="16" t="n">
        <v>46289.21739794</v>
      </c>
      <c r="K52" s="6" t="s">
        <v>132</v>
      </c>
      <c r="L52" s="6" t="s">
        <v>137</v>
      </c>
      <c r="M52" s="6" t="n">
        <v>10</v>
      </c>
      <c r="N52" s="6" t="str">
        <f aca="false">README!$B$14</f>
        <v>points</v>
      </c>
      <c r="O52" s="6"/>
      <c r="P52" s="6"/>
      <c r="Q52" s="17" t="n">
        <f aca="false">IF(AND(I52&lt;&gt;"",J52&lt;&gt;""),(J52-I52)*1440,"")</f>
        <v>1.05303358285</v>
      </c>
      <c r="R52" s="6" t="n">
        <f aca="false">COUNTIFS(Data_RewardEvents!$B$2:$B$160,A52,Data_RewardEvents!$D$2:$D$160,"reward_pending")</f>
        <v>0</v>
      </c>
      <c r="S52" s="6" t="n">
        <f aca="false">COUNTIFS(Data_RewardEvents!$B$2:$B$160,A52,Data_RewardEvents!$D$2:$D$160,"reward_credited")</f>
        <v>1</v>
      </c>
      <c r="T52" s="6" t="n">
        <f aca="false">COUNTIFS(Data_RewardEvents!$B$2:$B$160,A52,Data_RewardEvents!$D$2:$D$160,"reward_reversed")</f>
        <v>0</v>
      </c>
      <c r="U52" s="6" t="n">
        <f aca="false">COUNTIFS(Data_RewardEvents!$B$2:$B$160,A52,Data_RewardEvents!$D$2:$D$160,"reward_corrected")</f>
        <v>0</v>
      </c>
      <c r="V52" s="6" t="n">
        <f aca="false">SUMIFS(Data_RewardEvents!$F$2:$F$160,Data_RewardEvents!$B$2:$B$160,A52,Data_RewardEvents!$D$2:$D$160,"reward_credited")+SUMIFS(Data_RewardEvents!$F$2:$F$160,Data_RewardEvents!$B$2:$B$160,A52,Data_RewardEvents!$D$2:$D$160,"reward_reversed")+SUMIFS(Data_RewardEvents!$F$2:$F$160,Data_RewardEvents!$B$2:$B$160,A52,Data_RewardEvents!$D$2:$D$160,"reward_corrected")</f>
        <v>10</v>
      </c>
      <c r="W52" s="16" t="n">
        <f aca="false">IF(S52&gt;0,_xlfn.MINIFS(Data_RewardEvents!$E$2:$E$160,Data_RewardEvents!$B$2:$B$160,A52,Data_RewardEvents!$D$2:$D$160,"reward_credited"),"")</f>
        <v>46289.2198581829</v>
      </c>
      <c r="X52" s="17" t="n">
        <f aca="false">IF(W52="","",(W52-J52)*24)</f>
        <v>0.0590458296936111</v>
      </c>
      <c r="Y52" s="6" t="n">
        <f aca="false">IF(I52&lt;&gt;"",1,0)</f>
        <v>1</v>
      </c>
      <c r="Z52" s="6" t="n">
        <f aca="false">IF(K52="completed",1,0)</f>
        <v>1</v>
      </c>
      <c r="AA52" s="6" t="n">
        <f aca="false">IF(L52="validated",1,0)</f>
        <v>1</v>
      </c>
      <c r="AB52" s="6" t="n">
        <f aca="false">IF(S52&gt;0,1,0)</f>
        <v>1</v>
      </c>
    </row>
    <row r="53" customFormat="false" ht="15" hidden="false" customHeight="false" outlineLevel="0" collapsed="false">
      <c r="A53" s="6" t="s">
        <v>506</v>
      </c>
      <c r="B53" s="6" t="s">
        <v>381</v>
      </c>
      <c r="C53" s="6" t="s">
        <v>309</v>
      </c>
      <c r="D53" s="6" t="s">
        <v>473</v>
      </c>
      <c r="E53" s="6" t="s">
        <v>383</v>
      </c>
      <c r="F53" s="6" t="s">
        <v>158</v>
      </c>
      <c r="G53" s="6" t="s">
        <v>507</v>
      </c>
      <c r="H53" s="16" t="n">
        <v>46286.2472222222</v>
      </c>
      <c r="I53" s="16" t="n">
        <v>46286.2576388889</v>
      </c>
      <c r="J53" s="16"/>
      <c r="K53" s="6" t="s">
        <v>448</v>
      </c>
      <c r="L53" s="6"/>
      <c r="M53" s="6" t="n">
        <v>50</v>
      </c>
      <c r="N53" s="6" t="str">
        <f aca="false">README!$B$14</f>
        <v>points</v>
      </c>
      <c r="O53" s="6" t="s">
        <v>185</v>
      </c>
      <c r="P53" s="6" t="s">
        <v>207</v>
      </c>
      <c r="Q53" s="17" t="str">
        <f aca="false">IF(AND(I53&lt;&gt;"",J53&lt;&gt;""),(J53-I53)*1440,"")</f>
        <v/>
      </c>
      <c r="R53" s="6" t="n">
        <f aca="false">COUNTIFS(Data_RewardEvents!$B$2:$B$160,A53,Data_RewardEvents!$D$2:$D$160,"reward_pending")</f>
        <v>0</v>
      </c>
      <c r="S53" s="6" t="n">
        <f aca="false">COUNTIFS(Data_RewardEvents!$B$2:$B$160,A53,Data_RewardEvents!$D$2:$D$160,"reward_credited")</f>
        <v>0</v>
      </c>
      <c r="T53" s="6" t="n">
        <f aca="false">COUNTIFS(Data_RewardEvents!$B$2:$B$160,A53,Data_RewardEvents!$D$2:$D$160,"reward_reversed")</f>
        <v>0</v>
      </c>
      <c r="U53" s="6" t="n">
        <f aca="false">COUNTIFS(Data_RewardEvents!$B$2:$B$160,A53,Data_RewardEvents!$D$2:$D$160,"reward_corrected")</f>
        <v>0</v>
      </c>
      <c r="V53" s="6" t="n">
        <f aca="false">SUMIFS(Data_RewardEvents!$F$2:$F$160,Data_RewardEvents!$B$2:$B$160,A53,Data_RewardEvents!$D$2:$D$160,"reward_credited")+SUMIFS(Data_RewardEvents!$F$2:$F$160,Data_RewardEvents!$B$2:$B$160,A53,Data_RewardEvents!$D$2:$D$160,"reward_reversed")+SUMIFS(Data_RewardEvents!$F$2:$F$160,Data_RewardEvents!$B$2:$B$160,A53,Data_RewardEvents!$D$2:$D$160,"reward_corrected")</f>
        <v>0</v>
      </c>
      <c r="W53" s="16" t="str">
        <f aca="false">IF(S53&gt;0,_xlfn.MINIFS(Data_RewardEvents!$E$2:$E$160,Data_RewardEvents!$B$2:$B$160,A53,Data_RewardEvents!$D$2:$D$160,"reward_credited"),"")</f>
        <v/>
      </c>
      <c r="X53" s="17" t="str">
        <f aca="false">IF(W53="","",(W53-J53)*24)</f>
        <v/>
      </c>
      <c r="Y53" s="6" t="n">
        <f aca="false">IF(I53&lt;&gt;"",1,0)</f>
        <v>1</v>
      </c>
      <c r="Z53" s="6" t="n">
        <f aca="false">IF(K53="completed",1,0)</f>
        <v>0</v>
      </c>
      <c r="AA53" s="6" t="n">
        <f aca="false">IF(L53="validated",1,0)</f>
        <v>0</v>
      </c>
      <c r="AB53" s="6" t="n">
        <f aca="false">IF(S53&gt;0,1,0)</f>
        <v>0</v>
      </c>
    </row>
    <row r="54" customFormat="false" ht="15" hidden="false" customHeight="false" outlineLevel="0" collapsed="false">
      <c r="A54" s="6" t="s">
        <v>508</v>
      </c>
      <c r="B54" s="6" t="s">
        <v>365</v>
      </c>
      <c r="C54" s="6" t="s">
        <v>323</v>
      </c>
      <c r="D54" s="6" t="s">
        <v>483</v>
      </c>
      <c r="E54" s="6" t="s">
        <v>444</v>
      </c>
      <c r="F54" s="6" t="s">
        <v>158</v>
      </c>
      <c r="G54" s="6" t="s">
        <v>509</v>
      </c>
      <c r="H54" s="16" t="n">
        <v>46298.1618055556</v>
      </c>
      <c r="I54" s="16" t="n">
        <v>46298.1763888889</v>
      </c>
      <c r="J54" s="16"/>
      <c r="K54" s="6" t="s">
        <v>419</v>
      </c>
      <c r="L54" s="6"/>
      <c r="M54" s="6" t="n">
        <v>30</v>
      </c>
      <c r="N54" s="6" t="str">
        <f aca="false">README!$B$14</f>
        <v>points</v>
      </c>
      <c r="O54" s="6" t="s">
        <v>204</v>
      </c>
      <c r="P54" s="6" t="s">
        <v>207</v>
      </c>
      <c r="Q54" s="17" t="str">
        <f aca="false">IF(AND(I54&lt;&gt;"",J54&lt;&gt;""),(J54-I54)*1440,"")</f>
        <v/>
      </c>
      <c r="R54" s="6" t="n">
        <f aca="false">COUNTIFS(Data_RewardEvents!$B$2:$B$160,A54,Data_RewardEvents!$D$2:$D$160,"reward_pending")</f>
        <v>0</v>
      </c>
      <c r="S54" s="6" t="n">
        <f aca="false">COUNTIFS(Data_RewardEvents!$B$2:$B$160,A54,Data_RewardEvents!$D$2:$D$160,"reward_credited")</f>
        <v>0</v>
      </c>
      <c r="T54" s="6" t="n">
        <f aca="false">COUNTIFS(Data_RewardEvents!$B$2:$B$160,A54,Data_RewardEvents!$D$2:$D$160,"reward_reversed")</f>
        <v>0</v>
      </c>
      <c r="U54" s="6" t="n">
        <f aca="false">COUNTIFS(Data_RewardEvents!$B$2:$B$160,A54,Data_RewardEvents!$D$2:$D$160,"reward_corrected")</f>
        <v>0</v>
      </c>
      <c r="V54" s="6" t="n">
        <f aca="false">SUMIFS(Data_RewardEvents!$F$2:$F$160,Data_RewardEvents!$B$2:$B$160,A54,Data_RewardEvents!$D$2:$D$160,"reward_credited")+SUMIFS(Data_RewardEvents!$F$2:$F$160,Data_RewardEvents!$B$2:$B$160,A54,Data_RewardEvents!$D$2:$D$160,"reward_reversed")+SUMIFS(Data_RewardEvents!$F$2:$F$160,Data_RewardEvents!$B$2:$B$160,A54,Data_RewardEvents!$D$2:$D$160,"reward_corrected")</f>
        <v>0</v>
      </c>
      <c r="W54" s="16" t="str">
        <f aca="false">IF(S54&gt;0,_xlfn.MINIFS(Data_RewardEvents!$E$2:$E$160,Data_RewardEvents!$B$2:$B$160,A54,Data_RewardEvents!$D$2:$D$160,"reward_credited"),"")</f>
        <v/>
      </c>
      <c r="X54" s="17" t="str">
        <f aca="false">IF(W54="","",(W54-J54)*24)</f>
        <v/>
      </c>
      <c r="Y54" s="6" t="n">
        <f aca="false">IF(I54&lt;&gt;"",1,0)</f>
        <v>1</v>
      </c>
      <c r="Z54" s="6" t="n">
        <f aca="false">IF(K54="completed",1,0)</f>
        <v>0</v>
      </c>
      <c r="AA54" s="6" t="n">
        <f aca="false">IF(L54="validated",1,0)</f>
        <v>0</v>
      </c>
      <c r="AB54" s="6" t="n">
        <f aca="false">IF(S54&gt;0,1,0)</f>
        <v>0</v>
      </c>
    </row>
    <row r="55" customFormat="false" ht="15" hidden="false" customHeight="false" outlineLevel="0" collapsed="false">
      <c r="A55" s="6" t="s">
        <v>510</v>
      </c>
      <c r="B55" s="6" t="s">
        <v>376</v>
      </c>
      <c r="C55" s="6" t="s">
        <v>302</v>
      </c>
      <c r="D55" s="6" t="s">
        <v>491</v>
      </c>
      <c r="E55" s="6" t="s">
        <v>378</v>
      </c>
      <c r="F55" s="6" t="s">
        <v>158</v>
      </c>
      <c r="G55" s="6" t="s">
        <v>511</v>
      </c>
      <c r="H55" s="16" t="n">
        <v>46298.4701388889</v>
      </c>
      <c r="I55" s="16" t="n">
        <v>46298.4819444444</v>
      </c>
      <c r="J55" s="16"/>
      <c r="K55" s="6" t="s">
        <v>448</v>
      </c>
      <c r="L55" s="6"/>
      <c r="M55" s="6" t="n">
        <v>5</v>
      </c>
      <c r="N55" s="6" t="str">
        <f aca="false">README!$B$14</f>
        <v>points</v>
      </c>
      <c r="O55" s="6" t="s">
        <v>167</v>
      </c>
      <c r="P55" s="6" t="s">
        <v>223</v>
      </c>
      <c r="Q55" s="17" t="str">
        <f aca="false">IF(AND(I55&lt;&gt;"",J55&lt;&gt;""),(J55-I55)*1440,"")</f>
        <v/>
      </c>
      <c r="R55" s="6" t="n">
        <f aca="false">COUNTIFS(Data_RewardEvents!$B$2:$B$160,A55,Data_RewardEvents!$D$2:$D$160,"reward_pending")</f>
        <v>0</v>
      </c>
      <c r="S55" s="6" t="n">
        <f aca="false">COUNTIFS(Data_RewardEvents!$B$2:$B$160,A55,Data_RewardEvents!$D$2:$D$160,"reward_credited")</f>
        <v>0</v>
      </c>
      <c r="T55" s="6" t="n">
        <f aca="false">COUNTIFS(Data_RewardEvents!$B$2:$B$160,A55,Data_RewardEvents!$D$2:$D$160,"reward_reversed")</f>
        <v>0</v>
      </c>
      <c r="U55" s="6" t="n">
        <f aca="false">COUNTIFS(Data_RewardEvents!$B$2:$B$160,A55,Data_RewardEvents!$D$2:$D$160,"reward_corrected")</f>
        <v>0</v>
      </c>
      <c r="V55" s="6" t="n">
        <f aca="false">SUMIFS(Data_RewardEvents!$F$2:$F$160,Data_RewardEvents!$B$2:$B$160,A55,Data_RewardEvents!$D$2:$D$160,"reward_credited")+SUMIFS(Data_RewardEvents!$F$2:$F$160,Data_RewardEvents!$B$2:$B$160,A55,Data_RewardEvents!$D$2:$D$160,"reward_reversed")+SUMIFS(Data_RewardEvents!$F$2:$F$160,Data_RewardEvents!$B$2:$B$160,A55,Data_RewardEvents!$D$2:$D$160,"reward_corrected")</f>
        <v>0</v>
      </c>
      <c r="W55" s="16" t="str">
        <f aca="false">IF(S55&gt;0,_xlfn.MINIFS(Data_RewardEvents!$E$2:$E$160,Data_RewardEvents!$B$2:$B$160,A55,Data_RewardEvents!$D$2:$D$160,"reward_credited"),"")</f>
        <v/>
      </c>
      <c r="X55" s="17" t="str">
        <f aca="false">IF(W55="","",(W55-J55)*24)</f>
        <v/>
      </c>
      <c r="Y55" s="6" t="n">
        <f aca="false">IF(I55&lt;&gt;"",1,0)</f>
        <v>1</v>
      </c>
      <c r="Z55" s="6" t="n">
        <f aca="false">IF(K55="completed",1,0)</f>
        <v>0</v>
      </c>
      <c r="AA55" s="6" t="n">
        <f aca="false">IF(L55="validated",1,0)</f>
        <v>0</v>
      </c>
      <c r="AB55" s="6" t="n">
        <f aca="false">IF(S55&gt;0,1,0)</f>
        <v>0</v>
      </c>
    </row>
    <row r="56" customFormat="false" ht="15" hidden="false" customHeight="false" outlineLevel="0" collapsed="false">
      <c r="A56" s="6" t="s">
        <v>512</v>
      </c>
      <c r="B56" s="6" t="s">
        <v>370</v>
      </c>
      <c r="C56" s="6" t="s">
        <v>316</v>
      </c>
      <c r="D56" s="6" t="s">
        <v>513</v>
      </c>
      <c r="E56" s="6" t="s">
        <v>372</v>
      </c>
      <c r="F56" s="6" t="s">
        <v>158</v>
      </c>
      <c r="G56" s="6" t="s">
        <v>514</v>
      </c>
      <c r="H56" s="16" t="n">
        <v>46299.0583333333</v>
      </c>
      <c r="I56" s="16"/>
      <c r="J56" s="16"/>
      <c r="K56" s="6" t="s">
        <v>374</v>
      </c>
      <c r="L56" s="6"/>
      <c r="M56" s="6" t="n">
        <v>100</v>
      </c>
      <c r="N56" s="6" t="str">
        <f aca="false">README!$B$14</f>
        <v>points</v>
      </c>
      <c r="O56" s="6"/>
      <c r="P56" s="6"/>
      <c r="Q56" s="17" t="str">
        <f aca="false">IF(AND(I56&lt;&gt;"",J56&lt;&gt;""),(J56-I56)*1440,"")</f>
        <v/>
      </c>
      <c r="R56" s="6" t="n">
        <f aca="false">COUNTIFS(Data_RewardEvents!$B$2:$B$160,A56,Data_RewardEvents!$D$2:$D$160,"reward_pending")</f>
        <v>0</v>
      </c>
      <c r="S56" s="6" t="n">
        <f aca="false">COUNTIFS(Data_RewardEvents!$B$2:$B$160,A56,Data_RewardEvents!$D$2:$D$160,"reward_credited")</f>
        <v>0</v>
      </c>
      <c r="T56" s="6" t="n">
        <f aca="false">COUNTIFS(Data_RewardEvents!$B$2:$B$160,A56,Data_RewardEvents!$D$2:$D$160,"reward_reversed")</f>
        <v>0</v>
      </c>
      <c r="U56" s="6" t="n">
        <f aca="false">COUNTIFS(Data_RewardEvents!$B$2:$B$160,A56,Data_RewardEvents!$D$2:$D$160,"reward_corrected")</f>
        <v>0</v>
      </c>
      <c r="V56" s="6" t="n">
        <f aca="false">SUMIFS(Data_RewardEvents!$F$2:$F$160,Data_RewardEvents!$B$2:$B$160,A56,Data_RewardEvents!$D$2:$D$160,"reward_credited")+SUMIFS(Data_RewardEvents!$F$2:$F$160,Data_RewardEvents!$B$2:$B$160,A56,Data_RewardEvents!$D$2:$D$160,"reward_reversed")+SUMIFS(Data_RewardEvents!$F$2:$F$160,Data_RewardEvents!$B$2:$B$160,A56,Data_RewardEvents!$D$2:$D$160,"reward_corrected")</f>
        <v>0</v>
      </c>
      <c r="W56" s="16" t="str">
        <f aca="false">IF(S56&gt;0,_xlfn.MINIFS(Data_RewardEvents!$E$2:$E$160,Data_RewardEvents!$B$2:$B$160,A56,Data_RewardEvents!$D$2:$D$160,"reward_credited"),"")</f>
        <v/>
      </c>
      <c r="X56" s="17" t="str">
        <f aca="false">IF(W56="","",(W56-J56)*24)</f>
        <v/>
      </c>
      <c r="Y56" s="6" t="n">
        <f aca="false">IF(I56&lt;&gt;"",1,0)</f>
        <v>0</v>
      </c>
      <c r="Z56" s="6" t="n">
        <f aca="false">IF(K56="completed",1,0)</f>
        <v>0</v>
      </c>
      <c r="AA56" s="6" t="n">
        <f aca="false">IF(L56="validated",1,0)</f>
        <v>0</v>
      </c>
      <c r="AB56" s="6" t="n">
        <f aca="false">IF(S56&gt;0,1,0)</f>
        <v>0</v>
      </c>
    </row>
    <row r="57" customFormat="false" ht="15" hidden="false" customHeight="false" outlineLevel="0" collapsed="false">
      <c r="A57" s="6" t="s">
        <v>515</v>
      </c>
      <c r="B57" s="6" t="s">
        <v>403</v>
      </c>
      <c r="C57" s="6" t="s">
        <v>404</v>
      </c>
      <c r="D57" s="6" t="s">
        <v>382</v>
      </c>
      <c r="E57" s="6" t="s">
        <v>98</v>
      </c>
      <c r="F57" s="6" t="s">
        <v>406</v>
      </c>
      <c r="G57" s="6"/>
      <c r="H57" s="16" t="n">
        <v>46304.3763888889</v>
      </c>
      <c r="I57" s="16" t="n">
        <v>46304.3854166667</v>
      </c>
      <c r="J57" s="16" t="n">
        <v>46304.3870314038</v>
      </c>
      <c r="K57" s="6" t="s">
        <v>132</v>
      </c>
      <c r="L57" s="6" t="s">
        <v>137</v>
      </c>
      <c r="M57" s="6" t="n">
        <v>10</v>
      </c>
      <c r="N57" s="6" t="str">
        <f aca="false">README!$B$14</f>
        <v>points</v>
      </c>
      <c r="O57" s="6"/>
      <c r="P57" s="6"/>
      <c r="Q57" s="17" t="n">
        <f aca="false">IF(AND(I57&lt;&gt;"",J57&lt;&gt;""),(J57-I57)*1440,"")</f>
        <v>2.32522143283333</v>
      </c>
      <c r="R57" s="6" t="n">
        <f aca="false">COUNTIFS(Data_RewardEvents!$B$2:$B$160,A57,Data_RewardEvents!$D$2:$D$160,"reward_pending")</f>
        <v>0</v>
      </c>
      <c r="S57" s="6" t="n">
        <f aca="false">COUNTIFS(Data_RewardEvents!$B$2:$B$160,A57,Data_RewardEvents!$D$2:$D$160,"reward_credited")</f>
        <v>1</v>
      </c>
      <c r="T57" s="6" t="n">
        <f aca="false">COUNTIFS(Data_RewardEvents!$B$2:$B$160,A57,Data_RewardEvents!$D$2:$D$160,"reward_reversed")</f>
        <v>0</v>
      </c>
      <c r="U57" s="6" t="n">
        <f aca="false">COUNTIFS(Data_RewardEvents!$B$2:$B$160,A57,Data_RewardEvents!$D$2:$D$160,"reward_corrected")</f>
        <v>0</v>
      </c>
      <c r="V57" s="6" t="n">
        <f aca="false">SUMIFS(Data_RewardEvents!$F$2:$F$160,Data_RewardEvents!$B$2:$B$160,A57,Data_RewardEvents!$D$2:$D$160,"reward_credited")+SUMIFS(Data_RewardEvents!$F$2:$F$160,Data_RewardEvents!$B$2:$B$160,A57,Data_RewardEvents!$D$2:$D$160,"reward_reversed")+SUMIFS(Data_RewardEvents!$F$2:$F$160,Data_RewardEvents!$B$2:$B$160,A57,Data_RewardEvents!$D$2:$D$160,"reward_corrected")</f>
        <v>10</v>
      </c>
      <c r="W57" s="16" t="n">
        <f aca="false">IF(S57&gt;0,_xlfn.MINIFS(Data_RewardEvents!$E$2:$E$160,Data_RewardEvents!$B$2:$B$160,A57,Data_RewardEvents!$D$2:$D$160,"reward_credited"),"")</f>
        <v>46304.3898685202</v>
      </c>
      <c r="X57" s="17" t="n">
        <f aca="false">IF(W57="","",(W57-J57)*24)</f>
        <v>0.0680907934436111</v>
      </c>
      <c r="Y57" s="6" t="n">
        <f aca="false">IF(I57&lt;&gt;"",1,0)</f>
        <v>1</v>
      </c>
      <c r="Z57" s="6" t="n">
        <f aca="false">IF(K57="completed",1,0)</f>
        <v>1</v>
      </c>
      <c r="AA57" s="6" t="n">
        <f aca="false">IF(L57="validated",1,0)</f>
        <v>1</v>
      </c>
      <c r="AB57" s="6" t="n">
        <f aca="false">IF(S57&gt;0,1,0)</f>
        <v>1</v>
      </c>
    </row>
    <row r="58" customFormat="false" ht="15" hidden="false" customHeight="false" outlineLevel="0" collapsed="false">
      <c r="A58" s="6" t="s">
        <v>516</v>
      </c>
      <c r="B58" s="6" t="s">
        <v>381</v>
      </c>
      <c r="C58" s="6" t="s">
        <v>309</v>
      </c>
      <c r="D58" s="6" t="s">
        <v>517</v>
      </c>
      <c r="E58" s="6" t="s">
        <v>416</v>
      </c>
      <c r="F58" s="6" t="s">
        <v>158</v>
      </c>
      <c r="G58" s="6" t="s">
        <v>518</v>
      </c>
      <c r="H58" s="16" t="n">
        <v>46300.63125</v>
      </c>
      <c r="I58" s="16" t="n">
        <v>46300.6513888889</v>
      </c>
      <c r="J58" s="16" t="n">
        <v>46300.6554886243</v>
      </c>
      <c r="K58" s="6" t="s">
        <v>132</v>
      </c>
      <c r="L58" s="6" t="s">
        <v>137</v>
      </c>
      <c r="M58" s="6" t="n">
        <v>50</v>
      </c>
      <c r="N58" s="6" t="str">
        <f aca="false">README!$B$14</f>
        <v>points</v>
      </c>
      <c r="O58" s="6"/>
      <c r="P58" s="6"/>
      <c r="Q58" s="17" t="n">
        <f aca="false">IF(AND(I58&lt;&gt;"",J58&lt;&gt;""),(J58-I58)*1440,"")</f>
        <v>5.90361899811667</v>
      </c>
      <c r="R58" s="6" t="n">
        <f aca="false">COUNTIFS(Data_RewardEvents!$B$2:$B$160,A58,Data_RewardEvents!$D$2:$D$160,"reward_pending")</f>
        <v>1</v>
      </c>
      <c r="S58" s="6" t="n">
        <f aca="false">COUNTIFS(Data_RewardEvents!$B$2:$B$160,A58,Data_RewardEvents!$D$2:$D$160,"reward_credited")</f>
        <v>1</v>
      </c>
      <c r="T58" s="6" t="n">
        <f aca="false">COUNTIFS(Data_RewardEvents!$B$2:$B$160,A58,Data_RewardEvents!$D$2:$D$160,"reward_reversed")</f>
        <v>0</v>
      </c>
      <c r="U58" s="6" t="n">
        <f aca="false">COUNTIFS(Data_RewardEvents!$B$2:$B$160,A58,Data_RewardEvents!$D$2:$D$160,"reward_corrected")</f>
        <v>0</v>
      </c>
      <c r="V58" s="6" t="n">
        <f aca="false">SUMIFS(Data_RewardEvents!$F$2:$F$160,Data_RewardEvents!$B$2:$B$160,A58,Data_RewardEvents!$D$2:$D$160,"reward_credited")+SUMIFS(Data_RewardEvents!$F$2:$F$160,Data_RewardEvents!$B$2:$B$160,A58,Data_RewardEvents!$D$2:$D$160,"reward_reversed")+SUMIFS(Data_RewardEvents!$F$2:$F$160,Data_RewardEvents!$B$2:$B$160,A58,Data_RewardEvents!$D$2:$D$160,"reward_corrected")</f>
        <v>50</v>
      </c>
      <c r="W58" s="16" t="n">
        <f aca="false">IF(S58&gt;0,_xlfn.MINIFS(Data_RewardEvents!$E$2:$E$160,Data_RewardEvents!$B$2:$B$160,A58,Data_RewardEvents!$D$2:$D$160,"reward_credited"),"")</f>
        <v>46303.3043814109</v>
      </c>
      <c r="X58" s="17" t="n">
        <f aca="false">IF(W58="","",(W58-J58)*24)</f>
        <v>63.5734268793019</v>
      </c>
      <c r="Y58" s="6" t="n">
        <f aca="false">IF(I58&lt;&gt;"",1,0)</f>
        <v>1</v>
      </c>
      <c r="Z58" s="6" t="n">
        <f aca="false">IF(K58="completed",1,0)</f>
        <v>1</v>
      </c>
      <c r="AA58" s="6" t="n">
        <f aca="false">IF(L58="validated",1,0)</f>
        <v>1</v>
      </c>
      <c r="AB58" s="6" t="n">
        <f aca="false">IF(S58&gt;0,1,0)</f>
        <v>1</v>
      </c>
    </row>
    <row r="59" customFormat="false" ht="15" hidden="false" customHeight="false" outlineLevel="0" collapsed="false">
      <c r="A59" s="6" t="s">
        <v>519</v>
      </c>
      <c r="B59" s="6" t="s">
        <v>365</v>
      </c>
      <c r="C59" s="6" t="s">
        <v>323</v>
      </c>
      <c r="D59" s="6" t="s">
        <v>520</v>
      </c>
      <c r="E59" s="6" t="s">
        <v>367</v>
      </c>
      <c r="F59" s="6" t="s">
        <v>158</v>
      </c>
      <c r="G59" s="6" t="s">
        <v>521</v>
      </c>
      <c r="H59" s="16" t="n">
        <v>46287.25625</v>
      </c>
      <c r="I59" s="16" t="n">
        <v>46287.2638888889</v>
      </c>
      <c r="J59" s="16"/>
      <c r="K59" s="6" t="s">
        <v>419</v>
      </c>
      <c r="L59" s="6"/>
      <c r="M59" s="6" t="n">
        <v>30</v>
      </c>
      <c r="N59" s="6" t="str">
        <f aca="false">README!$B$14</f>
        <v>points</v>
      </c>
      <c r="O59" s="6" t="s">
        <v>204</v>
      </c>
      <c r="P59" s="6" t="s">
        <v>207</v>
      </c>
      <c r="Q59" s="17" t="str">
        <f aca="false">IF(AND(I59&lt;&gt;"",J59&lt;&gt;""),(J59-I59)*1440,"")</f>
        <v/>
      </c>
      <c r="R59" s="6" t="n">
        <f aca="false">COUNTIFS(Data_RewardEvents!$B$2:$B$160,A59,Data_RewardEvents!$D$2:$D$160,"reward_pending")</f>
        <v>0</v>
      </c>
      <c r="S59" s="6" t="n">
        <f aca="false">COUNTIFS(Data_RewardEvents!$B$2:$B$160,A59,Data_RewardEvents!$D$2:$D$160,"reward_credited")</f>
        <v>0</v>
      </c>
      <c r="T59" s="6" t="n">
        <f aca="false">COUNTIFS(Data_RewardEvents!$B$2:$B$160,A59,Data_RewardEvents!$D$2:$D$160,"reward_reversed")</f>
        <v>0</v>
      </c>
      <c r="U59" s="6" t="n">
        <f aca="false">COUNTIFS(Data_RewardEvents!$B$2:$B$160,A59,Data_RewardEvents!$D$2:$D$160,"reward_corrected")</f>
        <v>0</v>
      </c>
      <c r="V59" s="6" t="n">
        <f aca="false">SUMIFS(Data_RewardEvents!$F$2:$F$160,Data_RewardEvents!$B$2:$B$160,A59,Data_RewardEvents!$D$2:$D$160,"reward_credited")+SUMIFS(Data_RewardEvents!$F$2:$F$160,Data_RewardEvents!$B$2:$B$160,A59,Data_RewardEvents!$D$2:$D$160,"reward_reversed")+SUMIFS(Data_RewardEvents!$F$2:$F$160,Data_RewardEvents!$B$2:$B$160,A59,Data_RewardEvents!$D$2:$D$160,"reward_corrected")</f>
        <v>0</v>
      </c>
      <c r="W59" s="16" t="str">
        <f aca="false">IF(S59&gt;0,_xlfn.MINIFS(Data_RewardEvents!$E$2:$E$160,Data_RewardEvents!$B$2:$B$160,A59,Data_RewardEvents!$D$2:$D$160,"reward_credited"),"")</f>
        <v/>
      </c>
      <c r="X59" s="17" t="str">
        <f aca="false">IF(W59="","",(W59-J59)*24)</f>
        <v/>
      </c>
      <c r="Y59" s="6" t="n">
        <f aca="false">IF(I59&lt;&gt;"",1,0)</f>
        <v>1</v>
      </c>
      <c r="Z59" s="6" t="n">
        <f aca="false">IF(K59="completed",1,0)</f>
        <v>0</v>
      </c>
      <c r="AA59" s="6" t="n">
        <f aca="false">IF(L59="validated",1,0)</f>
        <v>0</v>
      </c>
      <c r="AB59" s="6" t="n">
        <f aca="false">IF(S59&gt;0,1,0)</f>
        <v>0</v>
      </c>
    </row>
    <row r="60" customFormat="false" ht="15" hidden="false" customHeight="false" outlineLevel="0" collapsed="false">
      <c r="A60" s="6" t="s">
        <v>522</v>
      </c>
      <c r="B60" s="6" t="s">
        <v>376</v>
      </c>
      <c r="C60" s="6" t="s">
        <v>302</v>
      </c>
      <c r="D60" s="6" t="s">
        <v>498</v>
      </c>
      <c r="E60" s="6" t="s">
        <v>378</v>
      </c>
      <c r="F60" s="6" t="s">
        <v>158</v>
      </c>
      <c r="G60" s="6" t="s">
        <v>523</v>
      </c>
      <c r="H60" s="16" t="n">
        <v>46289.3826388889</v>
      </c>
      <c r="I60" s="16" t="n">
        <v>46289.3833333333</v>
      </c>
      <c r="J60" s="16" t="n">
        <v>46289.3838469844</v>
      </c>
      <c r="K60" s="6" t="s">
        <v>132</v>
      </c>
      <c r="L60" s="6" t="s">
        <v>137</v>
      </c>
      <c r="M60" s="6" t="n">
        <v>5</v>
      </c>
      <c r="N60" s="6" t="str">
        <f aca="false">README!$B$14</f>
        <v>points</v>
      </c>
      <c r="O60" s="6"/>
      <c r="P60" s="6"/>
      <c r="Q60" s="17" t="n">
        <f aca="false">IF(AND(I60&lt;&gt;"",J60&lt;&gt;""),(J60-I60)*1440,"")</f>
        <v>0.73965757735</v>
      </c>
      <c r="R60" s="6" t="n">
        <f aca="false">COUNTIFS(Data_RewardEvents!$B$2:$B$160,A60,Data_RewardEvents!$D$2:$D$160,"reward_pending")</f>
        <v>0</v>
      </c>
      <c r="S60" s="6" t="n">
        <f aca="false">COUNTIFS(Data_RewardEvents!$B$2:$B$160,A60,Data_RewardEvents!$D$2:$D$160,"reward_credited")</f>
        <v>1</v>
      </c>
      <c r="T60" s="6" t="n">
        <f aca="false">COUNTIFS(Data_RewardEvents!$B$2:$B$160,A60,Data_RewardEvents!$D$2:$D$160,"reward_reversed")</f>
        <v>0</v>
      </c>
      <c r="U60" s="6" t="n">
        <f aca="false">COUNTIFS(Data_RewardEvents!$B$2:$B$160,A60,Data_RewardEvents!$D$2:$D$160,"reward_corrected")</f>
        <v>0</v>
      </c>
      <c r="V60" s="6" t="n">
        <f aca="false">SUMIFS(Data_RewardEvents!$F$2:$F$160,Data_RewardEvents!$B$2:$B$160,A60,Data_RewardEvents!$D$2:$D$160,"reward_credited")+SUMIFS(Data_RewardEvents!$F$2:$F$160,Data_RewardEvents!$B$2:$B$160,A60,Data_RewardEvents!$D$2:$D$160,"reward_reversed")+SUMIFS(Data_RewardEvents!$F$2:$F$160,Data_RewardEvents!$B$2:$B$160,A60,Data_RewardEvents!$D$2:$D$160,"reward_corrected")</f>
        <v>5</v>
      </c>
      <c r="W60" s="16" t="n">
        <f aca="false">IF(S60&gt;0,_xlfn.MINIFS(Data_RewardEvents!$E$2:$E$160,Data_RewardEvents!$B$2:$B$160,A60,Data_RewardEvents!$D$2:$D$160,"reward_credited"),"")</f>
        <v>46289.3890134819</v>
      </c>
      <c r="X60" s="17" t="n">
        <f aca="false">IF(W60="","",(W60-J60)*24)</f>
        <v>0.123995939560556</v>
      </c>
      <c r="Y60" s="6" t="n">
        <f aca="false">IF(I60&lt;&gt;"",1,0)</f>
        <v>1</v>
      </c>
      <c r="Z60" s="6" t="n">
        <f aca="false">IF(K60="completed",1,0)</f>
        <v>1</v>
      </c>
      <c r="AA60" s="6" t="n">
        <f aca="false">IF(L60="validated",1,0)</f>
        <v>1</v>
      </c>
      <c r="AB60" s="6" t="n">
        <f aca="false">IF(S60&gt;0,1,0)</f>
        <v>1</v>
      </c>
    </row>
    <row r="61" customFormat="false" ht="15" hidden="false" customHeight="false" outlineLevel="0" collapsed="false">
      <c r="A61" s="6" t="s">
        <v>524</v>
      </c>
      <c r="B61" s="6" t="s">
        <v>381</v>
      </c>
      <c r="C61" s="6" t="s">
        <v>309</v>
      </c>
      <c r="D61" s="6" t="s">
        <v>377</v>
      </c>
      <c r="E61" s="6" t="s">
        <v>416</v>
      </c>
      <c r="F61" s="6" t="s">
        <v>158</v>
      </c>
      <c r="G61" s="6" t="s">
        <v>525</v>
      </c>
      <c r="H61" s="16" t="n">
        <v>46291.9444444445</v>
      </c>
      <c r="I61" s="16" t="n">
        <v>46291.9631944444</v>
      </c>
      <c r="J61" s="16"/>
      <c r="K61" s="6" t="s">
        <v>448</v>
      </c>
      <c r="L61" s="6"/>
      <c r="M61" s="6" t="n">
        <v>50</v>
      </c>
      <c r="N61" s="6" t="str">
        <f aca="false">README!$B$14</f>
        <v>points</v>
      </c>
      <c r="O61" s="6" t="s">
        <v>210</v>
      </c>
      <c r="P61" s="6" t="s">
        <v>158</v>
      </c>
      <c r="Q61" s="17" t="str">
        <f aca="false">IF(AND(I61&lt;&gt;"",J61&lt;&gt;""),(J61-I61)*1440,"")</f>
        <v/>
      </c>
      <c r="R61" s="6" t="n">
        <f aca="false">COUNTIFS(Data_RewardEvents!$B$2:$B$160,A61,Data_RewardEvents!$D$2:$D$160,"reward_pending")</f>
        <v>0</v>
      </c>
      <c r="S61" s="6" t="n">
        <f aca="false">COUNTIFS(Data_RewardEvents!$B$2:$B$160,A61,Data_RewardEvents!$D$2:$D$160,"reward_credited")</f>
        <v>0</v>
      </c>
      <c r="T61" s="6" t="n">
        <f aca="false">COUNTIFS(Data_RewardEvents!$B$2:$B$160,A61,Data_RewardEvents!$D$2:$D$160,"reward_reversed")</f>
        <v>0</v>
      </c>
      <c r="U61" s="6" t="n">
        <f aca="false">COUNTIFS(Data_RewardEvents!$B$2:$B$160,A61,Data_RewardEvents!$D$2:$D$160,"reward_corrected")</f>
        <v>0</v>
      </c>
      <c r="V61" s="6" t="n">
        <f aca="false">SUMIFS(Data_RewardEvents!$F$2:$F$160,Data_RewardEvents!$B$2:$B$160,A61,Data_RewardEvents!$D$2:$D$160,"reward_credited")+SUMIFS(Data_RewardEvents!$F$2:$F$160,Data_RewardEvents!$B$2:$B$160,A61,Data_RewardEvents!$D$2:$D$160,"reward_reversed")+SUMIFS(Data_RewardEvents!$F$2:$F$160,Data_RewardEvents!$B$2:$B$160,A61,Data_RewardEvents!$D$2:$D$160,"reward_corrected")</f>
        <v>0</v>
      </c>
      <c r="W61" s="16" t="str">
        <f aca="false">IF(S61&gt;0,_xlfn.MINIFS(Data_RewardEvents!$E$2:$E$160,Data_RewardEvents!$B$2:$B$160,A61,Data_RewardEvents!$D$2:$D$160,"reward_credited"),"")</f>
        <v/>
      </c>
      <c r="X61" s="17" t="str">
        <f aca="false">IF(W61="","",(W61-J61)*24)</f>
        <v/>
      </c>
      <c r="Y61" s="6" t="n">
        <f aca="false">IF(I61&lt;&gt;"",1,0)</f>
        <v>1</v>
      </c>
      <c r="Z61" s="6" t="n">
        <f aca="false">IF(K61="completed",1,0)</f>
        <v>0</v>
      </c>
      <c r="AA61" s="6" t="n">
        <f aca="false">IF(L61="validated",1,0)</f>
        <v>0</v>
      </c>
      <c r="AB61" s="6" t="n">
        <f aca="false">IF(S61&gt;0,1,0)</f>
        <v>0</v>
      </c>
    </row>
    <row r="62" customFormat="false" ht="15" hidden="false" customHeight="false" outlineLevel="0" collapsed="false">
      <c r="A62" s="6" t="s">
        <v>526</v>
      </c>
      <c r="B62" s="6" t="s">
        <v>403</v>
      </c>
      <c r="C62" s="6" t="s">
        <v>404</v>
      </c>
      <c r="D62" s="6" t="s">
        <v>527</v>
      </c>
      <c r="E62" s="6" t="s">
        <v>98</v>
      </c>
      <c r="F62" s="6" t="s">
        <v>406</v>
      </c>
      <c r="G62" s="6"/>
      <c r="H62" s="16" t="n">
        <v>46296.0319444445</v>
      </c>
      <c r="I62" s="16" t="n">
        <v>46296.0402777778</v>
      </c>
      <c r="J62" s="16" t="n">
        <v>46296.042550923</v>
      </c>
      <c r="K62" s="6" t="s">
        <v>132</v>
      </c>
      <c r="L62" s="6" t="s">
        <v>137</v>
      </c>
      <c r="M62" s="6" t="n">
        <v>10</v>
      </c>
      <c r="N62" s="6" t="str">
        <f aca="false">README!$B$14</f>
        <v>points</v>
      </c>
      <c r="O62" s="6"/>
      <c r="P62" s="6"/>
      <c r="Q62" s="17" t="n">
        <f aca="false">IF(AND(I62&lt;&gt;"",J62&lt;&gt;""),(J62-I62)*1440,"")</f>
        <v>3.27332917833333</v>
      </c>
      <c r="R62" s="6" t="n">
        <f aca="false">COUNTIFS(Data_RewardEvents!$B$2:$B$160,A62,Data_RewardEvents!$D$2:$D$160,"reward_pending")</f>
        <v>0</v>
      </c>
      <c r="S62" s="6" t="n">
        <f aca="false">COUNTIFS(Data_RewardEvents!$B$2:$B$160,A62,Data_RewardEvents!$D$2:$D$160,"reward_credited")</f>
        <v>1</v>
      </c>
      <c r="T62" s="6" t="n">
        <f aca="false">COUNTIFS(Data_RewardEvents!$B$2:$B$160,A62,Data_RewardEvents!$D$2:$D$160,"reward_reversed")</f>
        <v>0</v>
      </c>
      <c r="U62" s="6" t="n">
        <f aca="false">COUNTIFS(Data_RewardEvents!$B$2:$B$160,A62,Data_RewardEvents!$D$2:$D$160,"reward_corrected")</f>
        <v>0</v>
      </c>
      <c r="V62" s="6" t="n">
        <f aca="false">SUMIFS(Data_RewardEvents!$F$2:$F$160,Data_RewardEvents!$B$2:$B$160,A62,Data_RewardEvents!$D$2:$D$160,"reward_credited")+SUMIFS(Data_RewardEvents!$F$2:$F$160,Data_RewardEvents!$B$2:$B$160,A62,Data_RewardEvents!$D$2:$D$160,"reward_reversed")+SUMIFS(Data_RewardEvents!$F$2:$F$160,Data_RewardEvents!$B$2:$B$160,A62,Data_RewardEvents!$D$2:$D$160,"reward_corrected")</f>
        <v>10</v>
      </c>
      <c r="W62" s="16" t="n">
        <f aca="false">IF(S62&gt;0,_xlfn.MINIFS(Data_RewardEvents!$E$2:$E$160,Data_RewardEvents!$B$2:$B$160,A62,Data_RewardEvents!$D$2:$D$160,"reward_credited"),"")</f>
        <v>46296.0449068607</v>
      </c>
      <c r="X62" s="17" t="n">
        <f aca="false">IF(W62="","",(W62-J62)*24)</f>
        <v>0.0565425037638889</v>
      </c>
      <c r="Y62" s="6" t="n">
        <f aca="false">IF(I62&lt;&gt;"",1,0)</f>
        <v>1</v>
      </c>
      <c r="Z62" s="6" t="n">
        <f aca="false">IF(K62="completed",1,0)</f>
        <v>1</v>
      </c>
      <c r="AA62" s="6" t="n">
        <f aca="false">IF(L62="validated",1,0)</f>
        <v>1</v>
      </c>
      <c r="AB62" s="6" t="n">
        <f aca="false">IF(S62&gt;0,1,0)</f>
        <v>1</v>
      </c>
    </row>
    <row r="63" customFormat="false" ht="15" hidden="false" customHeight="false" outlineLevel="0" collapsed="false">
      <c r="A63" s="6" t="s">
        <v>528</v>
      </c>
      <c r="B63" s="6" t="s">
        <v>403</v>
      </c>
      <c r="C63" s="6" t="s">
        <v>404</v>
      </c>
      <c r="D63" s="6" t="s">
        <v>412</v>
      </c>
      <c r="E63" s="6" t="s">
        <v>98</v>
      </c>
      <c r="F63" s="6" t="s">
        <v>406</v>
      </c>
      <c r="G63" s="6"/>
      <c r="H63" s="16" t="n">
        <v>46289.84375</v>
      </c>
      <c r="I63" s="16" t="n">
        <v>46289.8451388889</v>
      </c>
      <c r="J63" s="16" t="n">
        <v>46289.8468774928</v>
      </c>
      <c r="K63" s="6" t="s">
        <v>132</v>
      </c>
      <c r="L63" s="6" t="s">
        <v>137</v>
      </c>
      <c r="M63" s="6" t="n">
        <v>10</v>
      </c>
      <c r="N63" s="6" t="str">
        <f aca="false">README!$B$14</f>
        <v>points</v>
      </c>
      <c r="O63" s="6"/>
      <c r="P63" s="6"/>
      <c r="Q63" s="17" t="n">
        <f aca="false">IF(AND(I63&lt;&gt;"",J63&lt;&gt;""),(J63-I63)*1440,"")</f>
        <v>2.503589642</v>
      </c>
      <c r="R63" s="6" t="n">
        <f aca="false">COUNTIFS(Data_RewardEvents!$B$2:$B$160,A63,Data_RewardEvents!$D$2:$D$160,"reward_pending")</f>
        <v>0</v>
      </c>
      <c r="S63" s="6" t="n">
        <f aca="false">COUNTIFS(Data_RewardEvents!$B$2:$B$160,A63,Data_RewardEvents!$D$2:$D$160,"reward_credited")</f>
        <v>1</v>
      </c>
      <c r="T63" s="6" t="n">
        <f aca="false">COUNTIFS(Data_RewardEvents!$B$2:$B$160,A63,Data_RewardEvents!$D$2:$D$160,"reward_reversed")</f>
        <v>0</v>
      </c>
      <c r="U63" s="6" t="n">
        <f aca="false">COUNTIFS(Data_RewardEvents!$B$2:$B$160,A63,Data_RewardEvents!$D$2:$D$160,"reward_corrected")</f>
        <v>0</v>
      </c>
      <c r="V63" s="6" t="n">
        <f aca="false">SUMIFS(Data_RewardEvents!$F$2:$F$160,Data_RewardEvents!$B$2:$B$160,A63,Data_RewardEvents!$D$2:$D$160,"reward_credited")+SUMIFS(Data_RewardEvents!$F$2:$F$160,Data_RewardEvents!$B$2:$B$160,A63,Data_RewardEvents!$D$2:$D$160,"reward_reversed")+SUMIFS(Data_RewardEvents!$F$2:$F$160,Data_RewardEvents!$B$2:$B$160,A63,Data_RewardEvents!$D$2:$D$160,"reward_corrected")</f>
        <v>10</v>
      </c>
      <c r="W63" s="16" t="n">
        <f aca="false">IF(S63&gt;0,_xlfn.MINIFS(Data_RewardEvents!$E$2:$E$160,Data_RewardEvents!$B$2:$B$160,A63,Data_RewardEvents!$D$2:$D$160,"reward_credited"),"")</f>
        <v>46289.8516633545</v>
      </c>
      <c r="X63" s="17" t="n">
        <f aca="false">IF(W63="","",(W63-J63)*24)</f>
        <v>0.114860681409444</v>
      </c>
      <c r="Y63" s="6" t="n">
        <f aca="false">IF(I63&lt;&gt;"",1,0)</f>
        <v>1</v>
      </c>
      <c r="Z63" s="6" t="n">
        <f aca="false">IF(K63="completed",1,0)</f>
        <v>1</v>
      </c>
      <c r="AA63" s="6" t="n">
        <f aca="false">IF(L63="validated",1,0)</f>
        <v>1</v>
      </c>
      <c r="AB63" s="6" t="n">
        <f aca="false">IF(S63&gt;0,1,0)</f>
        <v>1</v>
      </c>
    </row>
    <row r="64" customFormat="false" ht="15" hidden="false" customHeight="false" outlineLevel="0" collapsed="false">
      <c r="A64" s="6" t="s">
        <v>529</v>
      </c>
      <c r="B64" s="6" t="s">
        <v>370</v>
      </c>
      <c r="C64" s="6" t="s">
        <v>316</v>
      </c>
      <c r="D64" s="6" t="s">
        <v>502</v>
      </c>
      <c r="E64" s="6" t="s">
        <v>372</v>
      </c>
      <c r="F64" s="6" t="s">
        <v>158</v>
      </c>
      <c r="G64" s="6" t="s">
        <v>530</v>
      </c>
      <c r="H64" s="16" t="n">
        <v>46292.8034722222</v>
      </c>
      <c r="I64" s="16" t="n">
        <v>46292.8104166667</v>
      </c>
      <c r="J64" s="16"/>
      <c r="K64" s="6" t="s">
        <v>448</v>
      </c>
      <c r="L64" s="6"/>
      <c r="M64" s="6" t="n">
        <v>100</v>
      </c>
      <c r="N64" s="6" t="str">
        <f aca="false">README!$B$14</f>
        <v>points</v>
      </c>
      <c r="O64" s="6" t="s">
        <v>210</v>
      </c>
      <c r="P64" s="6" t="s">
        <v>158</v>
      </c>
      <c r="Q64" s="17" t="str">
        <f aca="false">IF(AND(I64&lt;&gt;"",J64&lt;&gt;""),(J64-I64)*1440,"")</f>
        <v/>
      </c>
      <c r="R64" s="6" t="n">
        <f aca="false">COUNTIFS(Data_RewardEvents!$B$2:$B$160,A64,Data_RewardEvents!$D$2:$D$160,"reward_pending")</f>
        <v>0</v>
      </c>
      <c r="S64" s="6" t="n">
        <f aca="false">COUNTIFS(Data_RewardEvents!$B$2:$B$160,A64,Data_RewardEvents!$D$2:$D$160,"reward_credited")</f>
        <v>0</v>
      </c>
      <c r="T64" s="6" t="n">
        <f aca="false">COUNTIFS(Data_RewardEvents!$B$2:$B$160,A64,Data_RewardEvents!$D$2:$D$160,"reward_reversed")</f>
        <v>0</v>
      </c>
      <c r="U64" s="6" t="n">
        <f aca="false">COUNTIFS(Data_RewardEvents!$B$2:$B$160,A64,Data_RewardEvents!$D$2:$D$160,"reward_corrected")</f>
        <v>0</v>
      </c>
      <c r="V64" s="6" t="n">
        <f aca="false">SUMIFS(Data_RewardEvents!$F$2:$F$160,Data_RewardEvents!$B$2:$B$160,A64,Data_RewardEvents!$D$2:$D$160,"reward_credited")+SUMIFS(Data_RewardEvents!$F$2:$F$160,Data_RewardEvents!$B$2:$B$160,A64,Data_RewardEvents!$D$2:$D$160,"reward_reversed")+SUMIFS(Data_RewardEvents!$F$2:$F$160,Data_RewardEvents!$B$2:$B$160,A64,Data_RewardEvents!$D$2:$D$160,"reward_corrected")</f>
        <v>0</v>
      </c>
      <c r="W64" s="16" t="str">
        <f aca="false">IF(S64&gt;0,_xlfn.MINIFS(Data_RewardEvents!$E$2:$E$160,Data_RewardEvents!$B$2:$B$160,A64,Data_RewardEvents!$D$2:$D$160,"reward_credited"),"")</f>
        <v/>
      </c>
      <c r="X64" s="17" t="str">
        <f aca="false">IF(W64="","",(W64-J64)*24)</f>
        <v/>
      </c>
      <c r="Y64" s="6" t="n">
        <f aca="false">IF(I64&lt;&gt;"",1,0)</f>
        <v>1</v>
      </c>
      <c r="Z64" s="6" t="n">
        <f aca="false">IF(K64="completed",1,0)</f>
        <v>0</v>
      </c>
      <c r="AA64" s="6" t="n">
        <f aca="false">IF(L64="validated",1,0)</f>
        <v>0</v>
      </c>
      <c r="AB64" s="6" t="n">
        <f aca="false">IF(S64&gt;0,1,0)</f>
        <v>0</v>
      </c>
    </row>
    <row r="65" customFormat="false" ht="15" hidden="false" customHeight="false" outlineLevel="0" collapsed="false">
      <c r="A65" s="6" t="s">
        <v>531</v>
      </c>
      <c r="B65" s="6" t="s">
        <v>376</v>
      </c>
      <c r="C65" s="6" t="s">
        <v>302</v>
      </c>
      <c r="D65" s="6" t="s">
        <v>532</v>
      </c>
      <c r="E65" s="6" t="s">
        <v>378</v>
      </c>
      <c r="F65" s="6" t="s">
        <v>158</v>
      </c>
      <c r="G65" s="6" t="s">
        <v>533</v>
      </c>
      <c r="H65" s="16" t="n">
        <v>46297.2319444444</v>
      </c>
      <c r="I65" s="16" t="n">
        <v>46297.2451388889</v>
      </c>
      <c r="J65" s="16" t="n">
        <v>46297.2458157191</v>
      </c>
      <c r="K65" s="6" t="s">
        <v>132</v>
      </c>
      <c r="L65" s="6" t="s">
        <v>137</v>
      </c>
      <c r="M65" s="6" t="n">
        <v>5</v>
      </c>
      <c r="N65" s="6" t="str">
        <f aca="false">README!$B$14</f>
        <v>points</v>
      </c>
      <c r="O65" s="6"/>
      <c r="P65" s="6"/>
      <c r="Q65" s="17" t="n">
        <f aca="false">IF(AND(I65&lt;&gt;"",J65&lt;&gt;""),(J65-I65)*1440,"")</f>
        <v>0.974635473683333</v>
      </c>
      <c r="R65" s="6" t="n">
        <f aca="false">COUNTIFS(Data_RewardEvents!$B$2:$B$160,A65,Data_RewardEvents!$D$2:$D$160,"reward_pending")</f>
        <v>0</v>
      </c>
      <c r="S65" s="6" t="n">
        <f aca="false">COUNTIFS(Data_RewardEvents!$B$2:$B$160,A65,Data_RewardEvents!$D$2:$D$160,"reward_credited")</f>
        <v>1</v>
      </c>
      <c r="T65" s="6" t="n">
        <f aca="false">COUNTIFS(Data_RewardEvents!$B$2:$B$160,A65,Data_RewardEvents!$D$2:$D$160,"reward_reversed")</f>
        <v>0</v>
      </c>
      <c r="U65" s="6" t="n">
        <f aca="false">COUNTIFS(Data_RewardEvents!$B$2:$B$160,A65,Data_RewardEvents!$D$2:$D$160,"reward_corrected")</f>
        <v>0</v>
      </c>
      <c r="V65" s="6" t="n">
        <f aca="false">SUMIFS(Data_RewardEvents!$F$2:$F$160,Data_RewardEvents!$B$2:$B$160,A65,Data_RewardEvents!$D$2:$D$160,"reward_credited")+SUMIFS(Data_RewardEvents!$F$2:$F$160,Data_RewardEvents!$B$2:$B$160,A65,Data_RewardEvents!$D$2:$D$160,"reward_reversed")+SUMIFS(Data_RewardEvents!$F$2:$F$160,Data_RewardEvents!$B$2:$B$160,A65,Data_RewardEvents!$D$2:$D$160,"reward_corrected")</f>
        <v>5</v>
      </c>
      <c r="W65" s="16" t="n">
        <f aca="false">IF(S65&gt;0,_xlfn.MINIFS(Data_RewardEvents!$E$2:$E$160,Data_RewardEvents!$B$2:$B$160,A65,Data_RewardEvents!$D$2:$D$160,"reward_credited"),"")</f>
        <v>46297.2477411571</v>
      </c>
      <c r="X65" s="17" t="n">
        <f aca="false">IF(W65="","",(W65-J65)*24)</f>
        <v>0.0462105115291667</v>
      </c>
      <c r="Y65" s="6" t="n">
        <f aca="false">IF(I65&lt;&gt;"",1,0)</f>
        <v>1</v>
      </c>
      <c r="Z65" s="6" t="n">
        <f aca="false">IF(K65="completed",1,0)</f>
        <v>1</v>
      </c>
      <c r="AA65" s="6" t="n">
        <f aca="false">IF(L65="validated",1,0)</f>
        <v>1</v>
      </c>
      <c r="AB65" s="6" t="n">
        <f aca="false">IF(S65&gt;0,1,0)</f>
        <v>1</v>
      </c>
    </row>
    <row r="66" customFormat="false" ht="15" hidden="false" customHeight="false" outlineLevel="0" collapsed="false">
      <c r="A66" s="6" t="s">
        <v>534</v>
      </c>
      <c r="B66" s="6" t="s">
        <v>376</v>
      </c>
      <c r="C66" s="6" t="s">
        <v>302</v>
      </c>
      <c r="D66" s="6" t="s">
        <v>415</v>
      </c>
      <c r="E66" s="6" t="s">
        <v>378</v>
      </c>
      <c r="F66" s="6" t="s">
        <v>158</v>
      </c>
      <c r="G66" s="6" t="s">
        <v>535</v>
      </c>
      <c r="H66" s="16" t="n">
        <v>46296.1194444444</v>
      </c>
      <c r="I66" s="16" t="n">
        <v>46296.1277777778</v>
      </c>
      <c r="J66" s="16" t="n">
        <v>46296.1285518555</v>
      </c>
      <c r="K66" s="6" t="s">
        <v>132</v>
      </c>
      <c r="L66" s="6" t="s">
        <v>137</v>
      </c>
      <c r="M66" s="6" t="n">
        <v>5</v>
      </c>
      <c r="N66" s="6" t="str">
        <f aca="false">README!$B$14</f>
        <v>points</v>
      </c>
      <c r="O66" s="6"/>
      <c r="P66" s="6"/>
      <c r="Q66" s="17" t="n">
        <f aca="false">IF(AND(I66&lt;&gt;"",J66&lt;&gt;""),(J66-I66)*1440,"")</f>
        <v>1.11467187758333</v>
      </c>
      <c r="R66" s="6" t="n">
        <f aca="false">COUNTIFS(Data_RewardEvents!$B$2:$B$160,A66,Data_RewardEvents!$D$2:$D$160,"reward_pending")</f>
        <v>0</v>
      </c>
      <c r="S66" s="6" t="n">
        <f aca="false">COUNTIFS(Data_RewardEvents!$B$2:$B$160,A66,Data_RewardEvents!$D$2:$D$160,"reward_credited")</f>
        <v>1</v>
      </c>
      <c r="T66" s="6" t="n">
        <f aca="false">COUNTIFS(Data_RewardEvents!$B$2:$B$160,A66,Data_RewardEvents!$D$2:$D$160,"reward_reversed")</f>
        <v>0</v>
      </c>
      <c r="U66" s="6" t="n">
        <f aca="false">COUNTIFS(Data_RewardEvents!$B$2:$B$160,A66,Data_RewardEvents!$D$2:$D$160,"reward_corrected")</f>
        <v>0</v>
      </c>
      <c r="V66" s="6" t="n">
        <f aca="false">SUMIFS(Data_RewardEvents!$F$2:$F$160,Data_RewardEvents!$B$2:$B$160,A66,Data_RewardEvents!$D$2:$D$160,"reward_credited")+SUMIFS(Data_RewardEvents!$F$2:$F$160,Data_RewardEvents!$B$2:$B$160,A66,Data_RewardEvents!$D$2:$D$160,"reward_reversed")+SUMIFS(Data_RewardEvents!$F$2:$F$160,Data_RewardEvents!$B$2:$B$160,A66,Data_RewardEvents!$D$2:$D$160,"reward_corrected")</f>
        <v>5</v>
      </c>
      <c r="W66" s="16" t="n">
        <f aca="false">IF(S66&gt;0,_xlfn.MINIFS(Data_RewardEvents!$E$2:$E$160,Data_RewardEvents!$B$2:$B$160,A66,Data_RewardEvents!$D$2:$D$160,"reward_credited"),"")</f>
        <v>46296.1319805269</v>
      </c>
      <c r="X66" s="17" t="n">
        <f aca="false">IF(W66="","",(W66-J66)*24)</f>
        <v>0.0822881139463889</v>
      </c>
      <c r="Y66" s="6" t="n">
        <f aca="false">IF(I66&lt;&gt;"",1,0)</f>
        <v>1</v>
      </c>
      <c r="Z66" s="6" t="n">
        <f aca="false">IF(K66="completed",1,0)</f>
        <v>1</v>
      </c>
      <c r="AA66" s="6" t="n">
        <f aca="false">IF(L66="validated",1,0)</f>
        <v>1</v>
      </c>
      <c r="AB66" s="6" t="n">
        <f aca="false">IF(S66&gt;0,1,0)</f>
        <v>1</v>
      </c>
    </row>
    <row r="67" customFormat="false" ht="15" hidden="false" customHeight="false" outlineLevel="0" collapsed="false">
      <c r="A67" s="6" t="s">
        <v>536</v>
      </c>
      <c r="B67" s="6" t="s">
        <v>403</v>
      </c>
      <c r="C67" s="6" t="s">
        <v>404</v>
      </c>
      <c r="D67" s="6" t="s">
        <v>447</v>
      </c>
      <c r="E67" s="6" t="s">
        <v>98</v>
      </c>
      <c r="F67" s="6" t="s">
        <v>406</v>
      </c>
      <c r="G67" s="6"/>
      <c r="H67" s="16" t="n">
        <v>46286.1493055556</v>
      </c>
      <c r="I67" s="16" t="n">
        <v>46286.1618055556</v>
      </c>
      <c r="J67" s="16" t="n">
        <v>46286.1639791632</v>
      </c>
      <c r="K67" s="6" t="s">
        <v>132</v>
      </c>
      <c r="L67" s="6" t="s">
        <v>137</v>
      </c>
      <c r="M67" s="6" t="n">
        <v>10</v>
      </c>
      <c r="N67" s="6" t="str">
        <f aca="false">README!$B$14</f>
        <v>points</v>
      </c>
      <c r="O67" s="6"/>
      <c r="P67" s="6"/>
      <c r="Q67" s="17" t="n">
        <f aca="false">IF(AND(I67&lt;&gt;"",J67&lt;&gt;""),(J67-I67)*1440,"")</f>
        <v>3.12999506131667</v>
      </c>
      <c r="R67" s="6" t="n">
        <f aca="false">COUNTIFS(Data_RewardEvents!$B$2:$B$160,A67,Data_RewardEvents!$D$2:$D$160,"reward_pending")</f>
        <v>0</v>
      </c>
      <c r="S67" s="6" t="n">
        <f aca="false">COUNTIFS(Data_RewardEvents!$B$2:$B$160,A67,Data_RewardEvents!$D$2:$D$160,"reward_credited")</f>
        <v>1</v>
      </c>
      <c r="T67" s="6" t="n">
        <f aca="false">COUNTIFS(Data_RewardEvents!$B$2:$B$160,A67,Data_RewardEvents!$D$2:$D$160,"reward_reversed")</f>
        <v>0</v>
      </c>
      <c r="U67" s="6" t="n">
        <f aca="false">COUNTIFS(Data_RewardEvents!$B$2:$B$160,A67,Data_RewardEvents!$D$2:$D$160,"reward_corrected")</f>
        <v>0</v>
      </c>
      <c r="V67" s="6" t="n">
        <f aca="false">SUMIFS(Data_RewardEvents!$F$2:$F$160,Data_RewardEvents!$B$2:$B$160,A67,Data_RewardEvents!$D$2:$D$160,"reward_credited")+SUMIFS(Data_RewardEvents!$F$2:$F$160,Data_RewardEvents!$B$2:$B$160,A67,Data_RewardEvents!$D$2:$D$160,"reward_reversed")+SUMIFS(Data_RewardEvents!$F$2:$F$160,Data_RewardEvents!$B$2:$B$160,A67,Data_RewardEvents!$D$2:$D$160,"reward_corrected")</f>
        <v>10</v>
      </c>
      <c r="W67" s="16" t="n">
        <f aca="false">IF(S67&gt;0,_xlfn.MINIFS(Data_RewardEvents!$E$2:$E$160,Data_RewardEvents!$B$2:$B$160,A67,Data_RewardEvents!$D$2:$D$160,"reward_credited"),"")</f>
        <v>46286.1658052606</v>
      </c>
      <c r="X67" s="17" t="n">
        <f aca="false">IF(W67="","",(W67-J67)*24)</f>
        <v>0.0438263360991667</v>
      </c>
      <c r="Y67" s="6" t="n">
        <f aca="false">IF(I67&lt;&gt;"",1,0)</f>
        <v>1</v>
      </c>
      <c r="Z67" s="6" t="n">
        <f aca="false">IF(K67="completed",1,0)</f>
        <v>1</v>
      </c>
      <c r="AA67" s="6" t="n">
        <f aca="false">IF(L67="validated",1,0)</f>
        <v>1</v>
      </c>
      <c r="AB67" s="6" t="n">
        <f aca="false">IF(S67&gt;0,1,0)</f>
        <v>1</v>
      </c>
    </row>
    <row r="68" customFormat="false" ht="15" hidden="false" customHeight="false" outlineLevel="0" collapsed="false">
      <c r="A68" s="6" t="s">
        <v>537</v>
      </c>
      <c r="B68" s="6" t="s">
        <v>403</v>
      </c>
      <c r="C68" s="6" t="s">
        <v>404</v>
      </c>
      <c r="D68" s="6" t="s">
        <v>447</v>
      </c>
      <c r="E68" s="6" t="s">
        <v>98</v>
      </c>
      <c r="F68" s="6" t="s">
        <v>406</v>
      </c>
      <c r="G68" s="6"/>
      <c r="H68" s="16" t="n">
        <v>46289.7784722222</v>
      </c>
      <c r="I68" s="16" t="n">
        <v>46289.7861111111</v>
      </c>
      <c r="J68" s="16" t="n">
        <v>46289.7876219866</v>
      </c>
      <c r="K68" s="6" t="s">
        <v>132</v>
      </c>
      <c r="L68" s="6" t="s">
        <v>137</v>
      </c>
      <c r="M68" s="6" t="n">
        <v>10</v>
      </c>
      <c r="N68" s="6" t="str">
        <f aca="false">README!$B$14</f>
        <v>points</v>
      </c>
      <c r="O68" s="6"/>
      <c r="P68" s="6"/>
      <c r="Q68" s="17" t="n">
        <f aca="false">IF(AND(I68&lt;&gt;"",J68&lt;&gt;""),(J68-I68)*1440,"")</f>
        <v>2.17566071426667</v>
      </c>
      <c r="R68" s="6" t="n">
        <f aca="false">COUNTIFS(Data_RewardEvents!$B$2:$B$160,A68,Data_RewardEvents!$D$2:$D$160,"reward_pending")</f>
        <v>0</v>
      </c>
      <c r="S68" s="6" t="n">
        <f aca="false">COUNTIFS(Data_RewardEvents!$B$2:$B$160,A68,Data_RewardEvents!$D$2:$D$160,"reward_credited")</f>
        <v>1</v>
      </c>
      <c r="T68" s="6" t="n">
        <f aca="false">COUNTIFS(Data_RewardEvents!$B$2:$B$160,A68,Data_RewardEvents!$D$2:$D$160,"reward_reversed")</f>
        <v>0</v>
      </c>
      <c r="U68" s="6" t="n">
        <f aca="false">COUNTIFS(Data_RewardEvents!$B$2:$B$160,A68,Data_RewardEvents!$D$2:$D$160,"reward_corrected")</f>
        <v>0</v>
      </c>
      <c r="V68" s="6" t="n">
        <f aca="false">SUMIFS(Data_RewardEvents!$F$2:$F$160,Data_RewardEvents!$B$2:$B$160,A68,Data_RewardEvents!$D$2:$D$160,"reward_credited")+SUMIFS(Data_RewardEvents!$F$2:$F$160,Data_RewardEvents!$B$2:$B$160,A68,Data_RewardEvents!$D$2:$D$160,"reward_reversed")+SUMIFS(Data_RewardEvents!$F$2:$F$160,Data_RewardEvents!$B$2:$B$160,A68,Data_RewardEvents!$D$2:$D$160,"reward_corrected")</f>
        <v>10</v>
      </c>
      <c r="W68" s="16" t="n">
        <f aca="false">IF(S68&gt;0,_xlfn.MINIFS(Data_RewardEvents!$E$2:$E$160,Data_RewardEvents!$B$2:$B$160,A68,Data_RewardEvents!$D$2:$D$160,"reward_credited"),"")</f>
        <v>46289.7885549092</v>
      </c>
      <c r="X68" s="17" t="n">
        <f aca="false">IF(W68="","",(W68-J68)*24)</f>
        <v>0.0223901410352778</v>
      </c>
      <c r="Y68" s="6" t="n">
        <f aca="false">IF(I68&lt;&gt;"",1,0)</f>
        <v>1</v>
      </c>
      <c r="Z68" s="6" t="n">
        <f aca="false">IF(K68="completed",1,0)</f>
        <v>1</v>
      </c>
      <c r="AA68" s="6" t="n">
        <f aca="false">IF(L68="validated",1,0)</f>
        <v>1</v>
      </c>
      <c r="AB68" s="6" t="n">
        <f aca="false">IF(S68&gt;0,1,0)</f>
        <v>1</v>
      </c>
    </row>
    <row r="69" customFormat="false" ht="15" hidden="false" customHeight="false" outlineLevel="0" collapsed="false">
      <c r="A69" s="6" t="s">
        <v>538</v>
      </c>
      <c r="B69" s="6" t="s">
        <v>365</v>
      </c>
      <c r="C69" s="6" t="s">
        <v>323</v>
      </c>
      <c r="D69" s="6" t="s">
        <v>415</v>
      </c>
      <c r="E69" s="6" t="s">
        <v>444</v>
      </c>
      <c r="F69" s="6" t="s">
        <v>158</v>
      </c>
      <c r="G69" s="6" t="s">
        <v>539</v>
      </c>
      <c r="H69" s="16" t="n">
        <v>46289.2958333333</v>
      </c>
      <c r="I69" s="16" t="n">
        <v>46289.3055555556</v>
      </c>
      <c r="J69" s="16"/>
      <c r="K69" s="6" t="s">
        <v>448</v>
      </c>
      <c r="L69" s="6"/>
      <c r="M69" s="6" t="n">
        <v>30</v>
      </c>
      <c r="N69" s="6" t="str">
        <f aca="false">README!$B$14</f>
        <v>points</v>
      </c>
      <c r="O69" s="6" t="s">
        <v>167</v>
      </c>
      <c r="P69" s="6" t="s">
        <v>158</v>
      </c>
      <c r="Q69" s="17" t="str">
        <f aca="false">IF(AND(I69&lt;&gt;"",J69&lt;&gt;""),(J69-I69)*1440,"")</f>
        <v/>
      </c>
      <c r="R69" s="6" t="n">
        <f aca="false">COUNTIFS(Data_RewardEvents!$B$2:$B$160,A69,Data_RewardEvents!$D$2:$D$160,"reward_pending")</f>
        <v>0</v>
      </c>
      <c r="S69" s="6" t="n">
        <f aca="false">COUNTIFS(Data_RewardEvents!$B$2:$B$160,A69,Data_RewardEvents!$D$2:$D$160,"reward_credited")</f>
        <v>0</v>
      </c>
      <c r="T69" s="6" t="n">
        <f aca="false">COUNTIFS(Data_RewardEvents!$B$2:$B$160,A69,Data_RewardEvents!$D$2:$D$160,"reward_reversed")</f>
        <v>0</v>
      </c>
      <c r="U69" s="6" t="n">
        <f aca="false">COUNTIFS(Data_RewardEvents!$B$2:$B$160,A69,Data_RewardEvents!$D$2:$D$160,"reward_corrected")</f>
        <v>0</v>
      </c>
      <c r="V69" s="6" t="n">
        <f aca="false">SUMIFS(Data_RewardEvents!$F$2:$F$160,Data_RewardEvents!$B$2:$B$160,A69,Data_RewardEvents!$D$2:$D$160,"reward_credited")+SUMIFS(Data_RewardEvents!$F$2:$F$160,Data_RewardEvents!$B$2:$B$160,A69,Data_RewardEvents!$D$2:$D$160,"reward_reversed")+SUMIFS(Data_RewardEvents!$F$2:$F$160,Data_RewardEvents!$B$2:$B$160,A69,Data_RewardEvents!$D$2:$D$160,"reward_corrected")</f>
        <v>0</v>
      </c>
      <c r="W69" s="16" t="str">
        <f aca="false">IF(S69&gt;0,_xlfn.MINIFS(Data_RewardEvents!$E$2:$E$160,Data_RewardEvents!$B$2:$B$160,A69,Data_RewardEvents!$D$2:$D$160,"reward_credited"),"")</f>
        <v/>
      </c>
      <c r="X69" s="17" t="str">
        <f aca="false">IF(W69="","",(W69-J69)*24)</f>
        <v/>
      </c>
      <c r="Y69" s="6" t="n">
        <f aca="false">IF(I69&lt;&gt;"",1,0)</f>
        <v>1</v>
      </c>
      <c r="Z69" s="6" t="n">
        <f aca="false">IF(K69="completed",1,0)</f>
        <v>0</v>
      </c>
      <c r="AA69" s="6" t="n">
        <f aca="false">IF(L69="validated",1,0)</f>
        <v>0</v>
      </c>
      <c r="AB69" s="6" t="n">
        <f aca="false">IF(S69&gt;0,1,0)</f>
        <v>0</v>
      </c>
    </row>
    <row r="70" customFormat="false" ht="15" hidden="false" customHeight="false" outlineLevel="0" collapsed="false">
      <c r="A70" s="6" t="s">
        <v>540</v>
      </c>
      <c r="B70" s="6" t="s">
        <v>370</v>
      </c>
      <c r="C70" s="6" t="s">
        <v>316</v>
      </c>
      <c r="D70" s="6" t="s">
        <v>466</v>
      </c>
      <c r="E70" s="6" t="s">
        <v>391</v>
      </c>
      <c r="F70" s="6" t="s">
        <v>158</v>
      </c>
      <c r="G70" s="6" t="s">
        <v>541</v>
      </c>
      <c r="H70" s="16" t="n">
        <v>46286.6027777778</v>
      </c>
      <c r="I70" s="16"/>
      <c r="J70" s="16"/>
      <c r="K70" s="6" t="s">
        <v>374</v>
      </c>
      <c r="L70" s="6"/>
      <c r="M70" s="6" t="n">
        <v>100</v>
      </c>
      <c r="N70" s="6" t="str">
        <f aca="false">README!$B$14</f>
        <v>points</v>
      </c>
      <c r="O70" s="6"/>
      <c r="P70" s="6"/>
      <c r="Q70" s="17" t="str">
        <f aca="false">IF(AND(I70&lt;&gt;"",J70&lt;&gt;""),(J70-I70)*1440,"")</f>
        <v/>
      </c>
      <c r="R70" s="6" t="n">
        <f aca="false">COUNTIFS(Data_RewardEvents!$B$2:$B$160,A70,Data_RewardEvents!$D$2:$D$160,"reward_pending")</f>
        <v>0</v>
      </c>
      <c r="S70" s="6" t="n">
        <f aca="false">COUNTIFS(Data_RewardEvents!$B$2:$B$160,A70,Data_RewardEvents!$D$2:$D$160,"reward_credited")</f>
        <v>0</v>
      </c>
      <c r="T70" s="6" t="n">
        <f aca="false">COUNTIFS(Data_RewardEvents!$B$2:$B$160,A70,Data_RewardEvents!$D$2:$D$160,"reward_reversed")</f>
        <v>0</v>
      </c>
      <c r="U70" s="6" t="n">
        <f aca="false">COUNTIFS(Data_RewardEvents!$B$2:$B$160,A70,Data_RewardEvents!$D$2:$D$160,"reward_corrected")</f>
        <v>0</v>
      </c>
      <c r="V70" s="6" t="n">
        <f aca="false">SUMIFS(Data_RewardEvents!$F$2:$F$160,Data_RewardEvents!$B$2:$B$160,A70,Data_RewardEvents!$D$2:$D$160,"reward_credited")+SUMIFS(Data_RewardEvents!$F$2:$F$160,Data_RewardEvents!$B$2:$B$160,A70,Data_RewardEvents!$D$2:$D$160,"reward_reversed")+SUMIFS(Data_RewardEvents!$F$2:$F$160,Data_RewardEvents!$B$2:$B$160,A70,Data_RewardEvents!$D$2:$D$160,"reward_corrected")</f>
        <v>0</v>
      </c>
      <c r="W70" s="16" t="str">
        <f aca="false">IF(S70&gt;0,_xlfn.MINIFS(Data_RewardEvents!$E$2:$E$160,Data_RewardEvents!$B$2:$B$160,A70,Data_RewardEvents!$D$2:$D$160,"reward_credited"),"")</f>
        <v/>
      </c>
      <c r="X70" s="17" t="str">
        <f aca="false">IF(W70="","",(W70-J70)*24)</f>
        <v/>
      </c>
      <c r="Y70" s="6" t="n">
        <f aca="false">IF(I70&lt;&gt;"",1,0)</f>
        <v>0</v>
      </c>
      <c r="Z70" s="6" t="n">
        <f aca="false">IF(K70="completed",1,0)</f>
        <v>0</v>
      </c>
      <c r="AA70" s="6" t="n">
        <f aca="false">IF(L70="validated",1,0)</f>
        <v>0</v>
      </c>
      <c r="AB70" s="6" t="n">
        <f aca="false">IF(S70&gt;0,1,0)</f>
        <v>0</v>
      </c>
    </row>
    <row r="71" customFormat="false" ht="15" hidden="false" customHeight="false" outlineLevel="0" collapsed="false">
      <c r="A71" s="6" t="s">
        <v>542</v>
      </c>
      <c r="B71" s="6" t="s">
        <v>403</v>
      </c>
      <c r="C71" s="6" t="s">
        <v>404</v>
      </c>
      <c r="D71" s="6" t="s">
        <v>405</v>
      </c>
      <c r="E71" s="6" t="s">
        <v>98</v>
      </c>
      <c r="F71" s="6" t="s">
        <v>406</v>
      </c>
      <c r="G71" s="6"/>
      <c r="H71" s="16" t="n">
        <v>46299.2833333333</v>
      </c>
      <c r="I71" s="16" t="n">
        <v>46299.2951388889</v>
      </c>
      <c r="J71" s="16" t="n">
        <v>46299.2975212785</v>
      </c>
      <c r="K71" s="6" t="s">
        <v>132</v>
      </c>
      <c r="L71" s="6" t="s">
        <v>137</v>
      </c>
      <c r="M71" s="6" t="n">
        <v>10</v>
      </c>
      <c r="N71" s="6" t="str">
        <f aca="false">README!$B$14</f>
        <v>points</v>
      </c>
      <c r="O71" s="6"/>
      <c r="P71" s="6"/>
      <c r="Q71" s="17" t="n">
        <f aca="false">IF(AND(I71&lt;&gt;"",J71&lt;&gt;""),(J71-I71)*1440,"")</f>
        <v>3.4306410828</v>
      </c>
      <c r="R71" s="6" t="n">
        <f aca="false">COUNTIFS(Data_RewardEvents!$B$2:$B$160,A71,Data_RewardEvents!$D$2:$D$160,"reward_pending")</f>
        <v>0</v>
      </c>
      <c r="S71" s="6" t="n">
        <f aca="false">COUNTIFS(Data_RewardEvents!$B$2:$B$160,A71,Data_RewardEvents!$D$2:$D$160,"reward_credited")</f>
        <v>1</v>
      </c>
      <c r="T71" s="6" t="n">
        <f aca="false">COUNTIFS(Data_RewardEvents!$B$2:$B$160,A71,Data_RewardEvents!$D$2:$D$160,"reward_reversed")</f>
        <v>0</v>
      </c>
      <c r="U71" s="6" t="n">
        <f aca="false">COUNTIFS(Data_RewardEvents!$B$2:$B$160,A71,Data_RewardEvents!$D$2:$D$160,"reward_corrected")</f>
        <v>0</v>
      </c>
      <c r="V71" s="6" t="n">
        <f aca="false">SUMIFS(Data_RewardEvents!$F$2:$F$160,Data_RewardEvents!$B$2:$B$160,A71,Data_RewardEvents!$D$2:$D$160,"reward_credited")+SUMIFS(Data_RewardEvents!$F$2:$F$160,Data_RewardEvents!$B$2:$B$160,A71,Data_RewardEvents!$D$2:$D$160,"reward_reversed")+SUMIFS(Data_RewardEvents!$F$2:$F$160,Data_RewardEvents!$B$2:$B$160,A71,Data_RewardEvents!$D$2:$D$160,"reward_corrected")</f>
        <v>10</v>
      </c>
      <c r="W71" s="16" t="n">
        <f aca="false">IF(S71&gt;0,_xlfn.MINIFS(Data_RewardEvents!$E$2:$E$160,Data_RewardEvents!$B$2:$B$160,A71,Data_RewardEvents!$D$2:$D$160,"reward_credited"),"")</f>
        <v>46299.3019859009</v>
      </c>
      <c r="X71" s="17" t="n">
        <f aca="false">IF(W71="","",(W71-J71)*24)</f>
        <v>0.107150936324444</v>
      </c>
      <c r="Y71" s="6" t="n">
        <f aca="false">IF(I71&lt;&gt;"",1,0)</f>
        <v>1</v>
      </c>
      <c r="Z71" s="6" t="n">
        <f aca="false">IF(K71="completed",1,0)</f>
        <v>1</v>
      </c>
      <c r="AA71" s="6" t="n">
        <f aca="false">IF(L71="validated",1,0)</f>
        <v>1</v>
      </c>
      <c r="AB71" s="6" t="n">
        <f aca="false">IF(S71&gt;0,1,0)</f>
        <v>1</v>
      </c>
    </row>
    <row r="72" customFormat="false" ht="15" hidden="false" customHeight="false" outlineLevel="0" collapsed="false">
      <c r="A72" s="6" t="s">
        <v>543</v>
      </c>
      <c r="B72" s="6" t="s">
        <v>381</v>
      </c>
      <c r="C72" s="6" t="s">
        <v>309</v>
      </c>
      <c r="D72" s="6" t="s">
        <v>405</v>
      </c>
      <c r="E72" s="6" t="s">
        <v>383</v>
      </c>
      <c r="F72" s="6" t="s">
        <v>158</v>
      </c>
      <c r="G72" s="6" t="s">
        <v>544</v>
      </c>
      <c r="H72" s="16" t="n">
        <v>46290.6986111111</v>
      </c>
      <c r="I72" s="16"/>
      <c r="J72" s="16"/>
      <c r="K72" s="6" t="s">
        <v>374</v>
      </c>
      <c r="L72" s="6"/>
      <c r="M72" s="6" t="n">
        <v>50</v>
      </c>
      <c r="N72" s="6" t="str">
        <f aca="false">README!$B$14</f>
        <v>points</v>
      </c>
      <c r="O72" s="6"/>
      <c r="P72" s="6"/>
      <c r="Q72" s="17" t="str">
        <f aca="false">IF(AND(I72&lt;&gt;"",J72&lt;&gt;""),(J72-I72)*1440,"")</f>
        <v/>
      </c>
      <c r="R72" s="6" t="n">
        <f aca="false">COUNTIFS(Data_RewardEvents!$B$2:$B$160,A72,Data_RewardEvents!$D$2:$D$160,"reward_pending")</f>
        <v>0</v>
      </c>
      <c r="S72" s="6" t="n">
        <f aca="false">COUNTIFS(Data_RewardEvents!$B$2:$B$160,A72,Data_RewardEvents!$D$2:$D$160,"reward_credited")</f>
        <v>0</v>
      </c>
      <c r="T72" s="6" t="n">
        <f aca="false">COUNTIFS(Data_RewardEvents!$B$2:$B$160,A72,Data_RewardEvents!$D$2:$D$160,"reward_reversed")</f>
        <v>0</v>
      </c>
      <c r="U72" s="6" t="n">
        <f aca="false">COUNTIFS(Data_RewardEvents!$B$2:$B$160,A72,Data_RewardEvents!$D$2:$D$160,"reward_corrected")</f>
        <v>0</v>
      </c>
      <c r="V72" s="6" t="n">
        <f aca="false">SUMIFS(Data_RewardEvents!$F$2:$F$160,Data_RewardEvents!$B$2:$B$160,A72,Data_RewardEvents!$D$2:$D$160,"reward_credited")+SUMIFS(Data_RewardEvents!$F$2:$F$160,Data_RewardEvents!$B$2:$B$160,A72,Data_RewardEvents!$D$2:$D$160,"reward_reversed")+SUMIFS(Data_RewardEvents!$F$2:$F$160,Data_RewardEvents!$B$2:$B$160,A72,Data_RewardEvents!$D$2:$D$160,"reward_corrected")</f>
        <v>0</v>
      </c>
      <c r="W72" s="16" t="str">
        <f aca="false">IF(S72&gt;0,_xlfn.MINIFS(Data_RewardEvents!$E$2:$E$160,Data_RewardEvents!$B$2:$B$160,A72,Data_RewardEvents!$D$2:$D$160,"reward_credited"),"")</f>
        <v/>
      </c>
      <c r="X72" s="17" t="str">
        <f aca="false">IF(W72="","",(W72-J72)*24)</f>
        <v/>
      </c>
      <c r="Y72" s="6" t="n">
        <f aca="false">IF(I72&lt;&gt;"",1,0)</f>
        <v>0</v>
      </c>
      <c r="Z72" s="6" t="n">
        <f aca="false">IF(K72="completed",1,0)</f>
        <v>0</v>
      </c>
      <c r="AA72" s="6" t="n">
        <f aca="false">IF(L72="validated",1,0)</f>
        <v>0</v>
      </c>
      <c r="AB72" s="6" t="n">
        <f aca="false">IF(S72&gt;0,1,0)</f>
        <v>0</v>
      </c>
    </row>
    <row r="73" customFormat="false" ht="15" hidden="false" customHeight="false" outlineLevel="0" collapsed="false">
      <c r="A73" s="6" t="s">
        <v>545</v>
      </c>
      <c r="B73" s="6" t="s">
        <v>376</v>
      </c>
      <c r="C73" s="6" t="s">
        <v>302</v>
      </c>
      <c r="D73" s="6" t="s">
        <v>546</v>
      </c>
      <c r="E73" s="6" t="s">
        <v>387</v>
      </c>
      <c r="F73" s="6" t="s">
        <v>158</v>
      </c>
      <c r="G73" s="6" t="s">
        <v>547</v>
      </c>
      <c r="H73" s="16" t="n">
        <v>46291.6229166667</v>
      </c>
      <c r="I73" s="16" t="n">
        <v>46291.6305555556</v>
      </c>
      <c r="J73" s="16" t="n">
        <v>46291.6313716395</v>
      </c>
      <c r="K73" s="6" t="s">
        <v>132</v>
      </c>
      <c r="L73" s="6" t="s">
        <v>137</v>
      </c>
      <c r="M73" s="6" t="n">
        <v>5</v>
      </c>
      <c r="N73" s="6" t="str">
        <f aca="false">README!$B$14</f>
        <v>points</v>
      </c>
      <c r="O73" s="6"/>
      <c r="P73" s="6"/>
      <c r="Q73" s="17" t="n">
        <f aca="false">IF(AND(I73&lt;&gt;"",J73&lt;&gt;""),(J73-I73)*1440,"")</f>
        <v>1.17516092955</v>
      </c>
      <c r="R73" s="6" t="n">
        <f aca="false">COUNTIFS(Data_RewardEvents!$B$2:$B$160,A73,Data_RewardEvents!$D$2:$D$160,"reward_pending")</f>
        <v>0</v>
      </c>
      <c r="S73" s="6" t="n">
        <f aca="false">COUNTIFS(Data_RewardEvents!$B$2:$B$160,A73,Data_RewardEvents!$D$2:$D$160,"reward_credited")</f>
        <v>1</v>
      </c>
      <c r="T73" s="6" t="n">
        <f aca="false">COUNTIFS(Data_RewardEvents!$B$2:$B$160,A73,Data_RewardEvents!$D$2:$D$160,"reward_reversed")</f>
        <v>0</v>
      </c>
      <c r="U73" s="6" t="n">
        <f aca="false">COUNTIFS(Data_RewardEvents!$B$2:$B$160,A73,Data_RewardEvents!$D$2:$D$160,"reward_corrected")</f>
        <v>0</v>
      </c>
      <c r="V73" s="6" t="n">
        <f aca="false">SUMIFS(Data_RewardEvents!$F$2:$F$160,Data_RewardEvents!$B$2:$B$160,A73,Data_RewardEvents!$D$2:$D$160,"reward_credited")+SUMIFS(Data_RewardEvents!$F$2:$F$160,Data_RewardEvents!$B$2:$B$160,A73,Data_RewardEvents!$D$2:$D$160,"reward_reversed")+SUMIFS(Data_RewardEvents!$F$2:$F$160,Data_RewardEvents!$B$2:$B$160,A73,Data_RewardEvents!$D$2:$D$160,"reward_corrected")</f>
        <v>5</v>
      </c>
      <c r="W73" s="16" t="n">
        <f aca="false">IF(S73&gt;0,_xlfn.MINIFS(Data_RewardEvents!$E$2:$E$160,Data_RewardEvents!$B$2:$B$160,A73,Data_RewardEvents!$D$2:$D$160,"reward_credited"),"")</f>
        <v>46291.6354582294</v>
      </c>
      <c r="X73" s="17" t="n">
        <f aca="false">IF(W73="","",(W73-J73)*24)</f>
        <v>0.0980781556572222</v>
      </c>
      <c r="Y73" s="6" t="n">
        <f aca="false">IF(I73&lt;&gt;"",1,0)</f>
        <v>1</v>
      </c>
      <c r="Z73" s="6" t="n">
        <f aca="false">IF(K73="completed",1,0)</f>
        <v>1</v>
      </c>
      <c r="AA73" s="6" t="n">
        <f aca="false">IF(L73="validated",1,0)</f>
        <v>1</v>
      </c>
      <c r="AB73" s="6" t="n">
        <f aca="false">IF(S73&gt;0,1,0)</f>
        <v>1</v>
      </c>
    </row>
    <row r="74" customFormat="false" ht="15" hidden="false" customHeight="false" outlineLevel="0" collapsed="false">
      <c r="A74" s="6" t="s">
        <v>548</v>
      </c>
      <c r="B74" s="6" t="s">
        <v>403</v>
      </c>
      <c r="C74" s="6" t="s">
        <v>404</v>
      </c>
      <c r="D74" s="6" t="s">
        <v>366</v>
      </c>
      <c r="E74" s="6" t="s">
        <v>98</v>
      </c>
      <c r="F74" s="6" t="s">
        <v>406</v>
      </c>
      <c r="G74" s="6"/>
      <c r="H74" s="16" t="n">
        <v>46298.6395833333</v>
      </c>
      <c r="I74" s="16" t="n">
        <v>46298.65</v>
      </c>
      <c r="J74" s="16" t="n">
        <v>46298.6515671012</v>
      </c>
      <c r="K74" s="6" t="s">
        <v>132</v>
      </c>
      <c r="L74" s="6" t="s">
        <v>137</v>
      </c>
      <c r="M74" s="6" t="n">
        <v>10</v>
      </c>
      <c r="N74" s="6" t="str">
        <f aca="false">README!$B$14</f>
        <v>points</v>
      </c>
      <c r="O74" s="6"/>
      <c r="P74" s="6"/>
      <c r="Q74" s="17" t="n">
        <f aca="false">IF(AND(I74&lt;&gt;"",J74&lt;&gt;""),(J74-I74)*1440,"")</f>
        <v>2.25662566605</v>
      </c>
      <c r="R74" s="6" t="n">
        <f aca="false">COUNTIFS(Data_RewardEvents!$B$2:$B$160,A74,Data_RewardEvents!$D$2:$D$160,"reward_pending")</f>
        <v>0</v>
      </c>
      <c r="S74" s="6" t="n">
        <f aca="false">COUNTIFS(Data_RewardEvents!$B$2:$B$160,A74,Data_RewardEvents!$D$2:$D$160,"reward_credited")</f>
        <v>1</v>
      </c>
      <c r="T74" s="6" t="n">
        <f aca="false">COUNTIFS(Data_RewardEvents!$B$2:$B$160,A74,Data_RewardEvents!$D$2:$D$160,"reward_reversed")</f>
        <v>0</v>
      </c>
      <c r="U74" s="6" t="n">
        <f aca="false">COUNTIFS(Data_RewardEvents!$B$2:$B$160,A74,Data_RewardEvents!$D$2:$D$160,"reward_corrected")</f>
        <v>0</v>
      </c>
      <c r="V74" s="6" t="n">
        <f aca="false">SUMIFS(Data_RewardEvents!$F$2:$F$160,Data_RewardEvents!$B$2:$B$160,A74,Data_RewardEvents!$D$2:$D$160,"reward_credited")+SUMIFS(Data_RewardEvents!$F$2:$F$160,Data_RewardEvents!$B$2:$B$160,A74,Data_RewardEvents!$D$2:$D$160,"reward_reversed")+SUMIFS(Data_RewardEvents!$F$2:$F$160,Data_RewardEvents!$B$2:$B$160,A74,Data_RewardEvents!$D$2:$D$160,"reward_corrected")</f>
        <v>10</v>
      </c>
      <c r="W74" s="16" t="n">
        <f aca="false">IF(S74&gt;0,_xlfn.MINIFS(Data_RewardEvents!$E$2:$E$160,Data_RewardEvents!$B$2:$B$160,A74,Data_RewardEvents!$D$2:$D$160,"reward_credited"),"")</f>
        <v>46298.6535019027</v>
      </c>
      <c r="X74" s="17" t="n">
        <f aca="false">IF(W74="","",(W74-J74)*24)</f>
        <v>0.0464352362905556</v>
      </c>
      <c r="Y74" s="6" t="n">
        <f aca="false">IF(I74&lt;&gt;"",1,0)</f>
        <v>1</v>
      </c>
      <c r="Z74" s="6" t="n">
        <f aca="false">IF(K74="completed",1,0)</f>
        <v>1</v>
      </c>
      <c r="AA74" s="6" t="n">
        <f aca="false">IF(L74="validated",1,0)</f>
        <v>1</v>
      </c>
      <c r="AB74" s="6" t="n">
        <f aca="false">IF(S74&gt;0,1,0)</f>
        <v>1</v>
      </c>
    </row>
    <row r="75" customFormat="false" ht="15" hidden="false" customHeight="false" outlineLevel="0" collapsed="false">
      <c r="A75" s="6" t="s">
        <v>549</v>
      </c>
      <c r="B75" s="6" t="s">
        <v>403</v>
      </c>
      <c r="C75" s="6" t="s">
        <v>404</v>
      </c>
      <c r="D75" s="6" t="s">
        <v>532</v>
      </c>
      <c r="E75" s="6" t="s">
        <v>98</v>
      </c>
      <c r="F75" s="6" t="s">
        <v>406</v>
      </c>
      <c r="G75" s="6"/>
      <c r="H75" s="16" t="n">
        <v>46299.0909722222</v>
      </c>
      <c r="I75" s="16" t="n">
        <v>46299.1</v>
      </c>
      <c r="J75" s="16" t="n">
        <v>46299.1018075638</v>
      </c>
      <c r="K75" s="6" t="s">
        <v>132</v>
      </c>
      <c r="L75" s="6" t="s">
        <v>137</v>
      </c>
      <c r="M75" s="6" t="n">
        <v>10</v>
      </c>
      <c r="N75" s="6" t="str">
        <f aca="false">README!$B$14</f>
        <v>points</v>
      </c>
      <c r="O75" s="6"/>
      <c r="P75" s="6"/>
      <c r="Q75" s="17" t="n">
        <f aca="false">IF(AND(I75&lt;&gt;"",J75&lt;&gt;""),(J75-I75)*1440,"")</f>
        <v>2.60289191383333</v>
      </c>
      <c r="R75" s="6" t="n">
        <f aca="false">COUNTIFS(Data_RewardEvents!$B$2:$B$160,A75,Data_RewardEvents!$D$2:$D$160,"reward_pending")</f>
        <v>0</v>
      </c>
      <c r="S75" s="6" t="n">
        <f aca="false">COUNTIFS(Data_RewardEvents!$B$2:$B$160,A75,Data_RewardEvents!$D$2:$D$160,"reward_credited")</f>
        <v>1</v>
      </c>
      <c r="T75" s="6" t="n">
        <f aca="false">COUNTIFS(Data_RewardEvents!$B$2:$B$160,A75,Data_RewardEvents!$D$2:$D$160,"reward_reversed")</f>
        <v>0</v>
      </c>
      <c r="U75" s="6" t="n">
        <f aca="false">COUNTIFS(Data_RewardEvents!$B$2:$B$160,A75,Data_RewardEvents!$D$2:$D$160,"reward_corrected")</f>
        <v>0</v>
      </c>
      <c r="V75" s="6" t="n">
        <f aca="false">SUMIFS(Data_RewardEvents!$F$2:$F$160,Data_RewardEvents!$B$2:$B$160,A75,Data_RewardEvents!$D$2:$D$160,"reward_credited")+SUMIFS(Data_RewardEvents!$F$2:$F$160,Data_RewardEvents!$B$2:$B$160,A75,Data_RewardEvents!$D$2:$D$160,"reward_reversed")+SUMIFS(Data_RewardEvents!$F$2:$F$160,Data_RewardEvents!$B$2:$B$160,A75,Data_RewardEvents!$D$2:$D$160,"reward_corrected")</f>
        <v>10</v>
      </c>
      <c r="W75" s="16" t="n">
        <f aca="false">IF(S75&gt;0,_xlfn.MINIFS(Data_RewardEvents!$E$2:$E$160,Data_RewardEvents!$B$2:$B$160,A75,Data_RewardEvents!$D$2:$D$160,"reward_credited"),"")</f>
        <v>46299.1073728113</v>
      </c>
      <c r="X75" s="17" t="n">
        <f aca="false">IF(W75="","",(W75-J75)*24)</f>
        <v>0.133565939264167</v>
      </c>
      <c r="Y75" s="6" t="n">
        <f aca="false">IF(I75&lt;&gt;"",1,0)</f>
        <v>1</v>
      </c>
      <c r="Z75" s="6" t="n">
        <f aca="false">IF(K75="completed",1,0)</f>
        <v>1</v>
      </c>
      <c r="AA75" s="6" t="n">
        <f aca="false">IF(L75="validated",1,0)</f>
        <v>1</v>
      </c>
      <c r="AB75" s="6" t="n">
        <f aca="false">IF(S75&gt;0,1,0)</f>
        <v>1</v>
      </c>
    </row>
    <row r="76" customFormat="false" ht="15" hidden="false" customHeight="false" outlineLevel="0" collapsed="false">
      <c r="A76" s="6" t="s">
        <v>550</v>
      </c>
      <c r="B76" s="6" t="s">
        <v>381</v>
      </c>
      <c r="C76" s="6" t="s">
        <v>309</v>
      </c>
      <c r="D76" s="6" t="s">
        <v>551</v>
      </c>
      <c r="E76" s="6" t="s">
        <v>416</v>
      </c>
      <c r="F76" s="6" t="s">
        <v>158</v>
      </c>
      <c r="G76" s="6" t="s">
        <v>552</v>
      </c>
      <c r="H76" s="16" t="n">
        <v>46294.1145833333</v>
      </c>
      <c r="I76" s="16" t="n">
        <v>46294.1354166667</v>
      </c>
      <c r="J76" s="16"/>
      <c r="K76" s="6" t="s">
        <v>448</v>
      </c>
      <c r="L76" s="6"/>
      <c r="M76" s="6" t="n">
        <v>50</v>
      </c>
      <c r="N76" s="6" t="str">
        <f aca="false">README!$B$14</f>
        <v>points</v>
      </c>
      <c r="O76" s="6" t="s">
        <v>210</v>
      </c>
      <c r="P76" s="6" t="s">
        <v>158</v>
      </c>
      <c r="Q76" s="17" t="str">
        <f aca="false">IF(AND(I76&lt;&gt;"",J76&lt;&gt;""),(J76-I76)*1440,"")</f>
        <v/>
      </c>
      <c r="R76" s="6" t="n">
        <f aca="false">COUNTIFS(Data_RewardEvents!$B$2:$B$160,A76,Data_RewardEvents!$D$2:$D$160,"reward_pending")</f>
        <v>0</v>
      </c>
      <c r="S76" s="6" t="n">
        <f aca="false">COUNTIFS(Data_RewardEvents!$B$2:$B$160,A76,Data_RewardEvents!$D$2:$D$160,"reward_credited")</f>
        <v>0</v>
      </c>
      <c r="T76" s="6" t="n">
        <f aca="false">COUNTIFS(Data_RewardEvents!$B$2:$B$160,A76,Data_RewardEvents!$D$2:$D$160,"reward_reversed")</f>
        <v>0</v>
      </c>
      <c r="U76" s="6" t="n">
        <f aca="false">COUNTIFS(Data_RewardEvents!$B$2:$B$160,A76,Data_RewardEvents!$D$2:$D$160,"reward_corrected")</f>
        <v>0</v>
      </c>
      <c r="V76" s="6" t="n">
        <f aca="false">SUMIFS(Data_RewardEvents!$F$2:$F$160,Data_RewardEvents!$B$2:$B$160,A76,Data_RewardEvents!$D$2:$D$160,"reward_credited")+SUMIFS(Data_RewardEvents!$F$2:$F$160,Data_RewardEvents!$B$2:$B$160,A76,Data_RewardEvents!$D$2:$D$160,"reward_reversed")+SUMIFS(Data_RewardEvents!$F$2:$F$160,Data_RewardEvents!$B$2:$B$160,A76,Data_RewardEvents!$D$2:$D$160,"reward_corrected")</f>
        <v>0</v>
      </c>
      <c r="W76" s="16" t="str">
        <f aca="false">IF(S76&gt;0,_xlfn.MINIFS(Data_RewardEvents!$E$2:$E$160,Data_RewardEvents!$B$2:$B$160,A76,Data_RewardEvents!$D$2:$D$160,"reward_credited"),"")</f>
        <v/>
      </c>
      <c r="X76" s="17" t="str">
        <f aca="false">IF(W76="","",(W76-J76)*24)</f>
        <v/>
      </c>
      <c r="Y76" s="6" t="n">
        <f aca="false">IF(I76&lt;&gt;"",1,0)</f>
        <v>1</v>
      </c>
      <c r="Z76" s="6" t="n">
        <f aca="false">IF(K76="completed",1,0)</f>
        <v>0</v>
      </c>
      <c r="AA76" s="6" t="n">
        <f aca="false">IF(L76="validated",1,0)</f>
        <v>0</v>
      </c>
      <c r="AB76" s="6" t="n">
        <f aca="false">IF(S76&gt;0,1,0)</f>
        <v>0</v>
      </c>
    </row>
    <row r="77" customFormat="false" ht="15" hidden="false" customHeight="false" outlineLevel="0" collapsed="false">
      <c r="A77" s="6" t="s">
        <v>553</v>
      </c>
      <c r="B77" s="6" t="s">
        <v>376</v>
      </c>
      <c r="C77" s="6" t="s">
        <v>302</v>
      </c>
      <c r="D77" s="6" t="s">
        <v>377</v>
      </c>
      <c r="E77" s="6" t="s">
        <v>387</v>
      </c>
      <c r="F77" s="6" t="s">
        <v>158</v>
      </c>
      <c r="G77" s="6" t="s">
        <v>554</v>
      </c>
      <c r="H77" s="16" t="n">
        <v>46294.2243055556</v>
      </c>
      <c r="I77" s="16" t="n">
        <v>46294.2381944444</v>
      </c>
      <c r="J77" s="16"/>
      <c r="K77" s="6" t="s">
        <v>448</v>
      </c>
      <c r="L77" s="6"/>
      <c r="M77" s="6" t="n">
        <v>5</v>
      </c>
      <c r="N77" s="6" t="str">
        <f aca="false">README!$B$14</f>
        <v>points</v>
      </c>
      <c r="O77" s="6" t="s">
        <v>210</v>
      </c>
      <c r="P77" s="6" t="s">
        <v>158</v>
      </c>
      <c r="Q77" s="17" t="str">
        <f aca="false">IF(AND(I77&lt;&gt;"",J77&lt;&gt;""),(J77-I77)*1440,"")</f>
        <v/>
      </c>
      <c r="R77" s="6" t="n">
        <f aca="false">COUNTIFS(Data_RewardEvents!$B$2:$B$160,A77,Data_RewardEvents!$D$2:$D$160,"reward_pending")</f>
        <v>0</v>
      </c>
      <c r="S77" s="6" t="n">
        <f aca="false">COUNTIFS(Data_RewardEvents!$B$2:$B$160,A77,Data_RewardEvents!$D$2:$D$160,"reward_credited")</f>
        <v>0</v>
      </c>
      <c r="T77" s="6" t="n">
        <f aca="false">COUNTIFS(Data_RewardEvents!$B$2:$B$160,A77,Data_RewardEvents!$D$2:$D$160,"reward_reversed")</f>
        <v>0</v>
      </c>
      <c r="U77" s="6" t="n">
        <f aca="false">COUNTIFS(Data_RewardEvents!$B$2:$B$160,A77,Data_RewardEvents!$D$2:$D$160,"reward_corrected")</f>
        <v>0</v>
      </c>
      <c r="V77" s="6" t="n">
        <f aca="false">SUMIFS(Data_RewardEvents!$F$2:$F$160,Data_RewardEvents!$B$2:$B$160,A77,Data_RewardEvents!$D$2:$D$160,"reward_credited")+SUMIFS(Data_RewardEvents!$F$2:$F$160,Data_RewardEvents!$B$2:$B$160,A77,Data_RewardEvents!$D$2:$D$160,"reward_reversed")+SUMIFS(Data_RewardEvents!$F$2:$F$160,Data_RewardEvents!$B$2:$B$160,A77,Data_RewardEvents!$D$2:$D$160,"reward_corrected")</f>
        <v>0</v>
      </c>
      <c r="W77" s="16" t="str">
        <f aca="false">IF(S77&gt;0,_xlfn.MINIFS(Data_RewardEvents!$E$2:$E$160,Data_RewardEvents!$B$2:$B$160,A77,Data_RewardEvents!$D$2:$D$160,"reward_credited"),"")</f>
        <v/>
      </c>
      <c r="X77" s="17" t="str">
        <f aca="false">IF(W77="","",(W77-J77)*24)</f>
        <v/>
      </c>
      <c r="Y77" s="6" t="n">
        <f aca="false">IF(I77&lt;&gt;"",1,0)</f>
        <v>1</v>
      </c>
      <c r="Z77" s="6" t="n">
        <f aca="false">IF(K77="completed",1,0)</f>
        <v>0</v>
      </c>
      <c r="AA77" s="6" t="n">
        <f aca="false">IF(L77="validated",1,0)</f>
        <v>0</v>
      </c>
      <c r="AB77" s="6" t="n">
        <f aca="false">IF(S77&gt;0,1,0)</f>
        <v>0</v>
      </c>
    </row>
    <row r="78" customFormat="false" ht="15" hidden="false" customHeight="false" outlineLevel="0" collapsed="false">
      <c r="A78" s="6" t="s">
        <v>555</v>
      </c>
      <c r="B78" s="6" t="s">
        <v>403</v>
      </c>
      <c r="C78" s="6" t="s">
        <v>404</v>
      </c>
      <c r="D78" s="6" t="s">
        <v>556</v>
      </c>
      <c r="E78" s="6" t="s">
        <v>98</v>
      </c>
      <c r="F78" s="6" t="s">
        <v>406</v>
      </c>
      <c r="G78" s="6"/>
      <c r="H78" s="16" t="n">
        <v>46294.6888888889</v>
      </c>
      <c r="I78" s="16" t="n">
        <v>46294.6993055556</v>
      </c>
      <c r="J78" s="16" t="n">
        <v>46294.7008996965</v>
      </c>
      <c r="K78" s="6" t="s">
        <v>132</v>
      </c>
      <c r="L78" s="6" t="s">
        <v>137</v>
      </c>
      <c r="M78" s="6" t="n">
        <v>10</v>
      </c>
      <c r="N78" s="6" t="str">
        <f aca="false">README!$B$14</f>
        <v>points</v>
      </c>
      <c r="O78" s="6"/>
      <c r="P78" s="6"/>
      <c r="Q78" s="17" t="n">
        <f aca="false">IF(AND(I78&lt;&gt;"",J78&lt;&gt;""),(J78-I78)*1440,"")</f>
        <v>2.29556293808333</v>
      </c>
      <c r="R78" s="6" t="n">
        <f aca="false">COUNTIFS(Data_RewardEvents!$B$2:$B$160,A78,Data_RewardEvents!$D$2:$D$160,"reward_pending")</f>
        <v>0</v>
      </c>
      <c r="S78" s="6" t="n">
        <f aca="false">COUNTIFS(Data_RewardEvents!$B$2:$B$160,A78,Data_RewardEvents!$D$2:$D$160,"reward_credited")</f>
        <v>1</v>
      </c>
      <c r="T78" s="6" t="n">
        <f aca="false">COUNTIFS(Data_RewardEvents!$B$2:$B$160,A78,Data_RewardEvents!$D$2:$D$160,"reward_reversed")</f>
        <v>0</v>
      </c>
      <c r="U78" s="6" t="n">
        <f aca="false">COUNTIFS(Data_RewardEvents!$B$2:$B$160,A78,Data_RewardEvents!$D$2:$D$160,"reward_corrected")</f>
        <v>0</v>
      </c>
      <c r="V78" s="6" t="n">
        <f aca="false">SUMIFS(Data_RewardEvents!$F$2:$F$160,Data_RewardEvents!$B$2:$B$160,A78,Data_RewardEvents!$D$2:$D$160,"reward_credited")+SUMIFS(Data_RewardEvents!$F$2:$F$160,Data_RewardEvents!$B$2:$B$160,A78,Data_RewardEvents!$D$2:$D$160,"reward_reversed")+SUMIFS(Data_RewardEvents!$F$2:$F$160,Data_RewardEvents!$B$2:$B$160,A78,Data_RewardEvents!$D$2:$D$160,"reward_corrected")</f>
        <v>10</v>
      </c>
      <c r="W78" s="16" t="n">
        <f aca="false">IF(S78&gt;0,_xlfn.MINIFS(Data_RewardEvents!$E$2:$E$160,Data_RewardEvents!$B$2:$B$160,A78,Data_RewardEvents!$D$2:$D$160,"reward_credited"),"")</f>
        <v>46294.7054920075</v>
      </c>
      <c r="X78" s="17" t="n">
        <f aca="false">IF(W78="","",(W78-J78)*24)</f>
        <v>0.1102154650725</v>
      </c>
      <c r="Y78" s="6" t="n">
        <f aca="false">IF(I78&lt;&gt;"",1,0)</f>
        <v>1</v>
      </c>
      <c r="Z78" s="6" t="n">
        <f aca="false">IF(K78="completed",1,0)</f>
        <v>1</v>
      </c>
      <c r="AA78" s="6" t="n">
        <f aca="false">IF(L78="validated",1,0)</f>
        <v>1</v>
      </c>
      <c r="AB78" s="6" t="n">
        <f aca="false">IF(S78&gt;0,1,0)</f>
        <v>1</v>
      </c>
    </row>
    <row r="79" customFormat="false" ht="15" hidden="false" customHeight="false" outlineLevel="0" collapsed="false">
      <c r="A79" s="6" t="s">
        <v>557</v>
      </c>
      <c r="B79" s="6" t="s">
        <v>376</v>
      </c>
      <c r="C79" s="6" t="s">
        <v>302</v>
      </c>
      <c r="D79" s="6" t="s">
        <v>390</v>
      </c>
      <c r="E79" s="6" t="s">
        <v>387</v>
      </c>
      <c r="F79" s="6" t="s">
        <v>158</v>
      </c>
      <c r="G79" s="6" t="s">
        <v>558</v>
      </c>
      <c r="H79" s="16" t="n">
        <v>46295.4125</v>
      </c>
      <c r="I79" s="16" t="n">
        <v>46295.43125</v>
      </c>
      <c r="J79" s="16" t="n">
        <v>46295.4319671737</v>
      </c>
      <c r="K79" s="6" t="s">
        <v>132</v>
      </c>
      <c r="L79" s="6" t="s">
        <v>137</v>
      </c>
      <c r="M79" s="6" t="n">
        <v>5</v>
      </c>
      <c r="N79" s="6" t="str">
        <f aca="false">README!$B$14</f>
        <v>points</v>
      </c>
      <c r="O79" s="6"/>
      <c r="P79" s="6"/>
      <c r="Q79" s="17" t="n">
        <f aca="false">IF(AND(I79&lt;&gt;"",J79&lt;&gt;""),(J79-I79)*1440,"")</f>
        <v>1.03273013023333</v>
      </c>
      <c r="R79" s="6" t="n">
        <f aca="false">COUNTIFS(Data_RewardEvents!$B$2:$B$160,A79,Data_RewardEvents!$D$2:$D$160,"reward_pending")</f>
        <v>0</v>
      </c>
      <c r="S79" s="6" t="n">
        <f aca="false">COUNTIFS(Data_RewardEvents!$B$2:$B$160,A79,Data_RewardEvents!$D$2:$D$160,"reward_credited")</f>
        <v>1</v>
      </c>
      <c r="T79" s="6" t="n">
        <f aca="false">COUNTIFS(Data_RewardEvents!$B$2:$B$160,A79,Data_RewardEvents!$D$2:$D$160,"reward_reversed")</f>
        <v>0</v>
      </c>
      <c r="U79" s="6" t="n">
        <f aca="false">COUNTIFS(Data_RewardEvents!$B$2:$B$160,A79,Data_RewardEvents!$D$2:$D$160,"reward_corrected")</f>
        <v>0</v>
      </c>
      <c r="V79" s="6" t="n">
        <f aca="false">SUMIFS(Data_RewardEvents!$F$2:$F$160,Data_RewardEvents!$B$2:$B$160,A79,Data_RewardEvents!$D$2:$D$160,"reward_credited")+SUMIFS(Data_RewardEvents!$F$2:$F$160,Data_RewardEvents!$B$2:$B$160,A79,Data_RewardEvents!$D$2:$D$160,"reward_reversed")+SUMIFS(Data_RewardEvents!$F$2:$F$160,Data_RewardEvents!$B$2:$B$160,A79,Data_RewardEvents!$D$2:$D$160,"reward_corrected")</f>
        <v>5</v>
      </c>
      <c r="W79" s="16" t="n">
        <f aca="false">IF(S79&gt;0,_xlfn.MINIFS(Data_RewardEvents!$E$2:$E$160,Data_RewardEvents!$B$2:$B$160,A79,Data_RewardEvents!$D$2:$D$160,"reward_credited"),"")</f>
        <v>46295.4379893476</v>
      </c>
      <c r="X79" s="17" t="n">
        <f aca="false">IF(W79="","",(W79-J79)*24)</f>
        <v>0.144532172300278</v>
      </c>
      <c r="Y79" s="6" t="n">
        <f aca="false">IF(I79&lt;&gt;"",1,0)</f>
        <v>1</v>
      </c>
      <c r="Z79" s="6" t="n">
        <f aca="false">IF(K79="completed",1,0)</f>
        <v>1</v>
      </c>
      <c r="AA79" s="6" t="n">
        <f aca="false">IF(L79="validated",1,0)</f>
        <v>1</v>
      </c>
      <c r="AB79" s="6" t="n">
        <f aca="false">IF(S79&gt;0,1,0)</f>
        <v>1</v>
      </c>
    </row>
    <row r="80" customFormat="false" ht="15" hidden="false" customHeight="false" outlineLevel="0" collapsed="false">
      <c r="A80" s="6" t="s">
        <v>559</v>
      </c>
      <c r="B80" s="6" t="s">
        <v>376</v>
      </c>
      <c r="C80" s="6" t="s">
        <v>302</v>
      </c>
      <c r="D80" s="6" t="s">
        <v>560</v>
      </c>
      <c r="E80" s="6" t="s">
        <v>378</v>
      </c>
      <c r="F80" s="6" t="s">
        <v>158</v>
      </c>
      <c r="G80" s="6" t="s">
        <v>561</v>
      </c>
      <c r="H80" s="16" t="n">
        <v>46301.8965277778</v>
      </c>
      <c r="I80" s="16" t="n">
        <v>46301.9104166667</v>
      </c>
      <c r="J80" s="16" t="n">
        <v>46301.9108579122</v>
      </c>
      <c r="K80" s="6" t="s">
        <v>132</v>
      </c>
      <c r="L80" s="6" t="s">
        <v>137</v>
      </c>
      <c r="M80" s="6" t="n">
        <v>5</v>
      </c>
      <c r="N80" s="6" t="str">
        <f aca="false">README!$B$14</f>
        <v>points</v>
      </c>
      <c r="O80" s="6"/>
      <c r="P80" s="6"/>
      <c r="Q80" s="17" t="n">
        <f aca="false">IF(AND(I80&lt;&gt;"",J80&lt;&gt;""),(J80-I80)*1440,"")</f>
        <v>0.635393543633333</v>
      </c>
      <c r="R80" s="6" t="n">
        <f aca="false">COUNTIFS(Data_RewardEvents!$B$2:$B$160,A80,Data_RewardEvents!$D$2:$D$160,"reward_pending")</f>
        <v>0</v>
      </c>
      <c r="S80" s="6" t="n">
        <f aca="false">COUNTIFS(Data_RewardEvents!$B$2:$B$160,A80,Data_RewardEvents!$D$2:$D$160,"reward_credited")</f>
        <v>1</v>
      </c>
      <c r="T80" s="6" t="n">
        <f aca="false">COUNTIFS(Data_RewardEvents!$B$2:$B$160,A80,Data_RewardEvents!$D$2:$D$160,"reward_reversed")</f>
        <v>0</v>
      </c>
      <c r="U80" s="6" t="n">
        <f aca="false">COUNTIFS(Data_RewardEvents!$B$2:$B$160,A80,Data_RewardEvents!$D$2:$D$160,"reward_corrected")</f>
        <v>0</v>
      </c>
      <c r="V80" s="6" t="n">
        <f aca="false">SUMIFS(Data_RewardEvents!$F$2:$F$160,Data_RewardEvents!$B$2:$B$160,A80,Data_RewardEvents!$D$2:$D$160,"reward_credited")+SUMIFS(Data_RewardEvents!$F$2:$F$160,Data_RewardEvents!$B$2:$B$160,A80,Data_RewardEvents!$D$2:$D$160,"reward_reversed")+SUMIFS(Data_RewardEvents!$F$2:$F$160,Data_RewardEvents!$B$2:$B$160,A80,Data_RewardEvents!$D$2:$D$160,"reward_corrected")</f>
        <v>5</v>
      </c>
      <c r="W80" s="16" t="n">
        <f aca="false">IF(S80&gt;0,_xlfn.MINIFS(Data_RewardEvents!$E$2:$E$160,Data_RewardEvents!$B$2:$B$160,A80,Data_RewardEvents!$D$2:$D$160,"reward_credited"),"")</f>
        <v>46301.9123208496</v>
      </c>
      <c r="X80" s="17" t="n">
        <f aca="false">IF(W80="","",(W80-J80)*24)</f>
        <v>0.0351104986038889</v>
      </c>
      <c r="Y80" s="6" t="n">
        <f aca="false">IF(I80&lt;&gt;"",1,0)</f>
        <v>1</v>
      </c>
      <c r="Z80" s="6" t="n">
        <f aca="false">IF(K80="completed",1,0)</f>
        <v>1</v>
      </c>
      <c r="AA80" s="6" t="n">
        <f aca="false">IF(L80="validated",1,0)</f>
        <v>1</v>
      </c>
      <c r="AB80" s="6" t="n">
        <f aca="false">IF(S80&gt;0,1,0)</f>
        <v>1</v>
      </c>
    </row>
    <row r="81" customFormat="false" ht="15" hidden="false" customHeight="false" outlineLevel="0" collapsed="false">
      <c r="A81" s="6" t="s">
        <v>562</v>
      </c>
      <c r="B81" s="6" t="s">
        <v>403</v>
      </c>
      <c r="C81" s="6" t="s">
        <v>404</v>
      </c>
      <c r="D81" s="6" t="s">
        <v>390</v>
      </c>
      <c r="E81" s="6" t="s">
        <v>98</v>
      </c>
      <c r="F81" s="6" t="s">
        <v>406</v>
      </c>
      <c r="G81" s="6"/>
      <c r="H81" s="16" t="n">
        <v>46298.7513888889</v>
      </c>
      <c r="I81" s="16" t="n">
        <v>46298.7694444444</v>
      </c>
      <c r="J81" s="16" t="n">
        <v>46298.7720540931</v>
      </c>
      <c r="K81" s="6" t="s">
        <v>132</v>
      </c>
      <c r="L81" s="6" t="s">
        <v>137</v>
      </c>
      <c r="M81" s="6" t="n">
        <v>10</v>
      </c>
      <c r="N81" s="6" t="str">
        <f aca="false">README!$B$14</f>
        <v>points</v>
      </c>
      <c r="O81" s="6"/>
      <c r="P81" s="6"/>
      <c r="Q81" s="17" t="n">
        <f aca="false">IF(AND(I81&lt;&gt;"",J81&lt;&gt;""),(J81-I81)*1440,"")</f>
        <v>3.75789406243333</v>
      </c>
      <c r="R81" s="6" t="n">
        <f aca="false">COUNTIFS(Data_RewardEvents!$B$2:$B$160,A81,Data_RewardEvents!$D$2:$D$160,"reward_pending")</f>
        <v>0</v>
      </c>
      <c r="S81" s="6" t="n">
        <f aca="false">COUNTIFS(Data_RewardEvents!$B$2:$B$160,A81,Data_RewardEvents!$D$2:$D$160,"reward_credited")</f>
        <v>1</v>
      </c>
      <c r="T81" s="6" t="n">
        <f aca="false">COUNTIFS(Data_RewardEvents!$B$2:$B$160,A81,Data_RewardEvents!$D$2:$D$160,"reward_reversed")</f>
        <v>0</v>
      </c>
      <c r="U81" s="6" t="n">
        <f aca="false">COUNTIFS(Data_RewardEvents!$B$2:$B$160,A81,Data_RewardEvents!$D$2:$D$160,"reward_corrected")</f>
        <v>0</v>
      </c>
      <c r="V81" s="6" t="n">
        <f aca="false">SUMIFS(Data_RewardEvents!$F$2:$F$160,Data_RewardEvents!$B$2:$B$160,A81,Data_RewardEvents!$D$2:$D$160,"reward_credited")+SUMIFS(Data_RewardEvents!$F$2:$F$160,Data_RewardEvents!$B$2:$B$160,A81,Data_RewardEvents!$D$2:$D$160,"reward_reversed")+SUMIFS(Data_RewardEvents!$F$2:$F$160,Data_RewardEvents!$B$2:$B$160,A81,Data_RewardEvents!$D$2:$D$160,"reward_corrected")</f>
        <v>10</v>
      </c>
      <c r="W81" s="16" t="n">
        <f aca="false">IF(S81&gt;0,_xlfn.MINIFS(Data_RewardEvents!$E$2:$E$160,Data_RewardEvents!$B$2:$B$160,A81,Data_RewardEvents!$D$2:$D$160,"reward_credited"),"")</f>
        <v>46298.7778506653</v>
      </c>
      <c r="X81" s="17" t="n">
        <f aca="false">IF(W81="","",(W81-J81)*24)</f>
        <v>0.139117731596111</v>
      </c>
      <c r="Y81" s="6" t="n">
        <f aca="false">IF(I81&lt;&gt;"",1,0)</f>
        <v>1</v>
      </c>
      <c r="Z81" s="6" t="n">
        <f aca="false">IF(K81="completed",1,0)</f>
        <v>1</v>
      </c>
      <c r="AA81" s="6" t="n">
        <f aca="false">IF(L81="validated",1,0)</f>
        <v>1</v>
      </c>
      <c r="AB81" s="6" t="n">
        <f aca="false">IF(S81&gt;0,1,0)</f>
        <v>1</v>
      </c>
    </row>
    <row r="82" customFormat="false" ht="15" hidden="false" customHeight="false" outlineLevel="0" collapsed="false">
      <c r="A82" s="6" t="s">
        <v>563</v>
      </c>
      <c r="B82" s="6" t="s">
        <v>403</v>
      </c>
      <c r="C82" s="6" t="s">
        <v>404</v>
      </c>
      <c r="D82" s="6" t="s">
        <v>564</v>
      </c>
      <c r="E82" s="6" t="s">
        <v>98</v>
      </c>
      <c r="F82" s="6" t="s">
        <v>406</v>
      </c>
      <c r="G82" s="6"/>
      <c r="H82" s="16" t="n">
        <v>46292.3645833333</v>
      </c>
      <c r="I82" s="16" t="n">
        <v>46292.3701388889</v>
      </c>
      <c r="J82" s="16" t="n">
        <v>46292.372513336</v>
      </c>
      <c r="K82" s="6" t="s">
        <v>132</v>
      </c>
      <c r="L82" s="6" t="s">
        <v>137</v>
      </c>
      <c r="M82" s="6" t="n">
        <v>10</v>
      </c>
      <c r="N82" s="6" t="str">
        <f aca="false">README!$B$14</f>
        <v>points</v>
      </c>
      <c r="O82" s="6"/>
      <c r="P82" s="6"/>
      <c r="Q82" s="17" t="n">
        <f aca="false">IF(AND(I82&lt;&gt;"",J82&lt;&gt;""),(J82-I82)*1440,"")</f>
        <v>3.41920387115</v>
      </c>
      <c r="R82" s="6" t="n">
        <f aca="false">COUNTIFS(Data_RewardEvents!$B$2:$B$160,A82,Data_RewardEvents!$D$2:$D$160,"reward_pending")</f>
        <v>0</v>
      </c>
      <c r="S82" s="6" t="n">
        <f aca="false">COUNTIFS(Data_RewardEvents!$B$2:$B$160,A82,Data_RewardEvents!$D$2:$D$160,"reward_credited")</f>
        <v>1</v>
      </c>
      <c r="T82" s="6" t="n">
        <f aca="false">COUNTIFS(Data_RewardEvents!$B$2:$B$160,A82,Data_RewardEvents!$D$2:$D$160,"reward_reversed")</f>
        <v>0</v>
      </c>
      <c r="U82" s="6" t="n">
        <f aca="false">COUNTIFS(Data_RewardEvents!$B$2:$B$160,A82,Data_RewardEvents!$D$2:$D$160,"reward_corrected")</f>
        <v>0</v>
      </c>
      <c r="V82" s="6" t="n">
        <f aca="false">SUMIFS(Data_RewardEvents!$F$2:$F$160,Data_RewardEvents!$B$2:$B$160,A82,Data_RewardEvents!$D$2:$D$160,"reward_credited")+SUMIFS(Data_RewardEvents!$F$2:$F$160,Data_RewardEvents!$B$2:$B$160,A82,Data_RewardEvents!$D$2:$D$160,"reward_reversed")+SUMIFS(Data_RewardEvents!$F$2:$F$160,Data_RewardEvents!$B$2:$B$160,A82,Data_RewardEvents!$D$2:$D$160,"reward_corrected")</f>
        <v>10</v>
      </c>
      <c r="W82" s="16" t="n">
        <f aca="false">IF(S82&gt;0,_xlfn.MINIFS(Data_RewardEvents!$E$2:$E$160,Data_RewardEvents!$B$2:$B$160,A82,Data_RewardEvents!$D$2:$D$160,"reward_credited"),"")</f>
        <v>46292.3778509334</v>
      </c>
      <c r="X82" s="17" t="n">
        <f aca="false">IF(W82="","",(W82-J82)*24)</f>
        <v>0.128102337999722</v>
      </c>
      <c r="Y82" s="6" t="n">
        <f aca="false">IF(I82&lt;&gt;"",1,0)</f>
        <v>1</v>
      </c>
      <c r="Z82" s="6" t="n">
        <f aca="false">IF(K82="completed",1,0)</f>
        <v>1</v>
      </c>
      <c r="AA82" s="6" t="n">
        <f aca="false">IF(L82="validated",1,0)</f>
        <v>1</v>
      </c>
      <c r="AB82" s="6" t="n">
        <f aca="false">IF(S82&gt;0,1,0)</f>
        <v>1</v>
      </c>
    </row>
    <row r="83" customFormat="false" ht="15" hidden="false" customHeight="false" outlineLevel="0" collapsed="false">
      <c r="A83" s="6" t="s">
        <v>565</v>
      </c>
      <c r="B83" s="6" t="s">
        <v>370</v>
      </c>
      <c r="C83" s="6" t="s">
        <v>316</v>
      </c>
      <c r="D83" s="6" t="s">
        <v>408</v>
      </c>
      <c r="E83" s="6" t="s">
        <v>391</v>
      </c>
      <c r="F83" s="6" t="s">
        <v>158</v>
      </c>
      <c r="G83" s="6" t="s">
        <v>566</v>
      </c>
      <c r="H83" s="16" t="n">
        <v>46299.26875</v>
      </c>
      <c r="I83" s="16" t="n">
        <v>46299.2777777778</v>
      </c>
      <c r="J83" s="16"/>
      <c r="K83" s="6" t="s">
        <v>419</v>
      </c>
      <c r="L83" s="6"/>
      <c r="M83" s="6" t="n">
        <v>100</v>
      </c>
      <c r="N83" s="6" t="str">
        <f aca="false">README!$B$14</f>
        <v>points</v>
      </c>
      <c r="O83" s="6" t="s">
        <v>204</v>
      </c>
      <c r="P83" s="6" t="s">
        <v>207</v>
      </c>
      <c r="Q83" s="17" t="str">
        <f aca="false">IF(AND(I83&lt;&gt;"",J83&lt;&gt;""),(J83-I83)*1440,"")</f>
        <v/>
      </c>
      <c r="R83" s="6" t="n">
        <f aca="false">COUNTIFS(Data_RewardEvents!$B$2:$B$160,A83,Data_RewardEvents!$D$2:$D$160,"reward_pending")</f>
        <v>0</v>
      </c>
      <c r="S83" s="6" t="n">
        <f aca="false">COUNTIFS(Data_RewardEvents!$B$2:$B$160,A83,Data_RewardEvents!$D$2:$D$160,"reward_credited")</f>
        <v>0</v>
      </c>
      <c r="T83" s="6" t="n">
        <f aca="false">COUNTIFS(Data_RewardEvents!$B$2:$B$160,A83,Data_RewardEvents!$D$2:$D$160,"reward_reversed")</f>
        <v>0</v>
      </c>
      <c r="U83" s="6" t="n">
        <f aca="false">COUNTIFS(Data_RewardEvents!$B$2:$B$160,A83,Data_RewardEvents!$D$2:$D$160,"reward_corrected")</f>
        <v>0</v>
      </c>
      <c r="V83" s="6" t="n">
        <f aca="false">SUMIFS(Data_RewardEvents!$F$2:$F$160,Data_RewardEvents!$B$2:$B$160,A83,Data_RewardEvents!$D$2:$D$160,"reward_credited")+SUMIFS(Data_RewardEvents!$F$2:$F$160,Data_RewardEvents!$B$2:$B$160,A83,Data_RewardEvents!$D$2:$D$160,"reward_reversed")+SUMIFS(Data_RewardEvents!$F$2:$F$160,Data_RewardEvents!$B$2:$B$160,A83,Data_RewardEvents!$D$2:$D$160,"reward_corrected")</f>
        <v>0</v>
      </c>
      <c r="W83" s="16" t="str">
        <f aca="false">IF(S83&gt;0,_xlfn.MINIFS(Data_RewardEvents!$E$2:$E$160,Data_RewardEvents!$B$2:$B$160,A83,Data_RewardEvents!$D$2:$D$160,"reward_credited"),"")</f>
        <v/>
      </c>
      <c r="X83" s="17" t="str">
        <f aca="false">IF(W83="","",(W83-J83)*24)</f>
        <v/>
      </c>
      <c r="Y83" s="6" t="n">
        <f aca="false">IF(I83&lt;&gt;"",1,0)</f>
        <v>1</v>
      </c>
      <c r="Z83" s="6" t="n">
        <f aca="false">IF(K83="completed",1,0)</f>
        <v>0</v>
      </c>
      <c r="AA83" s="6" t="n">
        <f aca="false">IF(L83="validated",1,0)</f>
        <v>0</v>
      </c>
      <c r="AB83" s="6" t="n">
        <f aca="false">IF(S83&gt;0,1,0)</f>
        <v>0</v>
      </c>
    </row>
    <row r="84" customFormat="false" ht="15" hidden="false" customHeight="false" outlineLevel="0" collapsed="false">
      <c r="A84" s="6" t="s">
        <v>567</v>
      </c>
      <c r="B84" s="6" t="s">
        <v>370</v>
      </c>
      <c r="C84" s="6" t="s">
        <v>316</v>
      </c>
      <c r="D84" s="6" t="s">
        <v>568</v>
      </c>
      <c r="E84" s="6" t="s">
        <v>391</v>
      </c>
      <c r="F84" s="6" t="s">
        <v>158</v>
      </c>
      <c r="G84" s="6" t="s">
        <v>569</v>
      </c>
      <c r="H84" s="16" t="n">
        <v>46289.6833333333</v>
      </c>
      <c r="I84" s="16" t="n">
        <v>46289.7006944444</v>
      </c>
      <c r="J84" s="16"/>
      <c r="K84" s="6" t="s">
        <v>419</v>
      </c>
      <c r="L84" s="6"/>
      <c r="M84" s="6" t="n">
        <v>100</v>
      </c>
      <c r="N84" s="6" t="str">
        <f aca="false">README!$B$14</f>
        <v>points</v>
      </c>
      <c r="O84" s="6" t="s">
        <v>204</v>
      </c>
      <c r="P84" s="6" t="s">
        <v>207</v>
      </c>
      <c r="Q84" s="17" t="str">
        <f aca="false">IF(AND(I84&lt;&gt;"",J84&lt;&gt;""),(J84-I84)*1440,"")</f>
        <v/>
      </c>
      <c r="R84" s="6" t="n">
        <f aca="false">COUNTIFS(Data_RewardEvents!$B$2:$B$160,A84,Data_RewardEvents!$D$2:$D$160,"reward_pending")</f>
        <v>0</v>
      </c>
      <c r="S84" s="6" t="n">
        <f aca="false">COUNTIFS(Data_RewardEvents!$B$2:$B$160,A84,Data_RewardEvents!$D$2:$D$160,"reward_credited")</f>
        <v>0</v>
      </c>
      <c r="T84" s="6" t="n">
        <f aca="false">COUNTIFS(Data_RewardEvents!$B$2:$B$160,A84,Data_RewardEvents!$D$2:$D$160,"reward_reversed")</f>
        <v>0</v>
      </c>
      <c r="U84" s="6" t="n">
        <f aca="false">COUNTIFS(Data_RewardEvents!$B$2:$B$160,A84,Data_RewardEvents!$D$2:$D$160,"reward_corrected")</f>
        <v>0</v>
      </c>
      <c r="V84" s="6" t="n">
        <f aca="false">SUMIFS(Data_RewardEvents!$F$2:$F$160,Data_RewardEvents!$B$2:$B$160,A84,Data_RewardEvents!$D$2:$D$160,"reward_credited")+SUMIFS(Data_RewardEvents!$F$2:$F$160,Data_RewardEvents!$B$2:$B$160,A84,Data_RewardEvents!$D$2:$D$160,"reward_reversed")+SUMIFS(Data_RewardEvents!$F$2:$F$160,Data_RewardEvents!$B$2:$B$160,A84,Data_RewardEvents!$D$2:$D$160,"reward_corrected")</f>
        <v>0</v>
      </c>
      <c r="W84" s="16" t="str">
        <f aca="false">IF(S84&gt;0,_xlfn.MINIFS(Data_RewardEvents!$E$2:$E$160,Data_RewardEvents!$B$2:$B$160,A84,Data_RewardEvents!$D$2:$D$160,"reward_credited"),"")</f>
        <v/>
      </c>
      <c r="X84" s="17" t="str">
        <f aca="false">IF(W84="","",(W84-J84)*24)</f>
        <v/>
      </c>
      <c r="Y84" s="6" t="n">
        <f aca="false">IF(I84&lt;&gt;"",1,0)</f>
        <v>1</v>
      </c>
      <c r="Z84" s="6" t="n">
        <f aca="false">IF(K84="completed",1,0)</f>
        <v>0</v>
      </c>
      <c r="AA84" s="6" t="n">
        <f aca="false">IF(L84="validated",1,0)</f>
        <v>0</v>
      </c>
      <c r="AB84" s="6" t="n">
        <f aca="false">IF(S84&gt;0,1,0)</f>
        <v>0</v>
      </c>
    </row>
    <row r="85" customFormat="false" ht="15" hidden="false" customHeight="false" outlineLevel="0" collapsed="false">
      <c r="A85" s="6" t="s">
        <v>570</v>
      </c>
      <c r="B85" s="6" t="s">
        <v>365</v>
      </c>
      <c r="C85" s="6" t="s">
        <v>323</v>
      </c>
      <c r="D85" s="6" t="s">
        <v>480</v>
      </c>
      <c r="E85" s="6" t="s">
        <v>444</v>
      </c>
      <c r="F85" s="6" t="s">
        <v>158</v>
      </c>
      <c r="G85" s="6" t="s">
        <v>571</v>
      </c>
      <c r="H85" s="16" t="n">
        <v>46286.4222222222</v>
      </c>
      <c r="I85" s="16" t="n">
        <v>46286.4277777778</v>
      </c>
      <c r="J85" s="16"/>
      <c r="K85" s="6" t="s">
        <v>419</v>
      </c>
      <c r="L85" s="6"/>
      <c r="M85" s="6" t="n">
        <v>30</v>
      </c>
      <c r="N85" s="6" t="str">
        <f aca="false">README!$B$14</f>
        <v>points</v>
      </c>
      <c r="O85" s="6" t="s">
        <v>204</v>
      </c>
      <c r="P85" s="6" t="s">
        <v>207</v>
      </c>
      <c r="Q85" s="17" t="str">
        <f aca="false">IF(AND(I85&lt;&gt;"",J85&lt;&gt;""),(J85-I85)*1440,"")</f>
        <v/>
      </c>
      <c r="R85" s="6" t="n">
        <f aca="false">COUNTIFS(Data_RewardEvents!$B$2:$B$160,A85,Data_RewardEvents!$D$2:$D$160,"reward_pending")</f>
        <v>0</v>
      </c>
      <c r="S85" s="6" t="n">
        <f aca="false">COUNTIFS(Data_RewardEvents!$B$2:$B$160,A85,Data_RewardEvents!$D$2:$D$160,"reward_credited")</f>
        <v>0</v>
      </c>
      <c r="T85" s="6" t="n">
        <f aca="false">COUNTIFS(Data_RewardEvents!$B$2:$B$160,A85,Data_RewardEvents!$D$2:$D$160,"reward_reversed")</f>
        <v>0</v>
      </c>
      <c r="U85" s="6" t="n">
        <f aca="false">COUNTIFS(Data_RewardEvents!$B$2:$B$160,A85,Data_RewardEvents!$D$2:$D$160,"reward_corrected")</f>
        <v>0</v>
      </c>
      <c r="V85" s="6" t="n">
        <f aca="false">SUMIFS(Data_RewardEvents!$F$2:$F$160,Data_RewardEvents!$B$2:$B$160,A85,Data_RewardEvents!$D$2:$D$160,"reward_credited")+SUMIFS(Data_RewardEvents!$F$2:$F$160,Data_RewardEvents!$B$2:$B$160,A85,Data_RewardEvents!$D$2:$D$160,"reward_reversed")+SUMIFS(Data_RewardEvents!$F$2:$F$160,Data_RewardEvents!$B$2:$B$160,A85,Data_RewardEvents!$D$2:$D$160,"reward_corrected")</f>
        <v>0</v>
      </c>
      <c r="W85" s="16" t="str">
        <f aca="false">IF(S85&gt;0,_xlfn.MINIFS(Data_RewardEvents!$E$2:$E$160,Data_RewardEvents!$B$2:$B$160,A85,Data_RewardEvents!$D$2:$D$160,"reward_credited"),"")</f>
        <v/>
      </c>
      <c r="X85" s="17" t="str">
        <f aca="false">IF(W85="","",(W85-J85)*24)</f>
        <v/>
      </c>
      <c r="Y85" s="6" t="n">
        <f aca="false">IF(I85&lt;&gt;"",1,0)</f>
        <v>1</v>
      </c>
      <c r="Z85" s="6" t="n">
        <f aca="false">IF(K85="completed",1,0)</f>
        <v>0</v>
      </c>
      <c r="AA85" s="6" t="n">
        <f aca="false">IF(L85="validated",1,0)</f>
        <v>0</v>
      </c>
      <c r="AB85" s="6" t="n">
        <f aca="false">IF(S85&gt;0,1,0)</f>
        <v>0</v>
      </c>
    </row>
    <row r="86" customFormat="false" ht="15" hidden="false" customHeight="false" outlineLevel="0" collapsed="false">
      <c r="A86" s="6" t="s">
        <v>572</v>
      </c>
      <c r="B86" s="6" t="s">
        <v>403</v>
      </c>
      <c r="C86" s="6" t="s">
        <v>404</v>
      </c>
      <c r="D86" s="6" t="s">
        <v>447</v>
      </c>
      <c r="E86" s="6" t="s">
        <v>98</v>
      </c>
      <c r="F86" s="6" t="s">
        <v>406</v>
      </c>
      <c r="G86" s="6"/>
      <c r="H86" s="16" t="n">
        <v>46299.9972222222</v>
      </c>
      <c r="I86" s="16" t="n">
        <v>46300.0013888889</v>
      </c>
      <c r="J86" s="16" t="n">
        <v>46300.0030839224</v>
      </c>
      <c r="K86" s="6" t="s">
        <v>132</v>
      </c>
      <c r="L86" s="6" t="s">
        <v>137</v>
      </c>
      <c r="M86" s="6" t="n">
        <v>10</v>
      </c>
      <c r="N86" s="6" t="str">
        <f aca="false">README!$B$14</f>
        <v>points</v>
      </c>
      <c r="O86" s="6"/>
      <c r="P86" s="6"/>
      <c r="Q86" s="17" t="n">
        <f aca="false">IF(AND(I86&lt;&gt;"",J86&lt;&gt;""),(J86-I86)*1440,"")</f>
        <v>2.44084819451667</v>
      </c>
      <c r="R86" s="6" t="n">
        <f aca="false">COUNTIFS(Data_RewardEvents!$B$2:$B$160,A86,Data_RewardEvents!$D$2:$D$160,"reward_pending")</f>
        <v>0</v>
      </c>
      <c r="S86" s="6" t="n">
        <f aca="false">COUNTIFS(Data_RewardEvents!$B$2:$B$160,A86,Data_RewardEvents!$D$2:$D$160,"reward_credited")</f>
        <v>1</v>
      </c>
      <c r="T86" s="6" t="n">
        <f aca="false">COUNTIFS(Data_RewardEvents!$B$2:$B$160,A86,Data_RewardEvents!$D$2:$D$160,"reward_reversed")</f>
        <v>0</v>
      </c>
      <c r="U86" s="6" t="n">
        <f aca="false">COUNTIFS(Data_RewardEvents!$B$2:$B$160,A86,Data_RewardEvents!$D$2:$D$160,"reward_corrected")</f>
        <v>0</v>
      </c>
      <c r="V86" s="6" t="n">
        <f aca="false">SUMIFS(Data_RewardEvents!$F$2:$F$160,Data_RewardEvents!$B$2:$B$160,A86,Data_RewardEvents!$D$2:$D$160,"reward_credited")+SUMIFS(Data_RewardEvents!$F$2:$F$160,Data_RewardEvents!$B$2:$B$160,A86,Data_RewardEvents!$D$2:$D$160,"reward_reversed")+SUMIFS(Data_RewardEvents!$F$2:$F$160,Data_RewardEvents!$B$2:$B$160,A86,Data_RewardEvents!$D$2:$D$160,"reward_corrected")</f>
        <v>10</v>
      </c>
      <c r="W86" s="16" t="n">
        <f aca="false">IF(S86&gt;0,_xlfn.MINIFS(Data_RewardEvents!$E$2:$E$160,Data_RewardEvents!$B$2:$B$160,A86,Data_RewardEvents!$D$2:$D$160,"reward_credited"),"")</f>
        <v>46300.0094138336</v>
      </c>
      <c r="X86" s="17" t="n">
        <f aca="false">IF(W86="","",(W86-J86)*24)</f>
        <v>0.151917869166667</v>
      </c>
      <c r="Y86" s="6" t="n">
        <f aca="false">IF(I86&lt;&gt;"",1,0)</f>
        <v>1</v>
      </c>
      <c r="Z86" s="6" t="n">
        <f aca="false">IF(K86="completed",1,0)</f>
        <v>1</v>
      </c>
      <c r="AA86" s="6" t="n">
        <f aca="false">IF(L86="validated",1,0)</f>
        <v>1</v>
      </c>
      <c r="AB86" s="6" t="n">
        <f aca="false">IF(S86&gt;0,1,0)</f>
        <v>1</v>
      </c>
    </row>
    <row r="87" customFormat="false" ht="15" hidden="false" customHeight="false" outlineLevel="0" collapsed="false">
      <c r="A87" s="6" t="s">
        <v>573</v>
      </c>
      <c r="B87" s="6" t="s">
        <v>370</v>
      </c>
      <c r="C87" s="6" t="s">
        <v>316</v>
      </c>
      <c r="D87" s="6" t="s">
        <v>574</v>
      </c>
      <c r="E87" s="6" t="s">
        <v>372</v>
      </c>
      <c r="F87" s="6" t="s">
        <v>158</v>
      </c>
      <c r="G87" s="6" t="s">
        <v>575</v>
      </c>
      <c r="H87" s="16" t="n">
        <v>46300.7583333333</v>
      </c>
      <c r="I87" s="16"/>
      <c r="J87" s="16"/>
      <c r="K87" s="6" t="s">
        <v>374</v>
      </c>
      <c r="L87" s="6"/>
      <c r="M87" s="6" t="n">
        <v>100</v>
      </c>
      <c r="N87" s="6" t="str">
        <f aca="false">README!$B$14</f>
        <v>points</v>
      </c>
      <c r="O87" s="6"/>
      <c r="P87" s="6"/>
      <c r="Q87" s="17" t="str">
        <f aca="false">IF(AND(I87&lt;&gt;"",J87&lt;&gt;""),(J87-I87)*1440,"")</f>
        <v/>
      </c>
      <c r="R87" s="6" t="n">
        <f aca="false">COUNTIFS(Data_RewardEvents!$B$2:$B$160,A87,Data_RewardEvents!$D$2:$D$160,"reward_pending")</f>
        <v>0</v>
      </c>
      <c r="S87" s="6" t="n">
        <f aca="false">COUNTIFS(Data_RewardEvents!$B$2:$B$160,A87,Data_RewardEvents!$D$2:$D$160,"reward_credited")</f>
        <v>0</v>
      </c>
      <c r="T87" s="6" t="n">
        <f aca="false">COUNTIFS(Data_RewardEvents!$B$2:$B$160,A87,Data_RewardEvents!$D$2:$D$160,"reward_reversed")</f>
        <v>0</v>
      </c>
      <c r="U87" s="6" t="n">
        <f aca="false">COUNTIFS(Data_RewardEvents!$B$2:$B$160,A87,Data_RewardEvents!$D$2:$D$160,"reward_corrected")</f>
        <v>0</v>
      </c>
      <c r="V87" s="6" t="n">
        <f aca="false">SUMIFS(Data_RewardEvents!$F$2:$F$160,Data_RewardEvents!$B$2:$B$160,A87,Data_RewardEvents!$D$2:$D$160,"reward_credited")+SUMIFS(Data_RewardEvents!$F$2:$F$160,Data_RewardEvents!$B$2:$B$160,A87,Data_RewardEvents!$D$2:$D$160,"reward_reversed")+SUMIFS(Data_RewardEvents!$F$2:$F$160,Data_RewardEvents!$B$2:$B$160,A87,Data_RewardEvents!$D$2:$D$160,"reward_corrected")</f>
        <v>0</v>
      </c>
      <c r="W87" s="16" t="str">
        <f aca="false">IF(S87&gt;0,_xlfn.MINIFS(Data_RewardEvents!$E$2:$E$160,Data_RewardEvents!$B$2:$B$160,A87,Data_RewardEvents!$D$2:$D$160,"reward_credited"),"")</f>
        <v/>
      </c>
      <c r="X87" s="17" t="str">
        <f aca="false">IF(W87="","",(W87-J87)*24)</f>
        <v/>
      </c>
      <c r="Y87" s="6" t="n">
        <f aca="false">IF(I87&lt;&gt;"",1,0)</f>
        <v>0</v>
      </c>
      <c r="Z87" s="6" t="n">
        <f aca="false">IF(K87="completed",1,0)</f>
        <v>0</v>
      </c>
      <c r="AA87" s="6" t="n">
        <f aca="false">IF(L87="validated",1,0)</f>
        <v>0</v>
      </c>
      <c r="AB87" s="6" t="n">
        <f aca="false">IF(S87&gt;0,1,0)</f>
        <v>0</v>
      </c>
    </row>
    <row r="88" customFormat="false" ht="15" hidden="false" customHeight="false" outlineLevel="0" collapsed="false">
      <c r="A88" s="6" t="s">
        <v>576</v>
      </c>
      <c r="B88" s="6" t="s">
        <v>376</v>
      </c>
      <c r="C88" s="6" t="s">
        <v>302</v>
      </c>
      <c r="D88" s="6" t="s">
        <v>475</v>
      </c>
      <c r="E88" s="6" t="s">
        <v>387</v>
      </c>
      <c r="F88" s="6" t="s">
        <v>158</v>
      </c>
      <c r="G88" s="6" t="s">
        <v>577</v>
      </c>
      <c r="H88" s="16" t="n">
        <v>46295.7840277778</v>
      </c>
      <c r="I88" s="16" t="n">
        <v>46295.7902777778</v>
      </c>
      <c r="J88" s="16" t="n">
        <v>46295.7907517632</v>
      </c>
      <c r="K88" s="6" t="s">
        <v>132</v>
      </c>
      <c r="L88" s="6" t="s">
        <v>137</v>
      </c>
      <c r="M88" s="6" t="n">
        <v>5</v>
      </c>
      <c r="N88" s="6" t="str">
        <f aca="false">README!$B$14</f>
        <v>points</v>
      </c>
      <c r="O88" s="6"/>
      <c r="P88" s="6"/>
      <c r="Q88" s="17" t="n">
        <f aca="false">IF(AND(I88&lt;&gt;"",J88&lt;&gt;""),(J88-I88)*1440,"")</f>
        <v>0.6825390039</v>
      </c>
      <c r="R88" s="6" t="n">
        <f aca="false">COUNTIFS(Data_RewardEvents!$B$2:$B$160,A88,Data_RewardEvents!$D$2:$D$160,"reward_pending")</f>
        <v>0</v>
      </c>
      <c r="S88" s="6" t="n">
        <f aca="false">COUNTIFS(Data_RewardEvents!$B$2:$B$160,A88,Data_RewardEvents!$D$2:$D$160,"reward_credited")</f>
        <v>1</v>
      </c>
      <c r="T88" s="6" t="n">
        <f aca="false">COUNTIFS(Data_RewardEvents!$B$2:$B$160,A88,Data_RewardEvents!$D$2:$D$160,"reward_reversed")</f>
        <v>0</v>
      </c>
      <c r="U88" s="6" t="n">
        <f aca="false">COUNTIFS(Data_RewardEvents!$B$2:$B$160,A88,Data_RewardEvents!$D$2:$D$160,"reward_corrected")</f>
        <v>0</v>
      </c>
      <c r="V88" s="6" t="n">
        <f aca="false">SUMIFS(Data_RewardEvents!$F$2:$F$160,Data_RewardEvents!$B$2:$B$160,A88,Data_RewardEvents!$D$2:$D$160,"reward_credited")+SUMIFS(Data_RewardEvents!$F$2:$F$160,Data_RewardEvents!$B$2:$B$160,A88,Data_RewardEvents!$D$2:$D$160,"reward_reversed")+SUMIFS(Data_RewardEvents!$F$2:$F$160,Data_RewardEvents!$B$2:$B$160,A88,Data_RewardEvents!$D$2:$D$160,"reward_corrected")</f>
        <v>5</v>
      </c>
      <c r="W88" s="16" t="n">
        <f aca="false">IF(S88&gt;0,_xlfn.MINIFS(Data_RewardEvents!$E$2:$E$160,Data_RewardEvents!$B$2:$B$160,A88,Data_RewardEvents!$D$2:$D$160,"reward_credited"),"")</f>
        <v>46295.7964641855</v>
      </c>
      <c r="X88" s="17" t="n">
        <f aca="false">IF(W88="","",(W88-J88)*24)</f>
        <v>0.137098134029444</v>
      </c>
      <c r="Y88" s="6" t="n">
        <f aca="false">IF(I88&lt;&gt;"",1,0)</f>
        <v>1</v>
      </c>
      <c r="Z88" s="6" t="n">
        <f aca="false">IF(K88="completed",1,0)</f>
        <v>1</v>
      </c>
      <c r="AA88" s="6" t="n">
        <f aca="false">IF(L88="validated",1,0)</f>
        <v>1</v>
      </c>
      <c r="AB88" s="6" t="n">
        <f aca="false">IF(S88&gt;0,1,0)</f>
        <v>1</v>
      </c>
    </row>
    <row r="89" customFormat="false" ht="15" hidden="false" customHeight="false" outlineLevel="0" collapsed="false">
      <c r="A89" s="6" t="s">
        <v>578</v>
      </c>
      <c r="B89" s="6" t="s">
        <v>365</v>
      </c>
      <c r="C89" s="6" t="s">
        <v>323</v>
      </c>
      <c r="D89" s="6" t="s">
        <v>579</v>
      </c>
      <c r="E89" s="6" t="s">
        <v>367</v>
      </c>
      <c r="F89" s="6" t="s">
        <v>158</v>
      </c>
      <c r="G89" s="6" t="s">
        <v>580</v>
      </c>
      <c r="H89" s="16" t="n">
        <v>46304.7138888889</v>
      </c>
      <c r="I89" s="16" t="n">
        <v>46304.7277777778</v>
      </c>
      <c r="J89" s="16"/>
      <c r="K89" s="6" t="s">
        <v>419</v>
      </c>
      <c r="L89" s="6"/>
      <c r="M89" s="6" t="n">
        <v>30</v>
      </c>
      <c r="N89" s="6" t="str">
        <f aca="false">README!$B$14</f>
        <v>points</v>
      </c>
      <c r="O89" s="6" t="s">
        <v>204</v>
      </c>
      <c r="P89" s="6" t="s">
        <v>207</v>
      </c>
      <c r="Q89" s="17" t="str">
        <f aca="false">IF(AND(I89&lt;&gt;"",J89&lt;&gt;""),(J89-I89)*1440,"")</f>
        <v/>
      </c>
      <c r="R89" s="6" t="n">
        <f aca="false">COUNTIFS(Data_RewardEvents!$B$2:$B$160,A89,Data_RewardEvents!$D$2:$D$160,"reward_pending")</f>
        <v>0</v>
      </c>
      <c r="S89" s="6" t="n">
        <f aca="false">COUNTIFS(Data_RewardEvents!$B$2:$B$160,A89,Data_RewardEvents!$D$2:$D$160,"reward_credited")</f>
        <v>0</v>
      </c>
      <c r="T89" s="6" t="n">
        <f aca="false">COUNTIFS(Data_RewardEvents!$B$2:$B$160,A89,Data_RewardEvents!$D$2:$D$160,"reward_reversed")</f>
        <v>0</v>
      </c>
      <c r="U89" s="6" t="n">
        <f aca="false">COUNTIFS(Data_RewardEvents!$B$2:$B$160,A89,Data_RewardEvents!$D$2:$D$160,"reward_corrected")</f>
        <v>0</v>
      </c>
      <c r="V89" s="6" t="n">
        <f aca="false">SUMIFS(Data_RewardEvents!$F$2:$F$160,Data_RewardEvents!$B$2:$B$160,A89,Data_RewardEvents!$D$2:$D$160,"reward_credited")+SUMIFS(Data_RewardEvents!$F$2:$F$160,Data_RewardEvents!$B$2:$B$160,A89,Data_RewardEvents!$D$2:$D$160,"reward_reversed")+SUMIFS(Data_RewardEvents!$F$2:$F$160,Data_RewardEvents!$B$2:$B$160,A89,Data_RewardEvents!$D$2:$D$160,"reward_corrected")</f>
        <v>0</v>
      </c>
      <c r="W89" s="16" t="str">
        <f aca="false">IF(S89&gt;0,_xlfn.MINIFS(Data_RewardEvents!$E$2:$E$160,Data_RewardEvents!$B$2:$B$160,A89,Data_RewardEvents!$D$2:$D$160,"reward_credited"),"")</f>
        <v/>
      </c>
      <c r="X89" s="17" t="str">
        <f aca="false">IF(W89="","",(W89-J89)*24)</f>
        <v/>
      </c>
      <c r="Y89" s="6" t="n">
        <f aca="false">IF(I89&lt;&gt;"",1,0)</f>
        <v>1</v>
      </c>
      <c r="Z89" s="6" t="n">
        <f aca="false">IF(K89="completed",1,0)</f>
        <v>0</v>
      </c>
      <c r="AA89" s="6" t="n">
        <f aca="false">IF(L89="validated",1,0)</f>
        <v>0</v>
      </c>
      <c r="AB89" s="6" t="n">
        <f aca="false">IF(S89&gt;0,1,0)</f>
        <v>0</v>
      </c>
    </row>
    <row r="90" customFormat="false" ht="15" hidden="false" customHeight="false" outlineLevel="0" collapsed="false">
      <c r="A90" s="6" t="s">
        <v>581</v>
      </c>
      <c r="B90" s="6" t="s">
        <v>381</v>
      </c>
      <c r="C90" s="6" t="s">
        <v>309</v>
      </c>
      <c r="D90" s="6" t="s">
        <v>582</v>
      </c>
      <c r="E90" s="6" t="s">
        <v>383</v>
      </c>
      <c r="F90" s="6" t="s">
        <v>158</v>
      </c>
      <c r="G90" s="6" t="s">
        <v>583</v>
      </c>
      <c r="H90" s="16" t="n">
        <v>46293.5861111111</v>
      </c>
      <c r="I90" s="16" t="n">
        <v>46293.5986111111</v>
      </c>
      <c r="J90" s="16" t="n">
        <v>46293.603764806</v>
      </c>
      <c r="K90" s="6" t="s">
        <v>132</v>
      </c>
      <c r="L90" s="6" t="s">
        <v>137</v>
      </c>
      <c r="M90" s="6" t="n">
        <v>50</v>
      </c>
      <c r="N90" s="6" t="str">
        <f aca="false">README!$B$14</f>
        <v>points</v>
      </c>
      <c r="O90" s="6"/>
      <c r="P90" s="6"/>
      <c r="Q90" s="17" t="n">
        <f aca="false">IF(AND(I90&lt;&gt;"",J90&lt;&gt;""),(J90-I90)*1440,"")</f>
        <v>7.42132069193333</v>
      </c>
      <c r="R90" s="6" t="n">
        <f aca="false">COUNTIFS(Data_RewardEvents!$B$2:$B$160,A90,Data_RewardEvents!$D$2:$D$160,"reward_pending")</f>
        <v>1</v>
      </c>
      <c r="S90" s="6" t="n">
        <f aca="false">COUNTIFS(Data_RewardEvents!$B$2:$B$160,A90,Data_RewardEvents!$D$2:$D$160,"reward_credited")</f>
        <v>1</v>
      </c>
      <c r="T90" s="6" t="n">
        <f aca="false">COUNTIFS(Data_RewardEvents!$B$2:$B$160,A90,Data_RewardEvents!$D$2:$D$160,"reward_reversed")</f>
        <v>0</v>
      </c>
      <c r="U90" s="6" t="n">
        <f aca="false">COUNTIFS(Data_RewardEvents!$B$2:$B$160,A90,Data_RewardEvents!$D$2:$D$160,"reward_corrected")</f>
        <v>0</v>
      </c>
      <c r="V90" s="6" t="n">
        <f aca="false">SUMIFS(Data_RewardEvents!$F$2:$F$160,Data_RewardEvents!$B$2:$B$160,A90,Data_RewardEvents!$D$2:$D$160,"reward_credited")+SUMIFS(Data_RewardEvents!$F$2:$F$160,Data_RewardEvents!$B$2:$B$160,A90,Data_RewardEvents!$D$2:$D$160,"reward_reversed")+SUMIFS(Data_RewardEvents!$F$2:$F$160,Data_RewardEvents!$B$2:$B$160,A90,Data_RewardEvents!$D$2:$D$160,"reward_corrected")</f>
        <v>50</v>
      </c>
      <c r="W90" s="16" t="n">
        <f aca="false">IF(S90&gt;0,_xlfn.MINIFS(Data_RewardEvents!$E$2:$E$160,Data_RewardEvents!$B$2:$B$160,A90,Data_RewardEvents!$D$2:$D$160,"reward_credited"),"")</f>
        <v>46295.7909748067</v>
      </c>
      <c r="X90" s="17" t="n">
        <f aca="false">IF(W90="","",(W90-J90)*24)</f>
        <v>52.4930400151058</v>
      </c>
      <c r="Y90" s="6" t="n">
        <f aca="false">IF(I90&lt;&gt;"",1,0)</f>
        <v>1</v>
      </c>
      <c r="Z90" s="6" t="n">
        <f aca="false">IF(K90="completed",1,0)</f>
        <v>1</v>
      </c>
      <c r="AA90" s="6" t="n">
        <f aca="false">IF(L90="validated",1,0)</f>
        <v>1</v>
      </c>
      <c r="AB90" s="6" t="n">
        <f aca="false">IF(S90&gt;0,1,0)</f>
        <v>1</v>
      </c>
    </row>
    <row r="91" customFormat="false" ht="15" hidden="false" customHeight="false" outlineLevel="0" collapsed="false">
      <c r="A91" s="6" t="s">
        <v>584</v>
      </c>
      <c r="B91" s="6" t="s">
        <v>365</v>
      </c>
      <c r="C91" s="6" t="s">
        <v>323</v>
      </c>
      <c r="D91" s="6" t="s">
        <v>585</v>
      </c>
      <c r="E91" s="6" t="s">
        <v>367</v>
      </c>
      <c r="F91" s="6" t="s">
        <v>158</v>
      </c>
      <c r="G91" s="6" t="s">
        <v>586</v>
      </c>
      <c r="H91" s="16" t="n">
        <v>46302.1805555556</v>
      </c>
      <c r="I91" s="16" t="n">
        <v>46302.18125</v>
      </c>
      <c r="J91" s="16"/>
      <c r="K91" s="6" t="s">
        <v>419</v>
      </c>
      <c r="L91" s="6"/>
      <c r="M91" s="6" t="n">
        <v>30</v>
      </c>
      <c r="N91" s="6" t="str">
        <f aca="false">README!$B$14</f>
        <v>points</v>
      </c>
      <c r="O91" s="6" t="s">
        <v>204</v>
      </c>
      <c r="P91" s="6" t="s">
        <v>207</v>
      </c>
      <c r="Q91" s="17" t="str">
        <f aca="false">IF(AND(I91&lt;&gt;"",J91&lt;&gt;""),(J91-I91)*1440,"")</f>
        <v/>
      </c>
      <c r="R91" s="6" t="n">
        <f aca="false">COUNTIFS(Data_RewardEvents!$B$2:$B$160,A91,Data_RewardEvents!$D$2:$D$160,"reward_pending")</f>
        <v>0</v>
      </c>
      <c r="S91" s="6" t="n">
        <f aca="false">COUNTIFS(Data_RewardEvents!$B$2:$B$160,A91,Data_RewardEvents!$D$2:$D$160,"reward_credited")</f>
        <v>0</v>
      </c>
      <c r="T91" s="6" t="n">
        <f aca="false">COUNTIFS(Data_RewardEvents!$B$2:$B$160,A91,Data_RewardEvents!$D$2:$D$160,"reward_reversed")</f>
        <v>0</v>
      </c>
      <c r="U91" s="6" t="n">
        <f aca="false">COUNTIFS(Data_RewardEvents!$B$2:$B$160,A91,Data_RewardEvents!$D$2:$D$160,"reward_corrected")</f>
        <v>0</v>
      </c>
      <c r="V91" s="6" t="n">
        <f aca="false">SUMIFS(Data_RewardEvents!$F$2:$F$160,Data_RewardEvents!$B$2:$B$160,A91,Data_RewardEvents!$D$2:$D$160,"reward_credited")+SUMIFS(Data_RewardEvents!$F$2:$F$160,Data_RewardEvents!$B$2:$B$160,A91,Data_RewardEvents!$D$2:$D$160,"reward_reversed")+SUMIFS(Data_RewardEvents!$F$2:$F$160,Data_RewardEvents!$B$2:$B$160,A91,Data_RewardEvents!$D$2:$D$160,"reward_corrected")</f>
        <v>0</v>
      </c>
      <c r="W91" s="16" t="str">
        <f aca="false">IF(S91&gt;0,_xlfn.MINIFS(Data_RewardEvents!$E$2:$E$160,Data_RewardEvents!$B$2:$B$160,A91,Data_RewardEvents!$D$2:$D$160,"reward_credited"),"")</f>
        <v/>
      </c>
      <c r="X91" s="17" t="str">
        <f aca="false">IF(W91="","",(W91-J91)*24)</f>
        <v/>
      </c>
      <c r="Y91" s="6" t="n">
        <f aca="false">IF(I91&lt;&gt;"",1,0)</f>
        <v>1</v>
      </c>
      <c r="Z91" s="6" t="n">
        <f aca="false">IF(K91="completed",1,0)</f>
        <v>0</v>
      </c>
      <c r="AA91" s="6" t="n">
        <f aca="false">IF(L91="validated",1,0)</f>
        <v>0</v>
      </c>
      <c r="AB91" s="6" t="n">
        <f aca="false">IF(S91&gt;0,1,0)</f>
        <v>0</v>
      </c>
    </row>
    <row r="92" customFormat="false" ht="15" hidden="false" customHeight="false" outlineLevel="0" collapsed="false">
      <c r="A92" s="6" t="s">
        <v>587</v>
      </c>
      <c r="B92" s="6" t="s">
        <v>376</v>
      </c>
      <c r="C92" s="6" t="s">
        <v>302</v>
      </c>
      <c r="D92" s="6" t="s">
        <v>447</v>
      </c>
      <c r="E92" s="6" t="s">
        <v>387</v>
      </c>
      <c r="F92" s="6" t="s">
        <v>158</v>
      </c>
      <c r="G92" s="6" t="s">
        <v>588</v>
      </c>
      <c r="H92" s="16" t="n">
        <v>46297.90625</v>
      </c>
      <c r="I92" s="16" t="n">
        <v>46297.9152777778</v>
      </c>
      <c r="J92" s="16"/>
      <c r="K92" s="6" t="s">
        <v>419</v>
      </c>
      <c r="L92" s="6"/>
      <c r="M92" s="6" t="n">
        <v>5</v>
      </c>
      <c r="N92" s="6" t="str">
        <f aca="false">README!$B$14</f>
        <v>points</v>
      </c>
      <c r="O92" s="6" t="s">
        <v>204</v>
      </c>
      <c r="P92" s="6" t="s">
        <v>207</v>
      </c>
      <c r="Q92" s="17" t="str">
        <f aca="false">IF(AND(I92&lt;&gt;"",J92&lt;&gt;""),(J92-I92)*1440,"")</f>
        <v/>
      </c>
      <c r="R92" s="6" t="n">
        <f aca="false">COUNTIFS(Data_RewardEvents!$B$2:$B$160,A92,Data_RewardEvents!$D$2:$D$160,"reward_pending")</f>
        <v>0</v>
      </c>
      <c r="S92" s="6" t="n">
        <f aca="false">COUNTIFS(Data_RewardEvents!$B$2:$B$160,A92,Data_RewardEvents!$D$2:$D$160,"reward_credited")</f>
        <v>0</v>
      </c>
      <c r="T92" s="6" t="n">
        <f aca="false">COUNTIFS(Data_RewardEvents!$B$2:$B$160,A92,Data_RewardEvents!$D$2:$D$160,"reward_reversed")</f>
        <v>0</v>
      </c>
      <c r="U92" s="6" t="n">
        <f aca="false">COUNTIFS(Data_RewardEvents!$B$2:$B$160,A92,Data_RewardEvents!$D$2:$D$160,"reward_corrected")</f>
        <v>0</v>
      </c>
      <c r="V92" s="6" t="n">
        <f aca="false">SUMIFS(Data_RewardEvents!$F$2:$F$160,Data_RewardEvents!$B$2:$B$160,A92,Data_RewardEvents!$D$2:$D$160,"reward_credited")+SUMIFS(Data_RewardEvents!$F$2:$F$160,Data_RewardEvents!$B$2:$B$160,A92,Data_RewardEvents!$D$2:$D$160,"reward_reversed")+SUMIFS(Data_RewardEvents!$F$2:$F$160,Data_RewardEvents!$B$2:$B$160,A92,Data_RewardEvents!$D$2:$D$160,"reward_corrected")</f>
        <v>0</v>
      </c>
      <c r="W92" s="16" t="str">
        <f aca="false">IF(S92&gt;0,_xlfn.MINIFS(Data_RewardEvents!$E$2:$E$160,Data_RewardEvents!$B$2:$B$160,A92,Data_RewardEvents!$D$2:$D$160,"reward_credited"),"")</f>
        <v/>
      </c>
      <c r="X92" s="17" t="str">
        <f aca="false">IF(W92="","",(W92-J92)*24)</f>
        <v/>
      </c>
      <c r="Y92" s="6" t="n">
        <f aca="false">IF(I92&lt;&gt;"",1,0)</f>
        <v>1</v>
      </c>
      <c r="Z92" s="6" t="n">
        <f aca="false">IF(K92="completed",1,0)</f>
        <v>0</v>
      </c>
      <c r="AA92" s="6" t="n">
        <f aca="false">IF(L92="validated",1,0)</f>
        <v>0</v>
      </c>
      <c r="AB92" s="6" t="n">
        <f aca="false">IF(S92&gt;0,1,0)</f>
        <v>0</v>
      </c>
    </row>
    <row r="93" customFormat="false" ht="15" hidden="false" customHeight="false" outlineLevel="0" collapsed="false">
      <c r="A93" s="6" t="s">
        <v>589</v>
      </c>
      <c r="B93" s="6" t="s">
        <v>370</v>
      </c>
      <c r="C93" s="6" t="s">
        <v>316</v>
      </c>
      <c r="D93" s="6" t="s">
        <v>590</v>
      </c>
      <c r="E93" s="6" t="s">
        <v>391</v>
      </c>
      <c r="F93" s="6" t="s">
        <v>158</v>
      </c>
      <c r="G93" s="6" t="s">
        <v>591</v>
      </c>
      <c r="H93" s="16" t="n">
        <v>46292.71875</v>
      </c>
      <c r="I93" s="16"/>
      <c r="J93" s="16"/>
      <c r="K93" s="6" t="s">
        <v>374</v>
      </c>
      <c r="L93" s="6"/>
      <c r="M93" s="6" t="n">
        <v>100</v>
      </c>
      <c r="N93" s="6" t="str">
        <f aca="false">README!$B$14</f>
        <v>points</v>
      </c>
      <c r="O93" s="6"/>
      <c r="P93" s="6"/>
      <c r="Q93" s="17" t="str">
        <f aca="false">IF(AND(I93&lt;&gt;"",J93&lt;&gt;""),(J93-I93)*1440,"")</f>
        <v/>
      </c>
      <c r="R93" s="6" t="n">
        <f aca="false">COUNTIFS(Data_RewardEvents!$B$2:$B$160,A93,Data_RewardEvents!$D$2:$D$160,"reward_pending")</f>
        <v>0</v>
      </c>
      <c r="S93" s="6" t="n">
        <f aca="false">COUNTIFS(Data_RewardEvents!$B$2:$B$160,A93,Data_RewardEvents!$D$2:$D$160,"reward_credited")</f>
        <v>0</v>
      </c>
      <c r="T93" s="6" t="n">
        <f aca="false">COUNTIFS(Data_RewardEvents!$B$2:$B$160,A93,Data_RewardEvents!$D$2:$D$160,"reward_reversed")</f>
        <v>0</v>
      </c>
      <c r="U93" s="6" t="n">
        <f aca="false">COUNTIFS(Data_RewardEvents!$B$2:$B$160,A93,Data_RewardEvents!$D$2:$D$160,"reward_corrected")</f>
        <v>0</v>
      </c>
      <c r="V93" s="6" t="n">
        <f aca="false">SUMIFS(Data_RewardEvents!$F$2:$F$160,Data_RewardEvents!$B$2:$B$160,A93,Data_RewardEvents!$D$2:$D$160,"reward_credited")+SUMIFS(Data_RewardEvents!$F$2:$F$160,Data_RewardEvents!$B$2:$B$160,A93,Data_RewardEvents!$D$2:$D$160,"reward_reversed")+SUMIFS(Data_RewardEvents!$F$2:$F$160,Data_RewardEvents!$B$2:$B$160,A93,Data_RewardEvents!$D$2:$D$160,"reward_corrected")</f>
        <v>0</v>
      </c>
      <c r="W93" s="16" t="str">
        <f aca="false">IF(S93&gt;0,_xlfn.MINIFS(Data_RewardEvents!$E$2:$E$160,Data_RewardEvents!$B$2:$B$160,A93,Data_RewardEvents!$D$2:$D$160,"reward_credited"),"")</f>
        <v/>
      </c>
      <c r="X93" s="17" t="str">
        <f aca="false">IF(W93="","",(W93-J93)*24)</f>
        <v/>
      </c>
      <c r="Y93" s="6" t="n">
        <f aca="false">IF(I93&lt;&gt;"",1,0)</f>
        <v>0</v>
      </c>
      <c r="Z93" s="6" t="n">
        <f aca="false">IF(K93="completed",1,0)</f>
        <v>0</v>
      </c>
      <c r="AA93" s="6" t="n">
        <f aca="false">IF(L93="validated",1,0)</f>
        <v>0</v>
      </c>
      <c r="AB93" s="6" t="n">
        <f aca="false">IF(S93&gt;0,1,0)</f>
        <v>0</v>
      </c>
    </row>
    <row r="94" customFormat="false" ht="15" hidden="false" customHeight="false" outlineLevel="0" collapsed="false">
      <c r="A94" s="6" t="s">
        <v>592</v>
      </c>
      <c r="B94" s="6" t="s">
        <v>381</v>
      </c>
      <c r="C94" s="6" t="s">
        <v>309</v>
      </c>
      <c r="D94" s="6" t="s">
        <v>593</v>
      </c>
      <c r="E94" s="6" t="s">
        <v>416</v>
      </c>
      <c r="F94" s="6" t="s">
        <v>158</v>
      </c>
      <c r="G94" s="6" t="s">
        <v>594</v>
      </c>
      <c r="H94" s="16" t="n">
        <v>46288.8770833333</v>
      </c>
      <c r="I94" s="16" t="n">
        <v>46288.8881944444</v>
      </c>
      <c r="J94" s="16"/>
      <c r="K94" s="6" t="s">
        <v>448</v>
      </c>
      <c r="L94" s="6"/>
      <c r="M94" s="6" t="n">
        <v>50</v>
      </c>
      <c r="N94" s="6" t="str">
        <f aca="false">README!$B$14</f>
        <v>points</v>
      </c>
      <c r="O94" s="6" t="s">
        <v>167</v>
      </c>
      <c r="P94" s="6" t="s">
        <v>158</v>
      </c>
      <c r="Q94" s="17" t="str">
        <f aca="false">IF(AND(I94&lt;&gt;"",J94&lt;&gt;""),(J94-I94)*1440,"")</f>
        <v/>
      </c>
      <c r="R94" s="6" t="n">
        <f aca="false">COUNTIFS(Data_RewardEvents!$B$2:$B$160,A94,Data_RewardEvents!$D$2:$D$160,"reward_pending")</f>
        <v>0</v>
      </c>
      <c r="S94" s="6" t="n">
        <f aca="false">COUNTIFS(Data_RewardEvents!$B$2:$B$160,A94,Data_RewardEvents!$D$2:$D$160,"reward_credited")</f>
        <v>0</v>
      </c>
      <c r="T94" s="6" t="n">
        <f aca="false">COUNTIFS(Data_RewardEvents!$B$2:$B$160,A94,Data_RewardEvents!$D$2:$D$160,"reward_reversed")</f>
        <v>0</v>
      </c>
      <c r="U94" s="6" t="n">
        <f aca="false">COUNTIFS(Data_RewardEvents!$B$2:$B$160,A94,Data_RewardEvents!$D$2:$D$160,"reward_corrected")</f>
        <v>0</v>
      </c>
      <c r="V94" s="6" t="n">
        <f aca="false">SUMIFS(Data_RewardEvents!$F$2:$F$160,Data_RewardEvents!$B$2:$B$160,A94,Data_RewardEvents!$D$2:$D$160,"reward_credited")+SUMIFS(Data_RewardEvents!$F$2:$F$160,Data_RewardEvents!$B$2:$B$160,A94,Data_RewardEvents!$D$2:$D$160,"reward_reversed")+SUMIFS(Data_RewardEvents!$F$2:$F$160,Data_RewardEvents!$B$2:$B$160,A94,Data_RewardEvents!$D$2:$D$160,"reward_corrected")</f>
        <v>0</v>
      </c>
      <c r="W94" s="16" t="str">
        <f aca="false">IF(S94&gt;0,_xlfn.MINIFS(Data_RewardEvents!$E$2:$E$160,Data_RewardEvents!$B$2:$B$160,A94,Data_RewardEvents!$D$2:$D$160,"reward_credited"),"")</f>
        <v/>
      </c>
      <c r="X94" s="17" t="str">
        <f aca="false">IF(W94="","",(W94-J94)*24)</f>
        <v/>
      </c>
      <c r="Y94" s="6" t="n">
        <f aca="false">IF(I94&lt;&gt;"",1,0)</f>
        <v>1</v>
      </c>
      <c r="Z94" s="6" t="n">
        <f aca="false">IF(K94="completed",1,0)</f>
        <v>0</v>
      </c>
      <c r="AA94" s="6" t="n">
        <f aca="false">IF(L94="validated",1,0)</f>
        <v>0</v>
      </c>
      <c r="AB94" s="6" t="n">
        <f aca="false">IF(S94&gt;0,1,0)</f>
        <v>0</v>
      </c>
    </row>
    <row r="95" customFormat="false" ht="15" hidden="false" customHeight="false" outlineLevel="0" collapsed="false">
      <c r="A95" s="6" t="s">
        <v>595</v>
      </c>
      <c r="B95" s="6" t="s">
        <v>370</v>
      </c>
      <c r="C95" s="6" t="s">
        <v>316</v>
      </c>
      <c r="D95" s="6" t="s">
        <v>421</v>
      </c>
      <c r="E95" s="6" t="s">
        <v>372</v>
      </c>
      <c r="F95" s="6" t="s">
        <v>158</v>
      </c>
      <c r="G95" s="6" t="s">
        <v>596</v>
      </c>
      <c r="H95" s="16" t="n">
        <v>46293.3541666667</v>
      </c>
      <c r="I95" s="16"/>
      <c r="J95" s="16"/>
      <c r="K95" s="6" t="s">
        <v>374</v>
      </c>
      <c r="L95" s="6"/>
      <c r="M95" s="6" t="n">
        <v>100</v>
      </c>
      <c r="N95" s="6" t="str">
        <f aca="false">README!$B$14</f>
        <v>points</v>
      </c>
      <c r="O95" s="6"/>
      <c r="P95" s="6"/>
      <c r="Q95" s="17" t="str">
        <f aca="false">IF(AND(I95&lt;&gt;"",J95&lt;&gt;""),(J95-I95)*1440,"")</f>
        <v/>
      </c>
      <c r="R95" s="6" t="n">
        <f aca="false">COUNTIFS(Data_RewardEvents!$B$2:$B$160,A95,Data_RewardEvents!$D$2:$D$160,"reward_pending")</f>
        <v>0</v>
      </c>
      <c r="S95" s="6" t="n">
        <f aca="false">COUNTIFS(Data_RewardEvents!$B$2:$B$160,A95,Data_RewardEvents!$D$2:$D$160,"reward_credited")</f>
        <v>0</v>
      </c>
      <c r="T95" s="6" t="n">
        <f aca="false">COUNTIFS(Data_RewardEvents!$B$2:$B$160,A95,Data_RewardEvents!$D$2:$D$160,"reward_reversed")</f>
        <v>0</v>
      </c>
      <c r="U95" s="6" t="n">
        <f aca="false">COUNTIFS(Data_RewardEvents!$B$2:$B$160,A95,Data_RewardEvents!$D$2:$D$160,"reward_corrected")</f>
        <v>0</v>
      </c>
      <c r="V95" s="6" t="n">
        <f aca="false">SUMIFS(Data_RewardEvents!$F$2:$F$160,Data_RewardEvents!$B$2:$B$160,A95,Data_RewardEvents!$D$2:$D$160,"reward_credited")+SUMIFS(Data_RewardEvents!$F$2:$F$160,Data_RewardEvents!$B$2:$B$160,A95,Data_RewardEvents!$D$2:$D$160,"reward_reversed")+SUMIFS(Data_RewardEvents!$F$2:$F$160,Data_RewardEvents!$B$2:$B$160,A95,Data_RewardEvents!$D$2:$D$160,"reward_corrected")</f>
        <v>0</v>
      </c>
      <c r="W95" s="16" t="str">
        <f aca="false">IF(S95&gt;0,_xlfn.MINIFS(Data_RewardEvents!$E$2:$E$160,Data_RewardEvents!$B$2:$B$160,A95,Data_RewardEvents!$D$2:$D$160,"reward_credited"),"")</f>
        <v/>
      </c>
      <c r="X95" s="17" t="str">
        <f aca="false">IF(W95="","",(W95-J95)*24)</f>
        <v/>
      </c>
      <c r="Y95" s="6" t="n">
        <f aca="false">IF(I95&lt;&gt;"",1,0)</f>
        <v>0</v>
      </c>
      <c r="Z95" s="6" t="n">
        <f aca="false">IF(K95="completed",1,0)</f>
        <v>0</v>
      </c>
      <c r="AA95" s="6" t="n">
        <f aca="false">IF(L95="validated",1,0)</f>
        <v>0</v>
      </c>
      <c r="AB95" s="6" t="n">
        <f aca="false">IF(S95&gt;0,1,0)</f>
        <v>0</v>
      </c>
    </row>
    <row r="96" customFormat="false" ht="15" hidden="false" customHeight="false" outlineLevel="0" collapsed="false">
      <c r="A96" s="6" t="s">
        <v>597</v>
      </c>
      <c r="B96" s="6" t="s">
        <v>370</v>
      </c>
      <c r="C96" s="6" t="s">
        <v>316</v>
      </c>
      <c r="D96" s="6" t="s">
        <v>556</v>
      </c>
      <c r="E96" s="6" t="s">
        <v>391</v>
      </c>
      <c r="F96" s="6" t="s">
        <v>158</v>
      </c>
      <c r="G96" s="6" t="s">
        <v>598</v>
      </c>
      <c r="H96" s="16" t="n">
        <v>46299.5847222222</v>
      </c>
      <c r="I96" s="16"/>
      <c r="J96" s="16"/>
      <c r="K96" s="6" t="s">
        <v>374</v>
      </c>
      <c r="L96" s="6"/>
      <c r="M96" s="6" t="n">
        <v>100</v>
      </c>
      <c r="N96" s="6" t="str">
        <f aca="false">README!$B$14</f>
        <v>points</v>
      </c>
      <c r="O96" s="6"/>
      <c r="P96" s="6"/>
      <c r="Q96" s="17" t="str">
        <f aca="false">IF(AND(I96&lt;&gt;"",J96&lt;&gt;""),(J96-I96)*1440,"")</f>
        <v/>
      </c>
      <c r="R96" s="6" t="n">
        <f aca="false">COUNTIFS(Data_RewardEvents!$B$2:$B$160,A96,Data_RewardEvents!$D$2:$D$160,"reward_pending")</f>
        <v>0</v>
      </c>
      <c r="S96" s="6" t="n">
        <f aca="false">COUNTIFS(Data_RewardEvents!$B$2:$B$160,A96,Data_RewardEvents!$D$2:$D$160,"reward_credited")</f>
        <v>0</v>
      </c>
      <c r="T96" s="6" t="n">
        <f aca="false">COUNTIFS(Data_RewardEvents!$B$2:$B$160,A96,Data_RewardEvents!$D$2:$D$160,"reward_reversed")</f>
        <v>0</v>
      </c>
      <c r="U96" s="6" t="n">
        <f aca="false">COUNTIFS(Data_RewardEvents!$B$2:$B$160,A96,Data_RewardEvents!$D$2:$D$160,"reward_corrected")</f>
        <v>0</v>
      </c>
      <c r="V96" s="6" t="n">
        <f aca="false">SUMIFS(Data_RewardEvents!$F$2:$F$160,Data_RewardEvents!$B$2:$B$160,A96,Data_RewardEvents!$D$2:$D$160,"reward_credited")+SUMIFS(Data_RewardEvents!$F$2:$F$160,Data_RewardEvents!$B$2:$B$160,A96,Data_RewardEvents!$D$2:$D$160,"reward_reversed")+SUMIFS(Data_RewardEvents!$F$2:$F$160,Data_RewardEvents!$B$2:$B$160,A96,Data_RewardEvents!$D$2:$D$160,"reward_corrected")</f>
        <v>0</v>
      </c>
      <c r="W96" s="16" t="str">
        <f aca="false">IF(S96&gt;0,_xlfn.MINIFS(Data_RewardEvents!$E$2:$E$160,Data_RewardEvents!$B$2:$B$160,A96,Data_RewardEvents!$D$2:$D$160,"reward_credited"),"")</f>
        <v/>
      </c>
      <c r="X96" s="17" t="str">
        <f aca="false">IF(W96="","",(W96-J96)*24)</f>
        <v/>
      </c>
      <c r="Y96" s="6" t="n">
        <f aca="false">IF(I96&lt;&gt;"",1,0)</f>
        <v>0</v>
      </c>
      <c r="Z96" s="6" t="n">
        <f aca="false">IF(K96="completed",1,0)</f>
        <v>0</v>
      </c>
      <c r="AA96" s="6" t="n">
        <f aca="false">IF(L96="validated",1,0)</f>
        <v>0</v>
      </c>
      <c r="AB96" s="6" t="n">
        <f aca="false">IF(S96&gt;0,1,0)</f>
        <v>0</v>
      </c>
    </row>
    <row r="97" customFormat="false" ht="15" hidden="false" customHeight="false" outlineLevel="0" collapsed="false">
      <c r="A97" s="6" t="s">
        <v>599</v>
      </c>
      <c r="B97" s="6" t="s">
        <v>365</v>
      </c>
      <c r="C97" s="6" t="s">
        <v>323</v>
      </c>
      <c r="D97" s="6" t="s">
        <v>600</v>
      </c>
      <c r="E97" s="6" t="s">
        <v>367</v>
      </c>
      <c r="F97" s="6" t="s">
        <v>158</v>
      </c>
      <c r="G97" s="6" t="s">
        <v>601</v>
      </c>
      <c r="H97" s="16" t="n">
        <v>46303.1659722222</v>
      </c>
      <c r="I97" s="16"/>
      <c r="J97" s="16"/>
      <c r="K97" s="6" t="s">
        <v>374</v>
      </c>
      <c r="L97" s="6"/>
      <c r="M97" s="6" t="n">
        <v>30</v>
      </c>
      <c r="N97" s="6" t="str">
        <f aca="false">README!$B$14</f>
        <v>points</v>
      </c>
      <c r="O97" s="6"/>
      <c r="P97" s="6"/>
      <c r="Q97" s="17" t="str">
        <f aca="false">IF(AND(I97&lt;&gt;"",J97&lt;&gt;""),(J97-I97)*1440,"")</f>
        <v/>
      </c>
      <c r="R97" s="6" t="n">
        <f aca="false">COUNTIFS(Data_RewardEvents!$B$2:$B$160,A97,Data_RewardEvents!$D$2:$D$160,"reward_pending")</f>
        <v>0</v>
      </c>
      <c r="S97" s="6" t="n">
        <f aca="false">COUNTIFS(Data_RewardEvents!$B$2:$B$160,A97,Data_RewardEvents!$D$2:$D$160,"reward_credited")</f>
        <v>0</v>
      </c>
      <c r="T97" s="6" t="n">
        <f aca="false">COUNTIFS(Data_RewardEvents!$B$2:$B$160,A97,Data_RewardEvents!$D$2:$D$160,"reward_reversed")</f>
        <v>0</v>
      </c>
      <c r="U97" s="6" t="n">
        <f aca="false">COUNTIFS(Data_RewardEvents!$B$2:$B$160,A97,Data_RewardEvents!$D$2:$D$160,"reward_corrected")</f>
        <v>0</v>
      </c>
      <c r="V97" s="6" t="n">
        <f aca="false">SUMIFS(Data_RewardEvents!$F$2:$F$160,Data_RewardEvents!$B$2:$B$160,A97,Data_RewardEvents!$D$2:$D$160,"reward_credited")+SUMIFS(Data_RewardEvents!$F$2:$F$160,Data_RewardEvents!$B$2:$B$160,A97,Data_RewardEvents!$D$2:$D$160,"reward_reversed")+SUMIFS(Data_RewardEvents!$F$2:$F$160,Data_RewardEvents!$B$2:$B$160,A97,Data_RewardEvents!$D$2:$D$160,"reward_corrected")</f>
        <v>0</v>
      </c>
      <c r="W97" s="16" t="str">
        <f aca="false">IF(S97&gt;0,_xlfn.MINIFS(Data_RewardEvents!$E$2:$E$160,Data_RewardEvents!$B$2:$B$160,A97,Data_RewardEvents!$D$2:$D$160,"reward_credited"),"")</f>
        <v/>
      </c>
      <c r="X97" s="17" t="str">
        <f aca="false">IF(W97="","",(W97-J97)*24)</f>
        <v/>
      </c>
      <c r="Y97" s="6" t="n">
        <f aca="false">IF(I97&lt;&gt;"",1,0)</f>
        <v>0</v>
      </c>
      <c r="Z97" s="6" t="n">
        <f aca="false">IF(K97="completed",1,0)</f>
        <v>0</v>
      </c>
      <c r="AA97" s="6" t="n">
        <f aca="false">IF(L97="validated",1,0)</f>
        <v>0</v>
      </c>
      <c r="AB97" s="6" t="n">
        <f aca="false">IF(S97&gt;0,1,0)</f>
        <v>0</v>
      </c>
    </row>
    <row r="98" customFormat="false" ht="15" hidden="false" customHeight="false" outlineLevel="0" collapsed="false">
      <c r="A98" s="6" t="s">
        <v>602</v>
      </c>
      <c r="B98" s="6" t="s">
        <v>370</v>
      </c>
      <c r="C98" s="6" t="s">
        <v>316</v>
      </c>
      <c r="D98" s="6" t="s">
        <v>568</v>
      </c>
      <c r="E98" s="6" t="s">
        <v>372</v>
      </c>
      <c r="F98" s="6" t="s">
        <v>158</v>
      </c>
      <c r="G98" s="6" t="s">
        <v>603</v>
      </c>
      <c r="H98" s="16" t="n">
        <v>46304.3993055556</v>
      </c>
      <c r="I98" s="16"/>
      <c r="J98" s="16"/>
      <c r="K98" s="6" t="s">
        <v>374</v>
      </c>
      <c r="L98" s="6"/>
      <c r="M98" s="6" t="n">
        <v>100</v>
      </c>
      <c r="N98" s="6" t="str">
        <f aca="false">README!$B$14</f>
        <v>points</v>
      </c>
      <c r="O98" s="6"/>
      <c r="P98" s="6"/>
      <c r="Q98" s="17" t="str">
        <f aca="false">IF(AND(I98&lt;&gt;"",J98&lt;&gt;""),(J98-I98)*1440,"")</f>
        <v/>
      </c>
      <c r="R98" s="6" t="n">
        <f aca="false">COUNTIFS(Data_RewardEvents!$B$2:$B$160,A98,Data_RewardEvents!$D$2:$D$160,"reward_pending")</f>
        <v>0</v>
      </c>
      <c r="S98" s="6" t="n">
        <f aca="false">COUNTIFS(Data_RewardEvents!$B$2:$B$160,A98,Data_RewardEvents!$D$2:$D$160,"reward_credited")</f>
        <v>0</v>
      </c>
      <c r="T98" s="6" t="n">
        <f aca="false">COUNTIFS(Data_RewardEvents!$B$2:$B$160,A98,Data_RewardEvents!$D$2:$D$160,"reward_reversed")</f>
        <v>0</v>
      </c>
      <c r="U98" s="6" t="n">
        <f aca="false">COUNTIFS(Data_RewardEvents!$B$2:$B$160,A98,Data_RewardEvents!$D$2:$D$160,"reward_corrected")</f>
        <v>0</v>
      </c>
      <c r="V98" s="6" t="n">
        <f aca="false">SUMIFS(Data_RewardEvents!$F$2:$F$160,Data_RewardEvents!$B$2:$B$160,A98,Data_RewardEvents!$D$2:$D$160,"reward_credited")+SUMIFS(Data_RewardEvents!$F$2:$F$160,Data_RewardEvents!$B$2:$B$160,A98,Data_RewardEvents!$D$2:$D$160,"reward_reversed")+SUMIFS(Data_RewardEvents!$F$2:$F$160,Data_RewardEvents!$B$2:$B$160,A98,Data_RewardEvents!$D$2:$D$160,"reward_corrected")</f>
        <v>0</v>
      </c>
      <c r="W98" s="16" t="str">
        <f aca="false">IF(S98&gt;0,_xlfn.MINIFS(Data_RewardEvents!$E$2:$E$160,Data_RewardEvents!$B$2:$B$160,A98,Data_RewardEvents!$D$2:$D$160,"reward_credited"),"")</f>
        <v/>
      </c>
      <c r="X98" s="17" t="str">
        <f aca="false">IF(W98="","",(W98-J98)*24)</f>
        <v/>
      </c>
      <c r="Y98" s="6" t="n">
        <f aca="false">IF(I98&lt;&gt;"",1,0)</f>
        <v>0</v>
      </c>
      <c r="Z98" s="6" t="n">
        <f aca="false">IF(K98="completed",1,0)</f>
        <v>0</v>
      </c>
      <c r="AA98" s="6" t="n">
        <f aca="false">IF(L98="validated",1,0)</f>
        <v>0</v>
      </c>
      <c r="AB98" s="6" t="n">
        <f aca="false">IF(S98&gt;0,1,0)</f>
        <v>0</v>
      </c>
    </row>
    <row r="99" customFormat="false" ht="15" hidden="false" customHeight="false" outlineLevel="0" collapsed="false">
      <c r="A99" s="6" t="s">
        <v>604</v>
      </c>
      <c r="B99" s="6" t="s">
        <v>376</v>
      </c>
      <c r="C99" s="6" t="s">
        <v>302</v>
      </c>
      <c r="D99" s="6" t="s">
        <v>605</v>
      </c>
      <c r="E99" s="6" t="s">
        <v>387</v>
      </c>
      <c r="F99" s="6" t="s">
        <v>158</v>
      </c>
      <c r="G99" s="6" t="s">
        <v>606</v>
      </c>
      <c r="H99" s="16" t="n">
        <v>46297.5576388889</v>
      </c>
      <c r="I99" s="16"/>
      <c r="J99" s="16"/>
      <c r="K99" s="6" t="s">
        <v>374</v>
      </c>
      <c r="L99" s="6"/>
      <c r="M99" s="6" t="n">
        <v>5</v>
      </c>
      <c r="N99" s="6" t="str">
        <f aca="false">README!$B$14</f>
        <v>points</v>
      </c>
      <c r="O99" s="6"/>
      <c r="P99" s="6"/>
      <c r="Q99" s="17" t="str">
        <f aca="false">IF(AND(I99&lt;&gt;"",J99&lt;&gt;""),(J99-I99)*1440,"")</f>
        <v/>
      </c>
      <c r="R99" s="6" t="n">
        <f aca="false">COUNTIFS(Data_RewardEvents!$B$2:$B$160,A99,Data_RewardEvents!$D$2:$D$160,"reward_pending")</f>
        <v>0</v>
      </c>
      <c r="S99" s="6" t="n">
        <f aca="false">COUNTIFS(Data_RewardEvents!$B$2:$B$160,A99,Data_RewardEvents!$D$2:$D$160,"reward_credited")</f>
        <v>0</v>
      </c>
      <c r="T99" s="6" t="n">
        <f aca="false">COUNTIFS(Data_RewardEvents!$B$2:$B$160,A99,Data_RewardEvents!$D$2:$D$160,"reward_reversed")</f>
        <v>0</v>
      </c>
      <c r="U99" s="6" t="n">
        <f aca="false">COUNTIFS(Data_RewardEvents!$B$2:$B$160,A99,Data_RewardEvents!$D$2:$D$160,"reward_corrected")</f>
        <v>0</v>
      </c>
      <c r="V99" s="6" t="n">
        <f aca="false">SUMIFS(Data_RewardEvents!$F$2:$F$160,Data_RewardEvents!$B$2:$B$160,A99,Data_RewardEvents!$D$2:$D$160,"reward_credited")+SUMIFS(Data_RewardEvents!$F$2:$F$160,Data_RewardEvents!$B$2:$B$160,A99,Data_RewardEvents!$D$2:$D$160,"reward_reversed")+SUMIFS(Data_RewardEvents!$F$2:$F$160,Data_RewardEvents!$B$2:$B$160,A99,Data_RewardEvents!$D$2:$D$160,"reward_corrected")</f>
        <v>0</v>
      </c>
      <c r="W99" s="16" t="str">
        <f aca="false">IF(S99&gt;0,_xlfn.MINIFS(Data_RewardEvents!$E$2:$E$160,Data_RewardEvents!$B$2:$B$160,A99,Data_RewardEvents!$D$2:$D$160,"reward_credited"),"")</f>
        <v/>
      </c>
      <c r="X99" s="17" t="str">
        <f aca="false">IF(W99="","",(W99-J99)*24)</f>
        <v/>
      </c>
      <c r="Y99" s="6" t="n">
        <f aca="false">IF(I99&lt;&gt;"",1,0)</f>
        <v>0</v>
      </c>
      <c r="Z99" s="6" t="n">
        <f aca="false">IF(K99="completed",1,0)</f>
        <v>0</v>
      </c>
      <c r="AA99" s="6" t="n">
        <f aca="false">IF(L99="validated",1,0)</f>
        <v>0</v>
      </c>
      <c r="AB99" s="6" t="n">
        <f aca="false">IF(S99&gt;0,1,0)</f>
        <v>0</v>
      </c>
    </row>
    <row r="100" customFormat="false" ht="15" hidden="false" customHeight="false" outlineLevel="0" collapsed="false">
      <c r="A100" s="6" t="s">
        <v>607</v>
      </c>
      <c r="B100" s="6" t="s">
        <v>370</v>
      </c>
      <c r="C100" s="6" t="s">
        <v>316</v>
      </c>
      <c r="D100" s="6" t="s">
        <v>560</v>
      </c>
      <c r="E100" s="6" t="s">
        <v>372</v>
      </c>
      <c r="F100" s="6" t="s">
        <v>158</v>
      </c>
      <c r="G100" s="6" t="s">
        <v>608</v>
      </c>
      <c r="H100" s="16" t="n">
        <v>46299.7111111111</v>
      </c>
      <c r="I100" s="16" t="n">
        <v>46299.7152777778</v>
      </c>
      <c r="J100" s="16" t="n">
        <v>46299.80660465</v>
      </c>
      <c r="K100" s="6" t="s">
        <v>132</v>
      </c>
      <c r="L100" s="6" t="s">
        <v>137</v>
      </c>
      <c r="M100" s="6" t="n">
        <v>100</v>
      </c>
      <c r="N100" s="6" t="str">
        <f aca="false">README!$B$14</f>
        <v>points</v>
      </c>
      <c r="O100" s="6"/>
      <c r="P100" s="6"/>
      <c r="Q100" s="17" t="n">
        <f aca="false">IF(AND(I100&lt;&gt;"",J100&lt;&gt;""),(J100-I100)*1440,"")</f>
        <v>131.5106959571</v>
      </c>
      <c r="R100" s="6" t="n">
        <f aca="false">COUNTIFS(Data_RewardEvents!$B$2:$B$160,A100,Data_RewardEvents!$D$2:$D$160,"reward_pending")</f>
        <v>1</v>
      </c>
      <c r="S100" s="6" t="n">
        <f aca="false">COUNTIFS(Data_RewardEvents!$B$2:$B$160,A100,Data_RewardEvents!$D$2:$D$160,"reward_credited")</f>
        <v>1</v>
      </c>
      <c r="T100" s="6" t="n">
        <f aca="false">COUNTIFS(Data_RewardEvents!$B$2:$B$160,A100,Data_RewardEvents!$D$2:$D$160,"reward_reversed")</f>
        <v>0</v>
      </c>
      <c r="U100" s="6" t="n">
        <f aca="false">COUNTIFS(Data_RewardEvents!$B$2:$B$160,A100,Data_RewardEvents!$D$2:$D$160,"reward_corrected")</f>
        <v>1</v>
      </c>
      <c r="V100" s="6" t="n">
        <f aca="false">SUMIFS(Data_RewardEvents!$F$2:$F$160,Data_RewardEvents!$B$2:$B$160,A100,Data_RewardEvents!$D$2:$D$160,"reward_credited")+SUMIFS(Data_RewardEvents!$F$2:$F$160,Data_RewardEvents!$B$2:$B$160,A100,Data_RewardEvents!$D$2:$D$160,"reward_reversed")+SUMIFS(Data_RewardEvents!$F$2:$F$160,Data_RewardEvents!$B$2:$B$160,A100,Data_RewardEvents!$D$2:$D$160,"reward_corrected")</f>
        <v>80</v>
      </c>
      <c r="W100" s="16" t="n">
        <f aca="false">IF(S100&gt;0,_xlfn.MINIFS(Data_RewardEvents!$E$2:$E$160,Data_RewardEvents!$B$2:$B$160,A100,Data_RewardEvents!$D$2:$D$160,"reward_credited"),"")</f>
        <v>46300.1290200767</v>
      </c>
      <c r="X100" s="17" t="n">
        <f aca="false">IF(W100="","",(W100-J100)*24)</f>
        <v>7.73797024221833</v>
      </c>
      <c r="Y100" s="6" t="n">
        <f aca="false">IF(I100&lt;&gt;"",1,0)</f>
        <v>1</v>
      </c>
      <c r="Z100" s="6" t="n">
        <f aca="false">IF(K100="completed",1,0)</f>
        <v>1</v>
      </c>
      <c r="AA100" s="6" t="n">
        <f aca="false">IF(L100="validated",1,0)</f>
        <v>1</v>
      </c>
      <c r="AB100" s="6" t="n">
        <f aca="false">IF(S100&gt;0,1,0)</f>
        <v>1</v>
      </c>
    </row>
    <row r="101" customFormat="false" ht="15" hidden="false" customHeight="false" outlineLevel="0" collapsed="false">
      <c r="A101" s="6" t="s">
        <v>609</v>
      </c>
      <c r="B101" s="6" t="s">
        <v>381</v>
      </c>
      <c r="C101" s="6" t="s">
        <v>309</v>
      </c>
      <c r="D101" s="6" t="s">
        <v>527</v>
      </c>
      <c r="E101" s="6" t="s">
        <v>383</v>
      </c>
      <c r="F101" s="6" t="s">
        <v>158</v>
      </c>
      <c r="G101" s="6" t="s">
        <v>610</v>
      </c>
      <c r="H101" s="16" t="n">
        <v>46293.6840277778</v>
      </c>
      <c r="I101" s="16" t="n">
        <v>46293.7013888889</v>
      </c>
      <c r="J101" s="16"/>
      <c r="K101" s="6" t="s">
        <v>448</v>
      </c>
      <c r="L101" s="6"/>
      <c r="M101" s="6" t="n">
        <v>50</v>
      </c>
      <c r="N101" s="6" t="str">
        <f aca="false">README!$B$14</f>
        <v>points</v>
      </c>
      <c r="O101" s="6" t="s">
        <v>185</v>
      </c>
      <c r="P101" s="6" t="s">
        <v>207</v>
      </c>
      <c r="Q101" s="17" t="str">
        <f aca="false">IF(AND(I101&lt;&gt;"",J101&lt;&gt;""),(J101-I101)*1440,"")</f>
        <v/>
      </c>
      <c r="R101" s="6" t="n">
        <f aca="false">COUNTIFS(Data_RewardEvents!$B$2:$B$160,A101,Data_RewardEvents!$D$2:$D$160,"reward_pending")</f>
        <v>0</v>
      </c>
      <c r="S101" s="6" t="n">
        <f aca="false">COUNTIFS(Data_RewardEvents!$B$2:$B$160,A101,Data_RewardEvents!$D$2:$D$160,"reward_credited")</f>
        <v>0</v>
      </c>
      <c r="T101" s="6" t="n">
        <f aca="false">COUNTIFS(Data_RewardEvents!$B$2:$B$160,A101,Data_RewardEvents!$D$2:$D$160,"reward_reversed")</f>
        <v>0</v>
      </c>
      <c r="U101" s="6" t="n">
        <f aca="false">COUNTIFS(Data_RewardEvents!$B$2:$B$160,A101,Data_RewardEvents!$D$2:$D$160,"reward_corrected")</f>
        <v>0</v>
      </c>
      <c r="V101" s="6" t="n">
        <f aca="false">SUMIFS(Data_RewardEvents!$F$2:$F$160,Data_RewardEvents!$B$2:$B$160,A101,Data_RewardEvents!$D$2:$D$160,"reward_credited")+SUMIFS(Data_RewardEvents!$F$2:$F$160,Data_RewardEvents!$B$2:$B$160,A101,Data_RewardEvents!$D$2:$D$160,"reward_reversed")+SUMIFS(Data_RewardEvents!$F$2:$F$160,Data_RewardEvents!$B$2:$B$160,A101,Data_RewardEvents!$D$2:$D$160,"reward_corrected")</f>
        <v>0</v>
      </c>
      <c r="W101" s="16" t="str">
        <f aca="false">IF(S101&gt;0,_xlfn.MINIFS(Data_RewardEvents!$E$2:$E$160,Data_RewardEvents!$B$2:$B$160,A101,Data_RewardEvents!$D$2:$D$160,"reward_credited"),"")</f>
        <v/>
      </c>
      <c r="X101" s="17" t="str">
        <f aca="false">IF(W101="","",(W101-J101)*24)</f>
        <v/>
      </c>
      <c r="Y101" s="6" t="n">
        <f aca="false">IF(I101&lt;&gt;"",1,0)</f>
        <v>1</v>
      </c>
      <c r="Z101" s="6" t="n">
        <f aca="false">IF(K101="completed",1,0)</f>
        <v>0</v>
      </c>
      <c r="AA101" s="6" t="n">
        <f aca="false">IF(L101="validated",1,0)</f>
        <v>0</v>
      </c>
      <c r="AB101" s="6" t="n">
        <f aca="false">IF(S101&gt;0,1,0)</f>
        <v>0</v>
      </c>
    </row>
    <row r="102" customFormat="false" ht="15" hidden="false" customHeight="false" outlineLevel="0" collapsed="false">
      <c r="A102" s="6" t="s">
        <v>611</v>
      </c>
      <c r="B102" s="6" t="s">
        <v>370</v>
      </c>
      <c r="C102" s="6" t="s">
        <v>316</v>
      </c>
      <c r="D102" s="6" t="s">
        <v>612</v>
      </c>
      <c r="E102" s="6" t="s">
        <v>391</v>
      </c>
      <c r="F102" s="6" t="s">
        <v>158</v>
      </c>
      <c r="G102" s="6" t="s">
        <v>613</v>
      </c>
      <c r="H102" s="16" t="n">
        <v>46302.7777777778</v>
      </c>
      <c r="I102" s="16"/>
      <c r="J102" s="16"/>
      <c r="K102" s="6" t="s">
        <v>374</v>
      </c>
      <c r="L102" s="6"/>
      <c r="M102" s="6" t="n">
        <v>100</v>
      </c>
      <c r="N102" s="6" t="str">
        <f aca="false">README!$B$14</f>
        <v>points</v>
      </c>
      <c r="O102" s="6"/>
      <c r="P102" s="6"/>
      <c r="Q102" s="17" t="str">
        <f aca="false">IF(AND(I102&lt;&gt;"",J102&lt;&gt;""),(J102-I102)*1440,"")</f>
        <v/>
      </c>
      <c r="R102" s="6" t="n">
        <f aca="false">COUNTIFS(Data_RewardEvents!$B$2:$B$160,A102,Data_RewardEvents!$D$2:$D$160,"reward_pending")</f>
        <v>0</v>
      </c>
      <c r="S102" s="6" t="n">
        <f aca="false">COUNTIFS(Data_RewardEvents!$B$2:$B$160,A102,Data_RewardEvents!$D$2:$D$160,"reward_credited")</f>
        <v>0</v>
      </c>
      <c r="T102" s="6" t="n">
        <f aca="false">COUNTIFS(Data_RewardEvents!$B$2:$B$160,A102,Data_RewardEvents!$D$2:$D$160,"reward_reversed")</f>
        <v>0</v>
      </c>
      <c r="U102" s="6" t="n">
        <f aca="false">COUNTIFS(Data_RewardEvents!$B$2:$B$160,A102,Data_RewardEvents!$D$2:$D$160,"reward_corrected")</f>
        <v>0</v>
      </c>
      <c r="V102" s="6" t="n">
        <f aca="false">SUMIFS(Data_RewardEvents!$F$2:$F$160,Data_RewardEvents!$B$2:$B$160,A102,Data_RewardEvents!$D$2:$D$160,"reward_credited")+SUMIFS(Data_RewardEvents!$F$2:$F$160,Data_RewardEvents!$B$2:$B$160,A102,Data_RewardEvents!$D$2:$D$160,"reward_reversed")+SUMIFS(Data_RewardEvents!$F$2:$F$160,Data_RewardEvents!$B$2:$B$160,A102,Data_RewardEvents!$D$2:$D$160,"reward_corrected")</f>
        <v>0</v>
      </c>
      <c r="W102" s="16" t="str">
        <f aca="false">IF(S102&gt;0,_xlfn.MINIFS(Data_RewardEvents!$E$2:$E$160,Data_RewardEvents!$B$2:$B$160,A102,Data_RewardEvents!$D$2:$D$160,"reward_credited"),"")</f>
        <v/>
      </c>
      <c r="X102" s="17" t="str">
        <f aca="false">IF(W102="","",(W102-J102)*24)</f>
        <v/>
      </c>
      <c r="Y102" s="6" t="n">
        <f aca="false">IF(I102&lt;&gt;"",1,0)</f>
        <v>0</v>
      </c>
      <c r="Z102" s="6" t="n">
        <f aca="false">IF(K102="completed",1,0)</f>
        <v>0</v>
      </c>
      <c r="AA102" s="6" t="n">
        <f aca="false">IF(L102="validated",1,0)</f>
        <v>0</v>
      </c>
      <c r="AB102" s="6" t="n">
        <f aca="false">IF(S102&gt;0,1,0)</f>
        <v>0</v>
      </c>
    </row>
    <row r="103" customFormat="false" ht="15" hidden="false" customHeight="false" outlineLevel="0" collapsed="false">
      <c r="A103" s="6" t="s">
        <v>614</v>
      </c>
      <c r="B103" s="6" t="s">
        <v>403</v>
      </c>
      <c r="C103" s="6" t="s">
        <v>404</v>
      </c>
      <c r="D103" s="6" t="s">
        <v>615</v>
      </c>
      <c r="E103" s="6" t="s">
        <v>98</v>
      </c>
      <c r="F103" s="6" t="s">
        <v>406</v>
      </c>
      <c r="G103" s="6"/>
      <c r="H103" s="16" t="n">
        <v>46287.90625</v>
      </c>
      <c r="I103" s="16"/>
      <c r="J103" s="16"/>
      <c r="K103" s="6" t="s">
        <v>374</v>
      </c>
      <c r="L103" s="6"/>
      <c r="M103" s="6" t="n">
        <v>10</v>
      </c>
      <c r="N103" s="6" t="str">
        <f aca="false">README!$B$14</f>
        <v>points</v>
      </c>
      <c r="O103" s="6"/>
      <c r="P103" s="6"/>
      <c r="Q103" s="17" t="str">
        <f aca="false">IF(AND(I103&lt;&gt;"",J103&lt;&gt;""),(J103-I103)*1440,"")</f>
        <v/>
      </c>
      <c r="R103" s="6" t="n">
        <f aca="false">COUNTIFS(Data_RewardEvents!$B$2:$B$160,A103,Data_RewardEvents!$D$2:$D$160,"reward_pending")</f>
        <v>0</v>
      </c>
      <c r="S103" s="6" t="n">
        <f aca="false">COUNTIFS(Data_RewardEvents!$B$2:$B$160,A103,Data_RewardEvents!$D$2:$D$160,"reward_credited")</f>
        <v>0</v>
      </c>
      <c r="T103" s="6" t="n">
        <f aca="false">COUNTIFS(Data_RewardEvents!$B$2:$B$160,A103,Data_RewardEvents!$D$2:$D$160,"reward_reversed")</f>
        <v>0</v>
      </c>
      <c r="U103" s="6" t="n">
        <f aca="false">COUNTIFS(Data_RewardEvents!$B$2:$B$160,A103,Data_RewardEvents!$D$2:$D$160,"reward_corrected")</f>
        <v>0</v>
      </c>
      <c r="V103" s="6" t="n">
        <f aca="false">SUMIFS(Data_RewardEvents!$F$2:$F$160,Data_RewardEvents!$B$2:$B$160,A103,Data_RewardEvents!$D$2:$D$160,"reward_credited")+SUMIFS(Data_RewardEvents!$F$2:$F$160,Data_RewardEvents!$B$2:$B$160,A103,Data_RewardEvents!$D$2:$D$160,"reward_reversed")+SUMIFS(Data_RewardEvents!$F$2:$F$160,Data_RewardEvents!$B$2:$B$160,A103,Data_RewardEvents!$D$2:$D$160,"reward_corrected")</f>
        <v>0</v>
      </c>
      <c r="W103" s="16" t="str">
        <f aca="false">IF(S103&gt;0,_xlfn.MINIFS(Data_RewardEvents!$E$2:$E$160,Data_RewardEvents!$B$2:$B$160,A103,Data_RewardEvents!$D$2:$D$160,"reward_credited"),"")</f>
        <v/>
      </c>
      <c r="X103" s="17" t="str">
        <f aca="false">IF(W103="","",(W103-J103)*24)</f>
        <v/>
      </c>
      <c r="Y103" s="6" t="n">
        <f aca="false">IF(I103&lt;&gt;"",1,0)</f>
        <v>0</v>
      </c>
      <c r="Z103" s="6" t="n">
        <f aca="false">IF(K103="completed",1,0)</f>
        <v>0</v>
      </c>
      <c r="AA103" s="6" t="n">
        <f aca="false">IF(L103="validated",1,0)</f>
        <v>0</v>
      </c>
      <c r="AB103" s="6" t="n">
        <f aca="false">IF(S103&gt;0,1,0)</f>
        <v>0</v>
      </c>
    </row>
    <row r="104" customFormat="false" ht="15" hidden="false" customHeight="false" outlineLevel="0" collapsed="false">
      <c r="A104" s="6" t="s">
        <v>616</v>
      </c>
      <c r="B104" s="6" t="s">
        <v>376</v>
      </c>
      <c r="C104" s="6" t="s">
        <v>302</v>
      </c>
      <c r="D104" s="6" t="s">
        <v>461</v>
      </c>
      <c r="E104" s="6" t="s">
        <v>387</v>
      </c>
      <c r="F104" s="6" t="s">
        <v>158</v>
      </c>
      <c r="G104" s="6" t="s">
        <v>617</v>
      </c>
      <c r="H104" s="16" t="n">
        <v>46294.025</v>
      </c>
      <c r="I104" s="16" t="n">
        <v>46294.0347222222</v>
      </c>
      <c r="J104" s="16" t="n">
        <v>46294.035445883</v>
      </c>
      <c r="K104" s="6" t="s">
        <v>132</v>
      </c>
      <c r="L104" s="6" t="s">
        <v>137</v>
      </c>
      <c r="M104" s="6" t="n">
        <v>5</v>
      </c>
      <c r="N104" s="6" t="str">
        <f aca="false">README!$B$14</f>
        <v>points</v>
      </c>
      <c r="O104" s="6"/>
      <c r="P104" s="6"/>
      <c r="Q104" s="17" t="n">
        <f aca="false">IF(AND(I104&lt;&gt;"",J104&lt;&gt;""),(J104-I104)*1440,"")</f>
        <v>1.04207152035</v>
      </c>
      <c r="R104" s="6" t="n">
        <f aca="false">COUNTIFS(Data_RewardEvents!$B$2:$B$160,A104,Data_RewardEvents!$D$2:$D$160,"reward_pending")</f>
        <v>0</v>
      </c>
      <c r="S104" s="6" t="n">
        <f aca="false">COUNTIFS(Data_RewardEvents!$B$2:$B$160,A104,Data_RewardEvents!$D$2:$D$160,"reward_credited")</f>
        <v>1</v>
      </c>
      <c r="T104" s="6" t="n">
        <f aca="false">COUNTIFS(Data_RewardEvents!$B$2:$B$160,A104,Data_RewardEvents!$D$2:$D$160,"reward_reversed")</f>
        <v>0</v>
      </c>
      <c r="U104" s="6" t="n">
        <f aca="false">COUNTIFS(Data_RewardEvents!$B$2:$B$160,A104,Data_RewardEvents!$D$2:$D$160,"reward_corrected")</f>
        <v>0</v>
      </c>
      <c r="V104" s="6" t="n">
        <f aca="false">SUMIFS(Data_RewardEvents!$F$2:$F$160,Data_RewardEvents!$B$2:$B$160,A104,Data_RewardEvents!$D$2:$D$160,"reward_credited")+SUMIFS(Data_RewardEvents!$F$2:$F$160,Data_RewardEvents!$B$2:$B$160,A104,Data_RewardEvents!$D$2:$D$160,"reward_reversed")+SUMIFS(Data_RewardEvents!$F$2:$F$160,Data_RewardEvents!$B$2:$B$160,A104,Data_RewardEvents!$D$2:$D$160,"reward_corrected")</f>
        <v>5</v>
      </c>
      <c r="W104" s="16" t="n">
        <f aca="false">IF(S104&gt;0,_xlfn.MINIFS(Data_RewardEvents!$E$2:$E$160,Data_RewardEvents!$B$2:$B$160,A104,Data_RewardEvents!$D$2:$D$160,"reward_credited"),"")</f>
        <v>46294.0392752449</v>
      </c>
      <c r="X104" s="17" t="n">
        <f aca="false">IF(W104="","",(W104-J104)*24)</f>
        <v>0.0919046866472222</v>
      </c>
      <c r="Y104" s="6" t="n">
        <f aca="false">IF(I104&lt;&gt;"",1,0)</f>
        <v>1</v>
      </c>
      <c r="Z104" s="6" t="n">
        <f aca="false">IF(K104="completed",1,0)</f>
        <v>1</v>
      </c>
      <c r="AA104" s="6" t="n">
        <f aca="false">IF(L104="validated",1,0)</f>
        <v>1</v>
      </c>
      <c r="AB104" s="6" t="n">
        <f aca="false">IF(S104&gt;0,1,0)</f>
        <v>1</v>
      </c>
    </row>
    <row r="105" customFormat="false" ht="15" hidden="false" customHeight="false" outlineLevel="0" collapsed="false">
      <c r="A105" s="6" t="s">
        <v>618</v>
      </c>
      <c r="B105" s="6" t="s">
        <v>376</v>
      </c>
      <c r="C105" s="6" t="s">
        <v>302</v>
      </c>
      <c r="D105" s="6" t="s">
        <v>113</v>
      </c>
      <c r="E105" s="6" t="s">
        <v>387</v>
      </c>
      <c r="F105" s="6" t="s">
        <v>158</v>
      </c>
      <c r="G105" s="6" t="s">
        <v>619</v>
      </c>
      <c r="H105" s="16" t="n">
        <v>46297.4701388889</v>
      </c>
      <c r="I105" s="16" t="n">
        <v>46297.4861111111</v>
      </c>
      <c r="J105" s="16" t="n">
        <v>46297.4868222494</v>
      </c>
      <c r="K105" s="6" t="s">
        <v>132</v>
      </c>
      <c r="L105" s="6" t="s">
        <v>137</v>
      </c>
      <c r="M105" s="6" t="n">
        <v>5</v>
      </c>
      <c r="N105" s="6" t="str">
        <f aca="false">README!$B$14</f>
        <v>points</v>
      </c>
      <c r="O105" s="6"/>
      <c r="P105" s="6"/>
      <c r="Q105" s="17" t="n">
        <f aca="false">IF(AND(I105&lt;&gt;"",J105&lt;&gt;""),(J105-I105)*1440,"")</f>
        <v>1.02403913391667</v>
      </c>
      <c r="R105" s="6" t="n">
        <f aca="false">COUNTIFS(Data_RewardEvents!$B$2:$B$160,A105,Data_RewardEvents!$D$2:$D$160,"reward_pending")</f>
        <v>0</v>
      </c>
      <c r="S105" s="6" t="n">
        <f aca="false">COUNTIFS(Data_RewardEvents!$B$2:$B$160,A105,Data_RewardEvents!$D$2:$D$160,"reward_credited")</f>
        <v>1</v>
      </c>
      <c r="T105" s="6" t="n">
        <f aca="false">COUNTIFS(Data_RewardEvents!$B$2:$B$160,A105,Data_RewardEvents!$D$2:$D$160,"reward_reversed")</f>
        <v>0</v>
      </c>
      <c r="U105" s="6" t="n">
        <f aca="false">COUNTIFS(Data_RewardEvents!$B$2:$B$160,A105,Data_RewardEvents!$D$2:$D$160,"reward_corrected")</f>
        <v>0</v>
      </c>
      <c r="V105" s="6" t="n">
        <f aca="false">SUMIFS(Data_RewardEvents!$F$2:$F$160,Data_RewardEvents!$B$2:$B$160,A105,Data_RewardEvents!$D$2:$D$160,"reward_credited")+SUMIFS(Data_RewardEvents!$F$2:$F$160,Data_RewardEvents!$B$2:$B$160,A105,Data_RewardEvents!$D$2:$D$160,"reward_reversed")+SUMIFS(Data_RewardEvents!$F$2:$F$160,Data_RewardEvents!$B$2:$B$160,A105,Data_RewardEvents!$D$2:$D$160,"reward_corrected")</f>
        <v>5</v>
      </c>
      <c r="W105" s="16" t="n">
        <f aca="false">IF(S105&gt;0,_xlfn.MINIFS(Data_RewardEvents!$E$2:$E$160,Data_RewardEvents!$B$2:$B$160,A105,Data_RewardEvents!$D$2:$D$160,"reward_credited"),"")</f>
        <v>46297.488046803</v>
      </c>
      <c r="X105" s="17" t="n">
        <f aca="false">IF(W105="","",(W105-J105)*24)</f>
        <v>0.0293892853077778</v>
      </c>
      <c r="Y105" s="6" t="n">
        <f aca="false">IF(I105&lt;&gt;"",1,0)</f>
        <v>1</v>
      </c>
      <c r="Z105" s="6" t="n">
        <f aca="false">IF(K105="completed",1,0)</f>
        <v>1</v>
      </c>
      <c r="AA105" s="6" t="n">
        <f aca="false">IF(L105="validated",1,0)</f>
        <v>1</v>
      </c>
      <c r="AB105" s="6" t="n">
        <f aca="false">IF(S105&gt;0,1,0)</f>
        <v>1</v>
      </c>
    </row>
    <row r="106" customFormat="false" ht="15" hidden="false" customHeight="false" outlineLevel="0" collapsed="false">
      <c r="A106" s="6" t="s">
        <v>620</v>
      </c>
      <c r="B106" s="6" t="s">
        <v>365</v>
      </c>
      <c r="C106" s="6" t="s">
        <v>323</v>
      </c>
      <c r="D106" s="6" t="s">
        <v>430</v>
      </c>
      <c r="E106" s="6" t="s">
        <v>444</v>
      </c>
      <c r="F106" s="6" t="s">
        <v>158</v>
      </c>
      <c r="G106" s="6" t="s">
        <v>621</v>
      </c>
      <c r="H106" s="16" t="n">
        <v>46303.0555555556</v>
      </c>
      <c r="I106" s="16"/>
      <c r="J106" s="16"/>
      <c r="K106" s="6" t="s">
        <v>374</v>
      </c>
      <c r="L106" s="6"/>
      <c r="M106" s="6" t="n">
        <v>30</v>
      </c>
      <c r="N106" s="6" t="str">
        <f aca="false">README!$B$14</f>
        <v>points</v>
      </c>
      <c r="O106" s="6"/>
      <c r="P106" s="6"/>
      <c r="Q106" s="17" t="str">
        <f aca="false">IF(AND(I106&lt;&gt;"",J106&lt;&gt;""),(J106-I106)*1440,"")</f>
        <v/>
      </c>
      <c r="R106" s="6" t="n">
        <f aca="false">COUNTIFS(Data_RewardEvents!$B$2:$B$160,A106,Data_RewardEvents!$D$2:$D$160,"reward_pending")</f>
        <v>0</v>
      </c>
      <c r="S106" s="6" t="n">
        <f aca="false">COUNTIFS(Data_RewardEvents!$B$2:$B$160,A106,Data_RewardEvents!$D$2:$D$160,"reward_credited")</f>
        <v>0</v>
      </c>
      <c r="T106" s="6" t="n">
        <f aca="false">COUNTIFS(Data_RewardEvents!$B$2:$B$160,A106,Data_RewardEvents!$D$2:$D$160,"reward_reversed")</f>
        <v>0</v>
      </c>
      <c r="U106" s="6" t="n">
        <f aca="false">COUNTIFS(Data_RewardEvents!$B$2:$B$160,A106,Data_RewardEvents!$D$2:$D$160,"reward_corrected")</f>
        <v>0</v>
      </c>
      <c r="V106" s="6" t="n">
        <f aca="false">SUMIFS(Data_RewardEvents!$F$2:$F$160,Data_RewardEvents!$B$2:$B$160,A106,Data_RewardEvents!$D$2:$D$160,"reward_credited")+SUMIFS(Data_RewardEvents!$F$2:$F$160,Data_RewardEvents!$B$2:$B$160,A106,Data_RewardEvents!$D$2:$D$160,"reward_reversed")+SUMIFS(Data_RewardEvents!$F$2:$F$160,Data_RewardEvents!$B$2:$B$160,A106,Data_RewardEvents!$D$2:$D$160,"reward_corrected")</f>
        <v>0</v>
      </c>
      <c r="W106" s="16" t="str">
        <f aca="false">IF(S106&gt;0,_xlfn.MINIFS(Data_RewardEvents!$E$2:$E$160,Data_RewardEvents!$B$2:$B$160,A106,Data_RewardEvents!$D$2:$D$160,"reward_credited"),"")</f>
        <v/>
      </c>
      <c r="X106" s="17" t="str">
        <f aca="false">IF(W106="","",(W106-J106)*24)</f>
        <v/>
      </c>
      <c r="Y106" s="6" t="n">
        <f aca="false">IF(I106&lt;&gt;"",1,0)</f>
        <v>0</v>
      </c>
      <c r="Z106" s="6" t="n">
        <f aca="false">IF(K106="completed",1,0)</f>
        <v>0</v>
      </c>
      <c r="AA106" s="6" t="n">
        <f aca="false">IF(L106="validated",1,0)</f>
        <v>0</v>
      </c>
      <c r="AB106" s="6" t="n">
        <f aca="false">IF(S106&gt;0,1,0)</f>
        <v>0</v>
      </c>
    </row>
    <row r="107" customFormat="false" ht="15" hidden="false" customHeight="false" outlineLevel="0" collapsed="false">
      <c r="A107" s="6" t="s">
        <v>622</v>
      </c>
      <c r="B107" s="6" t="s">
        <v>403</v>
      </c>
      <c r="C107" s="6" t="s">
        <v>404</v>
      </c>
      <c r="D107" s="6" t="s">
        <v>405</v>
      </c>
      <c r="E107" s="6" t="s">
        <v>98</v>
      </c>
      <c r="F107" s="6" t="s">
        <v>406</v>
      </c>
      <c r="G107" s="6"/>
      <c r="H107" s="16" t="n">
        <v>46301.3465277778</v>
      </c>
      <c r="I107" s="16" t="n">
        <v>46301.3569444444</v>
      </c>
      <c r="J107" s="16" t="n">
        <v>46301.3603229446</v>
      </c>
      <c r="K107" s="6" t="s">
        <v>132</v>
      </c>
      <c r="L107" s="6" t="s">
        <v>137</v>
      </c>
      <c r="M107" s="6" t="n">
        <v>10</v>
      </c>
      <c r="N107" s="6" t="str">
        <f aca="false">README!$B$14</f>
        <v>points</v>
      </c>
      <c r="O107" s="6"/>
      <c r="P107" s="6"/>
      <c r="Q107" s="17" t="n">
        <f aca="false">IF(AND(I107&lt;&gt;"",J107&lt;&gt;""),(J107-I107)*1440,"")</f>
        <v>4.86504029016667</v>
      </c>
      <c r="R107" s="6" t="n">
        <f aca="false">COUNTIFS(Data_RewardEvents!$B$2:$B$160,A107,Data_RewardEvents!$D$2:$D$160,"reward_pending")</f>
        <v>0</v>
      </c>
      <c r="S107" s="6" t="n">
        <f aca="false">COUNTIFS(Data_RewardEvents!$B$2:$B$160,A107,Data_RewardEvents!$D$2:$D$160,"reward_credited")</f>
        <v>1</v>
      </c>
      <c r="T107" s="6" t="n">
        <f aca="false">COUNTIFS(Data_RewardEvents!$B$2:$B$160,A107,Data_RewardEvents!$D$2:$D$160,"reward_reversed")</f>
        <v>0</v>
      </c>
      <c r="U107" s="6" t="n">
        <f aca="false">COUNTIFS(Data_RewardEvents!$B$2:$B$160,A107,Data_RewardEvents!$D$2:$D$160,"reward_corrected")</f>
        <v>0</v>
      </c>
      <c r="V107" s="6" t="n">
        <f aca="false">SUMIFS(Data_RewardEvents!$F$2:$F$160,Data_RewardEvents!$B$2:$B$160,A107,Data_RewardEvents!$D$2:$D$160,"reward_credited")+SUMIFS(Data_RewardEvents!$F$2:$F$160,Data_RewardEvents!$B$2:$B$160,A107,Data_RewardEvents!$D$2:$D$160,"reward_reversed")+SUMIFS(Data_RewardEvents!$F$2:$F$160,Data_RewardEvents!$B$2:$B$160,A107,Data_RewardEvents!$D$2:$D$160,"reward_corrected")</f>
        <v>10</v>
      </c>
      <c r="W107" s="16" t="n">
        <f aca="false">IF(S107&gt;0,_xlfn.MINIFS(Data_RewardEvents!$E$2:$E$160,Data_RewardEvents!$B$2:$B$160,A107,Data_RewardEvents!$D$2:$D$160,"reward_credited"),"")</f>
        <v>46301.3624782014</v>
      </c>
      <c r="X107" s="17" t="n">
        <f aca="false">IF(W107="","",(W107-J107)*24)</f>
        <v>0.0517261623169444</v>
      </c>
      <c r="Y107" s="6" t="n">
        <f aca="false">IF(I107&lt;&gt;"",1,0)</f>
        <v>1</v>
      </c>
      <c r="Z107" s="6" t="n">
        <f aca="false">IF(K107="completed",1,0)</f>
        <v>1</v>
      </c>
      <c r="AA107" s="6" t="n">
        <f aca="false">IF(L107="validated",1,0)</f>
        <v>1</v>
      </c>
      <c r="AB107" s="6" t="n">
        <f aca="false">IF(S107&gt;0,1,0)</f>
        <v>1</v>
      </c>
    </row>
    <row r="108" customFormat="false" ht="15" hidden="false" customHeight="false" outlineLevel="0" collapsed="false">
      <c r="A108" s="6" t="s">
        <v>623</v>
      </c>
      <c r="B108" s="6" t="s">
        <v>381</v>
      </c>
      <c r="C108" s="6" t="s">
        <v>309</v>
      </c>
      <c r="D108" s="6" t="s">
        <v>582</v>
      </c>
      <c r="E108" s="6" t="s">
        <v>416</v>
      </c>
      <c r="F108" s="6" t="s">
        <v>158</v>
      </c>
      <c r="G108" s="6" t="s">
        <v>624</v>
      </c>
      <c r="H108" s="16" t="n">
        <v>46296.1652777778</v>
      </c>
      <c r="I108" s="16" t="n">
        <v>46296.1715277778</v>
      </c>
      <c r="J108" s="16" t="n">
        <v>46296.1796838463</v>
      </c>
      <c r="K108" s="6" t="s">
        <v>132</v>
      </c>
      <c r="L108" s="6" t="s">
        <v>137</v>
      </c>
      <c r="M108" s="6" t="n">
        <v>50</v>
      </c>
      <c r="N108" s="6" t="str">
        <f aca="false">README!$B$14</f>
        <v>points</v>
      </c>
      <c r="O108" s="6"/>
      <c r="P108" s="6"/>
      <c r="Q108" s="17" t="n">
        <f aca="false">IF(AND(I108&lt;&gt;"",J108&lt;&gt;""),(J108-I108)*1440,"")</f>
        <v>11.74473870195</v>
      </c>
      <c r="R108" s="6" t="n">
        <f aca="false">COUNTIFS(Data_RewardEvents!$B$2:$B$160,A108,Data_RewardEvents!$D$2:$D$160,"reward_pending")</f>
        <v>1</v>
      </c>
      <c r="S108" s="6" t="n">
        <f aca="false">COUNTIFS(Data_RewardEvents!$B$2:$B$160,A108,Data_RewardEvents!$D$2:$D$160,"reward_credited")</f>
        <v>1</v>
      </c>
      <c r="T108" s="6" t="n">
        <f aca="false">COUNTIFS(Data_RewardEvents!$B$2:$B$160,A108,Data_RewardEvents!$D$2:$D$160,"reward_reversed")</f>
        <v>0</v>
      </c>
      <c r="U108" s="6" t="n">
        <f aca="false">COUNTIFS(Data_RewardEvents!$B$2:$B$160,A108,Data_RewardEvents!$D$2:$D$160,"reward_corrected")</f>
        <v>0</v>
      </c>
      <c r="V108" s="6" t="n">
        <f aca="false">SUMIFS(Data_RewardEvents!$F$2:$F$160,Data_RewardEvents!$B$2:$B$160,A108,Data_RewardEvents!$D$2:$D$160,"reward_credited")+SUMIFS(Data_RewardEvents!$F$2:$F$160,Data_RewardEvents!$B$2:$B$160,A108,Data_RewardEvents!$D$2:$D$160,"reward_reversed")+SUMIFS(Data_RewardEvents!$F$2:$F$160,Data_RewardEvents!$B$2:$B$160,A108,Data_RewardEvents!$D$2:$D$160,"reward_corrected")</f>
        <v>50</v>
      </c>
      <c r="W108" s="16" t="n">
        <f aca="false">IF(S108&gt;0,_xlfn.MINIFS(Data_RewardEvents!$E$2:$E$160,Data_RewardEvents!$B$2:$B$160,A108,Data_RewardEvents!$D$2:$D$160,"reward_credited"),"")</f>
        <v>46298.4483783844</v>
      </c>
      <c r="X108" s="17" t="n">
        <f aca="false">IF(W108="","",(W108-J108)*24)</f>
        <v>54.4486689143814</v>
      </c>
      <c r="Y108" s="6" t="n">
        <f aca="false">IF(I108&lt;&gt;"",1,0)</f>
        <v>1</v>
      </c>
      <c r="Z108" s="6" t="n">
        <f aca="false">IF(K108="completed",1,0)</f>
        <v>1</v>
      </c>
      <c r="AA108" s="6" t="n">
        <f aca="false">IF(L108="validated",1,0)</f>
        <v>1</v>
      </c>
      <c r="AB108" s="6" t="n">
        <f aca="false">IF(S108&gt;0,1,0)</f>
        <v>1</v>
      </c>
    </row>
    <row r="109" customFormat="false" ht="15" hidden="false" customHeight="false" outlineLevel="0" collapsed="false">
      <c r="A109" s="6" t="s">
        <v>625</v>
      </c>
      <c r="B109" s="6" t="s">
        <v>365</v>
      </c>
      <c r="C109" s="6" t="s">
        <v>323</v>
      </c>
      <c r="D109" s="6" t="s">
        <v>612</v>
      </c>
      <c r="E109" s="6" t="s">
        <v>367</v>
      </c>
      <c r="F109" s="6" t="s">
        <v>158</v>
      </c>
      <c r="G109" s="6" t="s">
        <v>626</v>
      </c>
      <c r="H109" s="16" t="n">
        <v>46289.0979166667</v>
      </c>
      <c r="I109" s="16"/>
      <c r="J109" s="16"/>
      <c r="K109" s="6" t="s">
        <v>374</v>
      </c>
      <c r="L109" s="6"/>
      <c r="M109" s="6" t="n">
        <v>30</v>
      </c>
      <c r="N109" s="6" t="str">
        <f aca="false">README!$B$14</f>
        <v>points</v>
      </c>
      <c r="O109" s="6"/>
      <c r="P109" s="6"/>
      <c r="Q109" s="17" t="str">
        <f aca="false">IF(AND(I109&lt;&gt;"",J109&lt;&gt;""),(J109-I109)*1440,"")</f>
        <v/>
      </c>
      <c r="R109" s="6" t="n">
        <f aca="false">COUNTIFS(Data_RewardEvents!$B$2:$B$160,A109,Data_RewardEvents!$D$2:$D$160,"reward_pending")</f>
        <v>0</v>
      </c>
      <c r="S109" s="6" t="n">
        <f aca="false">COUNTIFS(Data_RewardEvents!$B$2:$B$160,A109,Data_RewardEvents!$D$2:$D$160,"reward_credited")</f>
        <v>0</v>
      </c>
      <c r="T109" s="6" t="n">
        <f aca="false">COUNTIFS(Data_RewardEvents!$B$2:$B$160,A109,Data_RewardEvents!$D$2:$D$160,"reward_reversed")</f>
        <v>0</v>
      </c>
      <c r="U109" s="6" t="n">
        <f aca="false">COUNTIFS(Data_RewardEvents!$B$2:$B$160,A109,Data_RewardEvents!$D$2:$D$160,"reward_corrected")</f>
        <v>0</v>
      </c>
      <c r="V109" s="6" t="n">
        <f aca="false">SUMIFS(Data_RewardEvents!$F$2:$F$160,Data_RewardEvents!$B$2:$B$160,A109,Data_RewardEvents!$D$2:$D$160,"reward_credited")+SUMIFS(Data_RewardEvents!$F$2:$F$160,Data_RewardEvents!$B$2:$B$160,A109,Data_RewardEvents!$D$2:$D$160,"reward_reversed")+SUMIFS(Data_RewardEvents!$F$2:$F$160,Data_RewardEvents!$B$2:$B$160,A109,Data_RewardEvents!$D$2:$D$160,"reward_corrected")</f>
        <v>0</v>
      </c>
      <c r="W109" s="16" t="str">
        <f aca="false">IF(S109&gt;0,_xlfn.MINIFS(Data_RewardEvents!$E$2:$E$160,Data_RewardEvents!$B$2:$B$160,A109,Data_RewardEvents!$D$2:$D$160,"reward_credited"),"")</f>
        <v/>
      </c>
      <c r="X109" s="17" t="str">
        <f aca="false">IF(W109="","",(W109-J109)*24)</f>
        <v/>
      </c>
      <c r="Y109" s="6" t="n">
        <f aca="false">IF(I109&lt;&gt;"",1,0)</f>
        <v>0</v>
      </c>
      <c r="Z109" s="6" t="n">
        <f aca="false">IF(K109="completed",1,0)</f>
        <v>0</v>
      </c>
      <c r="AA109" s="6" t="n">
        <f aca="false">IF(L109="validated",1,0)</f>
        <v>0</v>
      </c>
      <c r="AB109" s="6" t="n">
        <f aca="false">IF(S109&gt;0,1,0)</f>
        <v>0</v>
      </c>
    </row>
    <row r="110" customFormat="false" ht="15" hidden="false" customHeight="false" outlineLevel="0" collapsed="false">
      <c r="A110" s="6" t="s">
        <v>627</v>
      </c>
      <c r="B110" s="6" t="s">
        <v>370</v>
      </c>
      <c r="C110" s="6" t="s">
        <v>316</v>
      </c>
      <c r="D110" s="6" t="s">
        <v>458</v>
      </c>
      <c r="E110" s="6" t="s">
        <v>372</v>
      </c>
      <c r="F110" s="6" t="s">
        <v>158</v>
      </c>
      <c r="G110" s="6" t="s">
        <v>628</v>
      </c>
      <c r="H110" s="16" t="n">
        <v>46294.8923611111</v>
      </c>
      <c r="I110" s="16" t="n">
        <v>46294.9006944444</v>
      </c>
      <c r="J110" s="16" t="n">
        <v>46295.2191799073</v>
      </c>
      <c r="K110" s="6" t="s">
        <v>132</v>
      </c>
      <c r="L110" s="6" t="s">
        <v>137</v>
      </c>
      <c r="M110" s="6" t="n">
        <v>100</v>
      </c>
      <c r="N110" s="6" t="str">
        <f aca="false">README!$B$14</f>
        <v>points</v>
      </c>
      <c r="O110" s="6"/>
      <c r="P110" s="6"/>
      <c r="Q110" s="17" t="n">
        <f aca="false">IF(AND(I110&lt;&gt;"",J110&lt;&gt;""),(J110-I110)*1440,"")</f>
        <v>458.619066565283</v>
      </c>
      <c r="R110" s="6" t="n">
        <f aca="false">COUNTIFS(Data_RewardEvents!$B$2:$B$160,A110,Data_RewardEvents!$D$2:$D$160,"reward_pending")</f>
        <v>1</v>
      </c>
      <c r="S110" s="6" t="n">
        <f aca="false">COUNTIFS(Data_RewardEvents!$B$2:$B$160,A110,Data_RewardEvents!$D$2:$D$160,"reward_credited")</f>
        <v>1</v>
      </c>
      <c r="T110" s="6" t="n">
        <f aca="false">COUNTIFS(Data_RewardEvents!$B$2:$B$160,A110,Data_RewardEvents!$D$2:$D$160,"reward_reversed")</f>
        <v>0</v>
      </c>
      <c r="U110" s="6" t="n">
        <f aca="false">COUNTIFS(Data_RewardEvents!$B$2:$B$160,A110,Data_RewardEvents!$D$2:$D$160,"reward_corrected")</f>
        <v>0</v>
      </c>
      <c r="V110" s="6" t="n">
        <f aca="false">SUMIFS(Data_RewardEvents!$F$2:$F$160,Data_RewardEvents!$B$2:$B$160,A110,Data_RewardEvents!$D$2:$D$160,"reward_credited")+SUMIFS(Data_RewardEvents!$F$2:$F$160,Data_RewardEvents!$B$2:$B$160,A110,Data_RewardEvents!$D$2:$D$160,"reward_reversed")+SUMIFS(Data_RewardEvents!$F$2:$F$160,Data_RewardEvents!$B$2:$B$160,A110,Data_RewardEvents!$D$2:$D$160,"reward_corrected")</f>
        <v>100</v>
      </c>
      <c r="W110" s="16" t="n">
        <f aca="false">IF(S110&gt;0,_xlfn.MINIFS(Data_RewardEvents!$E$2:$E$160,Data_RewardEvents!$B$2:$B$160,A110,Data_RewardEvents!$D$2:$D$160,"reward_credited"),"")</f>
        <v>46297.0244837807</v>
      </c>
      <c r="X110" s="17" t="n">
        <f aca="false">IF(W110="","",(W110-J110)*24)</f>
        <v>43.3272929612431</v>
      </c>
      <c r="Y110" s="6" t="n">
        <f aca="false">IF(I110&lt;&gt;"",1,0)</f>
        <v>1</v>
      </c>
      <c r="Z110" s="6" t="n">
        <f aca="false">IF(K110="completed",1,0)</f>
        <v>1</v>
      </c>
      <c r="AA110" s="6" t="n">
        <f aca="false">IF(L110="validated",1,0)</f>
        <v>1</v>
      </c>
      <c r="AB110" s="6" t="n">
        <f aca="false">IF(S110&gt;0,1,0)</f>
        <v>1</v>
      </c>
    </row>
    <row r="111" customFormat="false" ht="15" hidden="false" customHeight="false" outlineLevel="0" collapsed="false">
      <c r="A111" s="6" t="s">
        <v>629</v>
      </c>
      <c r="B111" s="6" t="s">
        <v>376</v>
      </c>
      <c r="C111" s="6" t="s">
        <v>302</v>
      </c>
      <c r="D111" s="6" t="s">
        <v>605</v>
      </c>
      <c r="E111" s="6" t="s">
        <v>378</v>
      </c>
      <c r="F111" s="6" t="s">
        <v>158</v>
      </c>
      <c r="G111" s="6" t="s">
        <v>630</v>
      </c>
      <c r="H111" s="16" t="n">
        <v>46303.7</v>
      </c>
      <c r="I111" s="16"/>
      <c r="J111" s="16"/>
      <c r="K111" s="6" t="s">
        <v>374</v>
      </c>
      <c r="L111" s="6"/>
      <c r="M111" s="6" t="n">
        <v>5</v>
      </c>
      <c r="N111" s="6" t="str">
        <f aca="false">README!$B$14</f>
        <v>points</v>
      </c>
      <c r="O111" s="6"/>
      <c r="P111" s="6"/>
      <c r="Q111" s="17" t="str">
        <f aca="false">IF(AND(I111&lt;&gt;"",J111&lt;&gt;""),(J111-I111)*1440,"")</f>
        <v/>
      </c>
      <c r="R111" s="6" t="n">
        <f aca="false">COUNTIFS(Data_RewardEvents!$B$2:$B$160,A111,Data_RewardEvents!$D$2:$D$160,"reward_pending")</f>
        <v>0</v>
      </c>
      <c r="S111" s="6" t="n">
        <f aca="false">COUNTIFS(Data_RewardEvents!$B$2:$B$160,A111,Data_RewardEvents!$D$2:$D$160,"reward_credited")</f>
        <v>0</v>
      </c>
      <c r="T111" s="6" t="n">
        <f aca="false">COUNTIFS(Data_RewardEvents!$B$2:$B$160,A111,Data_RewardEvents!$D$2:$D$160,"reward_reversed")</f>
        <v>0</v>
      </c>
      <c r="U111" s="6" t="n">
        <f aca="false">COUNTIFS(Data_RewardEvents!$B$2:$B$160,A111,Data_RewardEvents!$D$2:$D$160,"reward_corrected")</f>
        <v>0</v>
      </c>
      <c r="V111" s="6" t="n">
        <f aca="false">SUMIFS(Data_RewardEvents!$F$2:$F$160,Data_RewardEvents!$B$2:$B$160,A111,Data_RewardEvents!$D$2:$D$160,"reward_credited")+SUMIFS(Data_RewardEvents!$F$2:$F$160,Data_RewardEvents!$B$2:$B$160,A111,Data_RewardEvents!$D$2:$D$160,"reward_reversed")+SUMIFS(Data_RewardEvents!$F$2:$F$160,Data_RewardEvents!$B$2:$B$160,A111,Data_RewardEvents!$D$2:$D$160,"reward_corrected")</f>
        <v>0</v>
      </c>
      <c r="W111" s="16" t="str">
        <f aca="false">IF(S111&gt;0,_xlfn.MINIFS(Data_RewardEvents!$E$2:$E$160,Data_RewardEvents!$B$2:$B$160,A111,Data_RewardEvents!$D$2:$D$160,"reward_credited"),"")</f>
        <v/>
      </c>
      <c r="X111" s="17" t="str">
        <f aca="false">IF(W111="","",(W111-J111)*24)</f>
        <v/>
      </c>
      <c r="Y111" s="6" t="n">
        <f aca="false">IF(I111&lt;&gt;"",1,0)</f>
        <v>0</v>
      </c>
      <c r="Z111" s="6" t="n">
        <f aca="false">IF(K111="completed",1,0)</f>
        <v>0</v>
      </c>
      <c r="AA111" s="6" t="n">
        <f aca="false">IF(L111="validated",1,0)</f>
        <v>0</v>
      </c>
      <c r="AB111" s="6" t="n">
        <f aca="false">IF(S111&gt;0,1,0)</f>
        <v>0</v>
      </c>
    </row>
    <row r="112" customFormat="false" ht="15" hidden="false" customHeight="false" outlineLevel="0" collapsed="false">
      <c r="A112" s="6" t="s">
        <v>631</v>
      </c>
      <c r="B112" s="6" t="s">
        <v>403</v>
      </c>
      <c r="C112" s="6" t="s">
        <v>404</v>
      </c>
      <c r="D112" s="6" t="s">
        <v>632</v>
      </c>
      <c r="E112" s="6" t="s">
        <v>98</v>
      </c>
      <c r="F112" s="6" t="s">
        <v>406</v>
      </c>
      <c r="G112" s="6"/>
      <c r="H112" s="16" t="n">
        <v>46294.8381944444</v>
      </c>
      <c r="I112" s="16" t="n">
        <v>46294.8506944445</v>
      </c>
      <c r="J112" s="16" t="n">
        <v>46294.8523679767</v>
      </c>
      <c r="K112" s="6" t="s">
        <v>132</v>
      </c>
      <c r="L112" s="6" t="s">
        <v>137</v>
      </c>
      <c r="M112" s="6" t="n">
        <v>10</v>
      </c>
      <c r="N112" s="6" t="str">
        <f aca="false">README!$B$14</f>
        <v>points</v>
      </c>
      <c r="O112" s="6"/>
      <c r="P112" s="6"/>
      <c r="Q112" s="17" t="n">
        <f aca="false">IF(AND(I112&lt;&gt;"",J112&lt;&gt;""),(J112-I112)*1440,"")</f>
        <v>2.40988645003333</v>
      </c>
      <c r="R112" s="6" t="n">
        <f aca="false">COUNTIFS(Data_RewardEvents!$B$2:$B$160,A112,Data_RewardEvents!$D$2:$D$160,"reward_pending")</f>
        <v>0</v>
      </c>
      <c r="S112" s="6" t="n">
        <f aca="false">COUNTIFS(Data_RewardEvents!$B$2:$B$160,A112,Data_RewardEvents!$D$2:$D$160,"reward_credited")</f>
        <v>1</v>
      </c>
      <c r="T112" s="6" t="n">
        <f aca="false">COUNTIFS(Data_RewardEvents!$B$2:$B$160,A112,Data_RewardEvents!$D$2:$D$160,"reward_reversed")</f>
        <v>0</v>
      </c>
      <c r="U112" s="6" t="n">
        <f aca="false">COUNTIFS(Data_RewardEvents!$B$2:$B$160,A112,Data_RewardEvents!$D$2:$D$160,"reward_corrected")</f>
        <v>0</v>
      </c>
      <c r="V112" s="6" t="n">
        <f aca="false">SUMIFS(Data_RewardEvents!$F$2:$F$160,Data_RewardEvents!$B$2:$B$160,A112,Data_RewardEvents!$D$2:$D$160,"reward_credited")+SUMIFS(Data_RewardEvents!$F$2:$F$160,Data_RewardEvents!$B$2:$B$160,A112,Data_RewardEvents!$D$2:$D$160,"reward_reversed")+SUMIFS(Data_RewardEvents!$F$2:$F$160,Data_RewardEvents!$B$2:$B$160,A112,Data_RewardEvents!$D$2:$D$160,"reward_corrected")</f>
        <v>10</v>
      </c>
      <c r="W112" s="16" t="n">
        <f aca="false">IF(S112&gt;0,_xlfn.MINIFS(Data_RewardEvents!$E$2:$E$160,Data_RewardEvents!$B$2:$B$160,A112,Data_RewardEvents!$D$2:$D$160,"reward_credited"),"")</f>
        <v>46294.8570722747</v>
      </c>
      <c r="X112" s="17" t="n">
        <f aca="false">IF(W112="","",(W112-J112)*24)</f>
        <v>0.112903152185</v>
      </c>
      <c r="Y112" s="6" t="n">
        <f aca="false">IF(I112&lt;&gt;"",1,0)</f>
        <v>1</v>
      </c>
      <c r="Z112" s="6" t="n">
        <f aca="false">IF(K112="completed",1,0)</f>
        <v>1</v>
      </c>
      <c r="AA112" s="6" t="n">
        <f aca="false">IF(L112="validated",1,0)</f>
        <v>1</v>
      </c>
      <c r="AB112" s="6" t="n">
        <f aca="false">IF(S112&gt;0,1,0)</f>
        <v>1</v>
      </c>
    </row>
    <row r="113" customFormat="false" ht="15" hidden="false" customHeight="false" outlineLevel="0" collapsed="false">
      <c r="A113" s="6" t="s">
        <v>633</v>
      </c>
      <c r="B113" s="6" t="s">
        <v>365</v>
      </c>
      <c r="C113" s="6" t="s">
        <v>323</v>
      </c>
      <c r="D113" s="6" t="s">
        <v>424</v>
      </c>
      <c r="E113" s="6" t="s">
        <v>367</v>
      </c>
      <c r="F113" s="6" t="s">
        <v>158</v>
      </c>
      <c r="G113" s="6" t="s">
        <v>634</v>
      </c>
      <c r="H113" s="16" t="n">
        <v>46294.1180555556</v>
      </c>
      <c r="I113" s="16" t="n">
        <v>46294.1340277778</v>
      </c>
      <c r="J113" s="16" t="n">
        <v>46294.1442852332</v>
      </c>
      <c r="K113" s="6" t="s">
        <v>132</v>
      </c>
      <c r="L113" s="6" t="s">
        <v>137</v>
      </c>
      <c r="M113" s="6" t="n">
        <v>30</v>
      </c>
      <c r="N113" s="6" t="str">
        <f aca="false">README!$B$14</f>
        <v>points</v>
      </c>
      <c r="O113" s="6"/>
      <c r="P113" s="6"/>
      <c r="Q113" s="17" t="n">
        <f aca="false">IF(AND(I113&lt;&gt;"",J113&lt;&gt;""),(J113-I113)*1440,"")</f>
        <v>14.7707358025833</v>
      </c>
      <c r="R113" s="6" t="n">
        <f aca="false">COUNTIFS(Data_RewardEvents!$B$2:$B$160,A113,Data_RewardEvents!$D$2:$D$160,"reward_pending")</f>
        <v>1</v>
      </c>
      <c r="S113" s="6" t="n">
        <f aca="false">COUNTIFS(Data_RewardEvents!$B$2:$B$160,A113,Data_RewardEvents!$D$2:$D$160,"reward_credited")</f>
        <v>1</v>
      </c>
      <c r="T113" s="6" t="n">
        <f aca="false">COUNTIFS(Data_RewardEvents!$B$2:$B$160,A113,Data_RewardEvents!$D$2:$D$160,"reward_reversed")</f>
        <v>0</v>
      </c>
      <c r="U113" s="6" t="n">
        <f aca="false">COUNTIFS(Data_RewardEvents!$B$2:$B$160,A113,Data_RewardEvents!$D$2:$D$160,"reward_corrected")</f>
        <v>0</v>
      </c>
      <c r="V113" s="6" t="n">
        <f aca="false">SUMIFS(Data_RewardEvents!$F$2:$F$160,Data_RewardEvents!$B$2:$B$160,A113,Data_RewardEvents!$D$2:$D$160,"reward_credited")+SUMIFS(Data_RewardEvents!$F$2:$F$160,Data_RewardEvents!$B$2:$B$160,A113,Data_RewardEvents!$D$2:$D$160,"reward_reversed")+SUMIFS(Data_RewardEvents!$F$2:$F$160,Data_RewardEvents!$B$2:$B$160,A113,Data_RewardEvents!$D$2:$D$160,"reward_corrected")</f>
        <v>30</v>
      </c>
      <c r="W113" s="16" t="n">
        <f aca="false">IF(S113&gt;0,_xlfn.MINIFS(Data_RewardEvents!$E$2:$E$160,Data_RewardEvents!$B$2:$B$160,A113,Data_RewardEvents!$D$2:$D$160,"reward_credited"),"")</f>
        <v>46296.2574417143</v>
      </c>
      <c r="X113" s="17" t="n">
        <f aca="false">IF(W113="","",(W113-J113)*24)</f>
        <v>50.7157555469311</v>
      </c>
      <c r="Y113" s="6" t="n">
        <f aca="false">IF(I113&lt;&gt;"",1,0)</f>
        <v>1</v>
      </c>
      <c r="Z113" s="6" t="n">
        <f aca="false">IF(K113="completed",1,0)</f>
        <v>1</v>
      </c>
      <c r="AA113" s="6" t="n">
        <f aca="false">IF(L113="validated",1,0)</f>
        <v>1</v>
      </c>
      <c r="AB113" s="6" t="n">
        <f aca="false">IF(S113&gt;0,1,0)</f>
        <v>1</v>
      </c>
    </row>
    <row r="114" customFormat="false" ht="15" hidden="false" customHeight="false" outlineLevel="0" collapsed="false">
      <c r="A114" s="6" t="s">
        <v>635</v>
      </c>
      <c r="B114" s="6" t="s">
        <v>381</v>
      </c>
      <c r="C114" s="6" t="s">
        <v>309</v>
      </c>
      <c r="D114" s="6" t="s">
        <v>582</v>
      </c>
      <c r="E114" s="6" t="s">
        <v>383</v>
      </c>
      <c r="F114" s="6" t="s">
        <v>158</v>
      </c>
      <c r="G114" s="6" t="s">
        <v>636</v>
      </c>
      <c r="H114" s="16" t="n">
        <v>46299.2319444444</v>
      </c>
      <c r="I114" s="16" t="n">
        <v>46299.2340277778</v>
      </c>
      <c r="J114" s="16" t="n">
        <v>46299.2472525755</v>
      </c>
      <c r="K114" s="6" t="s">
        <v>132</v>
      </c>
      <c r="L114" s="6" t="s">
        <v>280</v>
      </c>
      <c r="M114" s="6" t="n">
        <v>50</v>
      </c>
      <c r="N114" s="6" t="str">
        <f aca="false">README!$B$14</f>
        <v>points</v>
      </c>
      <c r="O114" s="6" t="s">
        <v>198</v>
      </c>
      <c r="P114" s="6" t="s">
        <v>98</v>
      </c>
      <c r="Q114" s="17" t="n">
        <f aca="false">IF(AND(I114&lt;&gt;"",J114&lt;&gt;""),(J114-I114)*1440,"")</f>
        <v>19.04370877425</v>
      </c>
      <c r="R114" s="6" t="n">
        <f aca="false">COUNTIFS(Data_RewardEvents!$B$2:$B$160,A114,Data_RewardEvents!$D$2:$D$160,"reward_pending")</f>
        <v>0</v>
      </c>
      <c r="S114" s="6" t="n">
        <f aca="false">COUNTIFS(Data_RewardEvents!$B$2:$B$160,A114,Data_RewardEvents!$D$2:$D$160,"reward_credited")</f>
        <v>0</v>
      </c>
      <c r="T114" s="6" t="n">
        <f aca="false">COUNTIFS(Data_RewardEvents!$B$2:$B$160,A114,Data_RewardEvents!$D$2:$D$160,"reward_reversed")</f>
        <v>0</v>
      </c>
      <c r="U114" s="6" t="n">
        <f aca="false">COUNTIFS(Data_RewardEvents!$B$2:$B$160,A114,Data_RewardEvents!$D$2:$D$160,"reward_corrected")</f>
        <v>0</v>
      </c>
      <c r="V114" s="6" t="n">
        <f aca="false">SUMIFS(Data_RewardEvents!$F$2:$F$160,Data_RewardEvents!$B$2:$B$160,A114,Data_RewardEvents!$D$2:$D$160,"reward_credited")+SUMIFS(Data_RewardEvents!$F$2:$F$160,Data_RewardEvents!$B$2:$B$160,A114,Data_RewardEvents!$D$2:$D$160,"reward_reversed")+SUMIFS(Data_RewardEvents!$F$2:$F$160,Data_RewardEvents!$B$2:$B$160,A114,Data_RewardEvents!$D$2:$D$160,"reward_corrected")</f>
        <v>0</v>
      </c>
      <c r="W114" s="16" t="str">
        <f aca="false">IF(S114&gt;0,_xlfn.MINIFS(Data_RewardEvents!$E$2:$E$160,Data_RewardEvents!$B$2:$B$160,A114,Data_RewardEvents!$D$2:$D$160,"reward_credited"),"")</f>
        <v/>
      </c>
      <c r="X114" s="17" t="str">
        <f aca="false">IF(W114="","",(W114-J114)*24)</f>
        <v/>
      </c>
      <c r="Y114" s="6" t="n">
        <f aca="false">IF(I114&lt;&gt;"",1,0)</f>
        <v>1</v>
      </c>
      <c r="Z114" s="6" t="n">
        <f aca="false">IF(K114="completed",1,0)</f>
        <v>1</v>
      </c>
      <c r="AA114" s="6" t="n">
        <f aca="false">IF(L114="validated",1,0)</f>
        <v>0</v>
      </c>
      <c r="AB114" s="6" t="n">
        <f aca="false">IF(S114&gt;0,1,0)</f>
        <v>0</v>
      </c>
    </row>
    <row r="115" customFormat="false" ht="15" hidden="false" customHeight="false" outlineLevel="0" collapsed="false">
      <c r="A115" s="6" t="s">
        <v>637</v>
      </c>
      <c r="B115" s="6" t="s">
        <v>381</v>
      </c>
      <c r="C115" s="6" t="s">
        <v>309</v>
      </c>
      <c r="D115" s="6" t="s">
        <v>424</v>
      </c>
      <c r="E115" s="6" t="s">
        <v>383</v>
      </c>
      <c r="F115" s="6" t="s">
        <v>158</v>
      </c>
      <c r="G115" s="6" t="s">
        <v>638</v>
      </c>
      <c r="H115" s="16" t="n">
        <v>46304.1833333333</v>
      </c>
      <c r="I115" s="16" t="n">
        <v>46304.1965277778</v>
      </c>
      <c r="J115" s="16"/>
      <c r="K115" s="6" t="s">
        <v>448</v>
      </c>
      <c r="L115" s="6"/>
      <c r="M115" s="6" t="n">
        <v>50</v>
      </c>
      <c r="N115" s="6" t="str">
        <f aca="false">README!$B$14</f>
        <v>points</v>
      </c>
      <c r="O115" s="6" t="s">
        <v>185</v>
      </c>
      <c r="P115" s="6" t="s">
        <v>207</v>
      </c>
      <c r="Q115" s="17" t="str">
        <f aca="false">IF(AND(I115&lt;&gt;"",J115&lt;&gt;""),(J115-I115)*1440,"")</f>
        <v/>
      </c>
      <c r="R115" s="6" t="n">
        <f aca="false">COUNTIFS(Data_RewardEvents!$B$2:$B$160,A115,Data_RewardEvents!$D$2:$D$160,"reward_pending")</f>
        <v>0</v>
      </c>
      <c r="S115" s="6" t="n">
        <f aca="false">COUNTIFS(Data_RewardEvents!$B$2:$B$160,A115,Data_RewardEvents!$D$2:$D$160,"reward_credited")</f>
        <v>0</v>
      </c>
      <c r="T115" s="6" t="n">
        <f aca="false">COUNTIFS(Data_RewardEvents!$B$2:$B$160,A115,Data_RewardEvents!$D$2:$D$160,"reward_reversed")</f>
        <v>0</v>
      </c>
      <c r="U115" s="6" t="n">
        <f aca="false">COUNTIFS(Data_RewardEvents!$B$2:$B$160,A115,Data_RewardEvents!$D$2:$D$160,"reward_corrected")</f>
        <v>0</v>
      </c>
      <c r="V115" s="6" t="n">
        <f aca="false">SUMIFS(Data_RewardEvents!$F$2:$F$160,Data_RewardEvents!$B$2:$B$160,A115,Data_RewardEvents!$D$2:$D$160,"reward_credited")+SUMIFS(Data_RewardEvents!$F$2:$F$160,Data_RewardEvents!$B$2:$B$160,A115,Data_RewardEvents!$D$2:$D$160,"reward_reversed")+SUMIFS(Data_RewardEvents!$F$2:$F$160,Data_RewardEvents!$B$2:$B$160,A115,Data_RewardEvents!$D$2:$D$160,"reward_corrected")</f>
        <v>0</v>
      </c>
      <c r="W115" s="16" t="str">
        <f aca="false">IF(S115&gt;0,_xlfn.MINIFS(Data_RewardEvents!$E$2:$E$160,Data_RewardEvents!$B$2:$B$160,A115,Data_RewardEvents!$D$2:$D$160,"reward_credited"),"")</f>
        <v/>
      </c>
      <c r="X115" s="17" t="str">
        <f aca="false">IF(W115="","",(W115-J115)*24)</f>
        <v/>
      </c>
      <c r="Y115" s="6" t="n">
        <f aca="false">IF(I115&lt;&gt;"",1,0)</f>
        <v>1</v>
      </c>
      <c r="Z115" s="6" t="n">
        <f aca="false">IF(K115="completed",1,0)</f>
        <v>0</v>
      </c>
      <c r="AA115" s="6" t="n">
        <f aca="false">IF(L115="validated",1,0)</f>
        <v>0</v>
      </c>
      <c r="AB115" s="6" t="n">
        <f aca="false">IF(S115&gt;0,1,0)</f>
        <v>0</v>
      </c>
    </row>
    <row r="116" customFormat="false" ht="15" hidden="false" customHeight="false" outlineLevel="0" collapsed="false">
      <c r="A116" s="6" t="s">
        <v>639</v>
      </c>
      <c r="B116" s="6" t="s">
        <v>381</v>
      </c>
      <c r="C116" s="6" t="s">
        <v>309</v>
      </c>
      <c r="D116" s="6" t="s">
        <v>443</v>
      </c>
      <c r="E116" s="6" t="s">
        <v>383</v>
      </c>
      <c r="F116" s="6" t="s">
        <v>158</v>
      </c>
      <c r="G116" s="6" t="s">
        <v>640</v>
      </c>
      <c r="H116" s="16" t="n">
        <v>46302.7826388889</v>
      </c>
      <c r="I116" s="16" t="n">
        <v>46302.8020833333</v>
      </c>
      <c r="J116" s="16"/>
      <c r="K116" s="6" t="s">
        <v>419</v>
      </c>
      <c r="L116" s="6"/>
      <c r="M116" s="6" t="n">
        <v>50</v>
      </c>
      <c r="N116" s="6" t="str">
        <f aca="false">README!$B$14</f>
        <v>points</v>
      </c>
      <c r="O116" s="6" t="s">
        <v>204</v>
      </c>
      <c r="P116" s="6" t="s">
        <v>207</v>
      </c>
      <c r="Q116" s="17" t="str">
        <f aca="false">IF(AND(I116&lt;&gt;"",J116&lt;&gt;""),(J116-I116)*1440,"")</f>
        <v/>
      </c>
      <c r="R116" s="6" t="n">
        <f aca="false">COUNTIFS(Data_RewardEvents!$B$2:$B$160,A116,Data_RewardEvents!$D$2:$D$160,"reward_pending")</f>
        <v>0</v>
      </c>
      <c r="S116" s="6" t="n">
        <f aca="false">COUNTIFS(Data_RewardEvents!$B$2:$B$160,A116,Data_RewardEvents!$D$2:$D$160,"reward_credited")</f>
        <v>0</v>
      </c>
      <c r="T116" s="6" t="n">
        <f aca="false">COUNTIFS(Data_RewardEvents!$B$2:$B$160,A116,Data_RewardEvents!$D$2:$D$160,"reward_reversed")</f>
        <v>0</v>
      </c>
      <c r="U116" s="6" t="n">
        <f aca="false">COUNTIFS(Data_RewardEvents!$B$2:$B$160,A116,Data_RewardEvents!$D$2:$D$160,"reward_corrected")</f>
        <v>0</v>
      </c>
      <c r="V116" s="6" t="n">
        <f aca="false">SUMIFS(Data_RewardEvents!$F$2:$F$160,Data_RewardEvents!$B$2:$B$160,A116,Data_RewardEvents!$D$2:$D$160,"reward_credited")+SUMIFS(Data_RewardEvents!$F$2:$F$160,Data_RewardEvents!$B$2:$B$160,A116,Data_RewardEvents!$D$2:$D$160,"reward_reversed")+SUMIFS(Data_RewardEvents!$F$2:$F$160,Data_RewardEvents!$B$2:$B$160,A116,Data_RewardEvents!$D$2:$D$160,"reward_corrected")</f>
        <v>0</v>
      </c>
      <c r="W116" s="16" t="str">
        <f aca="false">IF(S116&gt;0,_xlfn.MINIFS(Data_RewardEvents!$E$2:$E$160,Data_RewardEvents!$B$2:$B$160,A116,Data_RewardEvents!$D$2:$D$160,"reward_credited"),"")</f>
        <v/>
      </c>
      <c r="X116" s="17" t="str">
        <f aca="false">IF(W116="","",(W116-J116)*24)</f>
        <v/>
      </c>
      <c r="Y116" s="6" t="n">
        <f aca="false">IF(I116&lt;&gt;"",1,0)</f>
        <v>1</v>
      </c>
      <c r="Z116" s="6" t="n">
        <f aca="false">IF(K116="completed",1,0)</f>
        <v>0</v>
      </c>
      <c r="AA116" s="6" t="n">
        <f aca="false">IF(L116="validated",1,0)</f>
        <v>0</v>
      </c>
      <c r="AB116" s="6" t="n">
        <f aca="false">IF(S116&gt;0,1,0)</f>
        <v>0</v>
      </c>
    </row>
    <row r="117" customFormat="false" ht="15" hidden="false" customHeight="false" outlineLevel="0" collapsed="false">
      <c r="A117" s="6" t="s">
        <v>641</v>
      </c>
      <c r="B117" s="6" t="s">
        <v>365</v>
      </c>
      <c r="C117" s="6" t="s">
        <v>323</v>
      </c>
      <c r="D117" s="6" t="s">
        <v>400</v>
      </c>
      <c r="E117" s="6" t="s">
        <v>367</v>
      </c>
      <c r="F117" s="6" t="s">
        <v>158</v>
      </c>
      <c r="G117" s="6" t="s">
        <v>642</v>
      </c>
      <c r="H117" s="16" t="n">
        <v>46304.4</v>
      </c>
      <c r="I117" s="16" t="n">
        <v>46304.4173611111</v>
      </c>
      <c r="J117" s="16" t="n">
        <v>46304.4602986861</v>
      </c>
      <c r="K117" s="6" t="s">
        <v>132</v>
      </c>
      <c r="L117" s="6" t="s">
        <v>137</v>
      </c>
      <c r="M117" s="6" t="n">
        <v>30</v>
      </c>
      <c r="N117" s="6" t="str">
        <f aca="false">README!$B$14</f>
        <v>points</v>
      </c>
      <c r="O117" s="6"/>
      <c r="P117" s="6"/>
      <c r="Q117" s="17" t="n">
        <f aca="false">IF(AND(I117&lt;&gt;"",J117&lt;&gt;""),(J117-I117)*1440,"")</f>
        <v>61.8301080458167</v>
      </c>
      <c r="R117" s="6" t="n">
        <f aca="false">COUNTIFS(Data_RewardEvents!$B$2:$B$160,A117,Data_RewardEvents!$D$2:$D$160,"reward_pending")</f>
        <v>1</v>
      </c>
      <c r="S117" s="6" t="n">
        <f aca="false">COUNTIFS(Data_RewardEvents!$B$2:$B$160,A117,Data_RewardEvents!$D$2:$D$160,"reward_credited")</f>
        <v>1</v>
      </c>
      <c r="T117" s="6" t="n">
        <f aca="false">COUNTIFS(Data_RewardEvents!$B$2:$B$160,A117,Data_RewardEvents!$D$2:$D$160,"reward_reversed")</f>
        <v>0</v>
      </c>
      <c r="U117" s="6" t="n">
        <f aca="false">COUNTIFS(Data_RewardEvents!$B$2:$B$160,A117,Data_RewardEvents!$D$2:$D$160,"reward_corrected")</f>
        <v>0</v>
      </c>
      <c r="V117" s="6" t="n">
        <f aca="false">SUMIFS(Data_RewardEvents!$F$2:$F$160,Data_RewardEvents!$B$2:$B$160,A117,Data_RewardEvents!$D$2:$D$160,"reward_credited")+SUMIFS(Data_RewardEvents!$F$2:$F$160,Data_RewardEvents!$B$2:$B$160,A117,Data_RewardEvents!$D$2:$D$160,"reward_reversed")+SUMIFS(Data_RewardEvents!$F$2:$F$160,Data_RewardEvents!$B$2:$B$160,A117,Data_RewardEvents!$D$2:$D$160,"reward_corrected")</f>
        <v>30</v>
      </c>
      <c r="W117" s="16" t="n">
        <f aca="false">IF(S117&gt;0,_xlfn.MINIFS(Data_RewardEvents!$E$2:$E$160,Data_RewardEvents!$B$2:$B$160,A117,Data_RewardEvents!$D$2:$D$160,"reward_credited"),"")</f>
        <v>46306.8677589101</v>
      </c>
      <c r="X117" s="17" t="n">
        <f aca="false">IF(W117="","",(W117-J117)*24)</f>
        <v>57.7790453759953</v>
      </c>
      <c r="Y117" s="6" t="n">
        <f aca="false">IF(I117&lt;&gt;"",1,0)</f>
        <v>1</v>
      </c>
      <c r="Z117" s="6" t="n">
        <f aca="false">IF(K117="completed",1,0)</f>
        <v>1</v>
      </c>
      <c r="AA117" s="6" t="n">
        <f aca="false">IF(L117="validated",1,0)</f>
        <v>1</v>
      </c>
      <c r="AB117" s="6" t="n">
        <f aca="false">IF(S117&gt;0,1,0)</f>
        <v>1</v>
      </c>
    </row>
    <row r="118" customFormat="false" ht="15" hidden="false" customHeight="false" outlineLevel="0" collapsed="false">
      <c r="A118" s="6" t="s">
        <v>643</v>
      </c>
      <c r="B118" s="6" t="s">
        <v>376</v>
      </c>
      <c r="C118" s="6" t="s">
        <v>302</v>
      </c>
      <c r="D118" s="6" t="s">
        <v>377</v>
      </c>
      <c r="E118" s="6" t="s">
        <v>378</v>
      </c>
      <c r="F118" s="6" t="s">
        <v>158</v>
      </c>
      <c r="G118" s="6" t="s">
        <v>644</v>
      </c>
      <c r="H118" s="16" t="n">
        <v>46292.1861111111</v>
      </c>
      <c r="I118" s="16" t="n">
        <v>46292.1902777778</v>
      </c>
      <c r="J118" s="16"/>
      <c r="K118" s="6" t="s">
        <v>419</v>
      </c>
      <c r="L118" s="6"/>
      <c r="M118" s="6" t="n">
        <v>5</v>
      </c>
      <c r="N118" s="6" t="str">
        <f aca="false">README!$B$14</f>
        <v>points</v>
      </c>
      <c r="O118" s="6" t="s">
        <v>204</v>
      </c>
      <c r="P118" s="6" t="s">
        <v>207</v>
      </c>
      <c r="Q118" s="17" t="str">
        <f aca="false">IF(AND(I118&lt;&gt;"",J118&lt;&gt;""),(J118-I118)*1440,"")</f>
        <v/>
      </c>
      <c r="R118" s="6" t="n">
        <f aca="false">COUNTIFS(Data_RewardEvents!$B$2:$B$160,A118,Data_RewardEvents!$D$2:$D$160,"reward_pending")</f>
        <v>0</v>
      </c>
      <c r="S118" s="6" t="n">
        <f aca="false">COUNTIFS(Data_RewardEvents!$B$2:$B$160,A118,Data_RewardEvents!$D$2:$D$160,"reward_credited")</f>
        <v>0</v>
      </c>
      <c r="T118" s="6" t="n">
        <f aca="false">COUNTIFS(Data_RewardEvents!$B$2:$B$160,A118,Data_RewardEvents!$D$2:$D$160,"reward_reversed")</f>
        <v>0</v>
      </c>
      <c r="U118" s="6" t="n">
        <f aca="false">COUNTIFS(Data_RewardEvents!$B$2:$B$160,A118,Data_RewardEvents!$D$2:$D$160,"reward_corrected")</f>
        <v>0</v>
      </c>
      <c r="V118" s="6" t="n">
        <f aca="false">SUMIFS(Data_RewardEvents!$F$2:$F$160,Data_RewardEvents!$B$2:$B$160,A118,Data_RewardEvents!$D$2:$D$160,"reward_credited")+SUMIFS(Data_RewardEvents!$F$2:$F$160,Data_RewardEvents!$B$2:$B$160,A118,Data_RewardEvents!$D$2:$D$160,"reward_reversed")+SUMIFS(Data_RewardEvents!$F$2:$F$160,Data_RewardEvents!$B$2:$B$160,A118,Data_RewardEvents!$D$2:$D$160,"reward_corrected")</f>
        <v>0</v>
      </c>
      <c r="W118" s="16" t="str">
        <f aca="false">IF(S118&gt;0,_xlfn.MINIFS(Data_RewardEvents!$E$2:$E$160,Data_RewardEvents!$B$2:$B$160,A118,Data_RewardEvents!$D$2:$D$160,"reward_credited"),"")</f>
        <v/>
      </c>
      <c r="X118" s="17" t="str">
        <f aca="false">IF(W118="","",(W118-J118)*24)</f>
        <v/>
      </c>
      <c r="Y118" s="6" t="n">
        <f aca="false">IF(I118&lt;&gt;"",1,0)</f>
        <v>1</v>
      </c>
      <c r="Z118" s="6" t="n">
        <f aca="false">IF(K118="completed",1,0)</f>
        <v>0</v>
      </c>
      <c r="AA118" s="6" t="n">
        <f aca="false">IF(L118="validated",1,0)</f>
        <v>0</v>
      </c>
      <c r="AB118" s="6" t="n">
        <f aca="false">IF(S118&gt;0,1,0)</f>
        <v>0</v>
      </c>
    </row>
    <row r="119" customFormat="false" ht="15" hidden="false" customHeight="false" outlineLevel="0" collapsed="false">
      <c r="A119" s="6" t="s">
        <v>645</v>
      </c>
      <c r="B119" s="6" t="s">
        <v>381</v>
      </c>
      <c r="C119" s="6" t="s">
        <v>309</v>
      </c>
      <c r="D119" s="6" t="s">
        <v>473</v>
      </c>
      <c r="E119" s="6" t="s">
        <v>416</v>
      </c>
      <c r="F119" s="6" t="s">
        <v>158</v>
      </c>
      <c r="G119" s="6" t="s">
        <v>646</v>
      </c>
      <c r="H119" s="16" t="n">
        <v>46289.0152777778</v>
      </c>
      <c r="I119" s="16"/>
      <c r="J119" s="16"/>
      <c r="K119" s="6" t="s">
        <v>374</v>
      </c>
      <c r="L119" s="6"/>
      <c r="M119" s="6" t="n">
        <v>50</v>
      </c>
      <c r="N119" s="6" t="str">
        <f aca="false">README!$B$14</f>
        <v>points</v>
      </c>
      <c r="O119" s="6"/>
      <c r="P119" s="6"/>
      <c r="Q119" s="17" t="str">
        <f aca="false">IF(AND(I119&lt;&gt;"",J119&lt;&gt;""),(J119-I119)*1440,"")</f>
        <v/>
      </c>
      <c r="R119" s="6" t="n">
        <f aca="false">COUNTIFS(Data_RewardEvents!$B$2:$B$160,A119,Data_RewardEvents!$D$2:$D$160,"reward_pending")</f>
        <v>0</v>
      </c>
      <c r="S119" s="6" t="n">
        <f aca="false">COUNTIFS(Data_RewardEvents!$B$2:$B$160,A119,Data_RewardEvents!$D$2:$D$160,"reward_credited")</f>
        <v>0</v>
      </c>
      <c r="T119" s="6" t="n">
        <f aca="false">COUNTIFS(Data_RewardEvents!$B$2:$B$160,A119,Data_RewardEvents!$D$2:$D$160,"reward_reversed")</f>
        <v>0</v>
      </c>
      <c r="U119" s="6" t="n">
        <f aca="false">COUNTIFS(Data_RewardEvents!$B$2:$B$160,A119,Data_RewardEvents!$D$2:$D$160,"reward_corrected")</f>
        <v>0</v>
      </c>
      <c r="V119" s="6" t="n">
        <f aca="false">SUMIFS(Data_RewardEvents!$F$2:$F$160,Data_RewardEvents!$B$2:$B$160,A119,Data_RewardEvents!$D$2:$D$160,"reward_credited")+SUMIFS(Data_RewardEvents!$F$2:$F$160,Data_RewardEvents!$B$2:$B$160,A119,Data_RewardEvents!$D$2:$D$160,"reward_reversed")+SUMIFS(Data_RewardEvents!$F$2:$F$160,Data_RewardEvents!$B$2:$B$160,A119,Data_RewardEvents!$D$2:$D$160,"reward_corrected")</f>
        <v>0</v>
      </c>
      <c r="W119" s="16" t="str">
        <f aca="false">IF(S119&gt;0,_xlfn.MINIFS(Data_RewardEvents!$E$2:$E$160,Data_RewardEvents!$B$2:$B$160,A119,Data_RewardEvents!$D$2:$D$160,"reward_credited"),"")</f>
        <v/>
      </c>
      <c r="X119" s="17" t="str">
        <f aca="false">IF(W119="","",(W119-J119)*24)</f>
        <v/>
      </c>
      <c r="Y119" s="6" t="n">
        <f aca="false">IF(I119&lt;&gt;"",1,0)</f>
        <v>0</v>
      </c>
      <c r="Z119" s="6" t="n">
        <f aca="false">IF(K119="completed",1,0)</f>
        <v>0</v>
      </c>
      <c r="AA119" s="6" t="n">
        <f aca="false">IF(L119="validated",1,0)</f>
        <v>0</v>
      </c>
      <c r="AB119" s="6" t="n">
        <f aca="false">IF(S119&gt;0,1,0)</f>
        <v>0</v>
      </c>
    </row>
    <row r="120" customFormat="false" ht="15" hidden="false" customHeight="false" outlineLevel="0" collapsed="false">
      <c r="A120" s="6" t="s">
        <v>647</v>
      </c>
      <c r="B120" s="6" t="s">
        <v>376</v>
      </c>
      <c r="C120" s="6" t="s">
        <v>302</v>
      </c>
      <c r="D120" s="6" t="s">
        <v>382</v>
      </c>
      <c r="E120" s="6" t="s">
        <v>387</v>
      </c>
      <c r="F120" s="6" t="s">
        <v>158</v>
      </c>
      <c r="G120" s="6" t="s">
        <v>648</v>
      </c>
      <c r="H120" s="16" t="n">
        <v>46294.6527777778</v>
      </c>
      <c r="I120" s="16" t="n">
        <v>46294.6673611111</v>
      </c>
      <c r="J120" s="16" t="n">
        <v>46294.6677915169</v>
      </c>
      <c r="K120" s="6" t="s">
        <v>132</v>
      </c>
      <c r="L120" s="6" t="s">
        <v>137</v>
      </c>
      <c r="M120" s="6" t="n">
        <v>5</v>
      </c>
      <c r="N120" s="6" t="str">
        <f aca="false">README!$B$14</f>
        <v>points</v>
      </c>
      <c r="O120" s="6"/>
      <c r="P120" s="6"/>
      <c r="Q120" s="17" t="n">
        <f aca="false">IF(AND(I120&lt;&gt;"",J120&lt;&gt;""),(J120-I120)*1440,"")</f>
        <v>0.619784375883333</v>
      </c>
      <c r="R120" s="6" t="n">
        <f aca="false">COUNTIFS(Data_RewardEvents!$B$2:$B$160,A120,Data_RewardEvents!$D$2:$D$160,"reward_pending")</f>
        <v>0</v>
      </c>
      <c r="S120" s="6" t="n">
        <f aca="false">COUNTIFS(Data_RewardEvents!$B$2:$B$160,A120,Data_RewardEvents!$D$2:$D$160,"reward_credited")</f>
        <v>1</v>
      </c>
      <c r="T120" s="6" t="n">
        <f aca="false">COUNTIFS(Data_RewardEvents!$B$2:$B$160,A120,Data_RewardEvents!$D$2:$D$160,"reward_reversed")</f>
        <v>0</v>
      </c>
      <c r="U120" s="6" t="n">
        <f aca="false">COUNTIFS(Data_RewardEvents!$B$2:$B$160,A120,Data_RewardEvents!$D$2:$D$160,"reward_corrected")</f>
        <v>0</v>
      </c>
      <c r="V120" s="6" t="n">
        <f aca="false">SUMIFS(Data_RewardEvents!$F$2:$F$160,Data_RewardEvents!$B$2:$B$160,A120,Data_RewardEvents!$D$2:$D$160,"reward_credited")+SUMIFS(Data_RewardEvents!$F$2:$F$160,Data_RewardEvents!$B$2:$B$160,A120,Data_RewardEvents!$D$2:$D$160,"reward_reversed")+SUMIFS(Data_RewardEvents!$F$2:$F$160,Data_RewardEvents!$B$2:$B$160,A120,Data_RewardEvents!$D$2:$D$160,"reward_corrected")</f>
        <v>5</v>
      </c>
      <c r="W120" s="16" t="n">
        <f aca="false">IF(S120&gt;0,_xlfn.MINIFS(Data_RewardEvents!$E$2:$E$160,Data_RewardEvents!$B$2:$B$160,A120,Data_RewardEvents!$D$2:$D$160,"reward_credited"),"")</f>
        <v>46294.672061842</v>
      </c>
      <c r="X120" s="17" t="n">
        <f aca="false">IF(W120="","",(W120-J120)*24)</f>
        <v>0.102487800700833</v>
      </c>
      <c r="Y120" s="6" t="n">
        <f aca="false">IF(I120&lt;&gt;"",1,0)</f>
        <v>1</v>
      </c>
      <c r="Z120" s="6" t="n">
        <f aca="false">IF(K120="completed",1,0)</f>
        <v>1</v>
      </c>
      <c r="AA120" s="6" t="n">
        <f aca="false">IF(L120="validated",1,0)</f>
        <v>1</v>
      </c>
      <c r="AB120" s="6" t="n">
        <f aca="false">IF(S120&gt;0,1,0)</f>
        <v>1</v>
      </c>
    </row>
    <row r="121" customFormat="false" ht="15" hidden="false" customHeight="false" outlineLevel="0" collapsed="false">
      <c r="A121" s="6" t="s">
        <v>649</v>
      </c>
      <c r="B121" s="6" t="s">
        <v>370</v>
      </c>
      <c r="C121" s="6" t="s">
        <v>316</v>
      </c>
      <c r="D121" s="6" t="s">
        <v>113</v>
      </c>
      <c r="E121" s="6" t="s">
        <v>391</v>
      </c>
      <c r="F121" s="6" t="s">
        <v>158</v>
      </c>
      <c r="G121" s="6" t="s">
        <v>650</v>
      </c>
      <c r="H121" s="16" t="n">
        <v>46286.2305555556</v>
      </c>
      <c r="I121" s="16" t="n">
        <v>46286.2340277778</v>
      </c>
      <c r="J121" s="16"/>
      <c r="K121" s="6" t="s">
        <v>448</v>
      </c>
      <c r="L121" s="6"/>
      <c r="M121" s="6" t="n">
        <v>100</v>
      </c>
      <c r="N121" s="6" t="str">
        <f aca="false">README!$B$14</f>
        <v>points</v>
      </c>
      <c r="O121" s="6" t="s">
        <v>167</v>
      </c>
      <c r="P121" s="6" t="s">
        <v>158</v>
      </c>
      <c r="Q121" s="17" t="str">
        <f aca="false">IF(AND(I121&lt;&gt;"",J121&lt;&gt;""),(J121-I121)*1440,"")</f>
        <v/>
      </c>
      <c r="R121" s="6" t="n">
        <f aca="false">COUNTIFS(Data_RewardEvents!$B$2:$B$160,A121,Data_RewardEvents!$D$2:$D$160,"reward_pending")</f>
        <v>0</v>
      </c>
      <c r="S121" s="6" t="n">
        <f aca="false">COUNTIFS(Data_RewardEvents!$B$2:$B$160,A121,Data_RewardEvents!$D$2:$D$160,"reward_credited")</f>
        <v>0</v>
      </c>
      <c r="T121" s="6" t="n">
        <f aca="false">COUNTIFS(Data_RewardEvents!$B$2:$B$160,A121,Data_RewardEvents!$D$2:$D$160,"reward_reversed")</f>
        <v>0</v>
      </c>
      <c r="U121" s="6" t="n">
        <f aca="false">COUNTIFS(Data_RewardEvents!$B$2:$B$160,A121,Data_RewardEvents!$D$2:$D$160,"reward_corrected")</f>
        <v>0</v>
      </c>
      <c r="V121" s="6" t="n">
        <f aca="false">SUMIFS(Data_RewardEvents!$F$2:$F$160,Data_RewardEvents!$B$2:$B$160,A121,Data_RewardEvents!$D$2:$D$160,"reward_credited")+SUMIFS(Data_RewardEvents!$F$2:$F$160,Data_RewardEvents!$B$2:$B$160,A121,Data_RewardEvents!$D$2:$D$160,"reward_reversed")+SUMIFS(Data_RewardEvents!$F$2:$F$160,Data_RewardEvents!$B$2:$B$160,A121,Data_RewardEvents!$D$2:$D$160,"reward_corrected")</f>
        <v>0</v>
      </c>
      <c r="W121" s="16" t="str">
        <f aca="false">IF(S121&gt;0,_xlfn.MINIFS(Data_RewardEvents!$E$2:$E$160,Data_RewardEvents!$B$2:$B$160,A121,Data_RewardEvents!$D$2:$D$160,"reward_credited"),"")</f>
        <v/>
      </c>
      <c r="X121" s="17" t="str">
        <f aca="false">IF(W121="","",(W121-J121)*24)</f>
        <v/>
      </c>
      <c r="Y121" s="6" t="n">
        <f aca="false">IF(I121&lt;&gt;"",1,0)</f>
        <v>1</v>
      </c>
      <c r="Z121" s="6" t="n">
        <f aca="false">IF(K121="completed",1,0)</f>
        <v>0</v>
      </c>
      <c r="AA121" s="6" t="n">
        <f aca="false">IF(L121="validated",1,0)</f>
        <v>0</v>
      </c>
      <c r="AB121" s="6" t="n">
        <f aca="false">IF(S121&gt;0,1,0)</f>
        <v>0</v>
      </c>
    </row>
    <row r="122" customFormat="false" ht="15" hidden="false" customHeight="false" outlineLevel="0" collapsed="false">
      <c r="A122" s="6" t="s">
        <v>651</v>
      </c>
      <c r="B122" s="6" t="s">
        <v>403</v>
      </c>
      <c r="C122" s="6" t="s">
        <v>404</v>
      </c>
      <c r="D122" s="6" t="s">
        <v>652</v>
      </c>
      <c r="E122" s="6" t="s">
        <v>98</v>
      </c>
      <c r="F122" s="6" t="s">
        <v>406</v>
      </c>
      <c r="G122" s="6"/>
      <c r="H122" s="16" t="n">
        <v>46302.6097222222</v>
      </c>
      <c r="I122" s="16" t="n">
        <v>46302.625</v>
      </c>
      <c r="J122" s="16" t="n">
        <v>46302.6265147855</v>
      </c>
      <c r="K122" s="6" t="s">
        <v>132</v>
      </c>
      <c r="L122" s="6" t="s">
        <v>137</v>
      </c>
      <c r="M122" s="6" t="n">
        <v>10</v>
      </c>
      <c r="N122" s="6" t="str">
        <f aca="false">README!$B$14</f>
        <v>points</v>
      </c>
      <c r="O122" s="6"/>
      <c r="P122" s="6"/>
      <c r="Q122" s="17" t="n">
        <f aca="false">IF(AND(I122&lt;&gt;"",J122&lt;&gt;""),(J122-I122)*1440,"")</f>
        <v>2.18129115295</v>
      </c>
      <c r="R122" s="6" t="n">
        <f aca="false">COUNTIFS(Data_RewardEvents!$B$2:$B$160,A122,Data_RewardEvents!$D$2:$D$160,"reward_pending")</f>
        <v>0</v>
      </c>
      <c r="S122" s="6" t="n">
        <f aca="false">COUNTIFS(Data_RewardEvents!$B$2:$B$160,A122,Data_RewardEvents!$D$2:$D$160,"reward_credited")</f>
        <v>1</v>
      </c>
      <c r="T122" s="6" t="n">
        <f aca="false">COUNTIFS(Data_RewardEvents!$B$2:$B$160,A122,Data_RewardEvents!$D$2:$D$160,"reward_reversed")</f>
        <v>0</v>
      </c>
      <c r="U122" s="6" t="n">
        <f aca="false">COUNTIFS(Data_RewardEvents!$B$2:$B$160,A122,Data_RewardEvents!$D$2:$D$160,"reward_corrected")</f>
        <v>0</v>
      </c>
      <c r="V122" s="6" t="n">
        <f aca="false">SUMIFS(Data_RewardEvents!$F$2:$F$160,Data_RewardEvents!$B$2:$B$160,A122,Data_RewardEvents!$D$2:$D$160,"reward_credited")+SUMIFS(Data_RewardEvents!$F$2:$F$160,Data_RewardEvents!$B$2:$B$160,A122,Data_RewardEvents!$D$2:$D$160,"reward_reversed")+SUMIFS(Data_RewardEvents!$F$2:$F$160,Data_RewardEvents!$B$2:$B$160,A122,Data_RewardEvents!$D$2:$D$160,"reward_corrected")</f>
        <v>10</v>
      </c>
      <c r="W122" s="16" t="n">
        <f aca="false">IF(S122&gt;0,_xlfn.MINIFS(Data_RewardEvents!$E$2:$E$160,Data_RewardEvents!$B$2:$B$160,A122,Data_RewardEvents!$D$2:$D$160,"reward_credited"),"")</f>
        <v>46302.632002778</v>
      </c>
      <c r="X122" s="17" t="n">
        <f aca="false">IF(W122="","",(W122-J122)*24)</f>
        <v>0.131711819674722</v>
      </c>
      <c r="Y122" s="6" t="n">
        <f aca="false">IF(I122&lt;&gt;"",1,0)</f>
        <v>1</v>
      </c>
      <c r="Z122" s="6" t="n">
        <f aca="false">IF(K122="completed",1,0)</f>
        <v>1</v>
      </c>
      <c r="AA122" s="6" t="n">
        <f aca="false">IF(L122="validated",1,0)</f>
        <v>1</v>
      </c>
      <c r="AB122" s="6" t="n">
        <f aca="false">IF(S122&gt;0,1,0)</f>
        <v>1</v>
      </c>
    </row>
    <row r="123" customFormat="false" ht="15" hidden="false" customHeight="false" outlineLevel="0" collapsed="false">
      <c r="A123" s="6" t="s">
        <v>653</v>
      </c>
      <c r="B123" s="6" t="s">
        <v>365</v>
      </c>
      <c r="C123" s="6" t="s">
        <v>323</v>
      </c>
      <c r="D123" s="6" t="s">
        <v>430</v>
      </c>
      <c r="E123" s="6" t="s">
        <v>367</v>
      </c>
      <c r="F123" s="6" t="s">
        <v>158</v>
      </c>
      <c r="G123" s="6" t="s">
        <v>654</v>
      </c>
      <c r="H123" s="16" t="n">
        <v>46292.2722222222</v>
      </c>
      <c r="I123" s="16" t="n">
        <v>46292.2923611111</v>
      </c>
      <c r="J123" s="16" t="n">
        <v>46292.3343659971</v>
      </c>
      <c r="K123" s="6" t="s">
        <v>132</v>
      </c>
      <c r="L123" s="6" t="s">
        <v>137</v>
      </c>
      <c r="M123" s="6" t="n">
        <v>30</v>
      </c>
      <c r="N123" s="6" t="str">
        <f aca="false">README!$B$14</f>
        <v>points</v>
      </c>
      <c r="O123" s="6"/>
      <c r="P123" s="6"/>
      <c r="Q123" s="17" t="n">
        <f aca="false">IF(AND(I123&lt;&gt;"",J123&lt;&gt;""),(J123-I123)*1440,"")</f>
        <v>60.4870358866167</v>
      </c>
      <c r="R123" s="6" t="n">
        <f aca="false">COUNTIFS(Data_RewardEvents!$B$2:$B$160,A123,Data_RewardEvents!$D$2:$D$160,"reward_pending")</f>
        <v>1</v>
      </c>
      <c r="S123" s="6" t="n">
        <f aca="false">COUNTIFS(Data_RewardEvents!$B$2:$B$160,A123,Data_RewardEvents!$D$2:$D$160,"reward_credited")</f>
        <v>1</v>
      </c>
      <c r="T123" s="6" t="n">
        <f aca="false">COUNTIFS(Data_RewardEvents!$B$2:$B$160,A123,Data_RewardEvents!$D$2:$D$160,"reward_reversed")</f>
        <v>1</v>
      </c>
      <c r="U123" s="6" t="n">
        <f aca="false">COUNTIFS(Data_RewardEvents!$B$2:$B$160,A123,Data_RewardEvents!$D$2:$D$160,"reward_corrected")</f>
        <v>0</v>
      </c>
      <c r="V123" s="6" t="n">
        <f aca="false">SUMIFS(Data_RewardEvents!$F$2:$F$160,Data_RewardEvents!$B$2:$B$160,A123,Data_RewardEvents!$D$2:$D$160,"reward_credited")+SUMIFS(Data_RewardEvents!$F$2:$F$160,Data_RewardEvents!$B$2:$B$160,A123,Data_RewardEvents!$D$2:$D$160,"reward_reversed")+SUMIFS(Data_RewardEvents!$F$2:$F$160,Data_RewardEvents!$B$2:$B$160,A123,Data_RewardEvents!$D$2:$D$160,"reward_corrected")</f>
        <v>0</v>
      </c>
      <c r="W123" s="16" t="n">
        <f aca="false">IF(S123&gt;0,_xlfn.MINIFS(Data_RewardEvents!$E$2:$E$160,Data_RewardEvents!$B$2:$B$160,A123,Data_RewardEvents!$D$2:$D$160,"reward_credited"),"")</f>
        <v>46294.2222819208</v>
      </c>
      <c r="X123" s="17" t="n">
        <f aca="false">IF(W123="","",(W123-J123)*24)</f>
        <v>45.3099821674986</v>
      </c>
      <c r="Y123" s="6" t="n">
        <f aca="false">IF(I123&lt;&gt;"",1,0)</f>
        <v>1</v>
      </c>
      <c r="Z123" s="6" t="n">
        <f aca="false">IF(K123="completed",1,0)</f>
        <v>1</v>
      </c>
      <c r="AA123" s="6" t="n">
        <f aca="false">IF(L123="validated",1,0)</f>
        <v>1</v>
      </c>
      <c r="AB123" s="6" t="n">
        <f aca="false">IF(S123&gt;0,1,0)</f>
        <v>1</v>
      </c>
    </row>
    <row r="124" customFormat="false" ht="15" hidden="false" customHeight="false" outlineLevel="0" collapsed="false">
      <c r="A124" s="6" t="s">
        <v>655</v>
      </c>
      <c r="B124" s="6" t="s">
        <v>381</v>
      </c>
      <c r="C124" s="6" t="s">
        <v>309</v>
      </c>
      <c r="D124" s="6" t="s">
        <v>397</v>
      </c>
      <c r="E124" s="6" t="s">
        <v>416</v>
      </c>
      <c r="F124" s="6" t="s">
        <v>158</v>
      </c>
      <c r="G124" s="6" t="s">
        <v>656</v>
      </c>
      <c r="H124" s="16" t="n">
        <v>46299.7951388889</v>
      </c>
      <c r="I124" s="16" t="n">
        <v>46299.8048611111</v>
      </c>
      <c r="J124" s="16" t="n">
        <v>46299.8164686333</v>
      </c>
      <c r="K124" s="6" t="s">
        <v>132</v>
      </c>
      <c r="L124" s="6" t="s">
        <v>137</v>
      </c>
      <c r="M124" s="6" t="n">
        <v>50</v>
      </c>
      <c r="N124" s="6" t="str">
        <f aca="false">README!$B$14</f>
        <v>points</v>
      </c>
      <c r="O124" s="6"/>
      <c r="P124" s="6"/>
      <c r="Q124" s="17" t="n">
        <f aca="false">IF(AND(I124&lt;&gt;"",J124&lt;&gt;""),(J124-I124)*1440,"")</f>
        <v>16.7148318886667</v>
      </c>
      <c r="R124" s="6" t="n">
        <f aca="false">COUNTIFS(Data_RewardEvents!$B$2:$B$160,A124,Data_RewardEvents!$D$2:$D$160,"reward_pending")</f>
        <v>1</v>
      </c>
      <c r="S124" s="6" t="n">
        <f aca="false">COUNTIFS(Data_RewardEvents!$B$2:$B$160,A124,Data_RewardEvents!$D$2:$D$160,"reward_credited")</f>
        <v>1</v>
      </c>
      <c r="T124" s="6" t="n">
        <f aca="false">COUNTIFS(Data_RewardEvents!$B$2:$B$160,A124,Data_RewardEvents!$D$2:$D$160,"reward_reversed")</f>
        <v>0</v>
      </c>
      <c r="U124" s="6" t="n">
        <f aca="false">COUNTIFS(Data_RewardEvents!$B$2:$B$160,A124,Data_RewardEvents!$D$2:$D$160,"reward_corrected")</f>
        <v>0</v>
      </c>
      <c r="V124" s="6" t="n">
        <f aca="false">SUMIFS(Data_RewardEvents!$F$2:$F$160,Data_RewardEvents!$B$2:$B$160,A124,Data_RewardEvents!$D$2:$D$160,"reward_credited")+SUMIFS(Data_RewardEvents!$F$2:$F$160,Data_RewardEvents!$B$2:$B$160,A124,Data_RewardEvents!$D$2:$D$160,"reward_reversed")+SUMIFS(Data_RewardEvents!$F$2:$F$160,Data_RewardEvents!$B$2:$B$160,A124,Data_RewardEvents!$D$2:$D$160,"reward_corrected")</f>
        <v>50</v>
      </c>
      <c r="W124" s="16" t="n">
        <f aca="false">IF(S124&gt;0,_xlfn.MINIFS(Data_RewardEvents!$E$2:$E$160,Data_RewardEvents!$B$2:$B$160,A124,Data_RewardEvents!$D$2:$D$160,"reward_credited"),"")</f>
        <v>46300.9792517217</v>
      </c>
      <c r="X124" s="17" t="n">
        <f aca="false">IF(W124="","",(W124-J124)*24)</f>
        <v>27.906794123235</v>
      </c>
      <c r="Y124" s="6" t="n">
        <f aca="false">IF(I124&lt;&gt;"",1,0)</f>
        <v>1</v>
      </c>
      <c r="Z124" s="6" t="n">
        <f aca="false">IF(K124="completed",1,0)</f>
        <v>1</v>
      </c>
      <c r="AA124" s="6" t="n">
        <f aca="false">IF(L124="validated",1,0)</f>
        <v>1</v>
      </c>
      <c r="AB124" s="6" t="n">
        <f aca="false">IF(S124&gt;0,1,0)</f>
        <v>1</v>
      </c>
    </row>
    <row r="125" customFormat="false" ht="15" hidden="false" customHeight="false" outlineLevel="0" collapsed="false">
      <c r="A125" s="6" t="s">
        <v>657</v>
      </c>
      <c r="B125" s="6" t="s">
        <v>381</v>
      </c>
      <c r="C125" s="6" t="s">
        <v>309</v>
      </c>
      <c r="D125" s="6" t="s">
        <v>658</v>
      </c>
      <c r="E125" s="6" t="s">
        <v>416</v>
      </c>
      <c r="F125" s="6" t="s">
        <v>158</v>
      </c>
      <c r="G125" s="6" t="s">
        <v>659</v>
      </c>
      <c r="H125" s="16" t="n">
        <v>46296.7506944445</v>
      </c>
      <c r="I125" s="16" t="n">
        <v>46296.7645833333</v>
      </c>
      <c r="J125" s="16"/>
      <c r="K125" s="6" t="s">
        <v>419</v>
      </c>
      <c r="L125" s="6"/>
      <c r="M125" s="6" t="n">
        <v>50</v>
      </c>
      <c r="N125" s="6" t="str">
        <f aca="false">README!$B$14</f>
        <v>points</v>
      </c>
      <c r="O125" s="6" t="s">
        <v>204</v>
      </c>
      <c r="P125" s="6" t="s">
        <v>207</v>
      </c>
      <c r="Q125" s="17" t="str">
        <f aca="false">IF(AND(I125&lt;&gt;"",J125&lt;&gt;""),(J125-I125)*1440,"")</f>
        <v/>
      </c>
      <c r="R125" s="6" t="n">
        <f aca="false">COUNTIFS(Data_RewardEvents!$B$2:$B$160,A125,Data_RewardEvents!$D$2:$D$160,"reward_pending")</f>
        <v>0</v>
      </c>
      <c r="S125" s="6" t="n">
        <f aca="false">COUNTIFS(Data_RewardEvents!$B$2:$B$160,A125,Data_RewardEvents!$D$2:$D$160,"reward_credited")</f>
        <v>0</v>
      </c>
      <c r="T125" s="6" t="n">
        <f aca="false">COUNTIFS(Data_RewardEvents!$B$2:$B$160,A125,Data_RewardEvents!$D$2:$D$160,"reward_reversed")</f>
        <v>0</v>
      </c>
      <c r="U125" s="6" t="n">
        <f aca="false">COUNTIFS(Data_RewardEvents!$B$2:$B$160,A125,Data_RewardEvents!$D$2:$D$160,"reward_corrected")</f>
        <v>0</v>
      </c>
      <c r="V125" s="6" t="n">
        <f aca="false">SUMIFS(Data_RewardEvents!$F$2:$F$160,Data_RewardEvents!$B$2:$B$160,A125,Data_RewardEvents!$D$2:$D$160,"reward_credited")+SUMIFS(Data_RewardEvents!$F$2:$F$160,Data_RewardEvents!$B$2:$B$160,A125,Data_RewardEvents!$D$2:$D$160,"reward_reversed")+SUMIFS(Data_RewardEvents!$F$2:$F$160,Data_RewardEvents!$B$2:$B$160,A125,Data_RewardEvents!$D$2:$D$160,"reward_corrected")</f>
        <v>0</v>
      </c>
      <c r="W125" s="16" t="str">
        <f aca="false">IF(S125&gt;0,_xlfn.MINIFS(Data_RewardEvents!$E$2:$E$160,Data_RewardEvents!$B$2:$B$160,A125,Data_RewardEvents!$D$2:$D$160,"reward_credited"),"")</f>
        <v/>
      </c>
      <c r="X125" s="17" t="str">
        <f aca="false">IF(W125="","",(W125-J125)*24)</f>
        <v/>
      </c>
      <c r="Y125" s="6" t="n">
        <f aca="false">IF(I125&lt;&gt;"",1,0)</f>
        <v>1</v>
      </c>
      <c r="Z125" s="6" t="n">
        <f aca="false">IF(K125="completed",1,0)</f>
        <v>0</v>
      </c>
      <c r="AA125" s="6" t="n">
        <f aca="false">IF(L125="validated",1,0)</f>
        <v>0</v>
      </c>
      <c r="AB125" s="6" t="n">
        <f aca="false">IF(S125&gt;0,1,0)</f>
        <v>0</v>
      </c>
    </row>
    <row r="126" customFormat="false" ht="15" hidden="false" customHeight="false" outlineLevel="0" collapsed="false">
      <c r="A126" s="6" t="s">
        <v>660</v>
      </c>
      <c r="B126" s="6" t="s">
        <v>376</v>
      </c>
      <c r="C126" s="6" t="s">
        <v>302</v>
      </c>
      <c r="D126" s="6" t="s">
        <v>415</v>
      </c>
      <c r="E126" s="6" t="s">
        <v>387</v>
      </c>
      <c r="F126" s="6" t="s">
        <v>158</v>
      </c>
      <c r="G126" s="6" t="s">
        <v>661</v>
      </c>
      <c r="H126" s="16" t="n">
        <v>46291.55625</v>
      </c>
      <c r="I126" s="16" t="n">
        <v>46291.5763888889</v>
      </c>
      <c r="J126" s="16" t="n">
        <v>46291.5771612305</v>
      </c>
      <c r="K126" s="6" t="s">
        <v>132</v>
      </c>
      <c r="L126" s="6" t="s">
        <v>137</v>
      </c>
      <c r="M126" s="6" t="n">
        <v>5</v>
      </c>
      <c r="N126" s="6" t="str">
        <f aca="false">README!$B$14</f>
        <v>points</v>
      </c>
      <c r="O126" s="6"/>
      <c r="P126" s="6"/>
      <c r="Q126" s="17" t="n">
        <f aca="false">IF(AND(I126&lt;&gt;"",J126&lt;&gt;""),(J126-I126)*1440,"")</f>
        <v>1.11217187018333</v>
      </c>
      <c r="R126" s="6" t="n">
        <f aca="false">COUNTIFS(Data_RewardEvents!$B$2:$B$160,A126,Data_RewardEvents!$D$2:$D$160,"reward_pending")</f>
        <v>0</v>
      </c>
      <c r="S126" s="6" t="n">
        <f aca="false">COUNTIFS(Data_RewardEvents!$B$2:$B$160,A126,Data_RewardEvents!$D$2:$D$160,"reward_credited")</f>
        <v>1</v>
      </c>
      <c r="T126" s="6" t="n">
        <f aca="false">COUNTIFS(Data_RewardEvents!$B$2:$B$160,A126,Data_RewardEvents!$D$2:$D$160,"reward_reversed")</f>
        <v>0</v>
      </c>
      <c r="U126" s="6" t="n">
        <f aca="false">COUNTIFS(Data_RewardEvents!$B$2:$B$160,A126,Data_RewardEvents!$D$2:$D$160,"reward_corrected")</f>
        <v>0</v>
      </c>
      <c r="V126" s="6" t="n">
        <f aca="false">SUMIFS(Data_RewardEvents!$F$2:$F$160,Data_RewardEvents!$B$2:$B$160,A126,Data_RewardEvents!$D$2:$D$160,"reward_credited")+SUMIFS(Data_RewardEvents!$F$2:$F$160,Data_RewardEvents!$B$2:$B$160,A126,Data_RewardEvents!$D$2:$D$160,"reward_reversed")+SUMIFS(Data_RewardEvents!$F$2:$F$160,Data_RewardEvents!$B$2:$B$160,A126,Data_RewardEvents!$D$2:$D$160,"reward_corrected")</f>
        <v>5</v>
      </c>
      <c r="W126" s="16" t="n">
        <f aca="false">IF(S126&gt;0,_xlfn.MINIFS(Data_RewardEvents!$E$2:$E$160,Data_RewardEvents!$B$2:$B$160,A126,Data_RewardEvents!$D$2:$D$160,"reward_credited"),"")</f>
        <v>46291.5792172099</v>
      </c>
      <c r="X126" s="17" t="n">
        <f aca="false">IF(W126="","",(W126-J126)*24)</f>
        <v>0.0493435057577778</v>
      </c>
      <c r="Y126" s="6" t="n">
        <f aca="false">IF(I126&lt;&gt;"",1,0)</f>
        <v>1</v>
      </c>
      <c r="Z126" s="6" t="n">
        <f aca="false">IF(K126="completed",1,0)</f>
        <v>1</v>
      </c>
      <c r="AA126" s="6" t="n">
        <f aca="false">IF(L126="validated",1,0)</f>
        <v>1</v>
      </c>
      <c r="AB126" s="6" t="n">
        <f aca="false">IF(S126&gt;0,1,0)</f>
        <v>1</v>
      </c>
    </row>
    <row r="127" customFormat="false" ht="15" hidden="false" customHeight="false" outlineLevel="0" collapsed="false">
      <c r="A127" s="6" t="s">
        <v>662</v>
      </c>
      <c r="B127" s="6" t="s">
        <v>376</v>
      </c>
      <c r="C127" s="6" t="s">
        <v>302</v>
      </c>
      <c r="D127" s="6" t="s">
        <v>113</v>
      </c>
      <c r="E127" s="6" t="s">
        <v>387</v>
      </c>
      <c r="F127" s="6" t="s">
        <v>158</v>
      </c>
      <c r="G127" s="6" t="s">
        <v>663</v>
      </c>
      <c r="H127" s="16" t="n">
        <v>46290.3597222222</v>
      </c>
      <c r="I127" s="16" t="n">
        <v>46290.3729166667</v>
      </c>
      <c r="J127" s="16" t="n">
        <v>46290.373557341</v>
      </c>
      <c r="K127" s="6" t="s">
        <v>132</v>
      </c>
      <c r="L127" s="6" t="s">
        <v>137</v>
      </c>
      <c r="M127" s="6" t="n">
        <v>5</v>
      </c>
      <c r="N127" s="6" t="str">
        <f aca="false">README!$B$14</f>
        <v>points</v>
      </c>
      <c r="O127" s="6"/>
      <c r="P127" s="6"/>
      <c r="Q127" s="17" t="n">
        <f aca="false">IF(AND(I127&lt;&gt;"",J127&lt;&gt;""),(J127-I127)*1440,"")</f>
        <v>0.92257108305</v>
      </c>
      <c r="R127" s="6" t="n">
        <f aca="false">COUNTIFS(Data_RewardEvents!$B$2:$B$160,A127,Data_RewardEvents!$D$2:$D$160,"reward_pending")</f>
        <v>0</v>
      </c>
      <c r="S127" s="6" t="n">
        <f aca="false">COUNTIFS(Data_RewardEvents!$B$2:$B$160,A127,Data_RewardEvents!$D$2:$D$160,"reward_credited")</f>
        <v>1</v>
      </c>
      <c r="T127" s="6" t="n">
        <f aca="false">COUNTIFS(Data_RewardEvents!$B$2:$B$160,A127,Data_RewardEvents!$D$2:$D$160,"reward_reversed")</f>
        <v>0</v>
      </c>
      <c r="U127" s="6" t="n">
        <f aca="false">COUNTIFS(Data_RewardEvents!$B$2:$B$160,A127,Data_RewardEvents!$D$2:$D$160,"reward_corrected")</f>
        <v>0</v>
      </c>
      <c r="V127" s="6" t="n">
        <f aca="false">SUMIFS(Data_RewardEvents!$F$2:$F$160,Data_RewardEvents!$B$2:$B$160,A127,Data_RewardEvents!$D$2:$D$160,"reward_credited")+SUMIFS(Data_RewardEvents!$F$2:$F$160,Data_RewardEvents!$B$2:$B$160,A127,Data_RewardEvents!$D$2:$D$160,"reward_reversed")+SUMIFS(Data_RewardEvents!$F$2:$F$160,Data_RewardEvents!$B$2:$B$160,A127,Data_RewardEvents!$D$2:$D$160,"reward_corrected")</f>
        <v>5</v>
      </c>
      <c r="W127" s="16" t="n">
        <f aca="false">IF(S127&gt;0,_xlfn.MINIFS(Data_RewardEvents!$E$2:$E$160,Data_RewardEvents!$B$2:$B$160,A127,Data_RewardEvents!$D$2:$D$160,"reward_credited"),"")</f>
        <v>46290.3753559778</v>
      </c>
      <c r="X127" s="17" t="n">
        <f aca="false">IF(W127="","",(W127-J127)*24)</f>
        <v>0.0431672824197222</v>
      </c>
      <c r="Y127" s="6" t="n">
        <f aca="false">IF(I127&lt;&gt;"",1,0)</f>
        <v>1</v>
      </c>
      <c r="Z127" s="6" t="n">
        <f aca="false">IF(K127="completed",1,0)</f>
        <v>1</v>
      </c>
      <c r="AA127" s="6" t="n">
        <f aca="false">IF(L127="validated",1,0)</f>
        <v>1</v>
      </c>
      <c r="AB127" s="6" t="n">
        <f aca="false">IF(S127&gt;0,1,0)</f>
        <v>1</v>
      </c>
    </row>
    <row r="128" customFormat="false" ht="15" hidden="false" customHeight="false" outlineLevel="0" collapsed="false">
      <c r="A128" s="6" t="s">
        <v>664</v>
      </c>
      <c r="B128" s="6" t="s">
        <v>376</v>
      </c>
      <c r="C128" s="6" t="s">
        <v>302</v>
      </c>
      <c r="D128" s="6" t="s">
        <v>491</v>
      </c>
      <c r="E128" s="6" t="s">
        <v>387</v>
      </c>
      <c r="F128" s="6" t="s">
        <v>158</v>
      </c>
      <c r="G128" s="6" t="s">
        <v>665</v>
      </c>
      <c r="H128" s="16" t="n">
        <v>46293.7923611111</v>
      </c>
      <c r="I128" s="16" t="n">
        <v>46293.8125</v>
      </c>
      <c r="J128" s="16" t="n">
        <v>46293.8130189306</v>
      </c>
      <c r="K128" s="6" t="s">
        <v>132</v>
      </c>
      <c r="L128" s="6" t="s">
        <v>137</v>
      </c>
      <c r="M128" s="6" t="n">
        <v>5</v>
      </c>
      <c r="N128" s="6" t="str">
        <f aca="false">README!$B$14</f>
        <v>points</v>
      </c>
      <c r="O128" s="6"/>
      <c r="P128" s="6"/>
      <c r="Q128" s="17" t="n">
        <f aca="false">IF(AND(I128&lt;&gt;"",J128&lt;&gt;""),(J128-I128)*1440,"")</f>
        <v>0.747260015916667</v>
      </c>
      <c r="R128" s="6" t="n">
        <f aca="false">COUNTIFS(Data_RewardEvents!$B$2:$B$160,A128,Data_RewardEvents!$D$2:$D$160,"reward_pending")</f>
        <v>0</v>
      </c>
      <c r="S128" s="6" t="n">
        <f aca="false">COUNTIFS(Data_RewardEvents!$B$2:$B$160,A128,Data_RewardEvents!$D$2:$D$160,"reward_credited")</f>
        <v>1</v>
      </c>
      <c r="T128" s="6" t="n">
        <f aca="false">COUNTIFS(Data_RewardEvents!$B$2:$B$160,A128,Data_RewardEvents!$D$2:$D$160,"reward_reversed")</f>
        <v>0</v>
      </c>
      <c r="U128" s="6" t="n">
        <f aca="false">COUNTIFS(Data_RewardEvents!$B$2:$B$160,A128,Data_RewardEvents!$D$2:$D$160,"reward_corrected")</f>
        <v>0</v>
      </c>
      <c r="V128" s="6" t="n">
        <f aca="false">SUMIFS(Data_RewardEvents!$F$2:$F$160,Data_RewardEvents!$B$2:$B$160,A128,Data_RewardEvents!$D$2:$D$160,"reward_credited")+SUMIFS(Data_RewardEvents!$F$2:$F$160,Data_RewardEvents!$B$2:$B$160,A128,Data_RewardEvents!$D$2:$D$160,"reward_reversed")+SUMIFS(Data_RewardEvents!$F$2:$F$160,Data_RewardEvents!$B$2:$B$160,A128,Data_RewardEvents!$D$2:$D$160,"reward_corrected")</f>
        <v>5</v>
      </c>
      <c r="W128" s="16" t="n">
        <f aca="false">IF(S128&gt;0,_xlfn.MINIFS(Data_RewardEvents!$E$2:$E$160,Data_RewardEvents!$B$2:$B$160,A128,Data_RewardEvents!$D$2:$D$160,"reward_credited"),"")</f>
        <v>46293.8154429938</v>
      </c>
      <c r="X128" s="17" t="n">
        <f aca="false">IF(W128="","",(W128-J128)*24)</f>
        <v>0.0581775183088889</v>
      </c>
      <c r="Y128" s="6" t="n">
        <f aca="false">IF(I128&lt;&gt;"",1,0)</f>
        <v>1</v>
      </c>
      <c r="Z128" s="6" t="n">
        <f aca="false">IF(K128="completed",1,0)</f>
        <v>1</v>
      </c>
      <c r="AA128" s="6" t="n">
        <f aca="false">IF(L128="validated",1,0)</f>
        <v>1</v>
      </c>
      <c r="AB128" s="6" t="n">
        <f aca="false">IF(S128&gt;0,1,0)</f>
        <v>1</v>
      </c>
    </row>
    <row r="129" customFormat="false" ht="15" hidden="false" customHeight="false" outlineLevel="0" collapsed="false">
      <c r="A129" s="6" t="s">
        <v>666</v>
      </c>
      <c r="B129" s="6" t="s">
        <v>370</v>
      </c>
      <c r="C129" s="6" t="s">
        <v>316</v>
      </c>
      <c r="D129" s="6" t="s">
        <v>371</v>
      </c>
      <c r="E129" s="6" t="s">
        <v>391</v>
      </c>
      <c r="F129" s="6" t="s">
        <v>158</v>
      </c>
      <c r="G129" s="6" t="s">
        <v>667</v>
      </c>
      <c r="H129" s="16" t="n">
        <v>46288.1284722222</v>
      </c>
      <c r="I129" s="16" t="n">
        <v>46288.13125</v>
      </c>
      <c r="J129" s="16" t="n">
        <v>46288.2969397441</v>
      </c>
      <c r="K129" s="6" t="s">
        <v>132</v>
      </c>
      <c r="L129" s="6" t="s">
        <v>137</v>
      </c>
      <c r="M129" s="6" t="n">
        <v>100</v>
      </c>
      <c r="N129" s="6" t="str">
        <f aca="false">README!$B$14</f>
        <v>points</v>
      </c>
      <c r="O129" s="6"/>
      <c r="P129" s="6"/>
      <c r="Q129" s="17" t="n">
        <f aca="false">IF(AND(I129&lt;&gt;"",J129&lt;&gt;""),(J129-I129)*1440,"")</f>
        <v>238.5932314291</v>
      </c>
      <c r="R129" s="6" t="n">
        <f aca="false">COUNTIFS(Data_RewardEvents!$B$2:$B$160,A129,Data_RewardEvents!$D$2:$D$160,"reward_pending")</f>
        <v>1</v>
      </c>
      <c r="S129" s="6" t="n">
        <f aca="false">COUNTIFS(Data_RewardEvents!$B$2:$B$160,A129,Data_RewardEvents!$D$2:$D$160,"reward_credited")</f>
        <v>1</v>
      </c>
      <c r="T129" s="6" t="n">
        <f aca="false">COUNTIFS(Data_RewardEvents!$B$2:$B$160,A129,Data_RewardEvents!$D$2:$D$160,"reward_reversed")</f>
        <v>0</v>
      </c>
      <c r="U129" s="6" t="n">
        <f aca="false">COUNTIFS(Data_RewardEvents!$B$2:$B$160,A129,Data_RewardEvents!$D$2:$D$160,"reward_corrected")</f>
        <v>0</v>
      </c>
      <c r="V129" s="6" t="n">
        <f aca="false">SUMIFS(Data_RewardEvents!$F$2:$F$160,Data_RewardEvents!$B$2:$B$160,A129,Data_RewardEvents!$D$2:$D$160,"reward_credited")+SUMIFS(Data_RewardEvents!$F$2:$F$160,Data_RewardEvents!$B$2:$B$160,A129,Data_RewardEvents!$D$2:$D$160,"reward_reversed")+SUMIFS(Data_RewardEvents!$F$2:$F$160,Data_RewardEvents!$B$2:$B$160,A129,Data_RewardEvents!$D$2:$D$160,"reward_corrected")</f>
        <v>100</v>
      </c>
      <c r="W129" s="16" t="n">
        <f aca="false">IF(S129&gt;0,_xlfn.MINIFS(Data_RewardEvents!$E$2:$E$160,Data_RewardEvents!$B$2:$B$160,A129,Data_RewardEvents!$D$2:$D$160,"reward_credited"),"")</f>
        <v>46289.9210290364</v>
      </c>
      <c r="X129" s="17" t="n">
        <f aca="false">IF(W129="","",(W129-J129)*24)</f>
        <v>38.9781430168075</v>
      </c>
      <c r="Y129" s="6" t="n">
        <f aca="false">IF(I129&lt;&gt;"",1,0)</f>
        <v>1</v>
      </c>
      <c r="Z129" s="6" t="n">
        <f aca="false">IF(K129="completed",1,0)</f>
        <v>1</v>
      </c>
      <c r="AA129" s="6" t="n">
        <f aca="false">IF(L129="validated",1,0)</f>
        <v>1</v>
      </c>
      <c r="AB129" s="6" t="n">
        <f aca="false">IF(S129&gt;0,1,0)</f>
        <v>1</v>
      </c>
    </row>
    <row r="130" customFormat="false" ht="15" hidden="false" customHeight="false" outlineLevel="0" collapsed="false">
      <c r="A130" s="6" t="s">
        <v>668</v>
      </c>
      <c r="B130" s="6" t="s">
        <v>376</v>
      </c>
      <c r="C130" s="6" t="s">
        <v>302</v>
      </c>
      <c r="D130" s="6" t="s">
        <v>593</v>
      </c>
      <c r="E130" s="6" t="s">
        <v>387</v>
      </c>
      <c r="F130" s="6" t="s">
        <v>158</v>
      </c>
      <c r="G130" s="6" t="s">
        <v>669</v>
      </c>
      <c r="H130" s="16" t="n">
        <v>46296.8805555556</v>
      </c>
      <c r="I130" s="16" t="n">
        <v>46296.8909722222</v>
      </c>
      <c r="J130" s="16" t="n">
        <v>46296.8913893862</v>
      </c>
      <c r="K130" s="6" t="s">
        <v>132</v>
      </c>
      <c r="L130" s="6" t="s">
        <v>137</v>
      </c>
      <c r="M130" s="6" t="n">
        <v>5</v>
      </c>
      <c r="N130" s="6" t="str">
        <f aca="false">README!$B$14</f>
        <v>points</v>
      </c>
      <c r="O130" s="6"/>
      <c r="P130" s="6"/>
      <c r="Q130" s="17" t="n">
        <f aca="false">IF(AND(I130&lt;&gt;"",J130&lt;&gt;""),(J130-I130)*1440,"")</f>
        <v>0.60071605955</v>
      </c>
      <c r="R130" s="6" t="n">
        <f aca="false">COUNTIFS(Data_RewardEvents!$B$2:$B$160,A130,Data_RewardEvents!$D$2:$D$160,"reward_pending")</f>
        <v>0</v>
      </c>
      <c r="S130" s="6" t="n">
        <f aca="false">COUNTIFS(Data_RewardEvents!$B$2:$B$160,A130,Data_RewardEvents!$D$2:$D$160,"reward_credited")</f>
        <v>1</v>
      </c>
      <c r="T130" s="6" t="n">
        <f aca="false">COUNTIFS(Data_RewardEvents!$B$2:$B$160,A130,Data_RewardEvents!$D$2:$D$160,"reward_reversed")</f>
        <v>0</v>
      </c>
      <c r="U130" s="6" t="n">
        <f aca="false">COUNTIFS(Data_RewardEvents!$B$2:$B$160,A130,Data_RewardEvents!$D$2:$D$160,"reward_corrected")</f>
        <v>0</v>
      </c>
      <c r="V130" s="6" t="n">
        <f aca="false">SUMIFS(Data_RewardEvents!$F$2:$F$160,Data_RewardEvents!$B$2:$B$160,A130,Data_RewardEvents!$D$2:$D$160,"reward_credited")+SUMIFS(Data_RewardEvents!$F$2:$F$160,Data_RewardEvents!$B$2:$B$160,A130,Data_RewardEvents!$D$2:$D$160,"reward_reversed")+SUMIFS(Data_RewardEvents!$F$2:$F$160,Data_RewardEvents!$B$2:$B$160,A130,Data_RewardEvents!$D$2:$D$160,"reward_corrected")</f>
        <v>5</v>
      </c>
      <c r="W130" s="16" t="n">
        <f aca="false">IF(S130&gt;0,_xlfn.MINIFS(Data_RewardEvents!$E$2:$E$160,Data_RewardEvents!$B$2:$B$160,A130,Data_RewardEvents!$D$2:$D$160,"reward_credited"),"")</f>
        <v>46296.8937248863</v>
      </c>
      <c r="X130" s="17" t="n">
        <f aca="false">IF(W130="","",(W130-J130)*24)</f>
        <v>0.0560520022988889</v>
      </c>
      <c r="Y130" s="6" t="n">
        <f aca="false">IF(I130&lt;&gt;"",1,0)</f>
        <v>1</v>
      </c>
      <c r="Z130" s="6" t="n">
        <f aca="false">IF(K130="completed",1,0)</f>
        <v>1</v>
      </c>
      <c r="AA130" s="6" t="n">
        <f aca="false">IF(L130="validated",1,0)</f>
        <v>1</v>
      </c>
      <c r="AB130" s="6" t="n">
        <f aca="false">IF(S130&gt;0,1,0)</f>
        <v>1</v>
      </c>
    </row>
    <row r="131" customFormat="false" ht="15" hidden="false" customHeight="false" outlineLevel="0" collapsed="false">
      <c r="A131" s="6" t="s">
        <v>670</v>
      </c>
      <c r="B131" s="6" t="s">
        <v>376</v>
      </c>
      <c r="C131" s="6" t="s">
        <v>302</v>
      </c>
      <c r="D131" s="6" t="s">
        <v>582</v>
      </c>
      <c r="E131" s="6" t="s">
        <v>378</v>
      </c>
      <c r="F131" s="6" t="s">
        <v>158</v>
      </c>
      <c r="G131" s="6" t="s">
        <v>671</v>
      </c>
      <c r="H131" s="16" t="n">
        <v>46296.4722222222</v>
      </c>
      <c r="I131" s="16" t="n">
        <v>46296.4756944445</v>
      </c>
      <c r="J131" s="16" t="n">
        <v>46296.4764503238</v>
      </c>
      <c r="K131" s="6" t="s">
        <v>132</v>
      </c>
      <c r="L131" s="6" t="s">
        <v>137</v>
      </c>
      <c r="M131" s="6" t="n">
        <v>5</v>
      </c>
      <c r="N131" s="6" t="str">
        <f aca="false">README!$B$14</f>
        <v>points</v>
      </c>
      <c r="O131" s="6"/>
      <c r="P131" s="6"/>
      <c r="Q131" s="17" t="n">
        <f aca="false">IF(AND(I131&lt;&gt;"",J131&lt;&gt;""),(J131-I131)*1440,"")</f>
        <v>1.08846625545</v>
      </c>
      <c r="R131" s="6" t="n">
        <f aca="false">COUNTIFS(Data_RewardEvents!$B$2:$B$160,A131,Data_RewardEvents!$D$2:$D$160,"reward_pending")</f>
        <v>0</v>
      </c>
      <c r="S131" s="6" t="n">
        <f aca="false">COUNTIFS(Data_RewardEvents!$B$2:$B$160,A131,Data_RewardEvents!$D$2:$D$160,"reward_credited")</f>
        <v>1</v>
      </c>
      <c r="T131" s="6" t="n">
        <f aca="false">COUNTIFS(Data_RewardEvents!$B$2:$B$160,A131,Data_RewardEvents!$D$2:$D$160,"reward_reversed")</f>
        <v>0</v>
      </c>
      <c r="U131" s="6" t="n">
        <f aca="false">COUNTIFS(Data_RewardEvents!$B$2:$B$160,A131,Data_RewardEvents!$D$2:$D$160,"reward_corrected")</f>
        <v>1</v>
      </c>
      <c r="V131" s="6" t="n">
        <f aca="false">SUMIFS(Data_RewardEvents!$F$2:$F$160,Data_RewardEvents!$B$2:$B$160,A131,Data_RewardEvents!$D$2:$D$160,"reward_credited")+SUMIFS(Data_RewardEvents!$F$2:$F$160,Data_RewardEvents!$B$2:$B$160,A131,Data_RewardEvents!$D$2:$D$160,"reward_reversed")+SUMIFS(Data_RewardEvents!$F$2:$F$160,Data_RewardEvents!$B$2:$B$160,A131,Data_RewardEvents!$D$2:$D$160,"reward_corrected")</f>
        <v>4</v>
      </c>
      <c r="W131" s="16" t="n">
        <f aca="false">IF(S131&gt;0,_xlfn.MINIFS(Data_RewardEvents!$E$2:$E$160,Data_RewardEvents!$B$2:$B$160,A131,Data_RewardEvents!$D$2:$D$160,"reward_credited"),"")</f>
        <v>46296.4809270915</v>
      </c>
      <c r="X131" s="17" t="n">
        <f aca="false">IF(W131="","",(W131-J131)*24)</f>
        <v>0.107442424341389</v>
      </c>
      <c r="Y131" s="6" t="n">
        <f aca="false">IF(I131&lt;&gt;"",1,0)</f>
        <v>1</v>
      </c>
      <c r="Z131" s="6" t="n">
        <f aca="false">IF(K131="completed",1,0)</f>
        <v>1</v>
      </c>
      <c r="AA131" s="6" t="n">
        <f aca="false">IF(L131="validated",1,0)</f>
        <v>1</v>
      </c>
      <c r="AB131" s="6" t="n">
        <f aca="false">IF(S131&gt;0,1,0)</f>
        <v>1</v>
      </c>
    </row>
    <row r="132" customFormat="false" ht="15" hidden="false" customHeight="false" outlineLevel="0" collapsed="false">
      <c r="A132" s="6" t="s">
        <v>672</v>
      </c>
      <c r="B132" s="6" t="s">
        <v>365</v>
      </c>
      <c r="C132" s="6" t="s">
        <v>323</v>
      </c>
      <c r="D132" s="6" t="s">
        <v>556</v>
      </c>
      <c r="E132" s="6" t="s">
        <v>367</v>
      </c>
      <c r="F132" s="6" t="s">
        <v>158</v>
      </c>
      <c r="G132" s="6" t="s">
        <v>673</v>
      </c>
      <c r="H132" s="16" t="n">
        <v>46288.7256944445</v>
      </c>
      <c r="I132" s="16"/>
      <c r="J132" s="16"/>
      <c r="K132" s="6" t="s">
        <v>374</v>
      </c>
      <c r="L132" s="6"/>
      <c r="M132" s="6" t="n">
        <v>30</v>
      </c>
      <c r="N132" s="6" t="str">
        <f aca="false">README!$B$14</f>
        <v>points</v>
      </c>
      <c r="O132" s="6"/>
      <c r="P132" s="6"/>
      <c r="Q132" s="17" t="str">
        <f aca="false">IF(AND(I132&lt;&gt;"",J132&lt;&gt;""),(J132-I132)*1440,"")</f>
        <v/>
      </c>
      <c r="R132" s="6" t="n">
        <f aca="false">COUNTIFS(Data_RewardEvents!$B$2:$B$160,A132,Data_RewardEvents!$D$2:$D$160,"reward_pending")</f>
        <v>0</v>
      </c>
      <c r="S132" s="6" t="n">
        <f aca="false">COUNTIFS(Data_RewardEvents!$B$2:$B$160,A132,Data_RewardEvents!$D$2:$D$160,"reward_credited")</f>
        <v>0</v>
      </c>
      <c r="T132" s="6" t="n">
        <f aca="false">COUNTIFS(Data_RewardEvents!$B$2:$B$160,A132,Data_RewardEvents!$D$2:$D$160,"reward_reversed")</f>
        <v>0</v>
      </c>
      <c r="U132" s="6" t="n">
        <f aca="false">COUNTIFS(Data_RewardEvents!$B$2:$B$160,A132,Data_RewardEvents!$D$2:$D$160,"reward_corrected")</f>
        <v>0</v>
      </c>
      <c r="V132" s="6" t="n">
        <f aca="false">SUMIFS(Data_RewardEvents!$F$2:$F$160,Data_RewardEvents!$B$2:$B$160,A132,Data_RewardEvents!$D$2:$D$160,"reward_credited")+SUMIFS(Data_RewardEvents!$F$2:$F$160,Data_RewardEvents!$B$2:$B$160,A132,Data_RewardEvents!$D$2:$D$160,"reward_reversed")+SUMIFS(Data_RewardEvents!$F$2:$F$160,Data_RewardEvents!$B$2:$B$160,A132,Data_RewardEvents!$D$2:$D$160,"reward_corrected")</f>
        <v>0</v>
      </c>
      <c r="W132" s="16" t="str">
        <f aca="false">IF(S132&gt;0,_xlfn.MINIFS(Data_RewardEvents!$E$2:$E$160,Data_RewardEvents!$B$2:$B$160,A132,Data_RewardEvents!$D$2:$D$160,"reward_credited"),"")</f>
        <v/>
      </c>
      <c r="X132" s="17" t="str">
        <f aca="false">IF(W132="","",(W132-J132)*24)</f>
        <v/>
      </c>
      <c r="Y132" s="6" t="n">
        <f aca="false">IF(I132&lt;&gt;"",1,0)</f>
        <v>0</v>
      </c>
      <c r="Z132" s="6" t="n">
        <f aca="false">IF(K132="completed",1,0)</f>
        <v>0</v>
      </c>
      <c r="AA132" s="6" t="n">
        <f aca="false">IF(L132="validated",1,0)</f>
        <v>0</v>
      </c>
      <c r="AB132" s="6" t="n">
        <f aca="false">IF(S132&gt;0,1,0)</f>
        <v>0</v>
      </c>
    </row>
    <row r="133" customFormat="false" ht="15" hidden="false" customHeight="false" outlineLevel="0" collapsed="false">
      <c r="A133" s="6" t="s">
        <v>674</v>
      </c>
      <c r="B133" s="6" t="s">
        <v>381</v>
      </c>
      <c r="C133" s="6" t="s">
        <v>309</v>
      </c>
      <c r="D133" s="6" t="s">
        <v>483</v>
      </c>
      <c r="E133" s="6" t="s">
        <v>416</v>
      </c>
      <c r="F133" s="6" t="s">
        <v>158</v>
      </c>
      <c r="G133" s="6" t="s">
        <v>675</v>
      </c>
      <c r="H133" s="16" t="n">
        <v>46289.175</v>
      </c>
      <c r="I133" s="16"/>
      <c r="J133" s="16"/>
      <c r="K133" s="6" t="s">
        <v>374</v>
      </c>
      <c r="L133" s="6"/>
      <c r="M133" s="6" t="n">
        <v>50</v>
      </c>
      <c r="N133" s="6" t="str">
        <f aca="false">README!$B$14</f>
        <v>points</v>
      </c>
      <c r="O133" s="6"/>
      <c r="P133" s="6"/>
      <c r="Q133" s="17" t="str">
        <f aca="false">IF(AND(I133&lt;&gt;"",J133&lt;&gt;""),(J133-I133)*1440,"")</f>
        <v/>
      </c>
      <c r="R133" s="6" t="n">
        <f aca="false">COUNTIFS(Data_RewardEvents!$B$2:$B$160,A133,Data_RewardEvents!$D$2:$D$160,"reward_pending")</f>
        <v>0</v>
      </c>
      <c r="S133" s="6" t="n">
        <f aca="false">COUNTIFS(Data_RewardEvents!$B$2:$B$160,A133,Data_RewardEvents!$D$2:$D$160,"reward_credited")</f>
        <v>0</v>
      </c>
      <c r="T133" s="6" t="n">
        <f aca="false">COUNTIFS(Data_RewardEvents!$B$2:$B$160,A133,Data_RewardEvents!$D$2:$D$160,"reward_reversed")</f>
        <v>0</v>
      </c>
      <c r="U133" s="6" t="n">
        <f aca="false">COUNTIFS(Data_RewardEvents!$B$2:$B$160,A133,Data_RewardEvents!$D$2:$D$160,"reward_corrected")</f>
        <v>0</v>
      </c>
      <c r="V133" s="6" t="n">
        <f aca="false">SUMIFS(Data_RewardEvents!$F$2:$F$160,Data_RewardEvents!$B$2:$B$160,A133,Data_RewardEvents!$D$2:$D$160,"reward_credited")+SUMIFS(Data_RewardEvents!$F$2:$F$160,Data_RewardEvents!$B$2:$B$160,A133,Data_RewardEvents!$D$2:$D$160,"reward_reversed")+SUMIFS(Data_RewardEvents!$F$2:$F$160,Data_RewardEvents!$B$2:$B$160,A133,Data_RewardEvents!$D$2:$D$160,"reward_corrected")</f>
        <v>0</v>
      </c>
      <c r="W133" s="16" t="str">
        <f aca="false">IF(S133&gt;0,_xlfn.MINIFS(Data_RewardEvents!$E$2:$E$160,Data_RewardEvents!$B$2:$B$160,A133,Data_RewardEvents!$D$2:$D$160,"reward_credited"),"")</f>
        <v/>
      </c>
      <c r="X133" s="17" t="str">
        <f aca="false">IF(W133="","",(W133-J133)*24)</f>
        <v/>
      </c>
      <c r="Y133" s="6" t="n">
        <f aca="false">IF(I133&lt;&gt;"",1,0)</f>
        <v>0</v>
      </c>
      <c r="Z133" s="6" t="n">
        <f aca="false">IF(K133="completed",1,0)</f>
        <v>0</v>
      </c>
      <c r="AA133" s="6" t="n">
        <f aca="false">IF(L133="validated",1,0)</f>
        <v>0</v>
      </c>
      <c r="AB133" s="6" t="n">
        <f aca="false">IF(S133&gt;0,1,0)</f>
        <v>0</v>
      </c>
    </row>
    <row r="134" customFormat="false" ht="15" hidden="false" customHeight="false" outlineLevel="0" collapsed="false">
      <c r="A134" s="6" t="s">
        <v>676</v>
      </c>
      <c r="B134" s="6" t="s">
        <v>381</v>
      </c>
      <c r="C134" s="6" t="s">
        <v>309</v>
      </c>
      <c r="D134" s="6" t="s">
        <v>652</v>
      </c>
      <c r="E134" s="6" t="s">
        <v>416</v>
      </c>
      <c r="F134" s="6" t="s">
        <v>158</v>
      </c>
      <c r="G134" s="6" t="s">
        <v>677</v>
      </c>
      <c r="H134" s="16" t="n">
        <v>46285.4201388889</v>
      </c>
      <c r="I134" s="16"/>
      <c r="J134" s="16"/>
      <c r="K134" s="6" t="s">
        <v>374</v>
      </c>
      <c r="L134" s="6"/>
      <c r="M134" s="6" t="n">
        <v>50</v>
      </c>
      <c r="N134" s="6" t="str">
        <f aca="false">README!$B$14</f>
        <v>points</v>
      </c>
      <c r="O134" s="6"/>
      <c r="P134" s="6"/>
      <c r="Q134" s="17" t="str">
        <f aca="false">IF(AND(I134&lt;&gt;"",J134&lt;&gt;""),(J134-I134)*1440,"")</f>
        <v/>
      </c>
      <c r="R134" s="6" t="n">
        <f aca="false">COUNTIFS(Data_RewardEvents!$B$2:$B$160,A134,Data_RewardEvents!$D$2:$D$160,"reward_pending")</f>
        <v>0</v>
      </c>
      <c r="S134" s="6" t="n">
        <f aca="false">COUNTIFS(Data_RewardEvents!$B$2:$B$160,A134,Data_RewardEvents!$D$2:$D$160,"reward_credited")</f>
        <v>0</v>
      </c>
      <c r="T134" s="6" t="n">
        <f aca="false">COUNTIFS(Data_RewardEvents!$B$2:$B$160,A134,Data_RewardEvents!$D$2:$D$160,"reward_reversed")</f>
        <v>0</v>
      </c>
      <c r="U134" s="6" t="n">
        <f aca="false">COUNTIFS(Data_RewardEvents!$B$2:$B$160,A134,Data_RewardEvents!$D$2:$D$160,"reward_corrected")</f>
        <v>0</v>
      </c>
      <c r="V134" s="6" t="n">
        <f aca="false">SUMIFS(Data_RewardEvents!$F$2:$F$160,Data_RewardEvents!$B$2:$B$160,A134,Data_RewardEvents!$D$2:$D$160,"reward_credited")+SUMIFS(Data_RewardEvents!$F$2:$F$160,Data_RewardEvents!$B$2:$B$160,A134,Data_RewardEvents!$D$2:$D$160,"reward_reversed")+SUMIFS(Data_RewardEvents!$F$2:$F$160,Data_RewardEvents!$B$2:$B$160,A134,Data_RewardEvents!$D$2:$D$160,"reward_corrected")</f>
        <v>0</v>
      </c>
      <c r="W134" s="16" t="str">
        <f aca="false">IF(S134&gt;0,_xlfn.MINIFS(Data_RewardEvents!$E$2:$E$160,Data_RewardEvents!$B$2:$B$160,A134,Data_RewardEvents!$D$2:$D$160,"reward_credited"),"")</f>
        <v/>
      </c>
      <c r="X134" s="17" t="str">
        <f aca="false">IF(W134="","",(W134-J134)*24)</f>
        <v/>
      </c>
      <c r="Y134" s="6" t="n">
        <f aca="false">IF(I134&lt;&gt;"",1,0)</f>
        <v>0</v>
      </c>
      <c r="Z134" s="6" t="n">
        <f aca="false">IF(K134="completed",1,0)</f>
        <v>0</v>
      </c>
      <c r="AA134" s="6" t="n">
        <f aca="false">IF(L134="validated",1,0)</f>
        <v>0</v>
      </c>
      <c r="AB134" s="6" t="n">
        <f aca="false">IF(S134&gt;0,1,0)</f>
        <v>0</v>
      </c>
    </row>
    <row r="135" customFormat="false" ht="15" hidden="false" customHeight="false" outlineLevel="0" collapsed="false">
      <c r="A135" s="6" t="s">
        <v>678</v>
      </c>
      <c r="B135" s="6" t="s">
        <v>376</v>
      </c>
      <c r="C135" s="6" t="s">
        <v>302</v>
      </c>
      <c r="D135" s="6" t="s">
        <v>502</v>
      </c>
      <c r="E135" s="6" t="s">
        <v>387</v>
      </c>
      <c r="F135" s="6" t="s">
        <v>158</v>
      </c>
      <c r="G135" s="6" t="s">
        <v>679</v>
      </c>
      <c r="H135" s="16" t="n">
        <v>46296.075</v>
      </c>
      <c r="I135" s="16" t="n">
        <v>46296.0895833333</v>
      </c>
      <c r="J135" s="16" t="n">
        <v>46296.0903351182</v>
      </c>
      <c r="K135" s="6" t="s">
        <v>132</v>
      </c>
      <c r="L135" s="6" t="s">
        <v>137</v>
      </c>
      <c r="M135" s="6" t="n">
        <v>5</v>
      </c>
      <c r="N135" s="6" t="str">
        <f aca="false">README!$B$14</f>
        <v>points</v>
      </c>
      <c r="O135" s="6"/>
      <c r="P135" s="6"/>
      <c r="Q135" s="17" t="n">
        <f aca="false">IF(AND(I135&lt;&gt;"",J135&lt;&gt;""),(J135-I135)*1440,"")</f>
        <v>1.08257018378333</v>
      </c>
      <c r="R135" s="6" t="n">
        <f aca="false">COUNTIFS(Data_RewardEvents!$B$2:$B$160,A135,Data_RewardEvents!$D$2:$D$160,"reward_pending")</f>
        <v>0</v>
      </c>
      <c r="S135" s="6" t="n">
        <f aca="false">COUNTIFS(Data_RewardEvents!$B$2:$B$160,A135,Data_RewardEvents!$D$2:$D$160,"reward_credited")</f>
        <v>1</v>
      </c>
      <c r="T135" s="6" t="n">
        <f aca="false">COUNTIFS(Data_RewardEvents!$B$2:$B$160,A135,Data_RewardEvents!$D$2:$D$160,"reward_reversed")</f>
        <v>0</v>
      </c>
      <c r="U135" s="6" t="n">
        <f aca="false">COUNTIFS(Data_RewardEvents!$B$2:$B$160,A135,Data_RewardEvents!$D$2:$D$160,"reward_corrected")</f>
        <v>0</v>
      </c>
      <c r="V135" s="6" t="n">
        <f aca="false">SUMIFS(Data_RewardEvents!$F$2:$F$160,Data_RewardEvents!$B$2:$B$160,A135,Data_RewardEvents!$D$2:$D$160,"reward_credited")+SUMIFS(Data_RewardEvents!$F$2:$F$160,Data_RewardEvents!$B$2:$B$160,A135,Data_RewardEvents!$D$2:$D$160,"reward_reversed")+SUMIFS(Data_RewardEvents!$F$2:$F$160,Data_RewardEvents!$B$2:$B$160,A135,Data_RewardEvents!$D$2:$D$160,"reward_corrected")</f>
        <v>5</v>
      </c>
      <c r="W135" s="16" t="n">
        <f aca="false">IF(S135&gt;0,_xlfn.MINIFS(Data_RewardEvents!$E$2:$E$160,Data_RewardEvents!$B$2:$B$160,A135,Data_RewardEvents!$D$2:$D$160,"reward_credited"),"")</f>
        <v>46296.0946870401</v>
      </c>
      <c r="X135" s="17" t="n">
        <f aca="false">IF(W135="","",(W135-J135)*24)</f>
        <v>0.104446125682222</v>
      </c>
      <c r="Y135" s="6" t="n">
        <f aca="false">IF(I135&lt;&gt;"",1,0)</f>
        <v>1</v>
      </c>
      <c r="Z135" s="6" t="n">
        <f aca="false">IF(K135="completed",1,0)</f>
        <v>1</v>
      </c>
      <c r="AA135" s="6" t="n">
        <f aca="false">IF(L135="validated",1,0)</f>
        <v>1</v>
      </c>
      <c r="AB135" s="6" t="n">
        <f aca="false">IF(S135&gt;0,1,0)</f>
        <v>1</v>
      </c>
    </row>
    <row r="136" customFormat="false" ht="15" hidden="false" customHeight="false" outlineLevel="0" collapsed="false">
      <c r="A136" s="6" t="s">
        <v>680</v>
      </c>
      <c r="B136" s="6" t="s">
        <v>376</v>
      </c>
      <c r="C136" s="6" t="s">
        <v>302</v>
      </c>
      <c r="D136" s="6" t="s">
        <v>475</v>
      </c>
      <c r="E136" s="6" t="s">
        <v>387</v>
      </c>
      <c r="F136" s="6" t="s">
        <v>158</v>
      </c>
      <c r="G136" s="6" t="s">
        <v>681</v>
      </c>
      <c r="H136" s="16" t="n">
        <v>46291.2520833333</v>
      </c>
      <c r="I136" s="16"/>
      <c r="J136" s="16"/>
      <c r="K136" s="6" t="s">
        <v>374</v>
      </c>
      <c r="L136" s="6"/>
      <c r="M136" s="6" t="n">
        <v>5</v>
      </c>
      <c r="N136" s="6" t="str">
        <f aca="false">README!$B$14</f>
        <v>points</v>
      </c>
      <c r="O136" s="6"/>
      <c r="P136" s="6"/>
      <c r="Q136" s="17" t="str">
        <f aca="false">IF(AND(I136&lt;&gt;"",J136&lt;&gt;""),(J136-I136)*1440,"")</f>
        <v/>
      </c>
      <c r="R136" s="6" t="n">
        <f aca="false">COUNTIFS(Data_RewardEvents!$B$2:$B$160,A136,Data_RewardEvents!$D$2:$D$160,"reward_pending")</f>
        <v>0</v>
      </c>
      <c r="S136" s="6" t="n">
        <f aca="false">COUNTIFS(Data_RewardEvents!$B$2:$B$160,A136,Data_RewardEvents!$D$2:$D$160,"reward_credited")</f>
        <v>0</v>
      </c>
      <c r="T136" s="6" t="n">
        <f aca="false">COUNTIFS(Data_RewardEvents!$B$2:$B$160,A136,Data_RewardEvents!$D$2:$D$160,"reward_reversed")</f>
        <v>0</v>
      </c>
      <c r="U136" s="6" t="n">
        <f aca="false">COUNTIFS(Data_RewardEvents!$B$2:$B$160,A136,Data_RewardEvents!$D$2:$D$160,"reward_corrected")</f>
        <v>0</v>
      </c>
      <c r="V136" s="6" t="n">
        <f aca="false">SUMIFS(Data_RewardEvents!$F$2:$F$160,Data_RewardEvents!$B$2:$B$160,A136,Data_RewardEvents!$D$2:$D$160,"reward_credited")+SUMIFS(Data_RewardEvents!$F$2:$F$160,Data_RewardEvents!$B$2:$B$160,A136,Data_RewardEvents!$D$2:$D$160,"reward_reversed")+SUMIFS(Data_RewardEvents!$F$2:$F$160,Data_RewardEvents!$B$2:$B$160,A136,Data_RewardEvents!$D$2:$D$160,"reward_corrected")</f>
        <v>0</v>
      </c>
      <c r="W136" s="16" t="str">
        <f aca="false">IF(S136&gt;0,_xlfn.MINIFS(Data_RewardEvents!$E$2:$E$160,Data_RewardEvents!$B$2:$B$160,A136,Data_RewardEvents!$D$2:$D$160,"reward_credited"),"")</f>
        <v/>
      </c>
      <c r="X136" s="17" t="str">
        <f aca="false">IF(W136="","",(W136-J136)*24)</f>
        <v/>
      </c>
      <c r="Y136" s="6" t="n">
        <f aca="false">IF(I136&lt;&gt;"",1,0)</f>
        <v>0</v>
      </c>
      <c r="Z136" s="6" t="n">
        <f aca="false">IF(K136="completed",1,0)</f>
        <v>0</v>
      </c>
      <c r="AA136" s="6" t="n">
        <f aca="false">IF(L136="validated",1,0)</f>
        <v>0</v>
      </c>
      <c r="AB136" s="6" t="n">
        <f aca="false">IF(S136&gt;0,1,0)</f>
        <v>0</v>
      </c>
    </row>
    <row r="137" customFormat="false" ht="15" hidden="false" customHeight="false" outlineLevel="0" collapsed="false">
      <c r="A137" s="6" t="s">
        <v>682</v>
      </c>
      <c r="B137" s="6" t="s">
        <v>381</v>
      </c>
      <c r="C137" s="6" t="s">
        <v>309</v>
      </c>
      <c r="D137" s="6" t="s">
        <v>551</v>
      </c>
      <c r="E137" s="6" t="s">
        <v>416</v>
      </c>
      <c r="F137" s="6" t="s">
        <v>158</v>
      </c>
      <c r="G137" s="6" t="s">
        <v>683</v>
      </c>
      <c r="H137" s="16" t="n">
        <v>46296.6027777778</v>
      </c>
      <c r="I137" s="16" t="n">
        <v>46296.60625</v>
      </c>
      <c r="J137" s="16" t="n">
        <v>46296.6129526137</v>
      </c>
      <c r="K137" s="6" t="s">
        <v>132</v>
      </c>
      <c r="L137" s="6" t="s">
        <v>137</v>
      </c>
      <c r="M137" s="6" t="n">
        <v>50</v>
      </c>
      <c r="N137" s="6" t="str">
        <f aca="false">README!$B$14</f>
        <v>points</v>
      </c>
      <c r="O137" s="6"/>
      <c r="P137" s="6"/>
      <c r="Q137" s="17" t="n">
        <f aca="false">IF(AND(I137&lt;&gt;"",J137&lt;&gt;""),(J137-I137)*1440,"")</f>
        <v>9.65176369178333</v>
      </c>
      <c r="R137" s="6" t="n">
        <f aca="false">COUNTIFS(Data_RewardEvents!$B$2:$B$160,A137,Data_RewardEvents!$D$2:$D$160,"reward_pending")</f>
        <v>1</v>
      </c>
      <c r="S137" s="6" t="n">
        <f aca="false">COUNTIFS(Data_RewardEvents!$B$2:$B$160,A137,Data_RewardEvents!$D$2:$D$160,"reward_credited")</f>
        <v>1</v>
      </c>
      <c r="T137" s="6" t="n">
        <f aca="false">COUNTIFS(Data_RewardEvents!$B$2:$B$160,A137,Data_RewardEvents!$D$2:$D$160,"reward_reversed")</f>
        <v>0</v>
      </c>
      <c r="U137" s="6" t="n">
        <f aca="false">COUNTIFS(Data_RewardEvents!$B$2:$B$160,A137,Data_RewardEvents!$D$2:$D$160,"reward_corrected")</f>
        <v>0</v>
      </c>
      <c r="V137" s="6" t="n">
        <f aca="false">SUMIFS(Data_RewardEvents!$F$2:$F$160,Data_RewardEvents!$B$2:$B$160,A137,Data_RewardEvents!$D$2:$D$160,"reward_credited")+SUMIFS(Data_RewardEvents!$F$2:$F$160,Data_RewardEvents!$B$2:$B$160,A137,Data_RewardEvents!$D$2:$D$160,"reward_reversed")+SUMIFS(Data_RewardEvents!$F$2:$F$160,Data_RewardEvents!$B$2:$B$160,A137,Data_RewardEvents!$D$2:$D$160,"reward_corrected")</f>
        <v>50</v>
      </c>
      <c r="W137" s="16" t="n">
        <f aca="false">IF(S137&gt;0,_xlfn.MINIFS(Data_RewardEvents!$E$2:$E$160,Data_RewardEvents!$B$2:$B$160,A137,Data_RewardEvents!$D$2:$D$160,"reward_credited"),"")</f>
        <v>46296.8486745988</v>
      </c>
      <c r="X137" s="17" t="n">
        <f aca="false">IF(W137="","",(W137-J137)*24)</f>
        <v>5.65732764406111</v>
      </c>
      <c r="Y137" s="6" t="n">
        <f aca="false">IF(I137&lt;&gt;"",1,0)</f>
        <v>1</v>
      </c>
      <c r="Z137" s="6" t="n">
        <f aca="false">IF(K137="completed",1,0)</f>
        <v>1</v>
      </c>
      <c r="AA137" s="6" t="n">
        <f aca="false">IF(L137="validated",1,0)</f>
        <v>1</v>
      </c>
      <c r="AB137" s="6" t="n">
        <f aca="false">IF(S137&gt;0,1,0)</f>
        <v>1</v>
      </c>
    </row>
    <row r="138" customFormat="false" ht="15" hidden="false" customHeight="false" outlineLevel="0" collapsed="false">
      <c r="A138" s="6" t="s">
        <v>684</v>
      </c>
      <c r="B138" s="6" t="s">
        <v>365</v>
      </c>
      <c r="C138" s="6" t="s">
        <v>323</v>
      </c>
      <c r="D138" s="6" t="s">
        <v>377</v>
      </c>
      <c r="E138" s="6" t="s">
        <v>444</v>
      </c>
      <c r="F138" s="6" t="s">
        <v>158</v>
      </c>
      <c r="G138" s="6" t="s">
        <v>685</v>
      </c>
      <c r="H138" s="16" t="n">
        <v>46301.9576388889</v>
      </c>
      <c r="I138" s="16" t="n">
        <v>46301.9763888889</v>
      </c>
      <c r="J138" s="16" t="n">
        <v>46302.0382425344</v>
      </c>
      <c r="K138" s="6" t="s">
        <v>132</v>
      </c>
      <c r="L138" s="6" t="s">
        <v>137</v>
      </c>
      <c r="M138" s="6" t="n">
        <v>30</v>
      </c>
      <c r="N138" s="6" t="str">
        <f aca="false">README!$B$14</f>
        <v>points</v>
      </c>
      <c r="O138" s="6"/>
      <c r="P138" s="6"/>
      <c r="Q138" s="17" t="n">
        <f aca="false">IF(AND(I138&lt;&gt;"",J138&lt;&gt;""),(J138-I138)*1440,"")</f>
        <v>89.0692494786333</v>
      </c>
      <c r="R138" s="6" t="n">
        <f aca="false">COUNTIFS(Data_RewardEvents!$B$2:$B$160,A138,Data_RewardEvents!$D$2:$D$160,"reward_pending")</f>
        <v>1</v>
      </c>
      <c r="S138" s="6" t="n">
        <f aca="false">COUNTIFS(Data_RewardEvents!$B$2:$B$160,A138,Data_RewardEvents!$D$2:$D$160,"reward_credited")</f>
        <v>1</v>
      </c>
      <c r="T138" s="6" t="n">
        <f aca="false">COUNTIFS(Data_RewardEvents!$B$2:$B$160,A138,Data_RewardEvents!$D$2:$D$160,"reward_reversed")</f>
        <v>0</v>
      </c>
      <c r="U138" s="6" t="n">
        <f aca="false">COUNTIFS(Data_RewardEvents!$B$2:$B$160,A138,Data_RewardEvents!$D$2:$D$160,"reward_corrected")</f>
        <v>0</v>
      </c>
      <c r="V138" s="6" t="n">
        <f aca="false">SUMIFS(Data_RewardEvents!$F$2:$F$160,Data_RewardEvents!$B$2:$B$160,A138,Data_RewardEvents!$D$2:$D$160,"reward_credited")+SUMIFS(Data_RewardEvents!$F$2:$F$160,Data_RewardEvents!$B$2:$B$160,A138,Data_RewardEvents!$D$2:$D$160,"reward_reversed")+SUMIFS(Data_RewardEvents!$F$2:$F$160,Data_RewardEvents!$B$2:$B$160,A138,Data_RewardEvents!$D$2:$D$160,"reward_corrected")</f>
        <v>30</v>
      </c>
      <c r="W138" s="16" t="n">
        <f aca="false">IF(S138&gt;0,_xlfn.MINIFS(Data_RewardEvents!$E$2:$E$160,Data_RewardEvents!$B$2:$B$160,A138,Data_RewardEvents!$D$2:$D$160,"reward_credited"),"")</f>
        <v>46304.6387534054</v>
      </c>
      <c r="X138" s="17" t="n">
        <f aca="false">IF(W138="","",(W138-J138)*24)</f>
        <v>62.4122609050828</v>
      </c>
      <c r="Y138" s="6" t="n">
        <f aca="false">IF(I138&lt;&gt;"",1,0)</f>
        <v>1</v>
      </c>
      <c r="Z138" s="6" t="n">
        <f aca="false">IF(K138="completed",1,0)</f>
        <v>1</v>
      </c>
      <c r="AA138" s="6" t="n">
        <f aca="false">IF(L138="validated",1,0)</f>
        <v>1</v>
      </c>
      <c r="AB138" s="6" t="n">
        <f aca="false">IF(S138&gt;0,1,0)</f>
        <v>1</v>
      </c>
    </row>
    <row r="139" customFormat="false" ht="15" hidden="false" customHeight="false" outlineLevel="0" collapsed="false">
      <c r="A139" s="6" t="s">
        <v>686</v>
      </c>
      <c r="B139" s="6" t="s">
        <v>403</v>
      </c>
      <c r="C139" s="6" t="s">
        <v>404</v>
      </c>
      <c r="D139" s="6" t="s">
        <v>440</v>
      </c>
      <c r="E139" s="6" t="s">
        <v>98</v>
      </c>
      <c r="F139" s="6" t="s">
        <v>406</v>
      </c>
      <c r="G139" s="6"/>
      <c r="H139" s="16" t="n">
        <v>46302.1979166667</v>
      </c>
      <c r="I139" s="16" t="n">
        <v>46302.2027777778</v>
      </c>
      <c r="J139" s="16" t="n">
        <v>46302.2039788055</v>
      </c>
      <c r="K139" s="6" t="s">
        <v>132</v>
      </c>
      <c r="L139" s="6" t="s">
        <v>137</v>
      </c>
      <c r="M139" s="6" t="n">
        <v>10</v>
      </c>
      <c r="N139" s="6" t="str">
        <f aca="false">README!$B$14</f>
        <v>points</v>
      </c>
      <c r="O139" s="6"/>
      <c r="P139" s="6"/>
      <c r="Q139" s="17" t="n">
        <f aca="false">IF(AND(I139&lt;&gt;"",J139&lt;&gt;""),(J139-I139)*1440,"")</f>
        <v>1.72947991755</v>
      </c>
      <c r="R139" s="6" t="n">
        <f aca="false">COUNTIFS(Data_RewardEvents!$B$2:$B$160,A139,Data_RewardEvents!$D$2:$D$160,"reward_pending")</f>
        <v>0</v>
      </c>
      <c r="S139" s="6" t="n">
        <f aca="false">COUNTIFS(Data_RewardEvents!$B$2:$B$160,A139,Data_RewardEvents!$D$2:$D$160,"reward_credited")</f>
        <v>1</v>
      </c>
      <c r="T139" s="6" t="n">
        <f aca="false">COUNTIFS(Data_RewardEvents!$B$2:$B$160,A139,Data_RewardEvents!$D$2:$D$160,"reward_reversed")</f>
        <v>0</v>
      </c>
      <c r="U139" s="6" t="n">
        <f aca="false">COUNTIFS(Data_RewardEvents!$B$2:$B$160,A139,Data_RewardEvents!$D$2:$D$160,"reward_corrected")</f>
        <v>0</v>
      </c>
      <c r="V139" s="6" t="n">
        <f aca="false">SUMIFS(Data_RewardEvents!$F$2:$F$160,Data_RewardEvents!$B$2:$B$160,A139,Data_RewardEvents!$D$2:$D$160,"reward_credited")+SUMIFS(Data_RewardEvents!$F$2:$F$160,Data_RewardEvents!$B$2:$B$160,A139,Data_RewardEvents!$D$2:$D$160,"reward_reversed")+SUMIFS(Data_RewardEvents!$F$2:$F$160,Data_RewardEvents!$B$2:$B$160,A139,Data_RewardEvents!$D$2:$D$160,"reward_corrected")</f>
        <v>10</v>
      </c>
      <c r="W139" s="16" t="n">
        <f aca="false">IF(S139&gt;0,_xlfn.MINIFS(Data_RewardEvents!$E$2:$E$160,Data_RewardEvents!$B$2:$B$160,A139,Data_RewardEvents!$D$2:$D$160,"reward_credited"),"")</f>
        <v>46302.2105386657</v>
      </c>
      <c r="X139" s="17" t="n">
        <f aca="false">IF(W139="","",(W139-J139)*24)</f>
        <v>0.157436645356667</v>
      </c>
      <c r="Y139" s="6" t="n">
        <f aca="false">IF(I139&lt;&gt;"",1,0)</f>
        <v>1</v>
      </c>
      <c r="Z139" s="6" t="n">
        <f aca="false">IF(K139="completed",1,0)</f>
        <v>1</v>
      </c>
      <c r="AA139" s="6" t="n">
        <f aca="false">IF(L139="validated",1,0)</f>
        <v>1</v>
      </c>
      <c r="AB139" s="6" t="n">
        <f aca="false">IF(S139&gt;0,1,0)</f>
        <v>1</v>
      </c>
    </row>
    <row r="140" customFormat="false" ht="15" hidden="false" customHeight="false" outlineLevel="0" collapsed="false">
      <c r="A140" s="6" t="s">
        <v>687</v>
      </c>
      <c r="B140" s="6" t="s">
        <v>376</v>
      </c>
      <c r="C140" s="6" t="s">
        <v>302</v>
      </c>
      <c r="D140" s="6" t="s">
        <v>405</v>
      </c>
      <c r="E140" s="6" t="s">
        <v>387</v>
      </c>
      <c r="F140" s="6" t="s">
        <v>158</v>
      </c>
      <c r="G140" s="6" t="s">
        <v>688</v>
      </c>
      <c r="H140" s="16" t="n">
        <v>46297.9173611111</v>
      </c>
      <c r="I140" s="16" t="n">
        <v>46297.9368055556</v>
      </c>
      <c r="J140" s="16"/>
      <c r="K140" s="6" t="s">
        <v>448</v>
      </c>
      <c r="L140" s="6"/>
      <c r="M140" s="6" t="n">
        <v>5</v>
      </c>
      <c r="N140" s="6" t="str">
        <f aca="false">README!$B$14</f>
        <v>points</v>
      </c>
      <c r="O140" s="6" t="s">
        <v>167</v>
      </c>
      <c r="P140" s="6" t="s">
        <v>223</v>
      </c>
      <c r="Q140" s="17" t="str">
        <f aca="false">IF(AND(I140&lt;&gt;"",J140&lt;&gt;""),(J140-I140)*1440,"")</f>
        <v/>
      </c>
      <c r="R140" s="6" t="n">
        <f aca="false">COUNTIFS(Data_RewardEvents!$B$2:$B$160,A140,Data_RewardEvents!$D$2:$D$160,"reward_pending")</f>
        <v>0</v>
      </c>
      <c r="S140" s="6" t="n">
        <f aca="false">COUNTIFS(Data_RewardEvents!$B$2:$B$160,A140,Data_RewardEvents!$D$2:$D$160,"reward_credited")</f>
        <v>0</v>
      </c>
      <c r="T140" s="6" t="n">
        <f aca="false">COUNTIFS(Data_RewardEvents!$B$2:$B$160,A140,Data_RewardEvents!$D$2:$D$160,"reward_reversed")</f>
        <v>0</v>
      </c>
      <c r="U140" s="6" t="n">
        <f aca="false">COUNTIFS(Data_RewardEvents!$B$2:$B$160,A140,Data_RewardEvents!$D$2:$D$160,"reward_corrected")</f>
        <v>0</v>
      </c>
      <c r="V140" s="6" t="n">
        <f aca="false">SUMIFS(Data_RewardEvents!$F$2:$F$160,Data_RewardEvents!$B$2:$B$160,A140,Data_RewardEvents!$D$2:$D$160,"reward_credited")+SUMIFS(Data_RewardEvents!$F$2:$F$160,Data_RewardEvents!$B$2:$B$160,A140,Data_RewardEvents!$D$2:$D$160,"reward_reversed")+SUMIFS(Data_RewardEvents!$F$2:$F$160,Data_RewardEvents!$B$2:$B$160,A140,Data_RewardEvents!$D$2:$D$160,"reward_corrected")</f>
        <v>0</v>
      </c>
      <c r="W140" s="16" t="str">
        <f aca="false">IF(S140&gt;0,_xlfn.MINIFS(Data_RewardEvents!$E$2:$E$160,Data_RewardEvents!$B$2:$B$160,A140,Data_RewardEvents!$D$2:$D$160,"reward_credited"),"")</f>
        <v/>
      </c>
      <c r="X140" s="17" t="str">
        <f aca="false">IF(W140="","",(W140-J140)*24)</f>
        <v/>
      </c>
      <c r="Y140" s="6" t="n">
        <f aca="false">IF(I140&lt;&gt;"",1,0)</f>
        <v>1</v>
      </c>
      <c r="Z140" s="6" t="n">
        <f aca="false">IF(K140="completed",1,0)</f>
        <v>0</v>
      </c>
      <c r="AA140" s="6" t="n">
        <f aca="false">IF(L140="validated",1,0)</f>
        <v>0</v>
      </c>
      <c r="AB140" s="6" t="n">
        <f aca="false">IF(S140&gt;0,1,0)</f>
        <v>0</v>
      </c>
    </row>
    <row r="141" customFormat="false" ht="15" hidden="false" customHeight="false" outlineLevel="0" collapsed="false">
      <c r="A141" s="6" t="s">
        <v>689</v>
      </c>
      <c r="B141" s="6" t="s">
        <v>370</v>
      </c>
      <c r="C141" s="6" t="s">
        <v>316</v>
      </c>
      <c r="D141" s="6" t="s">
        <v>461</v>
      </c>
      <c r="E141" s="6" t="s">
        <v>372</v>
      </c>
      <c r="F141" s="6" t="s">
        <v>158</v>
      </c>
      <c r="G141" s="6" t="s">
        <v>690</v>
      </c>
      <c r="H141" s="16" t="n">
        <v>46289.1652777778</v>
      </c>
      <c r="I141" s="16" t="n">
        <v>46289.1819444444</v>
      </c>
      <c r="J141" s="16"/>
      <c r="K141" s="6" t="s">
        <v>448</v>
      </c>
      <c r="L141" s="6"/>
      <c r="M141" s="6" t="n">
        <v>100</v>
      </c>
      <c r="N141" s="6" t="str">
        <f aca="false">README!$B$14</f>
        <v>points</v>
      </c>
      <c r="O141" s="6" t="s">
        <v>167</v>
      </c>
      <c r="P141" s="6" t="s">
        <v>158</v>
      </c>
      <c r="Q141" s="17" t="str">
        <f aca="false">IF(AND(I141&lt;&gt;"",J141&lt;&gt;""),(J141-I141)*1440,"")</f>
        <v/>
      </c>
      <c r="R141" s="6" t="n">
        <f aca="false">COUNTIFS(Data_RewardEvents!$B$2:$B$160,A141,Data_RewardEvents!$D$2:$D$160,"reward_pending")</f>
        <v>0</v>
      </c>
      <c r="S141" s="6" t="n">
        <f aca="false">COUNTIFS(Data_RewardEvents!$B$2:$B$160,A141,Data_RewardEvents!$D$2:$D$160,"reward_credited")</f>
        <v>0</v>
      </c>
      <c r="T141" s="6" t="n">
        <f aca="false">COUNTIFS(Data_RewardEvents!$B$2:$B$160,A141,Data_RewardEvents!$D$2:$D$160,"reward_reversed")</f>
        <v>0</v>
      </c>
      <c r="U141" s="6" t="n">
        <f aca="false">COUNTIFS(Data_RewardEvents!$B$2:$B$160,A141,Data_RewardEvents!$D$2:$D$160,"reward_corrected")</f>
        <v>0</v>
      </c>
      <c r="V141" s="6" t="n">
        <f aca="false">SUMIFS(Data_RewardEvents!$F$2:$F$160,Data_RewardEvents!$B$2:$B$160,A141,Data_RewardEvents!$D$2:$D$160,"reward_credited")+SUMIFS(Data_RewardEvents!$F$2:$F$160,Data_RewardEvents!$B$2:$B$160,A141,Data_RewardEvents!$D$2:$D$160,"reward_reversed")+SUMIFS(Data_RewardEvents!$F$2:$F$160,Data_RewardEvents!$B$2:$B$160,A141,Data_RewardEvents!$D$2:$D$160,"reward_corrected")</f>
        <v>0</v>
      </c>
      <c r="W141" s="16" t="str">
        <f aca="false">IF(S141&gt;0,_xlfn.MINIFS(Data_RewardEvents!$E$2:$E$160,Data_RewardEvents!$B$2:$B$160,A141,Data_RewardEvents!$D$2:$D$160,"reward_credited"),"")</f>
        <v/>
      </c>
      <c r="X141" s="17" t="str">
        <f aca="false">IF(W141="","",(W141-J141)*24)</f>
        <v/>
      </c>
      <c r="Y141" s="6" t="n">
        <f aca="false">IF(I141&lt;&gt;"",1,0)</f>
        <v>1</v>
      </c>
      <c r="Z141" s="6" t="n">
        <f aca="false">IF(K141="completed",1,0)</f>
        <v>0</v>
      </c>
      <c r="AA141" s="6" t="n">
        <f aca="false">IF(L141="validated",1,0)</f>
        <v>0</v>
      </c>
      <c r="AB141" s="6" t="n">
        <f aca="false">IF(S141&gt;0,1,0)</f>
        <v>0</v>
      </c>
    </row>
    <row r="142" customFormat="false" ht="15" hidden="false" customHeight="false" outlineLevel="0" collapsed="false">
      <c r="A142" s="6" t="s">
        <v>691</v>
      </c>
      <c r="B142" s="6" t="s">
        <v>365</v>
      </c>
      <c r="C142" s="6" t="s">
        <v>323</v>
      </c>
      <c r="D142" s="6" t="s">
        <v>382</v>
      </c>
      <c r="E142" s="6" t="s">
        <v>367</v>
      </c>
      <c r="F142" s="6" t="s">
        <v>158</v>
      </c>
      <c r="G142" s="6" t="s">
        <v>692</v>
      </c>
      <c r="H142" s="16" t="n">
        <v>46303.8805555556</v>
      </c>
      <c r="I142" s="16" t="n">
        <v>46303.8909722222</v>
      </c>
      <c r="J142" s="16"/>
      <c r="K142" s="6" t="s">
        <v>448</v>
      </c>
      <c r="L142" s="6"/>
      <c r="M142" s="6" t="n">
        <v>30</v>
      </c>
      <c r="N142" s="6" t="str">
        <f aca="false">README!$B$14</f>
        <v>points</v>
      </c>
      <c r="O142" s="6" t="s">
        <v>167</v>
      </c>
      <c r="P142" s="6" t="s">
        <v>158</v>
      </c>
      <c r="Q142" s="17" t="str">
        <f aca="false">IF(AND(I142&lt;&gt;"",J142&lt;&gt;""),(J142-I142)*1440,"")</f>
        <v/>
      </c>
      <c r="R142" s="6" t="n">
        <f aca="false">COUNTIFS(Data_RewardEvents!$B$2:$B$160,A142,Data_RewardEvents!$D$2:$D$160,"reward_pending")</f>
        <v>0</v>
      </c>
      <c r="S142" s="6" t="n">
        <f aca="false">COUNTIFS(Data_RewardEvents!$B$2:$B$160,A142,Data_RewardEvents!$D$2:$D$160,"reward_credited")</f>
        <v>0</v>
      </c>
      <c r="T142" s="6" t="n">
        <f aca="false">COUNTIFS(Data_RewardEvents!$B$2:$B$160,A142,Data_RewardEvents!$D$2:$D$160,"reward_reversed")</f>
        <v>0</v>
      </c>
      <c r="U142" s="6" t="n">
        <f aca="false">COUNTIFS(Data_RewardEvents!$B$2:$B$160,A142,Data_RewardEvents!$D$2:$D$160,"reward_corrected")</f>
        <v>0</v>
      </c>
      <c r="V142" s="6" t="n">
        <f aca="false">SUMIFS(Data_RewardEvents!$F$2:$F$160,Data_RewardEvents!$B$2:$B$160,A142,Data_RewardEvents!$D$2:$D$160,"reward_credited")+SUMIFS(Data_RewardEvents!$F$2:$F$160,Data_RewardEvents!$B$2:$B$160,A142,Data_RewardEvents!$D$2:$D$160,"reward_reversed")+SUMIFS(Data_RewardEvents!$F$2:$F$160,Data_RewardEvents!$B$2:$B$160,A142,Data_RewardEvents!$D$2:$D$160,"reward_corrected")</f>
        <v>0</v>
      </c>
      <c r="W142" s="16" t="str">
        <f aca="false">IF(S142&gt;0,_xlfn.MINIFS(Data_RewardEvents!$E$2:$E$160,Data_RewardEvents!$B$2:$B$160,A142,Data_RewardEvents!$D$2:$D$160,"reward_credited"),"")</f>
        <v/>
      </c>
      <c r="X142" s="17" t="str">
        <f aca="false">IF(W142="","",(W142-J142)*24)</f>
        <v/>
      </c>
      <c r="Y142" s="6" t="n">
        <f aca="false">IF(I142&lt;&gt;"",1,0)</f>
        <v>1</v>
      </c>
      <c r="Z142" s="6" t="n">
        <f aca="false">IF(K142="completed",1,0)</f>
        <v>0</v>
      </c>
      <c r="AA142" s="6" t="n">
        <f aca="false">IF(L142="validated",1,0)</f>
        <v>0</v>
      </c>
      <c r="AB142" s="6" t="n">
        <f aca="false">IF(S142&gt;0,1,0)</f>
        <v>0</v>
      </c>
    </row>
    <row r="143" customFormat="false" ht="15" hidden="false" customHeight="false" outlineLevel="0" collapsed="false">
      <c r="A143" s="6" t="s">
        <v>693</v>
      </c>
      <c r="B143" s="6" t="s">
        <v>376</v>
      </c>
      <c r="C143" s="6" t="s">
        <v>302</v>
      </c>
      <c r="D143" s="6" t="s">
        <v>520</v>
      </c>
      <c r="E143" s="6" t="s">
        <v>378</v>
      </c>
      <c r="F143" s="6" t="s">
        <v>158</v>
      </c>
      <c r="G143" s="6" t="s">
        <v>694</v>
      </c>
      <c r="H143" s="16" t="n">
        <v>46286.6576388889</v>
      </c>
      <c r="I143" s="16"/>
      <c r="J143" s="16"/>
      <c r="K143" s="6" t="s">
        <v>374</v>
      </c>
      <c r="L143" s="6"/>
      <c r="M143" s="6" t="n">
        <v>5</v>
      </c>
      <c r="N143" s="6" t="str">
        <f aca="false">README!$B$14</f>
        <v>points</v>
      </c>
      <c r="O143" s="6"/>
      <c r="P143" s="6"/>
      <c r="Q143" s="17" t="str">
        <f aca="false">IF(AND(I143&lt;&gt;"",J143&lt;&gt;""),(J143-I143)*1440,"")</f>
        <v/>
      </c>
      <c r="R143" s="6" t="n">
        <f aca="false">COUNTIFS(Data_RewardEvents!$B$2:$B$160,A143,Data_RewardEvents!$D$2:$D$160,"reward_pending")</f>
        <v>0</v>
      </c>
      <c r="S143" s="6" t="n">
        <f aca="false">COUNTIFS(Data_RewardEvents!$B$2:$B$160,A143,Data_RewardEvents!$D$2:$D$160,"reward_credited")</f>
        <v>0</v>
      </c>
      <c r="T143" s="6" t="n">
        <f aca="false">COUNTIFS(Data_RewardEvents!$B$2:$B$160,A143,Data_RewardEvents!$D$2:$D$160,"reward_reversed")</f>
        <v>0</v>
      </c>
      <c r="U143" s="6" t="n">
        <f aca="false">COUNTIFS(Data_RewardEvents!$B$2:$B$160,A143,Data_RewardEvents!$D$2:$D$160,"reward_corrected")</f>
        <v>0</v>
      </c>
      <c r="V143" s="6" t="n">
        <f aca="false">SUMIFS(Data_RewardEvents!$F$2:$F$160,Data_RewardEvents!$B$2:$B$160,A143,Data_RewardEvents!$D$2:$D$160,"reward_credited")+SUMIFS(Data_RewardEvents!$F$2:$F$160,Data_RewardEvents!$B$2:$B$160,A143,Data_RewardEvents!$D$2:$D$160,"reward_reversed")+SUMIFS(Data_RewardEvents!$F$2:$F$160,Data_RewardEvents!$B$2:$B$160,A143,Data_RewardEvents!$D$2:$D$160,"reward_corrected")</f>
        <v>0</v>
      </c>
      <c r="W143" s="16" t="str">
        <f aca="false">IF(S143&gt;0,_xlfn.MINIFS(Data_RewardEvents!$E$2:$E$160,Data_RewardEvents!$B$2:$B$160,A143,Data_RewardEvents!$D$2:$D$160,"reward_credited"),"")</f>
        <v/>
      </c>
      <c r="X143" s="17" t="str">
        <f aca="false">IF(W143="","",(W143-J143)*24)</f>
        <v/>
      </c>
      <c r="Y143" s="6" t="n">
        <f aca="false">IF(I143&lt;&gt;"",1,0)</f>
        <v>0</v>
      </c>
      <c r="Z143" s="6" t="n">
        <f aca="false">IF(K143="completed",1,0)</f>
        <v>0</v>
      </c>
      <c r="AA143" s="6" t="n">
        <f aca="false">IF(L143="validated",1,0)</f>
        <v>0</v>
      </c>
      <c r="AB143" s="6" t="n">
        <f aca="false">IF(S143&gt;0,1,0)</f>
        <v>0</v>
      </c>
    </row>
    <row r="144" customFormat="false" ht="15" hidden="false" customHeight="false" outlineLevel="0" collapsed="false">
      <c r="A144" s="6" t="s">
        <v>695</v>
      </c>
      <c r="B144" s="6" t="s">
        <v>370</v>
      </c>
      <c r="C144" s="6" t="s">
        <v>316</v>
      </c>
      <c r="D144" s="6" t="s">
        <v>371</v>
      </c>
      <c r="E144" s="6" t="s">
        <v>372</v>
      </c>
      <c r="F144" s="6" t="s">
        <v>158</v>
      </c>
      <c r="G144" s="6" t="s">
        <v>696</v>
      </c>
      <c r="H144" s="16" t="n">
        <v>46290.3381944444</v>
      </c>
      <c r="I144" s="16"/>
      <c r="J144" s="16"/>
      <c r="K144" s="6" t="s">
        <v>374</v>
      </c>
      <c r="L144" s="6"/>
      <c r="M144" s="6" t="n">
        <v>100</v>
      </c>
      <c r="N144" s="6" t="str">
        <f aca="false">README!$B$14</f>
        <v>points</v>
      </c>
      <c r="O144" s="6"/>
      <c r="P144" s="6"/>
      <c r="Q144" s="17" t="str">
        <f aca="false">IF(AND(I144&lt;&gt;"",J144&lt;&gt;""),(J144-I144)*1440,"")</f>
        <v/>
      </c>
      <c r="R144" s="6" t="n">
        <f aca="false">COUNTIFS(Data_RewardEvents!$B$2:$B$160,A144,Data_RewardEvents!$D$2:$D$160,"reward_pending")</f>
        <v>0</v>
      </c>
      <c r="S144" s="6" t="n">
        <f aca="false">COUNTIFS(Data_RewardEvents!$B$2:$B$160,A144,Data_RewardEvents!$D$2:$D$160,"reward_credited")</f>
        <v>0</v>
      </c>
      <c r="T144" s="6" t="n">
        <f aca="false">COUNTIFS(Data_RewardEvents!$B$2:$B$160,A144,Data_RewardEvents!$D$2:$D$160,"reward_reversed")</f>
        <v>0</v>
      </c>
      <c r="U144" s="6" t="n">
        <f aca="false">COUNTIFS(Data_RewardEvents!$B$2:$B$160,A144,Data_RewardEvents!$D$2:$D$160,"reward_corrected")</f>
        <v>0</v>
      </c>
      <c r="V144" s="6" t="n">
        <f aca="false">SUMIFS(Data_RewardEvents!$F$2:$F$160,Data_RewardEvents!$B$2:$B$160,A144,Data_RewardEvents!$D$2:$D$160,"reward_credited")+SUMIFS(Data_RewardEvents!$F$2:$F$160,Data_RewardEvents!$B$2:$B$160,A144,Data_RewardEvents!$D$2:$D$160,"reward_reversed")+SUMIFS(Data_RewardEvents!$F$2:$F$160,Data_RewardEvents!$B$2:$B$160,A144,Data_RewardEvents!$D$2:$D$160,"reward_corrected")</f>
        <v>0</v>
      </c>
      <c r="W144" s="16" t="str">
        <f aca="false">IF(S144&gt;0,_xlfn.MINIFS(Data_RewardEvents!$E$2:$E$160,Data_RewardEvents!$B$2:$B$160,A144,Data_RewardEvents!$D$2:$D$160,"reward_credited"),"")</f>
        <v/>
      </c>
      <c r="X144" s="17" t="str">
        <f aca="false">IF(W144="","",(W144-J144)*24)</f>
        <v/>
      </c>
      <c r="Y144" s="6" t="n">
        <f aca="false">IF(I144&lt;&gt;"",1,0)</f>
        <v>0</v>
      </c>
      <c r="Z144" s="6" t="n">
        <f aca="false">IF(K144="completed",1,0)</f>
        <v>0</v>
      </c>
      <c r="AA144" s="6" t="n">
        <f aca="false">IF(L144="validated",1,0)</f>
        <v>0</v>
      </c>
      <c r="AB144" s="6" t="n">
        <f aca="false">IF(S144&gt;0,1,0)</f>
        <v>0</v>
      </c>
    </row>
    <row r="145" customFormat="false" ht="15" hidden="false" customHeight="false" outlineLevel="0" collapsed="false">
      <c r="A145" s="6" t="s">
        <v>697</v>
      </c>
      <c r="B145" s="6" t="s">
        <v>381</v>
      </c>
      <c r="C145" s="6" t="s">
        <v>309</v>
      </c>
      <c r="D145" s="6" t="s">
        <v>405</v>
      </c>
      <c r="E145" s="6" t="s">
        <v>383</v>
      </c>
      <c r="F145" s="6" t="s">
        <v>158</v>
      </c>
      <c r="G145" s="6" t="s">
        <v>698</v>
      </c>
      <c r="H145" s="16" t="n">
        <v>46293.4916666667</v>
      </c>
      <c r="I145" s="16" t="n">
        <v>46293.5076388889</v>
      </c>
      <c r="J145" s="16" t="n">
        <v>46293.5194113092</v>
      </c>
      <c r="K145" s="6" t="s">
        <v>132</v>
      </c>
      <c r="L145" s="6" t="s">
        <v>280</v>
      </c>
      <c r="M145" s="6" t="n">
        <v>50</v>
      </c>
      <c r="N145" s="6" t="str">
        <f aca="false">README!$B$14</f>
        <v>points</v>
      </c>
      <c r="O145" s="6" t="s">
        <v>198</v>
      </c>
      <c r="P145" s="6" t="s">
        <v>98</v>
      </c>
      <c r="Q145" s="17" t="n">
        <f aca="false">IF(AND(I145&lt;&gt;"",J145&lt;&gt;""),(J145-I145)*1440,"")</f>
        <v>16.9522852438833</v>
      </c>
      <c r="R145" s="6" t="n">
        <f aca="false">COUNTIFS(Data_RewardEvents!$B$2:$B$160,A145,Data_RewardEvents!$D$2:$D$160,"reward_pending")</f>
        <v>0</v>
      </c>
      <c r="S145" s="6" t="n">
        <f aca="false">COUNTIFS(Data_RewardEvents!$B$2:$B$160,A145,Data_RewardEvents!$D$2:$D$160,"reward_credited")</f>
        <v>0</v>
      </c>
      <c r="T145" s="6" t="n">
        <f aca="false">COUNTIFS(Data_RewardEvents!$B$2:$B$160,A145,Data_RewardEvents!$D$2:$D$160,"reward_reversed")</f>
        <v>0</v>
      </c>
      <c r="U145" s="6" t="n">
        <f aca="false">COUNTIFS(Data_RewardEvents!$B$2:$B$160,A145,Data_RewardEvents!$D$2:$D$160,"reward_corrected")</f>
        <v>0</v>
      </c>
      <c r="V145" s="6" t="n">
        <f aca="false">SUMIFS(Data_RewardEvents!$F$2:$F$160,Data_RewardEvents!$B$2:$B$160,A145,Data_RewardEvents!$D$2:$D$160,"reward_credited")+SUMIFS(Data_RewardEvents!$F$2:$F$160,Data_RewardEvents!$B$2:$B$160,A145,Data_RewardEvents!$D$2:$D$160,"reward_reversed")+SUMIFS(Data_RewardEvents!$F$2:$F$160,Data_RewardEvents!$B$2:$B$160,A145,Data_RewardEvents!$D$2:$D$160,"reward_corrected")</f>
        <v>0</v>
      </c>
      <c r="W145" s="16" t="str">
        <f aca="false">IF(S145&gt;0,_xlfn.MINIFS(Data_RewardEvents!$E$2:$E$160,Data_RewardEvents!$B$2:$B$160,A145,Data_RewardEvents!$D$2:$D$160,"reward_credited"),"")</f>
        <v/>
      </c>
      <c r="X145" s="17" t="str">
        <f aca="false">IF(W145="","",(W145-J145)*24)</f>
        <v/>
      </c>
      <c r="Y145" s="6" t="n">
        <f aca="false">IF(I145&lt;&gt;"",1,0)</f>
        <v>1</v>
      </c>
      <c r="Z145" s="6" t="n">
        <f aca="false">IF(K145="completed",1,0)</f>
        <v>1</v>
      </c>
      <c r="AA145" s="6" t="n">
        <f aca="false">IF(L145="validated",1,0)</f>
        <v>0</v>
      </c>
      <c r="AB145" s="6" t="n">
        <f aca="false">IF(S145&gt;0,1,0)</f>
        <v>0</v>
      </c>
    </row>
    <row r="146" customFormat="false" ht="15" hidden="false" customHeight="false" outlineLevel="0" collapsed="false">
      <c r="A146" s="6" t="s">
        <v>699</v>
      </c>
      <c r="B146" s="6" t="s">
        <v>381</v>
      </c>
      <c r="C146" s="6" t="s">
        <v>309</v>
      </c>
      <c r="D146" s="6" t="s">
        <v>430</v>
      </c>
      <c r="E146" s="6" t="s">
        <v>416</v>
      </c>
      <c r="F146" s="6" t="s">
        <v>158</v>
      </c>
      <c r="G146" s="6" t="s">
        <v>700</v>
      </c>
      <c r="H146" s="16" t="n">
        <v>46302.2138888889</v>
      </c>
      <c r="I146" s="16"/>
      <c r="J146" s="16"/>
      <c r="K146" s="6" t="s">
        <v>374</v>
      </c>
      <c r="L146" s="6"/>
      <c r="M146" s="6" t="n">
        <v>50</v>
      </c>
      <c r="N146" s="6" t="str">
        <f aca="false">README!$B$14</f>
        <v>points</v>
      </c>
      <c r="O146" s="6"/>
      <c r="P146" s="6"/>
      <c r="Q146" s="17" t="str">
        <f aca="false">IF(AND(I146&lt;&gt;"",J146&lt;&gt;""),(J146-I146)*1440,"")</f>
        <v/>
      </c>
      <c r="R146" s="6" t="n">
        <f aca="false">COUNTIFS(Data_RewardEvents!$B$2:$B$160,A146,Data_RewardEvents!$D$2:$D$160,"reward_pending")</f>
        <v>0</v>
      </c>
      <c r="S146" s="6" t="n">
        <f aca="false">COUNTIFS(Data_RewardEvents!$B$2:$B$160,A146,Data_RewardEvents!$D$2:$D$160,"reward_credited")</f>
        <v>0</v>
      </c>
      <c r="T146" s="6" t="n">
        <f aca="false">COUNTIFS(Data_RewardEvents!$B$2:$B$160,A146,Data_RewardEvents!$D$2:$D$160,"reward_reversed")</f>
        <v>0</v>
      </c>
      <c r="U146" s="6" t="n">
        <f aca="false">COUNTIFS(Data_RewardEvents!$B$2:$B$160,A146,Data_RewardEvents!$D$2:$D$160,"reward_corrected")</f>
        <v>0</v>
      </c>
      <c r="V146" s="6" t="n">
        <f aca="false">SUMIFS(Data_RewardEvents!$F$2:$F$160,Data_RewardEvents!$B$2:$B$160,A146,Data_RewardEvents!$D$2:$D$160,"reward_credited")+SUMIFS(Data_RewardEvents!$F$2:$F$160,Data_RewardEvents!$B$2:$B$160,A146,Data_RewardEvents!$D$2:$D$160,"reward_reversed")+SUMIFS(Data_RewardEvents!$F$2:$F$160,Data_RewardEvents!$B$2:$B$160,A146,Data_RewardEvents!$D$2:$D$160,"reward_corrected")</f>
        <v>0</v>
      </c>
      <c r="W146" s="16" t="str">
        <f aca="false">IF(S146&gt;0,_xlfn.MINIFS(Data_RewardEvents!$E$2:$E$160,Data_RewardEvents!$B$2:$B$160,A146,Data_RewardEvents!$D$2:$D$160,"reward_credited"),"")</f>
        <v/>
      </c>
      <c r="X146" s="17" t="str">
        <f aca="false">IF(W146="","",(W146-J146)*24)</f>
        <v/>
      </c>
      <c r="Y146" s="6" t="n">
        <f aca="false">IF(I146&lt;&gt;"",1,0)</f>
        <v>0</v>
      </c>
      <c r="Z146" s="6" t="n">
        <f aca="false">IF(K146="completed",1,0)</f>
        <v>0</v>
      </c>
      <c r="AA146" s="6" t="n">
        <f aca="false">IF(L146="validated",1,0)</f>
        <v>0</v>
      </c>
      <c r="AB146" s="6" t="n">
        <f aca="false">IF(S146&gt;0,1,0)</f>
        <v>0</v>
      </c>
    </row>
    <row r="147" customFormat="false" ht="15" hidden="false" customHeight="false" outlineLevel="0" collapsed="false">
      <c r="A147" s="6" t="s">
        <v>701</v>
      </c>
      <c r="B147" s="6" t="s">
        <v>376</v>
      </c>
      <c r="C147" s="6" t="s">
        <v>302</v>
      </c>
      <c r="D147" s="6" t="s">
        <v>371</v>
      </c>
      <c r="E147" s="6" t="s">
        <v>387</v>
      </c>
      <c r="F147" s="6" t="s">
        <v>158</v>
      </c>
      <c r="G147" s="6" t="s">
        <v>702</v>
      </c>
      <c r="H147" s="16" t="n">
        <v>46291.4930555556</v>
      </c>
      <c r="I147" s="16" t="n">
        <v>46291.4993055556</v>
      </c>
      <c r="J147" s="16" t="n">
        <v>46291.4998368528</v>
      </c>
      <c r="K147" s="6" t="s">
        <v>132</v>
      </c>
      <c r="L147" s="6" t="s">
        <v>137</v>
      </c>
      <c r="M147" s="6" t="n">
        <v>5</v>
      </c>
      <c r="N147" s="6" t="str">
        <f aca="false">README!$B$14</f>
        <v>points</v>
      </c>
      <c r="O147" s="6"/>
      <c r="P147" s="6"/>
      <c r="Q147" s="17" t="n">
        <f aca="false">IF(AND(I147&lt;&gt;"",J147&lt;&gt;""),(J147-I147)*1440,"")</f>
        <v>0.765068060716667</v>
      </c>
      <c r="R147" s="6" t="n">
        <f aca="false">COUNTIFS(Data_RewardEvents!$B$2:$B$160,A147,Data_RewardEvents!$D$2:$D$160,"reward_pending")</f>
        <v>0</v>
      </c>
      <c r="S147" s="6" t="n">
        <f aca="false">COUNTIFS(Data_RewardEvents!$B$2:$B$160,A147,Data_RewardEvents!$D$2:$D$160,"reward_credited")</f>
        <v>1</v>
      </c>
      <c r="T147" s="6" t="n">
        <f aca="false">COUNTIFS(Data_RewardEvents!$B$2:$B$160,A147,Data_RewardEvents!$D$2:$D$160,"reward_reversed")</f>
        <v>0</v>
      </c>
      <c r="U147" s="6" t="n">
        <f aca="false">COUNTIFS(Data_RewardEvents!$B$2:$B$160,A147,Data_RewardEvents!$D$2:$D$160,"reward_corrected")</f>
        <v>0</v>
      </c>
      <c r="V147" s="6" t="n">
        <f aca="false">SUMIFS(Data_RewardEvents!$F$2:$F$160,Data_RewardEvents!$B$2:$B$160,A147,Data_RewardEvents!$D$2:$D$160,"reward_credited")+SUMIFS(Data_RewardEvents!$F$2:$F$160,Data_RewardEvents!$B$2:$B$160,A147,Data_RewardEvents!$D$2:$D$160,"reward_reversed")+SUMIFS(Data_RewardEvents!$F$2:$F$160,Data_RewardEvents!$B$2:$B$160,A147,Data_RewardEvents!$D$2:$D$160,"reward_corrected")</f>
        <v>5</v>
      </c>
      <c r="W147" s="16" t="n">
        <f aca="false">IF(S147&gt;0,_xlfn.MINIFS(Data_RewardEvents!$E$2:$E$160,Data_RewardEvents!$B$2:$B$160,A147,Data_RewardEvents!$D$2:$D$160,"reward_credited"),"")</f>
        <v>46291.5015567443</v>
      </c>
      <c r="X147" s="17" t="n">
        <f aca="false">IF(W147="","",(W147-J147)*24)</f>
        <v>0.0412773955030556</v>
      </c>
      <c r="Y147" s="6" t="n">
        <f aca="false">IF(I147&lt;&gt;"",1,0)</f>
        <v>1</v>
      </c>
      <c r="Z147" s="6" t="n">
        <f aca="false">IF(K147="completed",1,0)</f>
        <v>1</v>
      </c>
      <c r="AA147" s="6" t="n">
        <f aca="false">IF(L147="validated",1,0)</f>
        <v>1</v>
      </c>
      <c r="AB147" s="6" t="n">
        <f aca="false">IF(S147&gt;0,1,0)</f>
        <v>1</v>
      </c>
    </row>
    <row r="148" customFormat="false" ht="15" hidden="false" customHeight="false" outlineLevel="0" collapsed="false">
      <c r="A148" s="6" t="s">
        <v>703</v>
      </c>
      <c r="B148" s="6" t="s">
        <v>365</v>
      </c>
      <c r="C148" s="6" t="s">
        <v>323</v>
      </c>
      <c r="D148" s="6" t="s">
        <v>579</v>
      </c>
      <c r="E148" s="6" t="s">
        <v>444</v>
      </c>
      <c r="F148" s="6" t="s">
        <v>158</v>
      </c>
      <c r="G148" s="6" t="s">
        <v>704</v>
      </c>
      <c r="H148" s="16" t="n">
        <v>46287.9020833333</v>
      </c>
      <c r="I148" s="16" t="n">
        <v>46287.90625</v>
      </c>
      <c r="J148" s="16" t="n">
        <v>46287.9330563454</v>
      </c>
      <c r="K148" s="6" t="s">
        <v>132</v>
      </c>
      <c r="L148" s="6" t="s">
        <v>137</v>
      </c>
      <c r="M148" s="6" t="n">
        <v>30</v>
      </c>
      <c r="N148" s="6" t="str">
        <f aca="false">README!$B$14</f>
        <v>points</v>
      </c>
      <c r="O148" s="6"/>
      <c r="P148" s="6"/>
      <c r="Q148" s="17" t="n">
        <f aca="false">IF(AND(I148&lt;&gt;"",J148&lt;&gt;""),(J148-I148)*1440,"")</f>
        <v>38.6011373426167</v>
      </c>
      <c r="R148" s="6" t="n">
        <f aca="false">COUNTIFS(Data_RewardEvents!$B$2:$B$160,A148,Data_RewardEvents!$D$2:$D$160,"reward_pending")</f>
        <v>1</v>
      </c>
      <c r="S148" s="6" t="n">
        <f aca="false">COUNTIFS(Data_RewardEvents!$B$2:$B$160,A148,Data_RewardEvents!$D$2:$D$160,"reward_credited")</f>
        <v>1</v>
      </c>
      <c r="T148" s="6" t="n">
        <f aca="false">COUNTIFS(Data_RewardEvents!$B$2:$B$160,A148,Data_RewardEvents!$D$2:$D$160,"reward_reversed")</f>
        <v>0</v>
      </c>
      <c r="U148" s="6" t="n">
        <f aca="false">COUNTIFS(Data_RewardEvents!$B$2:$B$160,A148,Data_RewardEvents!$D$2:$D$160,"reward_corrected")</f>
        <v>0</v>
      </c>
      <c r="V148" s="6" t="n">
        <f aca="false">SUMIFS(Data_RewardEvents!$F$2:$F$160,Data_RewardEvents!$B$2:$B$160,A148,Data_RewardEvents!$D$2:$D$160,"reward_credited")+SUMIFS(Data_RewardEvents!$F$2:$F$160,Data_RewardEvents!$B$2:$B$160,A148,Data_RewardEvents!$D$2:$D$160,"reward_reversed")+SUMIFS(Data_RewardEvents!$F$2:$F$160,Data_RewardEvents!$B$2:$B$160,A148,Data_RewardEvents!$D$2:$D$160,"reward_corrected")</f>
        <v>30</v>
      </c>
      <c r="W148" s="16" t="n">
        <f aca="false">IF(S148&gt;0,_xlfn.MINIFS(Data_RewardEvents!$E$2:$E$160,Data_RewardEvents!$B$2:$B$160,A148,Data_RewardEvents!$D$2:$D$160,"reward_credited"),"")</f>
        <v>46290.5037837017</v>
      </c>
      <c r="X148" s="17" t="n">
        <f aca="false">IF(W148="","",(W148-J148)*24)</f>
        <v>61.6974565517739</v>
      </c>
      <c r="Y148" s="6" t="n">
        <f aca="false">IF(I148&lt;&gt;"",1,0)</f>
        <v>1</v>
      </c>
      <c r="Z148" s="6" t="n">
        <f aca="false">IF(K148="completed",1,0)</f>
        <v>1</v>
      </c>
      <c r="AA148" s="6" t="n">
        <f aca="false">IF(L148="validated",1,0)</f>
        <v>1</v>
      </c>
      <c r="AB148" s="6" t="n">
        <f aca="false">IF(S148&gt;0,1,0)</f>
        <v>1</v>
      </c>
    </row>
    <row r="149" customFormat="false" ht="15" hidden="false" customHeight="false" outlineLevel="0" collapsed="false">
      <c r="A149" s="6" t="s">
        <v>705</v>
      </c>
      <c r="B149" s="6" t="s">
        <v>376</v>
      </c>
      <c r="C149" s="6" t="s">
        <v>302</v>
      </c>
      <c r="D149" s="6" t="s">
        <v>706</v>
      </c>
      <c r="E149" s="6" t="s">
        <v>387</v>
      </c>
      <c r="F149" s="6" t="s">
        <v>158</v>
      </c>
      <c r="G149" s="6" t="s">
        <v>707</v>
      </c>
      <c r="H149" s="16" t="n">
        <v>46300.1798611111</v>
      </c>
      <c r="I149" s="16" t="n">
        <v>46300.1895833333</v>
      </c>
      <c r="J149" s="16"/>
      <c r="K149" s="6" t="s">
        <v>448</v>
      </c>
      <c r="L149" s="6"/>
      <c r="M149" s="6" t="n">
        <v>5</v>
      </c>
      <c r="N149" s="6" t="str">
        <f aca="false">README!$B$14</f>
        <v>points</v>
      </c>
      <c r="O149" s="6" t="s">
        <v>210</v>
      </c>
      <c r="P149" s="6" t="s">
        <v>158</v>
      </c>
      <c r="Q149" s="17" t="str">
        <f aca="false">IF(AND(I149&lt;&gt;"",J149&lt;&gt;""),(J149-I149)*1440,"")</f>
        <v/>
      </c>
      <c r="R149" s="6" t="n">
        <f aca="false">COUNTIFS(Data_RewardEvents!$B$2:$B$160,A149,Data_RewardEvents!$D$2:$D$160,"reward_pending")</f>
        <v>0</v>
      </c>
      <c r="S149" s="6" t="n">
        <f aca="false">COUNTIFS(Data_RewardEvents!$B$2:$B$160,A149,Data_RewardEvents!$D$2:$D$160,"reward_credited")</f>
        <v>0</v>
      </c>
      <c r="T149" s="6" t="n">
        <f aca="false">COUNTIFS(Data_RewardEvents!$B$2:$B$160,A149,Data_RewardEvents!$D$2:$D$160,"reward_reversed")</f>
        <v>0</v>
      </c>
      <c r="U149" s="6" t="n">
        <f aca="false">COUNTIFS(Data_RewardEvents!$B$2:$B$160,A149,Data_RewardEvents!$D$2:$D$160,"reward_corrected")</f>
        <v>0</v>
      </c>
      <c r="V149" s="6" t="n">
        <f aca="false">SUMIFS(Data_RewardEvents!$F$2:$F$160,Data_RewardEvents!$B$2:$B$160,A149,Data_RewardEvents!$D$2:$D$160,"reward_credited")+SUMIFS(Data_RewardEvents!$F$2:$F$160,Data_RewardEvents!$B$2:$B$160,A149,Data_RewardEvents!$D$2:$D$160,"reward_reversed")+SUMIFS(Data_RewardEvents!$F$2:$F$160,Data_RewardEvents!$B$2:$B$160,A149,Data_RewardEvents!$D$2:$D$160,"reward_corrected")</f>
        <v>0</v>
      </c>
      <c r="W149" s="16" t="str">
        <f aca="false">IF(S149&gt;0,_xlfn.MINIFS(Data_RewardEvents!$E$2:$E$160,Data_RewardEvents!$B$2:$B$160,A149,Data_RewardEvents!$D$2:$D$160,"reward_credited"),"")</f>
        <v/>
      </c>
      <c r="X149" s="17" t="str">
        <f aca="false">IF(W149="","",(W149-J149)*24)</f>
        <v/>
      </c>
      <c r="Y149" s="6" t="n">
        <f aca="false">IF(I149&lt;&gt;"",1,0)</f>
        <v>1</v>
      </c>
      <c r="Z149" s="6" t="n">
        <f aca="false">IF(K149="completed",1,0)</f>
        <v>0</v>
      </c>
      <c r="AA149" s="6" t="n">
        <f aca="false">IF(L149="validated",1,0)</f>
        <v>0</v>
      </c>
      <c r="AB149" s="6" t="n">
        <f aca="false">IF(S149&gt;0,1,0)</f>
        <v>0</v>
      </c>
    </row>
    <row r="150" customFormat="false" ht="15" hidden="false" customHeight="false" outlineLevel="0" collapsed="false">
      <c r="A150" s="6" t="s">
        <v>708</v>
      </c>
      <c r="B150" s="6" t="s">
        <v>381</v>
      </c>
      <c r="C150" s="6" t="s">
        <v>309</v>
      </c>
      <c r="D150" s="6" t="s">
        <v>382</v>
      </c>
      <c r="E150" s="6" t="s">
        <v>416</v>
      </c>
      <c r="F150" s="6" t="s">
        <v>158</v>
      </c>
      <c r="G150" s="6" t="s">
        <v>709</v>
      </c>
      <c r="H150" s="16" t="n">
        <v>46296.9875</v>
      </c>
      <c r="I150" s="16" t="n">
        <v>46297.0006944445</v>
      </c>
      <c r="J150" s="16"/>
      <c r="K150" s="6" t="s">
        <v>419</v>
      </c>
      <c r="L150" s="6"/>
      <c r="M150" s="6" t="n">
        <v>50</v>
      </c>
      <c r="N150" s="6" t="str">
        <f aca="false">README!$B$14</f>
        <v>points</v>
      </c>
      <c r="O150" s="6" t="s">
        <v>204</v>
      </c>
      <c r="P150" s="6" t="s">
        <v>207</v>
      </c>
      <c r="Q150" s="17" t="str">
        <f aca="false">IF(AND(I150&lt;&gt;"",J150&lt;&gt;""),(J150-I150)*1440,"")</f>
        <v/>
      </c>
      <c r="R150" s="6" t="n">
        <f aca="false">COUNTIFS(Data_RewardEvents!$B$2:$B$160,A150,Data_RewardEvents!$D$2:$D$160,"reward_pending")</f>
        <v>0</v>
      </c>
      <c r="S150" s="6" t="n">
        <f aca="false">COUNTIFS(Data_RewardEvents!$B$2:$B$160,A150,Data_RewardEvents!$D$2:$D$160,"reward_credited")</f>
        <v>0</v>
      </c>
      <c r="T150" s="6" t="n">
        <f aca="false">COUNTIFS(Data_RewardEvents!$B$2:$B$160,A150,Data_RewardEvents!$D$2:$D$160,"reward_reversed")</f>
        <v>0</v>
      </c>
      <c r="U150" s="6" t="n">
        <f aca="false">COUNTIFS(Data_RewardEvents!$B$2:$B$160,A150,Data_RewardEvents!$D$2:$D$160,"reward_corrected")</f>
        <v>0</v>
      </c>
      <c r="V150" s="6" t="n">
        <f aca="false">SUMIFS(Data_RewardEvents!$F$2:$F$160,Data_RewardEvents!$B$2:$B$160,A150,Data_RewardEvents!$D$2:$D$160,"reward_credited")+SUMIFS(Data_RewardEvents!$F$2:$F$160,Data_RewardEvents!$B$2:$B$160,A150,Data_RewardEvents!$D$2:$D$160,"reward_reversed")+SUMIFS(Data_RewardEvents!$F$2:$F$160,Data_RewardEvents!$B$2:$B$160,A150,Data_RewardEvents!$D$2:$D$160,"reward_corrected")</f>
        <v>0</v>
      </c>
      <c r="W150" s="16" t="str">
        <f aca="false">IF(S150&gt;0,_xlfn.MINIFS(Data_RewardEvents!$E$2:$E$160,Data_RewardEvents!$B$2:$B$160,A150,Data_RewardEvents!$D$2:$D$160,"reward_credited"),"")</f>
        <v/>
      </c>
      <c r="X150" s="17" t="str">
        <f aca="false">IF(W150="","",(W150-J150)*24)</f>
        <v/>
      </c>
      <c r="Y150" s="6" t="n">
        <f aca="false">IF(I150&lt;&gt;"",1,0)</f>
        <v>1</v>
      </c>
      <c r="Z150" s="6" t="n">
        <f aca="false">IF(K150="completed",1,0)</f>
        <v>0</v>
      </c>
      <c r="AA150" s="6" t="n">
        <f aca="false">IF(L150="validated",1,0)</f>
        <v>0</v>
      </c>
      <c r="AB150" s="6" t="n">
        <f aca="false">IF(S150&gt;0,1,0)</f>
        <v>0</v>
      </c>
    </row>
    <row r="151" customFormat="false" ht="15" hidden="false" customHeight="false" outlineLevel="0" collapsed="false">
      <c r="A151" s="6" t="s">
        <v>710</v>
      </c>
      <c r="B151" s="6" t="s">
        <v>376</v>
      </c>
      <c r="C151" s="6" t="s">
        <v>302</v>
      </c>
      <c r="D151" s="6" t="s">
        <v>466</v>
      </c>
      <c r="E151" s="6" t="s">
        <v>387</v>
      </c>
      <c r="F151" s="6" t="s">
        <v>158</v>
      </c>
      <c r="G151" s="6" t="s">
        <v>711</v>
      </c>
      <c r="H151" s="16" t="n">
        <v>46303.4930555556</v>
      </c>
      <c r="I151" s="16" t="n">
        <v>46303.5104166667</v>
      </c>
      <c r="J151" s="16"/>
      <c r="K151" s="6" t="s">
        <v>448</v>
      </c>
      <c r="L151" s="6"/>
      <c r="M151" s="6" t="n">
        <v>5</v>
      </c>
      <c r="N151" s="6" t="str">
        <f aca="false">README!$B$14</f>
        <v>points</v>
      </c>
      <c r="O151" s="6" t="s">
        <v>167</v>
      </c>
      <c r="P151" s="6" t="s">
        <v>223</v>
      </c>
      <c r="Q151" s="17" t="str">
        <f aca="false">IF(AND(I151&lt;&gt;"",J151&lt;&gt;""),(J151-I151)*1440,"")</f>
        <v/>
      </c>
      <c r="R151" s="6" t="n">
        <f aca="false">COUNTIFS(Data_RewardEvents!$B$2:$B$160,A151,Data_RewardEvents!$D$2:$D$160,"reward_pending")</f>
        <v>0</v>
      </c>
      <c r="S151" s="6" t="n">
        <f aca="false">COUNTIFS(Data_RewardEvents!$B$2:$B$160,A151,Data_RewardEvents!$D$2:$D$160,"reward_credited")</f>
        <v>0</v>
      </c>
      <c r="T151" s="6" t="n">
        <f aca="false">COUNTIFS(Data_RewardEvents!$B$2:$B$160,A151,Data_RewardEvents!$D$2:$D$160,"reward_reversed")</f>
        <v>0</v>
      </c>
      <c r="U151" s="6" t="n">
        <f aca="false">COUNTIFS(Data_RewardEvents!$B$2:$B$160,A151,Data_RewardEvents!$D$2:$D$160,"reward_corrected")</f>
        <v>0</v>
      </c>
      <c r="V151" s="6" t="n">
        <f aca="false">SUMIFS(Data_RewardEvents!$F$2:$F$160,Data_RewardEvents!$B$2:$B$160,A151,Data_RewardEvents!$D$2:$D$160,"reward_credited")+SUMIFS(Data_RewardEvents!$F$2:$F$160,Data_RewardEvents!$B$2:$B$160,A151,Data_RewardEvents!$D$2:$D$160,"reward_reversed")+SUMIFS(Data_RewardEvents!$F$2:$F$160,Data_RewardEvents!$B$2:$B$160,A151,Data_RewardEvents!$D$2:$D$160,"reward_corrected")</f>
        <v>0</v>
      </c>
      <c r="W151" s="16" t="str">
        <f aca="false">IF(S151&gt;0,_xlfn.MINIFS(Data_RewardEvents!$E$2:$E$160,Data_RewardEvents!$B$2:$B$160,A151,Data_RewardEvents!$D$2:$D$160,"reward_credited"),"")</f>
        <v/>
      </c>
      <c r="X151" s="17" t="str">
        <f aca="false">IF(W151="","",(W151-J151)*24)</f>
        <v/>
      </c>
      <c r="Y151" s="6" t="n">
        <f aca="false">IF(I151&lt;&gt;"",1,0)</f>
        <v>1</v>
      </c>
      <c r="Z151" s="6" t="n">
        <f aca="false">IF(K151="completed",1,0)</f>
        <v>0</v>
      </c>
      <c r="AA151" s="6" t="n">
        <f aca="false">IF(L151="validated",1,0)</f>
        <v>0</v>
      </c>
      <c r="AB151" s="6" t="n">
        <f aca="false">IF(S151&gt;0,1,0)</f>
        <v>0</v>
      </c>
    </row>
    <row r="152" customFormat="false" ht="15" hidden="false" customHeight="false" outlineLevel="0" collapsed="false">
      <c r="A152" s="6" t="s">
        <v>712</v>
      </c>
      <c r="B152" s="6" t="s">
        <v>370</v>
      </c>
      <c r="C152" s="6" t="s">
        <v>316</v>
      </c>
      <c r="D152" s="6" t="s">
        <v>713</v>
      </c>
      <c r="E152" s="6" t="s">
        <v>372</v>
      </c>
      <c r="F152" s="6" t="s">
        <v>158</v>
      </c>
      <c r="G152" s="6" t="s">
        <v>714</v>
      </c>
      <c r="H152" s="16" t="n">
        <v>46301.8208333333</v>
      </c>
      <c r="I152" s="16" t="n">
        <v>46301.8326388889</v>
      </c>
      <c r="J152" s="16"/>
      <c r="K152" s="6" t="s">
        <v>448</v>
      </c>
      <c r="L152" s="6"/>
      <c r="M152" s="6" t="n">
        <v>100</v>
      </c>
      <c r="N152" s="6" t="str">
        <f aca="false">README!$B$14</f>
        <v>points</v>
      </c>
      <c r="O152" s="6" t="s">
        <v>167</v>
      </c>
      <c r="P152" s="6" t="s">
        <v>158</v>
      </c>
      <c r="Q152" s="17" t="str">
        <f aca="false">IF(AND(I152&lt;&gt;"",J152&lt;&gt;""),(J152-I152)*1440,"")</f>
        <v/>
      </c>
      <c r="R152" s="6" t="n">
        <f aca="false">COUNTIFS(Data_RewardEvents!$B$2:$B$160,A152,Data_RewardEvents!$D$2:$D$160,"reward_pending")</f>
        <v>0</v>
      </c>
      <c r="S152" s="6" t="n">
        <f aca="false">COUNTIFS(Data_RewardEvents!$B$2:$B$160,A152,Data_RewardEvents!$D$2:$D$160,"reward_credited")</f>
        <v>0</v>
      </c>
      <c r="T152" s="6" t="n">
        <f aca="false">COUNTIFS(Data_RewardEvents!$B$2:$B$160,A152,Data_RewardEvents!$D$2:$D$160,"reward_reversed")</f>
        <v>0</v>
      </c>
      <c r="U152" s="6" t="n">
        <f aca="false">COUNTIFS(Data_RewardEvents!$B$2:$B$160,A152,Data_RewardEvents!$D$2:$D$160,"reward_corrected")</f>
        <v>0</v>
      </c>
      <c r="V152" s="6" t="n">
        <f aca="false">SUMIFS(Data_RewardEvents!$F$2:$F$160,Data_RewardEvents!$B$2:$B$160,A152,Data_RewardEvents!$D$2:$D$160,"reward_credited")+SUMIFS(Data_RewardEvents!$F$2:$F$160,Data_RewardEvents!$B$2:$B$160,A152,Data_RewardEvents!$D$2:$D$160,"reward_reversed")+SUMIFS(Data_RewardEvents!$F$2:$F$160,Data_RewardEvents!$B$2:$B$160,A152,Data_RewardEvents!$D$2:$D$160,"reward_corrected")</f>
        <v>0</v>
      </c>
      <c r="W152" s="16" t="str">
        <f aca="false">IF(S152&gt;0,_xlfn.MINIFS(Data_RewardEvents!$E$2:$E$160,Data_RewardEvents!$B$2:$B$160,A152,Data_RewardEvents!$D$2:$D$160,"reward_credited"),"")</f>
        <v/>
      </c>
      <c r="X152" s="17" t="str">
        <f aca="false">IF(W152="","",(W152-J152)*24)</f>
        <v/>
      </c>
      <c r="Y152" s="6" t="n">
        <f aca="false">IF(I152&lt;&gt;"",1,0)</f>
        <v>1</v>
      </c>
      <c r="Z152" s="6" t="n">
        <f aca="false">IF(K152="completed",1,0)</f>
        <v>0</v>
      </c>
      <c r="AA152" s="6" t="n">
        <f aca="false">IF(L152="validated",1,0)</f>
        <v>0</v>
      </c>
      <c r="AB152" s="6" t="n">
        <f aca="false">IF(S152&gt;0,1,0)</f>
        <v>0</v>
      </c>
    </row>
    <row r="153" customFormat="false" ht="15" hidden="false" customHeight="false" outlineLevel="0" collapsed="false">
      <c r="A153" s="6" t="s">
        <v>715</v>
      </c>
      <c r="B153" s="6" t="s">
        <v>370</v>
      </c>
      <c r="C153" s="6" t="s">
        <v>316</v>
      </c>
      <c r="D153" s="6" t="s">
        <v>458</v>
      </c>
      <c r="E153" s="6" t="s">
        <v>372</v>
      </c>
      <c r="F153" s="6" t="s">
        <v>158</v>
      </c>
      <c r="G153" s="6" t="s">
        <v>716</v>
      </c>
      <c r="H153" s="16" t="n">
        <v>46291.1423611111</v>
      </c>
      <c r="I153" s="16" t="n">
        <v>46291.1583333333</v>
      </c>
      <c r="J153" s="16" t="n">
        <v>46291.4968709271</v>
      </c>
      <c r="K153" s="6" t="s">
        <v>132</v>
      </c>
      <c r="L153" s="6" t="s">
        <v>137</v>
      </c>
      <c r="M153" s="6" t="n">
        <v>100</v>
      </c>
      <c r="N153" s="6" t="str">
        <f aca="false">README!$B$14</f>
        <v>points</v>
      </c>
      <c r="O153" s="6"/>
      <c r="P153" s="6"/>
      <c r="Q153" s="17" t="n">
        <f aca="false">IF(AND(I153&lt;&gt;"",J153&lt;&gt;""),(J153-I153)*1440,"")</f>
        <v>487.4941349693</v>
      </c>
      <c r="R153" s="6" t="n">
        <f aca="false">COUNTIFS(Data_RewardEvents!$B$2:$B$160,A153,Data_RewardEvents!$D$2:$D$160,"reward_pending")</f>
        <v>1</v>
      </c>
      <c r="S153" s="6" t="n">
        <f aca="false">COUNTIFS(Data_RewardEvents!$B$2:$B$160,A153,Data_RewardEvents!$D$2:$D$160,"reward_credited")</f>
        <v>1</v>
      </c>
      <c r="T153" s="6" t="n">
        <f aca="false">COUNTIFS(Data_RewardEvents!$B$2:$B$160,A153,Data_RewardEvents!$D$2:$D$160,"reward_reversed")</f>
        <v>0</v>
      </c>
      <c r="U153" s="6" t="n">
        <f aca="false">COUNTIFS(Data_RewardEvents!$B$2:$B$160,A153,Data_RewardEvents!$D$2:$D$160,"reward_corrected")</f>
        <v>0</v>
      </c>
      <c r="V153" s="6" t="n">
        <f aca="false">SUMIFS(Data_RewardEvents!$F$2:$F$160,Data_RewardEvents!$B$2:$B$160,A153,Data_RewardEvents!$D$2:$D$160,"reward_credited")+SUMIFS(Data_RewardEvents!$F$2:$F$160,Data_RewardEvents!$B$2:$B$160,A153,Data_RewardEvents!$D$2:$D$160,"reward_reversed")+SUMIFS(Data_RewardEvents!$F$2:$F$160,Data_RewardEvents!$B$2:$B$160,A153,Data_RewardEvents!$D$2:$D$160,"reward_corrected")</f>
        <v>100</v>
      </c>
      <c r="W153" s="16" t="n">
        <f aca="false">IF(S153&gt;0,_xlfn.MINIFS(Data_RewardEvents!$E$2:$E$160,Data_RewardEvents!$B$2:$B$160,A153,Data_RewardEvents!$D$2:$D$160,"reward_credited"),"")</f>
        <v>46292.2896601689</v>
      </c>
      <c r="X153" s="17" t="n">
        <f aca="false">IF(W153="","",(W153-J153)*24)</f>
        <v>19.0269418046225</v>
      </c>
      <c r="Y153" s="6" t="n">
        <f aca="false">IF(I153&lt;&gt;"",1,0)</f>
        <v>1</v>
      </c>
      <c r="Z153" s="6" t="n">
        <f aca="false">IF(K153="completed",1,0)</f>
        <v>1</v>
      </c>
      <c r="AA153" s="6" t="n">
        <f aca="false">IF(L153="validated",1,0)</f>
        <v>1</v>
      </c>
      <c r="AB153" s="6" t="n">
        <f aca="false">IF(S153&gt;0,1,0)</f>
        <v>1</v>
      </c>
    </row>
    <row r="154" customFormat="false" ht="15" hidden="false" customHeight="false" outlineLevel="0" collapsed="false">
      <c r="A154" s="6" t="s">
        <v>717</v>
      </c>
      <c r="B154" s="6" t="s">
        <v>381</v>
      </c>
      <c r="C154" s="6" t="s">
        <v>309</v>
      </c>
      <c r="D154" s="6" t="s">
        <v>447</v>
      </c>
      <c r="E154" s="6" t="s">
        <v>383</v>
      </c>
      <c r="F154" s="6" t="s">
        <v>158</v>
      </c>
      <c r="G154" s="6" t="s">
        <v>718</v>
      </c>
      <c r="H154" s="16" t="n">
        <v>46304.0659722222</v>
      </c>
      <c r="I154" s="16"/>
      <c r="J154" s="16"/>
      <c r="K154" s="6" t="s">
        <v>374</v>
      </c>
      <c r="L154" s="6"/>
      <c r="M154" s="6" t="n">
        <v>50</v>
      </c>
      <c r="N154" s="6" t="str">
        <f aca="false">README!$B$14</f>
        <v>points</v>
      </c>
      <c r="O154" s="6"/>
      <c r="P154" s="6"/>
      <c r="Q154" s="17" t="str">
        <f aca="false">IF(AND(I154&lt;&gt;"",J154&lt;&gt;""),(J154-I154)*1440,"")</f>
        <v/>
      </c>
      <c r="R154" s="6" t="n">
        <f aca="false">COUNTIFS(Data_RewardEvents!$B$2:$B$160,A154,Data_RewardEvents!$D$2:$D$160,"reward_pending")</f>
        <v>0</v>
      </c>
      <c r="S154" s="6" t="n">
        <f aca="false">COUNTIFS(Data_RewardEvents!$B$2:$B$160,A154,Data_RewardEvents!$D$2:$D$160,"reward_credited")</f>
        <v>0</v>
      </c>
      <c r="T154" s="6" t="n">
        <f aca="false">COUNTIFS(Data_RewardEvents!$B$2:$B$160,A154,Data_RewardEvents!$D$2:$D$160,"reward_reversed")</f>
        <v>0</v>
      </c>
      <c r="U154" s="6" t="n">
        <f aca="false">COUNTIFS(Data_RewardEvents!$B$2:$B$160,A154,Data_RewardEvents!$D$2:$D$160,"reward_corrected")</f>
        <v>0</v>
      </c>
      <c r="V154" s="6" t="n">
        <f aca="false">SUMIFS(Data_RewardEvents!$F$2:$F$160,Data_RewardEvents!$B$2:$B$160,A154,Data_RewardEvents!$D$2:$D$160,"reward_credited")+SUMIFS(Data_RewardEvents!$F$2:$F$160,Data_RewardEvents!$B$2:$B$160,A154,Data_RewardEvents!$D$2:$D$160,"reward_reversed")+SUMIFS(Data_RewardEvents!$F$2:$F$160,Data_RewardEvents!$B$2:$B$160,A154,Data_RewardEvents!$D$2:$D$160,"reward_corrected")</f>
        <v>0</v>
      </c>
      <c r="W154" s="16" t="str">
        <f aca="false">IF(S154&gt;0,_xlfn.MINIFS(Data_RewardEvents!$E$2:$E$160,Data_RewardEvents!$B$2:$B$160,A154,Data_RewardEvents!$D$2:$D$160,"reward_credited"),"")</f>
        <v/>
      </c>
      <c r="X154" s="17" t="str">
        <f aca="false">IF(W154="","",(W154-J154)*24)</f>
        <v/>
      </c>
      <c r="Y154" s="6" t="n">
        <f aca="false">IF(I154&lt;&gt;"",1,0)</f>
        <v>0</v>
      </c>
      <c r="Z154" s="6" t="n">
        <f aca="false">IF(K154="completed",1,0)</f>
        <v>0</v>
      </c>
      <c r="AA154" s="6" t="n">
        <f aca="false">IF(L154="validated",1,0)</f>
        <v>0</v>
      </c>
      <c r="AB154" s="6" t="n">
        <f aca="false">IF(S154&gt;0,1,0)</f>
        <v>0</v>
      </c>
    </row>
    <row r="155" customFormat="false" ht="15" hidden="false" customHeight="false" outlineLevel="0" collapsed="false">
      <c r="A155" s="6" t="s">
        <v>719</v>
      </c>
      <c r="B155" s="6" t="s">
        <v>403</v>
      </c>
      <c r="C155" s="6" t="s">
        <v>404</v>
      </c>
      <c r="D155" s="6" t="s">
        <v>593</v>
      </c>
      <c r="E155" s="6" t="s">
        <v>98</v>
      </c>
      <c r="F155" s="6" t="s">
        <v>406</v>
      </c>
      <c r="G155" s="6"/>
      <c r="H155" s="16" t="n">
        <v>46291.8479166667</v>
      </c>
      <c r="I155" s="16" t="n">
        <v>46291.8569444444</v>
      </c>
      <c r="J155" s="16" t="n">
        <v>46291.8603407647</v>
      </c>
      <c r="K155" s="6" t="s">
        <v>132</v>
      </c>
      <c r="L155" s="6" t="s">
        <v>137</v>
      </c>
      <c r="M155" s="6" t="n">
        <v>10</v>
      </c>
      <c r="N155" s="6" t="str">
        <f aca="false">README!$B$14</f>
        <v>points</v>
      </c>
      <c r="O155" s="6"/>
      <c r="P155" s="6"/>
      <c r="Q155" s="17" t="n">
        <f aca="false">IF(AND(I155&lt;&gt;"",J155&lt;&gt;""),(J155-I155)*1440,"")</f>
        <v>4.89070119335</v>
      </c>
      <c r="R155" s="6" t="n">
        <f aca="false">COUNTIFS(Data_RewardEvents!$B$2:$B$160,A155,Data_RewardEvents!$D$2:$D$160,"reward_pending")</f>
        <v>0</v>
      </c>
      <c r="S155" s="6" t="n">
        <f aca="false">COUNTIFS(Data_RewardEvents!$B$2:$B$160,A155,Data_RewardEvents!$D$2:$D$160,"reward_credited")</f>
        <v>1</v>
      </c>
      <c r="T155" s="6" t="n">
        <f aca="false">COUNTIFS(Data_RewardEvents!$B$2:$B$160,A155,Data_RewardEvents!$D$2:$D$160,"reward_reversed")</f>
        <v>0</v>
      </c>
      <c r="U155" s="6" t="n">
        <f aca="false">COUNTIFS(Data_RewardEvents!$B$2:$B$160,A155,Data_RewardEvents!$D$2:$D$160,"reward_corrected")</f>
        <v>0</v>
      </c>
      <c r="V155" s="6" t="n">
        <f aca="false">SUMIFS(Data_RewardEvents!$F$2:$F$160,Data_RewardEvents!$B$2:$B$160,A155,Data_RewardEvents!$D$2:$D$160,"reward_credited")+SUMIFS(Data_RewardEvents!$F$2:$F$160,Data_RewardEvents!$B$2:$B$160,A155,Data_RewardEvents!$D$2:$D$160,"reward_reversed")+SUMIFS(Data_RewardEvents!$F$2:$F$160,Data_RewardEvents!$B$2:$B$160,A155,Data_RewardEvents!$D$2:$D$160,"reward_corrected")</f>
        <v>10</v>
      </c>
      <c r="W155" s="16" t="n">
        <f aca="false">IF(S155&gt;0,_xlfn.MINIFS(Data_RewardEvents!$E$2:$E$160,Data_RewardEvents!$B$2:$B$160,A155,Data_RewardEvents!$D$2:$D$160,"reward_credited"),"")</f>
        <v>46291.8636367621</v>
      </c>
      <c r="X155" s="17" t="n">
        <f aca="false">IF(W155="","",(W155-J155)*24)</f>
        <v>0.0791039382455556</v>
      </c>
      <c r="Y155" s="6" t="n">
        <f aca="false">IF(I155&lt;&gt;"",1,0)</f>
        <v>1</v>
      </c>
      <c r="Z155" s="6" t="n">
        <f aca="false">IF(K155="completed",1,0)</f>
        <v>1</v>
      </c>
      <c r="AA155" s="6" t="n">
        <f aca="false">IF(L155="validated",1,0)</f>
        <v>1</v>
      </c>
      <c r="AB155" s="6" t="n">
        <f aca="false">IF(S155&gt;0,1,0)</f>
        <v>1</v>
      </c>
    </row>
    <row r="156" customFormat="false" ht="15" hidden="false" customHeight="false" outlineLevel="0" collapsed="false">
      <c r="A156" s="6" t="s">
        <v>720</v>
      </c>
      <c r="B156" s="6" t="s">
        <v>381</v>
      </c>
      <c r="C156" s="6" t="s">
        <v>309</v>
      </c>
      <c r="D156" s="6" t="s">
        <v>390</v>
      </c>
      <c r="E156" s="6" t="s">
        <v>383</v>
      </c>
      <c r="F156" s="6" t="s">
        <v>158</v>
      </c>
      <c r="G156" s="6" t="s">
        <v>721</v>
      </c>
      <c r="H156" s="16" t="n">
        <v>46300.4131944445</v>
      </c>
      <c r="I156" s="16" t="n">
        <v>46300.4152777778</v>
      </c>
      <c r="J156" s="16" t="n">
        <v>46300.4231040579</v>
      </c>
      <c r="K156" s="6" t="s">
        <v>132</v>
      </c>
      <c r="L156" s="6" t="s">
        <v>137</v>
      </c>
      <c r="M156" s="6" t="n">
        <v>50</v>
      </c>
      <c r="N156" s="6" t="str">
        <f aca="false">README!$B$14</f>
        <v>points</v>
      </c>
      <c r="O156" s="6"/>
      <c r="P156" s="6"/>
      <c r="Q156" s="17" t="n">
        <f aca="false">IF(AND(I156&lt;&gt;"",J156&lt;&gt;""),(J156-I156)*1440,"")</f>
        <v>11.269843349</v>
      </c>
      <c r="R156" s="6" t="n">
        <f aca="false">COUNTIFS(Data_RewardEvents!$B$2:$B$160,A156,Data_RewardEvents!$D$2:$D$160,"reward_pending")</f>
        <v>1</v>
      </c>
      <c r="S156" s="6" t="n">
        <f aca="false">COUNTIFS(Data_RewardEvents!$B$2:$B$160,A156,Data_RewardEvents!$D$2:$D$160,"reward_credited")</f>
        <v>1</v>
      </c>
      <c r="T156" s="6" t="n">
        <f aca="false">COUNTIFS(Data_RewardEvents!$B$2:$B$160,A156,Data_RewardEvents!$D$2:$D$160,"reward_reversed")</f>
        <v>0</v>
      </c>
      <c r="U156" s="6" t="n">
        <f aca="false">COUNTIFS(Data_RewardEvents!$B$2:$B$160,A156,Data_RewardEvents!$D$2:$D$160,"reward_corrected")</f>
        <v>0</v>
      </c>
      <c r="V156" s="6" t="n">
        <f aca="false">SUMIFS(Data_RewardEvents!$F$2:$F$160,Data_RewardEvents!$B$2:$B$160,A156,Data_RewardEvents!$D$2:$D$160,"reward_credited")+SUMIFS(Data_RewardEvents!$F$2:$F$160,Data_RewardEvents!$B$2:$B$160,A156,Data_RewardEvents!$D$2:$D$160,"reward_reversed")+SUMIFS(Data_RewardEvents!$F$2:$F$160,Data_RewardEvents!$B$2:$B$160,A156,Data_RewardEvents!$D$2:$D$160,"reward_corrected")</f>
        <v>50</v>
      </c>
      <c r="W156" s="16" t="n">
        <f aca="false">IF(S156&gt;0,_xlfn.MINIFS(Data_RewardEvents!$E$2:$E$160,Data_RewardEvents!$B$2:$B$160,A156,Data_RewardEvents!$D$2:$D$160,"reward_credited"),"")</f>
        <v>46301.630263256</v>
      </c>
      <c r="X156" s="17" t="n">
        <f aca="false">IF(W156="","",(W156-J156)*24)</f>
        <v>28.9718207544064</v>
      </c>
      <c r="Y156" s="6" t="n">
        <f aca="false">IF(I156&lt;&gt;"",1,0)</f>
        <v>1</v>
      </c>
      <c r="Z156" s="6" t="n">
        <f aca="false">IF(K156="completed",1,0)</f>
        <v>1</v>
      </c>
      <c r="AA156" s="6" t="n">
        <f aca="false">IF(L156="validated",1,0)</f>
        <v>1</v>
      </c>
      <c r="AB156" s="6" t="n">
        <f aca="false">IF(S156&gt;0,1,0)</f>
        <v>1</v>
      </c>
    </row>
    <row r="157" customFormat="false" ht="15" hidden="false" customHeight="false" outlineLevel="0" collapsed="false">
      <c r="A157" s="6" t="s">
        <v>722</v>
      </c>
      <c r="B157" s="6" t="s">
        <v>381</v>
      </c>
      <c r="C157" s="6" t="s">
        <v>309</v>
      </c>
      <c r="D157" s="6" t="s">
        <v>443</v>
      </c>
      <c r="E157" s="6" t="s">
        <v>416</v>
      </c>
      <c r="F157" s="6" t="s">
        <v>158</v>
      </c>
      <c r="G157" s="6" t="s">
        <v>723</v>
      </c>
      <c r="H157" s="16" t="n">
        <v>46302.54375</v>
      </c>
      <c r="I157" s="16" t="n">
        <v>46302.5472222222</v>
      </c>
      <c r="J157" s="16"/>
      <c r="K157" s="6" t="s">
        <v>419</v>
      </c>
      <c r="L157" s="6"/>
      <c r="M157" s="6" t="n">
        <v>50</v>
      </c>
      <c r="N157" s="6" t="str">
        <f aca="false">README!$B$14</f>
        <v>points</v>
      </c>
      <c r="O157" s="6" t="s">
        <v>204</v>
      </c>
      <c r="P157" s="6" t="s">
        <v>207</v>
      </c>
      <c r="Q157" s="17" t="str">
        <f aca="false">IF(AND(I157&lt;&gt;"",J157&lt;&gt;""),(J157-I157)*1440,"")</f>
        <v/>
      </c>
      <c r="R157" s="6" t="n">
        <f aca="false">COUNTIFS(Data_RewardEvents!$B$2:$B$160,A157,Data_RewardEvents!$D$2:$D$160,"reward_pending")</f>
        <v>0</v>
      </c>
      <c r="S157" s="6" t="n">
        <f aca="false">COUNTIFS(Data_RewardEvents!$B$2:$B$160,A157,Data_RewardEvents!$D$2:$D$160,"reward_credited")</f>
        <v>0</v>
      </c>
      <c r="T157" s="6" t="n">
        <f aca="false">COUNTIFS(Data_RewardEvents!$B$2:$B$160,A157,Data_RewardEvents!$D$2:$D$160,"reward_reversed")</f>
        <v>0</v>
      </c>
      <c r="U157" s="6" t="n">
        <f aca="false">COUNTIFS(Data_RewardEvents!$B$2:$B$160,A157,Data_RewardEvents!$D$2:$D$160,"reward_corrected")</f>
        <v>0</v>
      </c>
      <c r="V157" s="6" t="n">
        <f aca="false">SUMIFS(Data_RewardEvents!$F$2:$F$160,Data_RewardEvents!$B$2:$B$160,A157,Data_RewardEvents!$D$2:$D$160,"reward_credited")+SUMIFS(Data_RewardEvents!$F$2:$F$160,Data_RewardEvents!$B$2:$B$160,A157,Data_RewardEvents!$D$2:$D$160,"reward_reversed")+SUMIFS(Data_RewardEvents!$F$2:$F$160,Data_RewardEvents!$B$2:$B$160,A157,Data_RewardEvents!$D$2:$D$160,"reward_corrected")</f>
        <v>0</v>
      </c>
      <c r="W157" s="16" t="str">
        <f aca="false">IF(S157&gt;0,_xlfn.MINIFS(Data_RewardEvents!$E$2:$E$160,Data_RewardEvents!$B$2:$B$160,A157,Data_RewardEvents!$D$2:$D$160,"reward_credited"),"")</f>
        <v/>
      </c>
      <c r="X157" s="17" t="str">
        <f aca="false">IF(W157="","",(W157-J157)*24)</f>
        <v/>
      </c>
      <c r="Y157" s="6" t="n">
        <f aca="false">IF(I157&lt;&gt;"",1,0)</f>
        <v>1</v>
      </c>
      <c r="Z157" s="6" t="n">
        <f aca="false">IF(K157="completed",1,0)</f>
        <v>0</v>
      </c>
      <c r="AA157" s="6" t="n">
        <f aca="false">IF(L157="validated",1,0)</f>
        <v>0</v>
      </c>
      <c r="AB157" s="6" t="n">
        <f aca="false">IF(S157&gt;0,1,0)</f>
        <v>0</v>
      </c>
    </row>
    <row r="158" customFormat="false" ht="15" hidden="false" customHeight="false" outlineLevel="0" collapsed="false">
      <c r="A158" s="6" t="s">
        <v>724</v>
      </c>
      <c r="B158" s="6" t="s">
        <v>403</v>
      </c>
      <c r="C158" s="6" t="s">
        <v>404</v>
      </c>
      <c r="D158" s="6" t="s">
        <v>713</v>
      </c>
      <c r="E158" s="6" t="s">
        <v>98</v>
      </c>
      <c r="F158" s="6" t="s">
        <v>406</v>
      </c>
      <c r="G158" s="6"/>
      <c r="H158" s="16" t="n">
        <v>46303.1479166667</v>
      </c>
      <c r="I158" s="16" t="n">
        <v>46303.1534722222</v>
      </c>
      <c r="J158" s="16" t="n">
        <v>46303.1547882697</v>
      </c>
      <c r="K158" s="6" t="s">
        <v>132</v>
      </c>
      <c r="L158" s="6" t="s">
        <v>137</v>
      </c>
      <c r="M158" s="6" t="n">
        <v>10</v>
      </c>
      <c r="N158" s="6" t="str">
        <f aca="false">README!$B$14</f>
        <v>points</v>
      </c>
      <c r="O158" s="6"/>
      <c r="P158" s="6"/>
      <c r="Q158" s="17" t="n">
        <f aca="false">IF(AND(I158&lt;&gt;"",J158&lt;&gt;""),(J158-I158)*1440,"")</f>
        <v>1.8951083673</v>
      </c>
      <c r="R158" s="6" t="n">
        <f aca="false">COUNTIFS(Data_RewardEvents!$B$2:$B$160,A158,Data_RewardEvents!$D$2:$D$160,"reward_pending")</f>
        <v>0</v>
      </c>
      <c r="S158" s="6" t="n">
        <f aca="false">COUNTIFS(Data_RewardEvents!$B$2:$B$160,A158,Data_RewardEvents!$D$2:$D$160,"reward_credited")</f>
        <v>1</v>
      </c>
      <c r="T158" s="6" t="n">
        <f aca="false">COUNTIFS(Data_RewardEvents!$B$2:$B$160,A158,Data_RewardEvents!$D$2:$D$160,"reward_reversed")</f>
        <v>0</v>
      </c>
      <c r="U158" s="6" t="n">
        <f aca="false">COUNTIFS(Data_RewardEvents!$B$2:$B$160,A158,Data_RewardEvents!$D$2:$D$160,"reward_corrected")</f>
        <v>0</v>
      </c>
      <c r="V158" s="6" t="n">
        <f aca="false">SUMIFS(Data_RewardEvents!$F$2:$F$160,Data_RewardEvents!$B$2:$B$160,A158,Data_RewardEvents!$D$2:$D$160,"reward_credited")+SUMIFS(Data_RewardEvents!$F$2:$F$160,Data_RewardEvents!$B$2:$B$160,A158,Data_RewardEvents!$D$2:$D$160,"reward_reversed")+SUMIFS(Data_RewardEvents!$F$2:$F$160,Data_RewardEvents!$B$2:$B$160,A158,Data_RewardEvents!$D$2:$D$160,"reward_corrected")</f>
        <v>10</v>
      </c>
      <c r="W158" s="16" t="n">
        <f aca="false">IF(S158&gt;0,_xlfn.MINIFS(Data_RewardEvents!$E$2:$E$160,Data_RewardEvents!$B$2:$B$160,A158,Data_RewardEvents!$D$2:$D$160,"reward_credited"),"")</f>
        <v>46303.1609533533</v>
      </c>
      <c r="X158" s="17" t="n">
        <f aca="false">IF(W158="","",(W158-J158)*24)</f>
        <v>0.147962006216389</v>
      </c>
      <c r="Y158" s="6" t="n">
        <f aca="false">IF(I158&lt;&gt;"",1,0)</f>
        <v>1</v>
      </c>
      <c r="Z158" s="6" t="n">
        <f aca="false">IF(K158="completed",1,0)</f>
        <v>1</v>
      </c>
      <c r="AA158" s="6" t="n">
        <f aca="false">IF(L158="validated",1,0)</f>
        <v>1</v>
      </c>
      <c r="AB158" s="6" t="n">
        <f aca="false">IF(S158&gt;0,1,0)</f>
        <v>1</v>
      </c>
    </row>
    <row r="159" customFormat="false" ht="15" hidden="false" customHeight="false" outlineLevel="0" collapsed="false">
      <c r="A159" s="6" t="s">
        <v>725</v>
      </c>
      <c r="B159" s="6" t="s">
        <v>403</v>
      </c>
      <c r="C159" s="6" t="s">
        <v>404</v>
      </c>
      <c r="D159" s="6" t="s">
        <v>546</v>
      </c>
      <c r="E159" s="6" t="s">
        <v>98</v>
      </c>
      <c r="F159" s="6" t="s">
        <v>406</v>
      </c>
      <c r="G159" s="6"/>
      <c r="H159" s="16" t="n">
        <v>46301.3708333333</v>
      </c>
      <c r="I159" s="16"/>
      <c r="J159" s="16"/>
      <c r="K159" s="6" t="s">
        <v>374</v>
      </c>
      <c r="L159" s="6"/>
      <c r="M159" s="6" t="n">
        <v>10</v>
      </c>
      <c r="N159" s="6" t="str">
        <f aca="false">README!$B$14</f>
        <v>points</v>
      </c>
      <c r="O159" s="6"/>
      <c r="P159" s="6"/>
      <c r="Q159" s="17" t="str">
        <f aca="false">IF(AND(I159&lt;&gt;"",J159&lt;&gt;""),(J159-I159)*1440,"")</f>
        <v/>
      </c>
      <c r="R159" s="6" t="n">
        <f aca="false">COUNTIFS(Data_RewardEvents!$B$2:$B$160,A159,Data_RewardEvents!$D$2:$D$160,"reward_pending")</f>
        <v>0</v>
      </c>
      <c r="S159" s="6" t="n">
        <f aca="false">COUNTIFS(Data_RewardEvents!$B$2:$B$160,A159,Data_RewardEvents!$D$2:$D$160,"reward_credited")</f>
        <v>0</v>
      </c>
      <c r="T159" s="6" t="n">
        <f aca="false">COUNTIFS(Data_RewardEvents!$B$2:$B$160,A159,Data_RewardEvents!$D$2:$D$160,"reward_reversed")</f>
        <v>0</v>
      </c>
      <c r="U159" s="6" t="n">
        <f aca="false">COUNTIFS(Data_RewardEvents!$B$2:$B$160,A159,Data_RewardEvents!$D$2:$D$160,"reward_corrected")</f>
        <v>0</v>
      </c>
      <c r="V159" s="6" t="n">
        <f aca="false">SUMIFS(Data_RewardEvents!$F$2:$F$160,Data_RewardEvents!$B$2:$B$160,A159,Data_RewardEvents!$D$2:$D$160,"reward_credited")+SUMIFS(Data_RewardEvents!$F$2:$F$160,Data_RewardEvents!$B$2:$B$160,A159,Data_RewardEvents!$D$2:$D$160,"reward_reversed")+SUMIFS(Data_RewardEvents!$F$2:$F$160,Data_RewardEvents!$B$2:$B$160,A159,Data_RewardEvents!$D$2:$D$160,"reward_corrected")</f>
        <v>0</v>
      </c>
      <c r="W159" s="16" t="str">
        <f aca="false">IF(S159&gt;0,_xlfn.MINIFS(Data_RewardEvents!$E$2:$E$160,Data_RewardEvents!$B$2:$B$160,A159,Data_RewardEvents!$D$2:$D$160,"reward_credited"),"")</f>
        <v/>
      </c>
      <c r="X159" s="17" t="str">
        <f aca="false">IF(W159="","",(W159-J159)*24)</f>
        <v/>
      </c>
      <c r="Y159" s="6" t="n">
        <f aca="false">IF(I159&lt;&gt;"",1,0)</f>
        <v>0</v>
      </c>
      <c r="Z159" s="6" t="n">
        <f aca="false">IF(K159="completed",1,0)</f>
        <v>0</v>
      </c>
      <c r="AA159" s="6" t="n">
        <f aca="false">IF(L159="validated",1,0)</f>
        <v>0</v>
      </c>
      <c r="AB159" s="6" t="n">
        <f aca="false">IF(S159&gt;0,1,0)</f>
        <v>0</v>
      </c>
    </row>
    <row r="160" customFormat="false" ht="15" hidden="false" customHeight="false" outlineLevel="0" collapsed="false">
      <c r="A160" s="6" t="s">
        <v>726</v>
      </c>
      <c r="B160" s="6" t="s">
        <v>381</v>
      </c>
      <c r="C160" s="6" t="s">
        <v>309</v>
      </c>
      <c r="D160" s="6" t="s">
        <v>727</v>
      </c>
      <c r="E160" s="6" t="s">
        <v>383</v>
      </c>
      <c r="F160" s="6" t="s">
        <v>158</v>
      </c>
      <c r="G160" s="6" t="s">
        <v>728</v>
      </c>
      <c r="H160" s="16" t="n">
        <v>46296.3875</v>
      </c>
      <c r="I160" s="16" t="n">
        <v>46296.4013888889</v>
      </c>
      <c r="J160" s="16" t="n">
        <v>46296.4150763093</v>
      </c>
      <c r="K160" s="6" t="s">
        <v>132</v>
      </c>
      <c r="L160" s="6" t="s">
        <v>137</v>
      </c>
      <c r="M160" s="6" t="n">
        <v>50</v>
      </c>
      <c r="N160" s="6" t="str">
        <f aca="false">README!$B$14</f>
        <v>points</v>
      </c>
      <c r="O160" s="6" t="s">
        <v>216</v>
      </c>
      <c r="P160" s="6" t="s">
        <v>98</v>
      </c>
      <c r="Q160" s="17" t="n">
        <f aca="false">IF(AND(I160&lt;&gt;"",J160&lt;&gt;""),(J160-I160)*1440,"")</f>
        <v>19.7098853182833</v>
      </c>
      <c r="R160" s="6" t="n">
        <f aca="false">COUNTIFS(Data_RewardEvents!$B$2:$B$160,A160,Data_RewardEvents!$D$2:$D$160,"reward_pending")</f>
        <v>1</v>
      </c>
      <c r="S160" s="6" t="n">
        <f aca="false">COUNTIFS(Data_RewardEvents!$B$2:$B$160,A160,Data_RewardEvents!$D$2:$D$160,"reward_credited")</f>
        <v>0</v>
      </c>
      <c r="T160" s="6" t="n">
        <f aca="false">COUNTIFS(Data_RewardEvents!$B$2:$B$160,A160,Data_RewardEvents!$D$2:$D$160,"reward_reversed")</f>
        <v>0</v>
      </c>
      <c r="U160" s="6" t="n">
        <f aca="false">COUNTIFS(Data_RewardEvents!$B$2:$B$160,A160,Data_RewardEvents!$D$2:$D$160,"reward_corrected")</f>
        <v>0</v>
      </c>
      <c r="V160" s="6" t="n">
        <f aca="false">SUMIFS(Data_RewardEvents!$F$2:$F$160,Data_RewardEvents!$B$2:$B$160,A160,Data_RewardEvents!$D$2:$D$160,"reward_credited")+SUMIFS(Data_RewardEvents!$F$2:$F$160,Data_RewardEvents!$B$2:$B$160,A160,Data_RewardEvents!$D$2:$D$160,"reward_reversed")+SUMIFS(Data_RewardEvents!$F$2:$F$160,Data_RewardEvents!$B$2:$B$160,A160,Data_RewardEvents!$D$2:$D$160,"reward_corrected")</f>
        <v>0</v>
      </c>
      <c r="W160" s="16" t="str">
        <f aca="false">IF(S160&gt;0,_xlfn.MINIFS(Data_RewardEvents!$E$2:$E$160,Data_RewardEvents!$B$2:$B$160,A160,Data_RewardEvents!$D$2:$D$160,"reward_credited"),"")</f>
        <v/>
      </c>
      <c r="X160" s="17" t="str">
        <f aca="false">IF(W160="","",(W160-J160)*24)</f>
        <v/>
      </c>
      <c r="Y160" s="6" t="n">
        <f aca="false">IF(I160&lt;&gt;"",1,0)</f>
        <v>1</v>
      </c>
      <c r="Z160" s="6" t="n">
        <f aca="false">IF(K160="completed",1,0)</f>
        <v>1</v>
      </c>
      <c r="AA160" s="6" t="n">
        <f aca="false">IF(L160="validated",1,0)</f>
        <v>1</v>
      </c>
      <c r="AB160" s="6" t="n">
        <f aca="false">IF(S160&gt;0,1,0)</f>
        <v>0</v>
      </c>
    </row>
    <row r="161" customFormat="false" ht="15" hidden="false" customHeight="false" outlineLevel="0" collapsed="false">
      <c r="A161" s="6" t="s">
        <v>729</v>
      </c>
      <c r="B161" s="6" t="s">
        <v>376</v>
      </c>
      <c r="C161" s="6" t="s">
        <v>302</v>
      </c>
      <c r="D161" s="6" t="s">
        <v>582</v>
      </c>
      <c r="E161" s="6" t="s">
        <v>378</v>
      </c>
      <c r="F161" s="6" t="s">
        <v>158</v>
      </c>
      <c r="G161" s="6" t="s">
        <v>730</v>
      </c>
      <c r="H161" s="16" t="n">
        <v>46302.8465277778</v>
      </c>
      <c r="I161" s="16" t="n">
        <v>46302.8659722222</v>
      </c>
      <c r="J161" s="16" t="n">
        <v>46302.8664443195</v>
      </c>
      <c r="K161" s="6" t="s">
        <v>132</v>
      </c>
      <c r="L161" s="6" t="s">
        <v>137</v>
      </c>
      <c r="M161" s="6" t="n">
        <v>5</v>
      </c>
      <c r="N161" s="6" t="str">
        <f aca="false">README!$B$14</f>
        <v>points</v>
      </c>
      <c r="O161" s="6"/>
      <c r="P161" s="6"/>
      <c r="Q161" s="17" t="n">
        <f aca="false">IF(AND(I161&lt;&gt;"",J161&lt;&gt;""),(J161-I161)*1440,"")</f>
        <v>0.679820050716667</v>
      </c>
      <c r="R161" s="6" t="n">
        <f aca="false">COUNTIFS(Data_RewardEvents!$B$2:$B$160,A161,Data_RewardEvents!$D$2:$D$160,"reward_pending")</f>
        <v>0</v>
      </c>
      <c r="S161" s="6" t="n">
        <f aca="false">COUNTIFS(Data_RewardEvents!$B$2:$B$160,A161,Data_RewardEvents!$D$2:$D$160,"reward_credited")</f>
        <v>1</v>
      </c>
      <c r="T161" s="6" t="n">
        <f aca="false">COUNTIFS(Data_RewardEvents!$B$2:$B$160,A161,Data_RewardEvents!$D$2:$D$160,"reward_reversed")</f>
        <v>0</v>
      </c>
      <c r="U161" s="6" t="n">
        <f aca="false">COUNTIFS(Data_RewardEvents!$B$2:$B$160,A161,Data_RewardEvents!$D$2:$D$160,"reward_corrected")</f>
        <v>0</v>
      </c>
      <c r="V161" s="6" t="n">
        <f aca="false">SUMIFS(Data_RewardEvents!$F$2:$F$160,Data_RewardEvents!$B$2:$B$160,A161,Data_RewardEvents!$D$2:$D$160,"reward_credited")+SUMIFS(Data_RewardEvents!$F$2:$F$160,Data_RewardEvents!$B$2:$B$160,A161,Data_RewardEvents!$D$2:$D$160,"reward_reversed")+SUMIFS(Data_RewardEvents!$F$2:$F$160,Data_RewardEvents!$B$2:$B$160,A161,Data_RewardEvents!$D$2:$D$160,"reward_corrected")</f>
        <v>5</v>
      </c>
      <c r="W161" s="16" t="n">
        <f aca="false">IF(S161&gt;0,_xlfn.MINIFS(Data_RewardEvents!$E$2:$E$160,Data_RewardEvents!$B$2:$B$160,A161,Data_RewardEvents!$D$2:$D$160,"reward_credited"),"")</f>
        <v>46302.8691989501</v>
      </c>
      <c r="X161" s="17" t="n">
        <f aca="false">IF(W161="","",(W161-J161)*24)</f>
        <v>0.0661111338994445</v>
      </c>
      <c r="Y161" s="6" t="n">
        <f aca="false">IF(I161&lt;&gt;"",1,0)</f>
        <v>1</v>
      </c>
      <c r="Z161" s="6" t="n">
        <f aca="false">IF(K161="completed",1,0)</f>
        <v>1</v>
      </c>
      <c r="AA161" s="6" t="n">
        <f aca="false">IF(L161="validated",1,0)</f>
        <v>1</v>
      </c>
      <c r="AB161" s="6" t="n">
        <f aca="false">IF(S161&gt;0,1,0)</f>
        <v>1</v>
      </c>
    </row>
    <row r="162" customFormat="false" ht="15" hidden="false" customHeight="false" outlineLevel="0" collapsed="false">
      <c r="A162" s="6" t="s">
        <v>731</v>
      </c>
      <c r="B162" s="6" t="s">
        <v>376</v>
      </c>
      <c r="C162" s="6" t="s">
        <v>302</v>
      </c>
      <c r="D162" s="6" t="s">
        <v>585</v>
      </c>
      <c r="E162" s="6" t="s">
        <v>387</v>
      </c>
      <c r="F162" s="6" t="s">
        <v>158</v>
      </c>
      <c r="G162" s="6" t="s">
        <v>732</v>
      </c>
      <c r="H162" s="16" t="n">
        <v>46285.1958333333</v>
      </c>
      <c r="I162" s="16" t="n">
        <v>46285.2090277778</v>
      </c>
      <c r="J162" s="16" t="n">
        <v>46285.2097930299</v>
      </c>
      <c r="K162" s="6" t="s">
        <v>132</v>
      </c>
      <c r="L162" s="6" t="s">
        <v>137</v>
      </c>
      <c r="M162" s="6" t="n">
        <v>5</v>
      </c>
      <c r="N162" s="6" t="str">
        <f aca="false">README!$B$14</f>
        <v>points</v>
      </c>
      <c r="O162" s="6"/>
      <c r="P162" s="6"/>
      <c r="Q162" s="17" t="n">
        <f aca="false">IF(AND(I162&lt;&gt;"",J162&lt;&gt;""),(J162-I162)*1440,"")</f>
        <v>1.10196306835</v>
      </c>
      <c r="R162" s="6" t="n">
        <f aca="false">COUNTIFS(Data_RewardEvents!$B$2:$B$160,A162,Data_RewardEvents!$D$2:$D$160,"reward_pending")</f>
        <v>0</v>
      </c>
      <c r="S162" s="6" t="n">
        <f aca="false">COUNTIFS(Data_RewardEvents!$B$2:$B$160,A162,Data_RewardEvents!$D$2:$D$160,"reward_credited")</f>
        <v>1</v>
      </c>
      <c r="T162" s="6" t="n">
        <f aca="false">COUNTIFS(Data_RewardEvents!$B$2:$B$160,A162,Data_RewardEvents!$D$2:$D$160,"reward_reversed")</f>
        <v>0</v>
      </c>
      <c r="U162" s="6" t="n">
        <f aca="false">COUNTIFS(Data_RewardEvents!$B$2:$B$160,A162,Data_RewardEvents!$D$2:$D$160,"reward_corrected")</f>
        <v>1</v>
      </c>
      <c r="V162" s="6" t="n">
        <f aca="false">SUMIFS(Data_RewardEvents!$F$2:$F$160,Data_RewardEvents!$B$2:$B$160,A162,Data_RewardEvents!$D$2:$D$160,"reward_credited")+SUMIFS(Data_RewardEvents!$F$2:$F$160,Data_RewardEvents!$B$2:$B$160,A162,Data_RewardEvents!$D$2:$D$160,"reward_reversed")+SUMIFS(Data_RewardEvents!$F$2:$F$160,Data_RewardEvents!$B$2:$B$160,A162,Data_RewardEvents!$D$2:$D$160,"reward_corrected")</f>
        <v>4</v>
      </c>
      <c r="W162" s="16" t="n">
        <f aca="false">IF(S162&gt;0,_xlfn.MINIFS(Data_RewardEvents!$E$2:$E$160,Data_RewardEvents!$B$2:$B$160,A162,Data_RewardEvents!$D$2:$D$160,"reward_credited"),"")</f>
        <v>46285.2149088611</v>
      </c>
      <c r="X162" s="17" t="n">
        <f aca="false">IF(W162="","",(W162-J162)*24)</f>
        <v>0.122779949276944</v>
      </c>
      <c r="Y162" s="6" t="n">
        <f aca="false">IF(I162&lt;&gt;"",1,0)</f>
        <v>1</v>
      </c>
      <c r="Z162" s="6" t="n">
        <f aca="false">IF(K162="completed",1,0)</f>
        <v>1</v>
      </c>
      <c r="AA162" s="6" t="n">
        <f aca="false">IF(L162="validated",1,0)</f>
        <v>1</v>
      </c>
      <c r="AB162" s="6" t="n">
        <f aca="false">IF(S162&gt;0,1,0)</f>
        <v>1</v>
      </c>
    </row>
    <row r="163" customFormat="false" ht="15" hidden="false" customHeight="false" outlineLevel="0" collapsed="false">
      <c r="A163" s="6" t="s">
        <v>733</v>
      </c>
      <c r="B163" s="6" t="s">
        <v>370</v>
      </c>
      <c r="C163" s="6" t="s">
        <v>316</v>
      </c>
      <c r="D163" s="6" t="s">
        <v>579</v>
      </c>
      <c r="E163" s="6" t="s">
        <v>391</v>
      </c>
      <c r="F163" s="6" t="s">
        <v>158</v>
      </c>
      <c r="G163" s="6" t="s">
        <v>734</v>
      </c>
      <c r="H163" s="16" t="n">
        <v>46288.0493055556</v>
      </c>
      <c r="I163" s="16"/>
      <c r="J163" s="16"/>
      <c r="K163" s="6" t="s">
        <v>374</v>
      </c>
      <c r="L163" s="6"/>
      <c r="M163" s="6" t="n">
        <v>100</v>
      </c>
      <c r="N163" s="6" t="str">
        <f aca="false">README!$B$14</f>
        <v>points</v>
      </c>
      <c r="O163" s="6"/>
      <c r="P163" s="6"/>
      <c r="Q163" s="17" t="str">
        <f aca="false">IF(AND(I163&lt;&gt;"",J163&lt;&gt;""),(J163-I163)*1440,"")</f>
        <v/>
      </c>
      <c r="R163" s="6" t="n">
        <f aca="false">COUNTIFS(Data_RewardEvents!$B$2:$B$160,A163,Data_RewardEvents!$D$2:$D$160,"reward_pending")</f>
        <v>0</v>
      </c>
      <c r="S163" s="6" t="n">
        <f aca="false">COUNTIFS(Data_RewardEvents!$B$2:$B$160,A163,Data_RewardEvents!$D$2:$D$160,"reward_credited")</f>
        <v>0</v>
      </c>
      <c r="T163" s="6" t="n">
        <f aca="false">COUNTIFS(Data_RewardEvents!$B$2:$B$160,A163,Data_RewardEvents!$D$2:$D$160,"reward_reversed")</f>
        <v>0</v>
      </c>
      <c r="U163" s="6" t="n">
        <f aca="false">COUNTIFS(Data_RewardEvents!$B$2:$B$160,A163,Data_RewardEvents!$D$2:$D$160,"reward_corrected")</f>
        <v>0</v>
      </c>
      <c r="V163" s="6" t="n">
        <f aca="false">SUMIFS(Data_RewardEvents!$F$2:$F$160,Data_RewardEvents!$B$2:$B$160,A163,Data_RewardEvents!$D$2:$D$160,"reward_credited")+SUMIFS(Data_RewardEvents!$F$2:$F$160,Data_RewardEvents!$B$2:$B$160,A163,Data_RewardEvents!$D$2:$D$160,"reward_reversed")+SUMIFS(Data_RewardEvents!$F$2:$F$160,Data_RewardEvents!$B$2:$B$160,A163,Data_RewardEvents!$D$2:$D$160,"reward_corrected")</f>
        <v>0</v>
      </c>
      <c r="W163" s="16" t="str">
        <f aca="false">IF(S163&gt;0,_xlfn.MINIFS(Data_RewardEvents!$E$2:$E$160,Data_RewardEvents!$B$2:$B$160,A163,Data_RewardEvents!$D$2:$D$160,"reward_credited"),"")</f>
        <v/>
      </c>
      <c r="X163" s="17" t="str">
        <f aca="false">IF(W163="","",(W163-J163)*24)</f>
        <v/>
      </c>
      <c r="Y163" s="6" t="n">
        <f aca="false">IF(I163&lt;&gt;"",1,0)</f>
        <v>0</v>
      </c>
      <c r="Z163" s="6" t="n">
        <f aca="false">IF(K163="completed",1,0)</f>
        <v>0</v>
      </c>
      <c r="AA163" s="6" t="n">
        <f aca="false">IF(L163="validated",1,0)</f>
        <v>0</v>
      </c>
      <c r="AB163" s="6" t="n">
        <f aca="false">IF(S163&gt;0,1,0)</f>
        <v>0</v>
      </c>
    </row>
    <row r="164" customFormat="false" ht="15" hidden="false" customHeight="false" outlineLevel="0" collapsed="false">
      <c r="A164" s="6" t="s">
        <v>735</v>
      </c>
      <c r="B164" s="6" t="s">
        <v>370</v>
      </c>
      <c r="C164" s="6" t="s">
        <v>316</v>
      </c>
      <c r="D164" s="6" t="s">
        <v>532</v>
      </c>
      <c r="E164" s="6" t="s">
        <v>372</v>
      </c>
      <c r="F164" s="6" t="s">
        <v>158</v>
      </c>
      <c r="G164" s="6" t="s">
        <v>736</v>
      </c>
      <c r="H164" s="16" t="n">
        <v>46287.6409722222</v>
      </c>
      <c r="I164" s="16" t="n">
        <v>46287.6534722222</v>
      </c>
      <c r="J164" s="16" t="n">
        <v>46287.8605137561</v>
      </c>
      <c r="K164" s="6" t="s">
        <v>132</v>
      </c>
      <c r="L164" s="6" t="s">
        <v>137</v>
      </c>
      <c r="M164" s="6" t="n">
        <v>100</v>
      </c>
      <c r="N164" s="6" t="str">
        <f aca="false">README!$B$14</f>
        <v>points</v>
      </c>
      <c r="O164" s="6"/>
      <c r="P164" s="6"/>
      <c r="Q164" s="17" t="n">
        <f aca="false">IF(AND(I164&lt;&gt;"",J164&lt;&gt;""),(J164-I164)*1440,"")</f>
        <v>298.139808748367</v>
      </c>
      <c r="R164" s="6" t="n">
        <f aca="false">COUNTIFS(Data_RewardEvents!$B$2:$B$160,A164,Data_RewardEvents!$D$2:$D$160,"reward_pending")</f>
        <v>1</v>
      </c>
      <c r="S164" s="6" t="n">
        <f aca="false">COUNTIFS(Data_RewardEvents!$B$2:$B$160,A164,Data_RewardEvents!$D$2:$D$160,"reward_credited")</f>
        <v>1</v>
      </c>
      <c r="T164" s="6" t="n">
        <f aca="false">COUNTIFS(Data_RewardEvents!$B$2:$B$160,A164,Data_RewardEvents!$D$2:$D$160,"reward_reversed")</f>
        <v>0</v>
      </c>
      <c r="U164" s="6" t="n">
        <f aca="false">COUNTIFS(Data_RewardEvents!$B$2:$B$160,A164,Data_RewardEvents!$D$2:$D$160,"reward_corrected")</f>
        <v>0</v>
      </c>
      <c r="V164" s="6" t="n">
        <f aca="false">SUMIFS(Data_RewardEvents!$F$2:$F$160,Data_RewardEvents!$B$2:$B$160,A164,Data_RewardEvents!$D$2:$D$160,"reward_credited")+SUMIFS(Data_RewardEvents!$F$2:$F$160,Data_RewardEvents!$B$2:$B$160,A164,Data_RewardEvents!$D$2:$D$160,"reward_reversed")+SUMIFS(Data_RewardEvents!$F$2:$F$160,Data_RewardEvents!$B$2:$B$160,A164,Data_RewardEvents!$D$2:$D$160,"reward_corrected")</f>
        <v>100</v>
      </c>
      <c r="W164" s="16" t="n">
        <f aca="false">IF(S164&gt;0,_xlfn.MINIFS(Data_RewardEvents!$E$2:$E$160,Data_RewardEvents!$B$2:$B$160,A164,Data_RewardEvents!$D$2:$D$160,"reward_credited"),"")</f>
        <v>46290.0339847666</v>
      </c>
      <c r="X164" s="17" t="n">
        <f aca="false">IF(W164="","",(W164-J164)*24)</f>
        <v>52.1633042523753</v>
      </c>
      <c r="Y164" s="6" t="n">
        <f aca="false">IF(I164&lt;&gt;"",1,0)</f>
        <v>1</v>
      </c>
      <c r="Z164" s="6" t="n">
        <f aca="false">IF(K164="completed",1,0)</f>
        <v>1</v>
      </c>
      <c r="AA164" s="6" t="n">
        <f aca="false">IF(L164="validated",1,0)</f>
        <v>1</v>
      </c>
      <c r="AB164" s="6" t="n">
        <f aca="false">IF(S164&gt;0,1,0)</f>
        <v>1</v>
      </c>
    </row>
    <row r="165" customFormat="false" ht="15" hidden="false" customHeight="false" outlineLevel="0" collapsed="false">
      <c r="A165" s="6" t="s">
        <v>737</v>
      </c>
      <c r="B165" s="6" t="s">
        <v>376</v>
      </c>
      <c r="C165" s="6" t="s">
        <v>302</v>
      </c>
      <c r="D165" s="6" t="s">
        <v>568</v>
      </c>
      <c r="E165" s="6" t="s">
        <v>387</v>
      </c>
      <c r="F165" s="6" t="s">
        <v>158</v>
      </c>
      <c r="G165" s="6" t="s">
        <v>738</v>
      </c>
      <c r="H165" s="16" t="n">
        <v>46287.1451388889</v>
      </c>
      <c r="I165" s="16" t="n">
        <v>46287.1576388889</v>
      </c>
      <c r="J165" s="16" t="n">
        <v>46287.158119959</v>
      </c>
      <c r="K165" s="6" t="s">
        <v>132</v>
      </c>
      <c r="L165" s="6" t="s">
        <v>137</v>
      </c>
      <c r="M165" s="6" t="n">
        <v>5</v>
      </c>
      <c r="N165" s="6" t="str">
        <f aca="false">README!$B$14</f>
        <v>points</v>
      </c>
      <c r="O165" s="6"/>
      <c r="P165" s="6"/>
      <c r="Q165" s="17" t="n">
        <f aca="false">IF(AND(I165&lt;&gt;"",J165&lt;&gt;""),(J165-I165)*1440,"")</f>
        <v>0.6927410059</v>
      </c>
      <c r="R165" s="6" t="n">
        <f aca="false">COUNTIFS(Data_RewardEvents!$B$2:$B$160,A165,Data_RewardEvents!$D$2:$D$160,"reward_pending")</f>
        <v>0</v>
      </c>
      <c r="S165" s="6" t="n">
        <f aca="false">COUNTIFS(Data_RewardEvents!$B$2:$B$160,A165,Data_RewardEvents!$D$2:$D$160,"reward_credited")</f>
        <v>1</v>
      </c>
      <c r="T165" s="6" t="n">
        <f aca="false">COUNTIFS(Data_RewardEvents!$B$2:$B$160,A165,Data_RewardEvents!$D$2:$D$160,"reward_reversed")</f>
        <v>0</v>
      </c>
      <c r="U165" s="6" t="n">
        <f aca="false">COUNTIFS(Data_RewardEvents!$B$2:$B$160,A165,Data_RewardEvents!$D$2:$D$160,"reward_corrected")</f>
        <v>0</v>
      </c>
      <c r="V165" s="6" t="n">
        <f aca="false">SUMIFS(Data_RewardEvents!$F$2:$F$160,Data_RewardEvents!$B$2:$B$160,A165,Data_RewardEvents!$D$2:$D$160,"reward_credited")+SUMIFS(Data_RewardEvents!$F$2:$F$160,Data_RewardEvents!$B$2:$B$160,A165,Data_RewardEvents!$D$2:$D$160,"reward_reversed")+SUMIFS(Data_RewardEvents!$F$2:$F$160,Data_RewardEvents!$B$2:$B$160,A165,Data_RewardEvents!$D$2:$D$160,"reward_corrected")</f>
        <v>5</v>
      </c>
      <c r="W165" s="16" t="n">
        <f aca="false">IF(S165&gt;0,_xlfn.MINIFS(Data_RewardEvents!$E$2:$E$160,Data_RewardEvents!$B$2:$B$160,A165,Data_RewardEvents!$D$2:$D$160,"reward_credited"),"")</f>
        <v>46287.1588827078</v>
      </c>
      <c r="X165" s="17" t="n">
        <f aca="false">IF(W165="","",(W165-J165)*24)</f>
        <v>0.0183059712288889</v>
      </c>
      <c r="Y165" s="6" t="n">
        <f aca="false">IF(I165&lt;&gt;"",1,0)</f>
        <v>1</v>
      </c>
      <c r="Z165" s="6" t="n">
        <f aca="false">IF(K165="completed",1,0)</f>
        <v>1</v>
      </c>
      <c r="AA165" s="6" t="n">
        <f aca="false">IF(L165="validated",1,0)</f>
        <v>1</v>
      </c>
      <c r="AB165" s="6" t="n">
        <f aca="false">IF(S165&gt;0,1,0)</f>
        <v>1</v>
      </c>
    </row>
    <row r="166" customFormat="false" ht="15" hidden="false" customHeight="false" outlineLevel="0" collapsed="false">
      <c r="A166" s="6" t="s">
        <v>739</v>
      </c>
      <c r="B166" s="6" t="s">
        <v>376</v>
      </c>
      <c r="C166" s="6" t="s">
        <v>302</v>
      </c>
      <c r="D166" s="6" t="s">
        <v>447</v>
      </c>
      <c r="E166" s="6" t="s">
        <v>387</v>
      </c>
      <c r="F166" s="6" t="s">
        <v>158</v>
      </c>
      <c r="G166" s="6" t="s">
        <v>740</v>
      </c>
      <c r="H166" s="16" t="n">
        <v>46300.0104166667</v>
      </c>
      <c r="I166" s="16" t="n">
        <v>46300.0270833333</v>
      </c>
      <c r="J166" s="16" t="n">
        <v>46300.0276640585</v>
      </c>
      <c r="K166" s="6" t="s">
        <v>132</v>
      </c>
      <c r="L166" s="6" t="s">
        <v>137</v>
      </c>
      <c r="M166" s="6" t="n">
        <v>5</v>
      </c>
      <c r="N166" s="6" t="str">
        <f aca="false">README!$B$14</f>
        <v>points</v>
      </c>
      <c r="O166" s="6"/>
      <c r="P166" s="6"/>
      <c r="Q166" s="17" t="n">
        <f aca="false">IF(AND(I166&lt;&gt;"",J166&lt;&gt;""),(J166-I166)*1440,"")</f>
        <v>0.836244290683333</v>
      </c>
      <c r="R166" s="6" t="n">
        <f aca="false">COUNTIFS(Data_RewardEvents!$B$2:$B$160,A166,Data_RewardEvents!$D$2:$D$160,"reward_pending")</f>
        <v>0</v>
      </c>
      <c r="S166" s="6" t="n">
        <f aca="false">COUNTIFS(Data_RewardEvents!$B$2:$B$160,A166,Data_RewardEvents!$D$2:$D$160,"reward_credited")</f>
        <v>1</v>
      </c>
      <c r="T166" s="6" t="n">
        <f aca="false">COUNTIFS(Data_RewardEvents!$B$2:$B$160,A166,Data_RewardEvents!$D$2:$D$160,"reward_reversed")</f>
        <v>0</v>
      </c>
      <c r="U166" s="6" t="n">
        <f aca="false">COUNTIFS(Data_RewardEvents!$B$2:$B$160,A166,Data_RewardEvents!$D$2:$D$160,"reward_corrected")</f>
        <v>1</v>
      </c>
      <c r="V166" s="6" t="n">
        <f aca="false">SUMIFS(Data_RewardEvents!$F$2:$F$160,Data_RewardEvents!$B$2:$B$160,A166,Data_RewardEvents!$D$2:$D$160,"reward_credited")+SUMIFS(Data_RewardEvents!$F$2:$F$160,Data_RewardEvents!$B$2:$B$160,A166,Data_RewardEvents!$D$2:$D$160,"reward_reversed")+SUMIFS(Data_RewardEvents!$F$2:$F$160,Data_RewardEvents!$B$2:$B$160,A166,Data_RewardEvents!$D$2:$D$160,"reward_corrected")</f>
        <v>4</v>
      </c>
      <c r="W166" s="16" t="n">
        <f aca="false">IF(S166&gt;0,_xlfn.MINIFS(Data_RewardEvents!$E$2:$E$160,Data_RewardEvents!$B$2:$B$160,A166,Data_RewardEvents!$D$2:$D$160,"reward_credited"),"")</f>
        <v>46300.0314741356</v>
      </c>
      <c r="X166" s="17" t="n">
        <f aca="false">IF(W166="","",(W166-J166)*24)</f>
        <v>0.0914418484316667</v>
      </c>
      <c r="Y166" s="6" t="n">
        <f aca="false">IF(I166&lt;&gt;"",1,0)</f>
        <v>1</v>
      </c>
      <c r="Z166" s="6" t="n">
        <f aca="false">IF(K166="completed",1,0)</f>
        <v>1</v>
      </c>
      <c r="AA166" s="6" t="n">
        <f aca="false">IF(L166="validated",1,0)</f>
        <v>1</v>
      </c>
      <c r="AB166" s="6" t="n">
        <f aca="false">IF(S166&gt;0,1,0)</f>
        <v>1</v>
      </c>
    </row>
    <row r="167" customFormat="false" ht="15" hidden="false" customHeight="false" outlineLevel="0" collapsed="false">
      <c r="A167" s="6" t="s">
        <v>741</v>
      </c>
      <c r="B167" s="6" t="s">
        <v>365</v>
      </c>
      <c r="C167" s="6" t="s">
        <v>323</v>
      </c>
      <c r="D167" s="6" t="s">
        <v>480</v>
      </c>
      <c r="E167" s="6" t="s">
        <v>367</v>
      </c>
      <c r="F167" s="6" t="s">
        <v>158</v>
      </c>
      <c r="G167" s="6" t="s">
        <v>742</v>
      </c>
      <c r="H167" s="16" t="n">
        <v>46285.4881944444</v>
      </c>
      <c r="I167" s="16" t="n">
        <v>46285.5</v>
      </c>
      <c r="J167" s="16"/>
      <c r="K167" s="6" t="s">
        <v>448</v>
      </c>
      <c r="L167" s="6"/>
      <c r="M167" s="6" t="n">
        <v>30</v>
      </c>
      <c r="N167" s="6" t="str">
        <f aca="false">README!$B$14</f>
        <v>points</v>
      </c>
      <c r="O167" s="6" t="s">
        <v>167</v>
      </c>
      <c r="P167" s="6" t="s">
        <v>223</v>
      </c>
      <c r="Q167" s="17" t="str">
        <f aca="false">IF(AND(I167&lt;&gt;"",J167&lt;&gt;""),(J167-I167)*1440,"")</f>
        <v/>
      </c>
      <c r="R167" s="6" t="n">
        <f aca="false">COUNTIFS(Data_RewardEvents!$B$2:$B$160,A167,Data_RewardEvents!$D$2:$D$160,"reward_pending")</f>
        <v>0</v>
      </c>
      <c r="S167" s="6" t="n">
        <f aca="false">COUNTIFS(Data_RewardEvents!$B$2:$B$160,A167,Data_RewardEvents!$D$2:$D$160,"reward_credited")</f>
        <v>0</v>
      </c>
      <c r="T167" s="6" t="n">
        <f aca="false">COUNTIFS(Data_RewardEvents!$B$2:$B$160,A167,Data_RewardEvents!$D$2:$D$160,"reward_reversed")</f>
        <v>0</v>
      </c>
      <c r="U167" s="6" t="n">
        <f aca="false">COUNTIFS(Data_RewardEvents!$B$2:$B$160,A167,Data_RewardEvents!$D$2:$D$160,"reward_corrected")</f>
        <v>0</v>
      </c>
      <c r="V167" s="6" t="n">
        <f aca="false">SUMIFS(Data_RewardEvents!$F$2:$F$160,Data_RewardEvents!$B$2:$B$160,A167,Data_RewardEvents!$D$2:$D$160,"reward_credited")+SUMIFS(Data_RewardEvents!$F$2:$F$160,Data_RewardEvents!$B$2:$B$160,A167,Data_RewardEvents!$D$2:$D$160,"reward_reversed")+SUMIFS(Data_RewardEvents!$F$2:$F$160,Data_RewardEvents!$B$2:$B$160,A167,Data_RewardEvents!$D$2:$D$160,"reward_corrected")</f>
        <v>0</v>
      </c>
      <c r="W167" s="16" t="str">
        <f aca="false">IF(S167&gt;0,_xlfn.MINIFS(Data_RewardEvents!$E$2:$E$160,Data_RewardEvents!$B$2:$B$160,A167,Data_RewardEvents!$D$2:$D$160,"reward_credited"),"")</f>
        <v/>
      </c>
      <c r="X167" s="17" t="str">
        <f aca="false">IF(W167="","",(W167-J167)*24)</f>
        <v/>
      </c>
      <c r="Y167" s="6" t="n">
        <f aca="false">IF(I167&lt;&gt;"",1,0)</f>
        <v>1</v>
      </c>
      <c r="Z167" s="6" t="n">
        <f aca="false">IF(K167="completed",1,0)</f>
        <v>0</v>
      </c>
      <c r="AA167" s="6" t="n">
        <f aca="false">IF(L167="validated",1,0)</f>
        <v>0</v>
      </c>
      <c r="AB167" s="6" t="n">
        <f aca="false">IF(S167&gt;0,1,0)</f>
        <v>0</v>
      </c>
    </row>
    <row r="168" customFormat="false" ht="15" hidden="false" customHeight="false" outlineLevel="0" collapsed="false">
      <c r="A168" s="6" t="s">
        <v>743</v>
      </c>
      <c r="B168" s="6" t="s">
        <v>370</v>
      </c>
      <c r="C168" s="6" t="s">
        <v>316</v>
      </c>
      <c r="D168" s="6" t="s">
        <v>546</v>
      </c>
      <c r="E168" s="6" t="s">
        <v>372</v>
      </c>
      <c r="F168" s="6" t="s">
        <v>158</v>
      </c>
      <c r="G168" s="6" t="s">
        <v>744</v>
      </c>
      <c r="H168" s="16" t="n">
        <v>46288.9201388889</v>
      </c>
      <c r="I168" s="16"/>
      <c r="J168" s="16"/>
      <c r="K168" s="6" t="s">
        <v>374</v>
      </c>
      <c r="L168" s="6"/>
      <c r="M168" s="6" t="n">
        <v>100</v>
      </c>
      <c r="N168" s="6" t="str">
        <f aca="false">README!$B$14</f>
        <v>points</v>
      </c>
      <c r="O168" s="6"/>
      <c r="P168" s="6"/>
      <c r="Q168" s="17" t="str">
        <f aca="false">IF(AND(I168&lt;&gt;"",J168&lt;&gt;""),(J168-I168)*1440,"")</f>
        <v/>
      </c>
      <c r="R168" s="6" t="n">
        <f aca="false">COUNTIFS(Data_RewardEvents!$B$2:$B$160,A168,Data_RewardEvents!$D$2:$D$160,"reward_pending")</f>
        <v>0</v>
      </c>
      <c r="S168" s="6" t="n">
        <f aca="false">COUNTIFS(Data_RewardEvents!$B$2:$B$160,A168,Data_RewardEvents!$D$2:$D$160,"reward_credited")</f>
        <v>0</v>
      </c>
      <c r="T168" s="6" t="n">
        <f aca="false">COUNTIFS(Data_RewardEvents!$B$2:$B$160,A168,Data_RewardEvents!$D$2:$D$160,"reward_reversed")</f>
        <v>0</v>
      </c>
      <c r="U168" s="6" t="n">
        <f aca="false">COUNTIFS(Data_RewardEvents!$B$2:$B$160,A168,Data_RewardEvents!$D$2:$D$160,"reward_corrected")</f>
        <v>0</v>
      </c>
      <c r="V168" s="6" t="n">
        <f aca="false">SUMIFS(Data_RewardEvents!$F$2:$F$160,Data_RewardEvents!$B$2:$B$160,A168,Data_RewardEvents!$D$2:$D$160,"reward_credited")+SUMIFS(Data_RewardEvents!$F$2:$F$160,Data_RewardEvents!$B$2:$B$160,A168,Data_RewardEvents!$D$2:$D$160,"reward_reversed")+SUMIFS(Data_RewardEvents!$F$2:$F$160,Data_RewardEvents!$B$2:$B$160,A168,Data_RewardEvents!$D$2:$D$160,"reward_corrected")</f>
        <v>0</v>
      </c>
      <c r="W168" s="16" t="str">
        <f aca="false">IF(S168&gt;0,_xlfn.MINIFS(Data_RewardEvents!$E$2:$E$160,Data_RewardEvents!$B$2:$B$160,A168,Data_RewardEvents!$D$2:$D$160,"reward_credited"),"")</f>
        <v/>
      </c>
      <c r="X168" s="17" t="str">
        <f aca="false">IF(W168="","",(W168-J168)*24)</f>
        <v/>
      </c>
      <c r="Y168" s="6" t="n">
        <f aca="false">IF(I168&lt;&gt;"",1,0)</f>
        <v>0</v>
      </c>
      <c r="Z168" s="6" t="n">
        <f aca="false">IF(K168="completed",1,0)</f>
        <v>0</v>
      </c>
      <c r="AA168" s="6" t="n">
        <f aca="false">IF(L168="validated",1,0)</f>
        <v>0</v>
      </c>
      <c r="AB168" s="6" t="n">
        <f aca="false">IF(S168&gt;0,1,0)</f>
        <v>0</v>
      </c>
    </row>
    <row r="169" customFormat="false" ht="15" hidden="false" customHeight="false" outlineLevel="0" collapsed="false">
      <c r="A169" s="6" t="s">
        <v>745</v>
      </c>
      <c r="B169" s="6" t="s">
        <v>365</v>
      </c>
      <c r="C169" s="6" t="s">
        <v>323</v>
      </c>
      <c r="D169" s="6" t="s">
        <v>390</v>
      </c>
      <c r="E169" s="6" t="s">
        <v>444</v>
      </c>
      <c r="F169" s="6" t="s">
        <v>158</v>
      </c>
      <c r="G169" s="6" t="s">
        <v>746</v>
      </c>
      <c r="H169" s="16" t="n">
        <v>46288.3340277778</v>
      </c>
      <c r="I169" s="16"/>
      <c r="J169" s="16"/>
      <c r="K169" s="6" t="s">
        <v>374</v>
      </c>
      <c r="L169" s="6"/>
      <c r="M169" s="6" t="n">
        <v>30</v>
      </c>
      <c r="N169" s="6" t="str">
        <f aca="false">README!$B$14</f>
        <v>points</v>
      </c>
      <c r="O169" s="6"/>
      <c r="P169" s="6"/>
      <c r="Q169" s="17" t="str">
        <f aca="false">IF(AND(I169&lt;&gt;"",J169&lt;&gt;""),(J169-I169)*1440,"")</f>
        <v/>
      </c>
      <c r="R169" s="6" t="n">
        <f aca="false">COUNTIFS(Data_RewardEvents!$B$2:$B$160,A169,Data_RewardEvents!$D$2:$D$160,"reward_pending")</f>
        <v>0</v>
      </c>
      <c r="S169" s="6" t="n">
        <f aca="false">COUNTIFS(Data_RewardEvents!$B$2:$B$160,A169,Data_RewardEvents!$D$2:$D$160,"reward_credited")</f>
        <v>0</v>
      </c>
      <c r="T169" s="6" t="n">
        <f aca="false">COUNTIFS(Data_RewardEvents!$B$2:$B$160,A169,Data_RewardEvents!$D$2:$D$160,"reward_reversed")</f>
        <v>0</v>
      </c>
      <c r="U169" s="6" t="n">
        <f aca="false">COUNTIFS(Data_RewardEvents!$B$2:$B$160,A169,Data_RewardEvents!$D$2:$D$160,"reward_corrected")</f>
        <v>0</v>
      </c>
      <c r="V169" s="6" t="n">
        <f aca="false">SUMIFS(Data_RewardEvents!$F$2:$F$160,Data_RewardEvents!$B$2:$B$160,A169,Data_RewardEvents!$D$2:$D$160,"reward_credited")+SUMIFS(Data_RewardEvents!$F$2:$F$160,Data_RewardEvents!$B$2:$B$160,A169,Data_RewardEvents!$D$2:$D$160,"reward_reversed")+SUMIFS(Data_RewardEvents!$F$2:$F$160,Data_RewardEvents!$B$2:$B$160,A169,Data_RewardEvents!$D$2:$D$160,"reward_corrected")</f>
        <v>0</v>
      </c>
      <c r="W169" s="16" t="str">
        <f aca="false">IF(S169&gt;0,_xlfn.MINIFS(Data_RewardEvents!$E$2:$E$160,Data_RewardEvents!$B$2:$B$160,A169,Data_RewardEvents!$D$2:$D$160,"reward_credited"),"")</f>
        <v/>
      </c>
      <c r="X169" s="17" t="str">
        <f aca="false">IF(W169="","",(W169-J169)*24)</f>
        <v/>
      </c>
      <c r="Y169" s="6" t="n">
        <f aca="false">IF(I169&lt;&gt;"",1,0)</f>
        <v>0</v>
      </c>
      <c r="Z169" s="6" t="n">
        <f aca="false">IF(K169="completed",1,0)</f>
        <v>0</v>
      </c>
      <c r="AA169" s="6" t="n">
        <f aca="false">IF(L169="validated",1,0)</f>
        <v>0</v>
      </c>
      <c r="AB169" s="6" t="n">
        <f aca="false">IF(S169&gt;0,1,0)</f>
        <v>0</v>
      </c>
    </row>
    <row r="170" customFormat="false" ht="15" hidden="false" customHeight="false" outlineLevel="0" collapsed="false">
      <c r="A170" s="6" t="s">
        <v>747</v>
      </c>
      <c r="B170" s="6" t="s">
        <v>381</v>
      </c>
      <c r="C170" s="6" t="s">
        <v>309</v>
      </c>
      <c r="D170" s="6" t="s">
        <v>440</v>
      </c>
      <c r="E170" s="6" t="s">
        <v>383</v>
      </c>
      <c r="F170" s="6" t="s">
        <v>158</v>
      </c>
      <c r="G170" s="6" t="s">
        <v>748</v>
      </c>
      <c r="H170" s="16" t="n">
        <v>46301.1034722222</v>
      </c>
      <c r="I170" s="16"/>
      <c r="J170" s="16"/>
      <c r="K170" s="6" t="s">
        <v>374</v>
      </c>
      <c r="L170" s="6"/>
      <c r="M170" s="6" t="n">
        <v>50</v>
      </c>
      <c r="N170" s="6" t="str">
        <f aca="false">README!$B$14</f>
        <v>points</v>
      </c>
      <c r="O170" s="6"/>
      <c r="P170" s="6"/>
      <c r="Q170" s="17" t="str">
        <f aca="false">IF(AND(I170&lt;&gt;"",J170&lt;&gt;""),(J170-I170)*1440,"")</f>
        <v/>
      </c>
      <c r="R170" s="6" t="n">
        <f aca="false">COUNTIFS(Data_RewardEvents!$B$2:$B$160,A170,Data_RewardEvents!$D$2:$D$160,"reward_pending")</f>
        <v>0</v>
      </c>
      <c r="S170" s="6" t="n">
        <f aca="false">COUNTIFS(Data_RewardEvents!$B$2:$B$160,A170,Data_RewardEvents!$D$2:$D$160,"reward_credited")</f>
        <v>0</v>
      </c>
      <c r="T170" s="6" t="n">
        <f aca="false">COUNTIFS(Data_RewardEvents!$B$2:$B$160,A170,Data_RewardEvents!$D$2:$D$160,"reward_reversed")</f>
        <v>0</v>
      </c>
      <c r="U170" s="6" t="n">
        <f aca="false">COUNTIFS(Data_RewardEvents!$B$2:$B$160,A170,Data_RewardEvents!$D$2:$D$160,"reward_corrected")</f>
        <v>0</v>
      </c>
      <c r="V170" s="6" t="n">
        <f aca="false">SUMIFS(Data_RewardEvents!$F$2:$F$160,Data_RewardEvents!$B$2:$B$160,A170,Data_RewardEvents!$D$2:$D$160,"reward_credited")+SUMIFS(Data_RewardEvents!$F$2:$F$160,Data_RewardEvents!$B$2:$B$160,A170,Data_RewardEvents!$D$2:$D$160,"reward_reversed")+SUMIFS(Data_RewardEvents!$F$2:$F$160,Data_RewardEvents!$B$2:$B$160,A170,Data_RewardEvents!$D$2:$D$160,"reward_corrected")</f>
        <v>0</v>
      </c>
      <c r="W170" s="16" t="str">
        <f aca="false">IF(S170&gt;0,_xlfn.MINIFS(Data_RewardEvents!$E$2:$E$160,Data_RewardEvents!$B$2:$B$160,A170,Data_RewardEvents!$D$2:$D$160,"reward_credited"),"")</f>
        <v/>
      </c>
      <c r="X170" s="17" t="str">
        <f aca="false">IF(W170="","",(W170-J170)*24)</f>
        <v/>
      </c>
      <c r="Y170" s="6" t="n">
        <f aca="false">IF(I170&lt;&gt;"",1,0)</f>
        <v>0</v>
      </c>
      <c r="Z170" s="6" t="n">
        <f aca="false">IF(K170="completed",1,0)</f>
        <v>0</v>
      </c>
      <c r="AA170" s="6" t="n">
        <f aca="false">IF(L170="validated",1,0)</f>
        <v>0</v>
      </c>
      <c r="AB170" s="6" t="n">
        <f aca="false">IF(S170&gt;0,1,0)</f>
        <v>0</v>
      </c>
    </row>
    <row r="171" customFormat="false" ht="15" hidden="false" customHeight="false" outlineLevel="0" collapsed="false">
      <c r="A171" s="6" t="s">
        <v>749</v>
      </c>
      <c r="B171" s="6" t="s">
        <v>381</v>
      </c>
      <c r="C171" s="6" t="s">
        <v>309</v>
      </c>
      <c r="D171" s="6" t="s">
        <v>750</v>
      </c>
      <c r="E171" s="6" t="s">
        <v>416</v>
      </c>
      <c r="F171" s="6" t="s">
        <v>158</v>
      </c>
      <c r="G171" s="6" t="s">
        <v>751</v>
      </c>
      <c r="H171" s="16" t="n">
        <v>46293.1083333333</v>
      </c>
      <c r="I171" s="16" t="n">
        <v>46293.1159722222</v>
      </c>
      <c r="J171" s="16" t="n">
        <v>46293.1196039982</v>
      </c>
      <c r="K171" s="6" t="s">
        <v>132</v>
      </c>
      <c r="L171" s="6" t="s">
        <v>137</v>
      </c>
      <c r="M171" s="6" t="n">
        <v>50</v>
      </c>
      <c r="N171" s="6" t="str">
        <f aca="false">README!$B$14</f>
        <v>points</v>
      </c>
      <c r="O171" s="6"/>
      <c r="P171" s="6"/>
      <c r="Q171" s="17" t="n">
        <f aca="false">IF(AND(I171&lt;&gt;"",J171&lt;&gt;""),(J171-I171)*1440,"")</f>
        <v>5.22975746425</v>
      </c>
      <c r="R171" s="6" t="n">
        <f aca="false">COUNTIFS(Data_RewardEvents!$B$2:$B$160,A171,Data_RewardEvents!$D$2:$D$160,"reward_pending")</f>
        <v>1</v>
      </c>
      <c r="S171" s="6" t="n">
        <f aca="false">COUNTIFS(Data_RewardEvents!$B$2:$B$160,A171,Data_RewardEvents!$D$2:$D$160,"reward_credited")</f>
        <v>1</v>
      </c>
      <c r="T171" s="6" t="n">
        <f aca="false">COUNTIFS(Data_RewardEvents!$B$2:$B$160,A171,Data_RewardEvents!$D$2:$D$160,"reward_reversed")</f>
        <v>0</v>
      </c>
      <c r="U171" s="6" t="n">
        <f aca="false">COUNTIFS(Data_RewardEvents!$B$2:$B$160,A171,Data_RewardEvents!$D$2:$D$160,"reward_corrected")</f>
        <v>0</v>
      </c>
      <c r="V171" s="6" t="n">
        <f aca="false">SUMIFS(Data_RewardEvents!$F$2:$F$160,Data_RewardEvents!$B$2:$B$160,A171,Data_RewardEvents!$D$2:$D$160,"reward_credited")+SUMIFS(Data_RewardEvents!$F$2:$F$160,Data_RewardEvents!$B$2:$B$160,A171,Data_RewardEvents!$D$2:$D$160,"reward_reversed")+SUMIFS(Data_RewardEvents!$F$2:$F$160,Data_RewardEvents!$B$2:$B$160,A171,Data_RewardEvents!$D$2:$D$160,"reward_corrected")</f>
        <v>50</v>
      </c>
      <c r="W171" s="16" t="n">
        <f aca="false">IF(S171&gt;0,_xlfn.MINIFS(Data_RewardEvents!$E$2:$E$160,Data_RewardEvents!$B$2:$B$160,A171,Data_RewardEvents!$D$2:$D$160,"reward_credited"),"")</f>
        <v>46294.0243583633</v>
      </c>
      <c r="X171" s="17" t="n">
        <f aca="false">IF(W171="","",(W171-J171)*24)</f>
        <v>21.7141047605544</v>
      </c>
      <c r="Y171" s="6" t="n">
        <f aca="false">IF(I171&lt;&gt;"",1,0)</f>
        <v>1</v>
      </c>
      <c r="Z171" s="6" t="n">
        <f aca="false">IF(K171="completed",1,0)</f>
        <v>1</v>
      </c>
      <c r="AA171" s="6" t="n">
        <f aca="false">IF(L171="validated",1,0)</f>
        <v>1</v>
      </c>
      <c r="AB171" s="6" t="n">
        <f aca="false">IF(S171&gt;0,1,0)</f>
        <v>1</v>
      </c>
    </row>
    <row r="172" customFormat="false" ht="15" hidden="false" customHeight="false" outlineLevel="0" collapsed="false">
      <c r="A172" s="6" t="s">
        <v>752</v>
      </c>
      <c r="B172" s="6" t="s">
        <v>381</v>
      </c>
      <c r="C172" s="6" t="s">
        <v>309</v>
      </c>
      <c r="D172" s="6" t="s">
        <v>390</v>
      </c>
      <c r="E172" s="6" t="s">
        <v>416</v>
      </c>
      <c r="F172" s="6" t="s">
        <v>158</v>
      </c>
      <c r="G172" s="6" t="s">
        <v>753</v>
      </c>
      <c r="H172" s="16" t="n">
        <v>46298.0222222222</v>
      </c>
      <c r="I172" s="16" t="n">
        <v>46298.0236111111</v>
      </c>
      <c r="J172" s="16"/>
      <c r="K172" s="6" t="s">
        <v>448</v>
      </c>
      <c r="L172" s="6"/>
      <c r="M172" s="6" t="n">
        <v>50</v>
      </c>
      <c r="N172" s="6" t="str">
        <f aca="false">README!$B$14</f>
        <v>points</v>
      </c>
      <c r="O172" s="6" t="s">
        <v>167</v>
      </c>
      <c r="P172" s="6" t="s">
        <v>223</v>
      </c>
      <c r="Q172" s="17" t="str">
        <f aca="false">IF(AND(I172&lt;&gt;"",J172&lt;&gt;""),(J172-I172)*1440,"")</f>
        <v/>
      </c>
      <c r="R172" s="6" t="n">
        <f aca="false">COUNTIFS(Data_RewardEvents!$B$2:$B$160,A172,Data_RewardEvents!$D$2:$D$160,"reward_pending")</f>
        <v>0</v>
      </c>
      <c r="S172" s="6" t="n">
        <f aca="false">COUNTIFS(Data_RewardEvents!$B$2:$B$160,A172,Data_RewardEvents!$D$2:$D$160,"reward_credited")</f>
        <v>0</v>
      </c>
      <c r="T172" s="6" t="n">
        <f aca="false">COUNTIFS(Data_RewardEvents!$B$2:$B$160,A172,Data_RewardEvents!$D$2:$D$160,"reward_reversed")</f>
        <v>0</v>
      </c>
      <c r="U172" s="6" t="n">
        <f aca="false">COUNTIFS(Data_RewardEvents!$B$2:$B$160,A172,Data_RewardEvents!$D$2:$D$160,"reward_corrected")</f>
        <v>0</v>
      </c>
      <c r="V172" s="6" t="n">
        <f aca="false">SUMIFS(Data_RewardEvents!$F$2:$F$160,Data_RewardEvents!$B$2:$B$160,A172,Data_RewardEvents!$D$2:$D$160,"reward_credited")+SUMIFS(Data_RewardEvents!$F$2:$F$160,Data_RewardEvents!$B$2:$B$160,A172,Data_RewardEvents!$D$2:$D$160,"reward_reversed")+SUMIFS(Data_RewardEvents!$F$2:$F$160,Data_RewardEvents!$B$2:$B$160,A172,Data_RewardEvents!$D$2:$D$160,"reward_corrected")</f>
        <v>0</v>
      </c>
      <c r="W172" s="16" t="str">
        <f aca="false">IF(S172&gt;0,_xlfn.MINIFS(Data_RewardEvents!$E$2:$E$160,Data_RewardEvents!$B$2:$B$160,A172,Data_RewardEvents!$D$2:$D$160,"reward_credited"),"")</f>
        <v/>
      </c>
      <c r="X172" s="17" t="str">
        <f aca="false">IF(W172="","",(W172-J172)*24)</f>
        <v/>
      </c>
      <c r="Y172" s="6" t="n">
        <f aca="false">IF(I172&lt;&gt;"",1,0)</f>
        <v>1</v>
      </c>
      <c r="Z172" s="6" t="n">
        <f aca="false">IF(K172="completed",1,0)</f>
        <v>0</v>
      </c>
      <c r="AA172" s="6" t="n">
        <f aca="false">IF(L172="validated",1,0)</f>
        <v>0</v>
      </c>
      <c r="AB172" s="6" t="n">
        <f aca="false">IF(S172&gt;0,1,0)</f>
        <v>0</v>
      </c>
    </row>
    <row r="173" customFormat="false" ht="15" hidden="false" customHeight="false" outlineLevel="0" collapsed="false">
      <c r="A173" s="6" t="s">
        <v>754</v>
      </c>
      <c r="B173" s="6" t="s">
        <v>365</v>
      </c>
      <c r="C173" s="6" t="s">
        <v>323</v>
      </c>
      <c r="D173" s="6" t="s">
        <v>520</v>
      </c>
      <c r="E173" s="6" t="s">
        <v>367</v>
      </c>
      <c r="F173" s="6" t="s">
        <v>158</v>
      </c>
      <c r="G173" s="6" t="s">
        <v>755</v>
      </c>
      <c r="H173" s="16" t="n">
        <v>46294.3555555556</v>
      </c>
      <c r="I173" s="16" t="n">
        <v>46294.3638888889</v>
      </c>
      <c r="J173" s="16"/>
      <c r="K173" s="6" t="s">
        <v>419</v>
      </c>
      <c r="L173" s="6"/>
      <c r="M173" s="6" t="n">
        <v>30</v>
      </c>
      <c r="N173" s="6" t="str">
        <f aca="false">README!$B$14</f>
        <v>points</v>
      </c>
      <c r="O173" s="6" t="s">
        <v>204</v>
      </c>
      <c r="P173" s="6" t="s">
        <v>207</v>
      </c>
      <c r="Q173" s="17" t="str">
        <f aca="false">IF(AND(I173&lt;&gt;"",J173&lt;&gt;""),(J173-I173)*1440,"")</f>
        <v/>
      </c>
      <c r="R173" s="6" t="n">
        <f aca="false">COUNTIFS(Data_RewardEvents!$B$2:$B$160,A173,Data_RewardEvents!$D$2:$D$160,"reward_pending")</f>
        <v>0</v>
      </c>
      <c r="S173" s="6" t="n">
        <f aca="false">COUNTIFS(Data_RewardEvents!$B$2:$B$160,A173,Data_RewardEvents!$D$2:$D$160,"reward_credited")</f>
        <v>0</v>
      </c>
      <c r="T173" s="6" t="n">
        <f aca="false">COUNTIFS(Data_RewardEvents!$B$2:$B$160,A173,Data_RewardEvents!$D$2:$D$160,"reward_reversed")</f>
        <v>0</v>
      </c>
      <c r="U173" s="6" t="n">
        <f aca="false">COUNTIFS(Data_RewardEvents!$B$2:$B$160,A173,Data_RewardEvents!$D$2:$D$160,"reward_corrected")</f>
        <v>0</v>
      </c>
      <c r="V173" s="6" t="n">
        <f aca="false">SUMIFS(Data_RewardEvents!$F$2:$F$160,Data_RewardEvents!$B$2:$B$160,A173,Data_RewardEvents!$D$2:$D$160,"reward_credited")+SUMIFS(Data_RewardEvents!$F$2:$F$160,Data_RewardEvents!$B$2:$B$160,A173,Data_RewardEvents!$D$2:$D$160,"reward_reversed")+SUMIFS(Data_RewardEvents!$F$2:$F$160,Data_RewardEvents!$B$2:$B$160,A173,Data_RewardEvents!$D$2:$D$160,"reward_corrected")</f>
        <v>0</v>
      </c>
      <c r="W173" s="16" t="str">
        <f aca="false">IF(S173&gt;0,_xlfn.MINIFS(Data_RewardEvents!$E$2:$E$160,Data_RewardEvents!$B$2:$B$160,A173,Data_RewardEvents!$D$2:$D$160,"reward_credited"),"")</f>
        <v/>
      </c>
      <c r="X173" s="17" t="str">
        <f aca="false">IF(W173="","",(W173-J173)*24)</f>
        <v/>
      </c>
      <c r="Y173" s="6" t="n">
        <f aca="false">IF(I173&lt;&gt;"",1,0)</f>
        <v>1</v>
      </c>
      <c r="Z173" s="6" t="n">
        <f aca="false">IF(K173="completed",1,0)</f>
        <v>0</v>
      </c>
      <c r="AA173" s="6" t="n">
        <f aca="false">IF(L173="validated",1,0)</f>
        <v>0</v>
      </c>
      <c r="AB173" s="6" t="n">
        <f aca="false">IF(S173&gt;0,1,0)</f>
        <v>0</v>
      </c>
    </row>
    <row r="174" customFormat="false" ht="15" hidden="false" customHeight="false" outlineLevel="0" collapsed="false">
      <c r="A174" s="6" t="s">
        <v>756</v>
      </c>
      <c r="B174" s="6" t="s">
        <v>376</v>
      </c>
      <c r="C174" s="6" t="s">
        <v>302</v>
      </c>
      <c r="D174" s="6" t="s">
        <v>412</v>
      </c>
      <c r="E174" s="6" t="s">
        <v>387</v>
      </c>
      <c r="F174" s="6" t="s">
        <v>158</v>
      </c>
      <c r="G174" s="6" t="s">
        <v>757</v>
      </c>
      <c r="H174" s="16" t="n">
        <v>46293.3430555556</v>
      </c>
      <c r="I174" s="16" t="n">
        <v>46293.3534722222</v>
      </c>
      <c r="J174" s="16" t="n">
        <v>46293.3542881374</v>
      </c>
      <c r="K174" s="6" t="s">
        <v>132</v>
      </c>
      <c r="L174" s="6" t="s">
        <v>137</v>
      </c>
      <c r="M174" s="6" t="n">
        <v>5</v>
      </c>
      <c r="N174" s="6" t="str">
        <f aca="false">README!$B$14</f>
        <v>points</v>
      </c>
      <c r="O174" s="6"/>
      <c r="P174" s="6"/>
      <c r="Q174" s="17" t="n">
        <f aca="false">IF(AND(I174&lt;&gt;"",J174&lt;&gt;""),(J174-I174)*1440,"")</f>
        <v>1.1749177915</v>
      </c>
      <c r="R174" s="6" t="n">
        <f aca="false">COUNTIFS(Data_RewardEvents!$B$2:$B$160,A174,Data_RewardEvents!$D$2:$D$160,"reward_pending")</f>
        <v>0</v>
      </c>
      <c r="S174" s="6" t="n">
        <f aca="false">COUNTIFS(Data_RewardEvents!$B$2:$B$160,A174,Data_RewardEvents!$D$2:$D$160,"reward_credited")</f>
        <v>1</v>
      </c>
      <c r="T174" s="6" t="n">
        <f aca="false">COUNTIFS(Data_RewardEvents!$B$2:$B$160,A174,Data_RewardEvents!$D$2:$D$160,"reward_reversed")</f>
        <v>0</v>
      </c>
      <c r="U174" s="6" t="n">
        <f aca="false">COUNTIFS(Data_RewardEvents!$B$2:$B$160,A174,Data_RewardEvents!$D$2:$D$160,"reward_corrected")</f>
        <v>0</v>
      </c>
      <c r="V174" s="6" t="n">
        <f aca="false">SUMIFS(Data_RewardEvents!$F$2:$F$160,Data_RewardEvents!$B$2:$B$160,A174,Data_RewardEvents!$D$2:$D$160,"reward_credited")+SUMIFS(Data_RewardEvents!$F$2:$F$160,Data_RewardEvents!$B$2:$B$160,A174,Data_RewardEvents!$D$2:$D$160,"reward_reversed")+SUMIFS(Data_RewardEvents!$F$2:$F$160,Data_RewardEvents!$B$2:$B$160,A174,Data_RewardEvents!$D$2:$D$160,"reward_corrected")</f>
        <v>5</v>
      </c>
      <c r="W174" s="16" t="n">
        <f aca="false">IF(S174&gt;0,_xlfn.MINIFS(Data_RewardEvents!$E$2:$E$160,Data_RewardEvents!$B$2:$B$160,A174,Data_RewardEvents!$D$2:$D$160,"reward_credited"),"")</f>
        <v>46293.3589581815</v>
      </c>
      <c r="X174" s="17" t="n">
        <f aca="false">IF(W174="","",(W174-J174)*24)</f>
        <v>0.112081058788889</v>
      </c>
      <c r="Y174" s="6" t="n">
        <f aca="false">IF(I174&lt;&gt;"",1,0)</f>
        <v>1</v>
      </c>
      <c r="Z174" s="6" t="n">
        <f aca="false">IF(K174="completed",1,0)</f>
        <v>1</v>
      </c>
      <c r="AA174" s="6" t="n">
        <f aca="false">IF(L174="validated",1,0)</f>
        <v>1</v>
      </c>
      <c r="AB174" s="6" t="n">
        <f aca="false">IF(S174&gt;0,1,0)</f>
        <v>1</v>
      </c>
    </row>
    <row r="175" customFormat="false" ht="15" hidden="false" customHeight="false" outlineLevel="0" collapsed="false">
      <c r="A175" s="6" t="s">
        <v>758</v>
      </c>
      <c r="B175" s="6" t="s">
        <v>365</v>
      </c>
      <c r="C175" s="6" t="s">
        <v>323</v>
      </c>
      <c r="D175" s="6" t="s">
        <v>551</v>
      </c>
      <c r="E175" s="6" t="s">
        <v>444</v>
      </c>
      <c r="F175" s="6" t="s">
        <v>158</v>
      </c>
      <c r="G175" s="6" t="s">
        <v>759</v>
      </c>
      <c r="H175" s="16" t="n">
        <v>46290.6506944444</v>
      </c>
      <c r="I175" s="16" t="n">
        <v>46290.6604166667</v>
      </c>
      <c r="J175" s="16" t="n">
        <v>46290.7206027228</v>
      </c>
      <c r="K175" s="6" t="s">
        <v>132</v>
      </c>
      <c r="L175" s="6" t="s">
        <v>137</v>
      </c>
      <c r="M175" s="6" t="n">
        <v>30</v>
      </c>
      <c r="N175" s="6" t="str">
        <f aca="false">README!$B$14</f>
        <v>points</v>
      </c>
      <c r="O175" s="6"/>
      <c r="P175" s="6"/>
      <c r="Q175" s="17" t="n">
        <f aca="false">IF(AND(I175&lt;&gt;"",J175&lt;&gt;""),(J175-I175)*1440,"")</f>
        <v>86.667920826</v>
      </c>
      <c r="R175" s="6" t="n">
        <f aca="false">COUNTIFS(Data_RewardEvents!$B$2:$B$160,A175,Data_RewardEvents!$D$2:$D$160,"reward_pending")</f>
        <v>1</v>
      </c>
      <c r="S175" s="6" t="n">
        <f aca="false">COUNTIFS(Data_RewardEvents!$B$2:$B$160,A175,Data_RewardEvents!$D$2:$D$160,"reward_credited")</f>
        <v>1</v>
      </c>
      <c r="T175" s="6" t="n">
        <f aca="false">COUNTIFS(Data_RewardEvents!$B$2:$B$160,A175,Data_RewardEvents!$D$2:$D$160,"reward_reversed")</f>
        <v>0</v>
      </c>
      <c r="U175" s="6" t="n">
        <f aca="false">COUNTIFS(Data_RewardEvents!$B$2:$B$160,A175,Data_RewardEvents!$D$2:$D$160,"reward_corrected")</f>
        <v>0</v>
      </c>
      <c r="V175" s="6" t="n">
        <f aca="false">SUMIFS(Data_RewardEvents!$F$2:$F$160,Data_RewardEvents!$B$2:$B$160,A175,Data_RewardEvents!$D$2:$D$160,"reward_credited")+SUMIFS(Data_RewardEvents!$F$2:$F$160,Data_RewardEvents!$B$2:$B$160,A175,Data_RewardEvents!$D$2:$D$160,"reward_reversed")+SUMIFS(Data_RewardEvents!$F$2:$F$160,Data_RewardEvents!$B$2:$B$160,A175,Data_RewardEvents!$D$2:$D$160,"reward_corrected")</f>
        <v>30</v>
      </c>
      <c r="W175" s="16" t="n">
        <f aca="false">IF(S175&gt;0,_xlfn.MINIFS(Data_RewardEvents!$E$2:$E$160,Data_RewardEvents!$B$2:$B$160,A175,Data_RewardEvents!$D$2:$D$160,"reward_credited"),"")</f>
        <v>46293.3531445559</v>
      </c>
      <c r="X175" s="17" t="n">
        <f aca="false">IF(W175="","",(W175-J175)*24)</f>
        <v>63.1810039950067</v>
      </c>
      <c r="Y175" s="6" t="n">
        <f aca="false">IF(I175&lt;&gt;"",1,0)</f>
        <v>1</v>
      </c>
      <c r="Z175" s="6" t="n">
        <f aca="false">IF(K175="completed",1,0)</f>
        <v>1</v>
      </c>
      <c r="AA175" s="6" t="n">
        <f aca="false">IF(L175="validated",1,0)</f>
        <v>1</v>
      </c>
      <c r="AB175" s="6" t="n">
        <f aca="false">IF(S175&gt;0,1,0)</f>
        <v>1</v>
      </c>
    </row>
    <row r="176" customFormat="false" ht="15" hidden="false" customHeight="false" outlineLevel="0" collapsed="false">
      <c r="A176" s="6" t="s">
        <v>760</v>
      </c>
      <c r="B176" s="6" t="s">
        <v>376</v>
      </c>
      <c r="C176" s="6" t="s">
        <v>302</v>
      </c>
      <c r="D176" s="6" t="s">
        <v>761</v>
      </c>
      <c r="E176" s="6" t="s">
        <v>378</v>
      </c>
      <c r="F176" s="6" t="s">
        <v>158</v>
      </c>
      <c r="G176" s="6" t="s">
        <v>762</v>
      </c>
      <c r="H176" s="16" t="n">
        <v>46302.1395833333</v>
      </c>
      <c r="I176" s="16" t="n">
        <v>46302.14375</v>
      </c>
      <c r="J176" s="16" t="n">
        <v>46302.144574439</v>
      </c>
      <c r="K176" s="6" t="s">
        <v>132</v>
      </c>
      <c r="L176" s="6" t="s">
        <v>137</v>
      </c>
      <c r="M176" s="6" t="n">
        <v>5</v>
      </c>
      <c r="N176" s="6" t="str">
        <f aca="false">README!$B$14</f>
        <v>points</v>
      </c>
      <c r="O176" s="6"/>
      <c r="P176" s="6"/>
      <c r="Q176" s="17" t="n">
        <f aca="false">IF(AND(I176&lt;&gt;"",J176&lt;&gt;""),(J176-I176)*1440,"")</f>
        <v>1.18719216668333</v>
      </c>
      <c r="R176" s="6" t="n">
        <f aca="false">COUNTIFS(Data_RewardEvents!$B$2:$B$160,A176,Data_RewardEvents!$D$2:$D$160,"reward_pending")</f>
        <v>0</v>
      </c>
      <c r="S176" s="6" t="n">
        <f aca="false">COUNTIFS(Data_RewardEvents!$B$2:$B$160,A176,Data_RewardEvents!$D$2:$D$160,"reward_credited")</f>
        <v>1</v>
      </c>
      <c r="T176" s="6" t="n">
        <f aca="false">COUNTIFS(Data_RewardEvents!$B$2:$B$160,A176,Data_RewardEvents!$D$2:$D$160,"reward_reversed")</f>
        <v>0</v>
      </c>
      <c r="U176" s="6" t="n">
        <f aca="false">COUNTIFS(Data_RewardEvents!$B$2:$B$160,A176,Data_RewardEvents!$D$2:$D$160,"reward_corrected")</f>
        <v>0</v>
      </c>
      <c r="V176" s="6" t="n">
        <f aca="false">SUMIFS(Data_RewardEvents!$F$2:$F$160,Data_RewardEvents!$B$2:$B$160,A176,Data_RewardEvents!$D$2:$D$160,"reward_credited")+SUMIFS(Data_RewardEvents!$F$2:$F$160,Data_RewardEvents!$B$2:$B$160,A176,Data_RewardEvents!$D$2:$D$160,"reward_reversed")+SUMIFS(Data_RewardEvents!$F$2:$F$160,Data_RewardEvents!$B$2:$B$160,A176,Data_RewardEvents!$D$2:$D$160,"reward_corrected")</f>
        <v>5</v>
      </c>
      <c r="W176" s="16" t="n">
        <f aca="false">IF(S176&gt;0,_xlfn.MINIFS(Data_RewardEvents!$E$2:$E$160,Data_RewardEvents!$B$2:$B$160,A176,Data_RewardEvents!$D$2:$D$160,"reward_credited"),"")</f>
        <v>46302.1461201063</v>
      </c>
      <c r="X176" s="17" t="n">
        <f aca="false">IF(W176="","",(W176-J176)*24)</f>
        <v>0.0370960144791667</v>
      </c>
      <c r="Y176" s="6" t="n">
        <f aca="false">IF(I176&lt;&gt;"",1,0)</f>
        <v>1</v>
      </c>
      <c r="Z176" s="6" t="n">
        <f aca="false">IF(K176="completed",1,0)</f>
        <v>1</v>
      </c>
      <c r="AA176" s="6" t="n">
        <f aca="false">IF(L176="validated",1,0)</f>
        <v>1</v>
      </c>
      <c r="AB176" s="6" t="n">
        <f aca="false">IF(S176&gt;0,1,0)</f>
        <v>1</v>
      </c>
    </row>
    <row r="177" customFormat="false" ht="15" hidden="false" customHeight="false" outlineLevel="0" collapsed="false">
      <c r="A177" s="6" t="s">
        <v>763</v>
      </c>
      <c r="B177" s="6" t="s">
        <v>376</v>
      </c>
      <c r="C177" s="6" t="s">
        <v>302</v>
      </c>
      <c r="D177" s="6" t="s">
        <v>397</v>
      </c>
      <c r="E177" s="6" t="s">
        <v>387</v>
      </c>
      <c r="F177" s="6" t="s">
        <v>158</v>
      </c>
      <c r="G177" s="6" t="s">
        <v>764</v>
      </c>
      <c r="H177" s="16" t="n">
        <v>46302.8694444444</v>
      </c>
      <c r="I177" s="16" t="n">
        <v>46302.8854166667</v>
      </c>
      <c r="J177" s="16" t="n">
        <v>46302.8857894671</v>
      </c>
      <c r="K177" s="6" t="s">
        <v>132</v>
      </c>
      <c r="L177" s="6" t="s">
        <v>137</v>
      </c>
      <c r="M177" s="6" t="n">
        <v>5</v>
      </c>
      <c r="N177" s="6" t="str">
        <f aca="false">README!$B$14</f>
        <v>points</v>
      </c>
      <c r="O177" s="6"/>
      <c r="P177" s="6"/>
      <c r="Q177" s="17" t="n">
        <f aca="false">IF(AND(I177&lt;&gt;"",J177&lt;&gt;""),(J177-I177)*1440,"")</f>
        <v>0.536832651116667</v>
      </c>
      <c r="R177" s="6" t="n">
        <f aca="false">COUNTIFS(Data_RewardEvents!$B$2:$B$160,A177,Data_RewardEvents!$D$2:$D$160,"reward_pending")</f>
        <v>0</v>
      </c>
      <c r="S177" s="6" t="n">
        <f aca="false">COUNTIFS(Data_RewardEvents!$B$2:$B$160,A177,Data_RewardEvents!$D$2:$D$160,"reward_credited")</f>
        <v>1</v>
      </c>
      <c r="T177" s="6" t="n">
        <f aca="false">COUNTIFS(Data_RewardEvents!$B$2:$B$160,A177,Data_RewardEvents!$D$2:$D$160,"reward_reversed")</f>
        <v>0</v>
      </c>
      <c r="U177" s="6" t="n">
        <f aca="false">COUNTIFS(Data_RewardEvents!$B$2:$B$160,A177,Data_RewardEvents!$D$2:$D$160,"reward_corrected")</f>
        <v>0</v>
      </c>
      <c r="V177" s="6" t="n">
        <f aca="false">SUMIFS(Data_RewardEvents!$F$2:$F$160,Data_RewardEvents!$B$2:$B$160,A177,Data_RewardEvents!$D$2:$D$160,"reward_credited")+SUMIFS(Data_RewardEvents!$F$2:$F$160,Data_RewardEvents!$B$2:$B$160,A177,Data_RewardEvents!$D$2:$D$160,"reward_reversed")+SUMIFS(Data_RewardEvents!$F$2:$F$160,Data_RewardEvents!$B$2:$B$160,A177,Data_RewardEvents!$D$2:$D$160,"reward_corrected")</f>
        <v>5</v>
      </c>
      <c r="W177" s="16" t="n">
        <f aca="false">IF(S177&gt;0,_xlfn.MINIFS(Data_RewardEvents!$E$2:$E$160,Data_RewardEvents!$B$2:$B$160,A177,Data_RewardEvents!$D$2:$D$160,"reward_credited"),"")</f>
        <v>46302.8883667444</v>
      </c>
      <c r="X177" s="17" t="n">
        <f aca="false">IF(W177="","",(W177-J177)*24)</f>
        <v>0.0618546543408333</v>
      </c>
      <c r="Y177" s="6" t="n">
        <f aca="false">IF(I177&lt;&gt;"",1,0)</f>
        <v>1</v>
      </c>
      <c r="Z177" s="6" t="n">
        <f aca="false">IF(K177="completed",1,0)</f>
        <v>1</v>
      </c>
      <c r="AA177" s="6" t="n">
        <f aca="false">IF(L177="validated",1,0)</f>
        <v>1</v>
      </c>
      <c r="AB177" s="6" t="n">
        <f aca="false">IF(S177&gt;0,1,0)</f>
        <v>1</v>
      </c>
    </row>
    <row r="178" customFormat="false" ht="15" hidden="false" customHeight="false" outlineLevel="0" collapsed="false">
      <c r="A178" s="6" t="s">
        <v>765</v>
      </c>
      <c r="B178" s="6" t="s">
        <v>381</v>
      </c>
      <c r="C178" s="6" t="s">
        <v>309</v>
      </c>
      <c r="D178" s="6" t="s">
        <v>113</v>
      </c>
      <c r="E178" s="6" t="s">
        <v>383</v>
      </c>
      <c r="F178" s="6" t="s">
        <v>158</v>
      </c>
      <c r="G178" s="6" t="s">
        <v>766</v>
      </c>
      <c r="H178" s="16" t="n">
        <v>46285.76875</v>
      </c>
      <c r="I178" s="16" t="n">
        <v>46285.78125</v>
      </c>
      <c r="J178" s="16" t="n">
        <v>46285.7909818967</v>
      </c>
      <c r="K178" s="6" t="s">
        <v>132</v>
      </c>
      <c r="L178" s="6" t="s">
        <v>137</v>
      </c>
      <c r="M178" s="6" t="n">
        <v>50</v>
      </c>
      <c r="N178" s="6" t="str">
        <f aca="false">README!$B$14</f>
        <v>points</v>
      </c>
      <c r="O178" s="6" t="s">
        <v>216</v>
      </c>
      <c r="P178" s="6" t="s">
        <v>98</v>
      </c>
      <c r="Q178" s="17" t="n">
        <f aca="false">IF(AND(I178&lt;&gt;"",J178&lt;&gt;""),(J178-I178)*1440,"")</f>
        <v>14.01393130305</v>
      </c>
      <c r="R178" s="6" t="n">
        <f aca="false">COUNTIFS(Data_RewardEvents!$B$2:$B$160,A178,Data_RewardEvents!$D$2:$D$160,"reward_pending")</f>
        <v>1</v>
      </c>
      <c r="S178" s="6" t="n">
        <f aca="false">COUNTIFS(Data_RewardEvents!$B$2:$B$160,A178,Data_RewardEvents!$D$2:$D$160,"reward_credited")</f>
        <v>0</v>
      </c>
      <c r="T178" s="6" t="n">
        <f aca="false">COUNTIFS(Data_RewardEvents!$B$2:$B$160,A178,Data_RewardEvents!$D$2:$D$160,"reward_reversed")</f>
        <v>0</v>
      </c>
      <c r="U178" s="6" t="n">
        <f aca="false">COUNTIFS(Data_RewardEvents!$B$2:$B$160,A178,Data_RewardEvents!$D$2:$D$160,"reward_corrected")</f>
        <v>0</v>
      </c>
      <c r="V178" s="6" t="n">
        <f aca="false">SUMIFS(Data_RewardEvents!$F$2:$F$160,Data_RewardEvents!$B$2:$B$160,A178,Data_RewardEvents!$D$2:$D$160,"reward_credited")+SUMIFS(Data_RewardEvents!$F$2:$F$160,Data_RewardEvents!$B$2:$B$160,A178,Data_RewardEvents!$D$2:$D$160,"reward_reversed")+SUMIFS(Data_RewardEvents!$F$2:$F$160,Data_RewardEvents!$B$2:$B$160,A178,Data_RewardEvents!$D$2:$D$160,"reward_corrected")</f>
        <v>0</v>
      </c>
      <c r="W178" s="16" t="str">
        <f aca="false">IF(S178&gt;0,_xlfn.MINIFS(Data_RewardEvents!$E$2:$E$160,Data_RewardEvents!$B$2:$B$160,A178,Data_RewardEvents!$D$2:$D$160,"reward_credited"),"")</f>
        <v/>
      </c>
      <c r="X178" s="17" t="str">
        <f aca="false">IF(W178="","",(W178-J178)*24)</f>
        <v/>
      </c>
      <c r="Y178" s="6" t="n">
        <f aca="false">IF(I178&lt;&gt;"",1,0)</f>
        <v>1</v>
      </c>
      <c r="Z178" s="6" t="n">
        <f aca="false">IF(K178="completed",1,0)</f>
        <v>1</v>
      </c>
      <c r="AA178" s="6" t="n">
        <f aca="false">IF(L178="validated",1,0)</f>
        <v>1</v>
      </c>
      <c r="AB178" s="6" t="n">
        <f aca="false">IF(S178&gt;0,1,0)</f>
        <v>0</v>
      </c>
    </row>
    <row r="179" customFormat="false" ht="15" hidden="false" customHeight="false" outlineLevel="0" collapsed="false">
      <c r="A179" s="6" t="s">
        <v>767</v>
      </c>
      <c r="B179" s="6" t="s">
        <v>370</v>
      </c>
      <c r="C179" s="6" t="s">
        <v>316</v>
      </c>
      <c r="D179" s="6" t="s">
        <v>593</v>
      </c>
      <c r="E179" s="6" t="s">
        <v>391</v>
      </c>
      <c r="F179" s="6" t="s">
        <v>158</v>
      </c>
      <c r="G179" s="6" t="s">
        <v>768</v>
      </c>
      <c r="H179" s="16" t="n">
        <v>46289.8166666667</v>
      </c>
      <c r="I179" s="16" t="n">
        <v>46289.8208333333</v>
      </c>
      <c r="J179" s="16" t="n">
        <v>46290.1317180711</v>
      </c>
      <c r="K179" s="6" t="s">
        <v>132</v>
      </c>
      <c r="L179" s="6" t="s">
        <v>277</v>
      </c>
      <c r="M179" s="6" t="n">
        <v>100</v>
      </c>
      <c r="N179" s="6" t="str">
        <f aca="false">README!$B$14</f>
        <v>points</v>
      </c>
      <c r="O179" s="6"/>
      <c r="P179" s="6"/>
      <c r="Q179" s="17" t="n">
        <f aca="false">IF(AND(I179&lt;&gt;"",J179&lt;&gt;""),(J179-I179)*1440,"")</f>
        <v>447.6740223728</v>
      </c>
      <c r="R179" s="6" t="n">
        <f aca="false">COUNTIFS(Data_RewardEvents!$B$2:$B$160,A179,Data_RewardEvents!$D$2:$D$160,"reward_pending")</f>
        <v>1</v>
      </c>
      <c r="S179" s="6" t="n">
        <f aca="false">COUNTIFS(Data_RewardEvents!$B$2:$B$160,A179,Data_RewardEvents!$D$2:$D$160,"reward_credited")</f>
        <v>0</v>
      </c>
      <c r="T179" s="6" t="n">
        <f aca="false">COUNTIFS(Data_RewardEvents!$B$2:$B$160,A179,Data_RewardEvents!$D$2:$D$160,"reward_reversed")</f>
        <v>0</v>
      </c>
      <c r="U179" s="6" t="n">
        <f aca="false">COUNTIFS(Data_RewardEvents!$B$2:$B$160,A179,Data_RewardEvents!$D$2:$D$160,"reward_corrected")</f>
        <v>0</v>
      </c>
      <c r="V179" s="6" t="n">
        <f aca="false">SUMIFS(Data_RewardEvents!$F$2:$F$160,Data_RewardEvents!$B$2:$B$160,A179,Data_RewardEvents!$D$2:$D$160,"reward_credited")+SUMIFS(Data_RewardEvents!$F$2:$F$160,Data_RewardEvents!$B$2:$B$160,A179,Data_RewardEvents!$D$2:$D$160,"reward_reversed")+SUMIFS(Data_RewardEvents!$F$2:$F$160,Data_RewardEvents!$B$2:$B$160,A179,Data_RewardEvents!$D$2:$D$160,"reward_corrected")</f>
        <v>0</v>
      </c>
      <c r="W179" s="16" t="str">
        <f aca="false">IF(S179&gt;0,_xlfn.MINIFS(Data_RewardEvents!$E$2:$E$160,Data_RewardEvents!$B$2:$B$160,A179,Data_RewardEvents!$D$2:$D$160,"reward_credited"),"")</f>
        <v/>
      </c>
      <c r="X179" s="17" t="str">
        <f aca="false">IF(W179="","",(W179-J179)*24)</f>
        <v/>
      </c>
      <c r="Y179" s="6" t="n">
        <f aca="false">IF(I179&lt;&gt;"",1,0)</f>
        <v>1</v>
      </c>
      <c r="Z179" s="6" t="n">
        <f aca="false">IF(K179="completed",1,0)</f>
        <v>1</v>
      </c>
      <c r="AA179" s="6" t="n">
        <f aca="false">IF(L179="validated",1,0)</f>
        <v>0</v>
      </c>
      <c r="AB179" s="6" t="n">
        <f aca="false">IF(S179&gt;0,1,0)</f>
        <v>0</v>
      </c>
    </row>
    <row r="180" customFormat="false" ht="15" hidden="false" customHeight="false" outlineLevel="0" collapsed="false">
      <c r="A180" s="6" t="s">
        <v>769</v>
      </c>
      <c r="B180" s="6" t="s">
        <v>403</v>
      </c>
      <c r="C180" s="6" t="s">
        <v>404</v>
      </c>
      <c r="D180" s="6" t="s">
        <v>113</v>
      </c>
      <c r="E180" s="6" t="s">
        <v>98</v>
      </c>
      <c r="F180" s="6" t="s">
        <v>406</v>
      </c>
      <c r="G180" s="6"/>
      <c r="H180" s="16" t="n">
        <v>46290.2833333333</v>
      </c>
      <c r="I180" s="16" t="n">
        <v>46290.3006944444</v>
      </c>
      <c r="J180" s="16" t="n">
        <v>46290.3030109807</v>
      </c>
      <c r="K180" s="6" t="s">
        <v>132</v>
      </c>
      <c r="L180" s="6" t="s">
        <v>137</v>
      </c>
      <c r="M180" s="6" t="n">
        <v>10</v>
      </c>
      <c r="N180" s="6" t="str">
        <f aca="false">README!$B$14</f>
        <v>points</v>
      </c>
      <c r="O180" s="6"/>
      <c r="P180" s="6"/>
      <c r="Q180" s="17" t="n">
        <f aca="false">IF(AND(I180&lt;&gt;"",J180&lt;&gt;""),(J180-I180)*1440,"")</f>
        <v>3.33581213838333</v>
      </c>
      <c r="R180" s="6" t="n">
        <f aca="false">COUNTIFS(Data_RewardEvents!$B$2:$B$160,A180,Data_RewardEvents!$D$2:$D$160,"reward_pending")</f>
        <v>0</v>
      </c>
      <c r="S180" s="6" t="n">
        <f aca="false">COUNTIFS(Data_RewardEvents!$B$2:$B$160,A180,Data_RewardEvents!$D$2:$D$160,"reward_credited")</f>
        <v>1</v>
      </c>
      <c r="T180" s="6" t="n">
        <f aca="false">COUNTIFS(Data_RewardEvents!$B$2:$B$160,A180,Data_RewardEvents!$D$2:$D$160,"reward_reversed")</f>
        <v>0</v>
      </c>
      <c r="U180" s="6" t="n">
        <f aca="false">COUNTIFS(Data_RewardEvents!$B$2:$B$160,A180,Data_RewardEvents!$D$2:$D$160,"reward_corrected")</f>
        <v>0</v>
      </c>
      <c r="V180" s="6" t="n">
        <f aca="false">SUMIFS(Data_RewardEvents!$F$2:$F$160,Data_RewardEvents!$B$2:$B$160,A180,Data_RewardEvents!$D$2:$D$160,"reward_credited")+SUMIFS(Data_RewardEvents!$F$2:$F$160,Data_RewardEvents!$B$2:$B$160,A180,Data_RewardEvents!$D$2:$D$160,"reward_reversed")+SUMIFS(Data_RewardEvents!$F$2:$F$160,Data_RewardEvents!$B$2:$B$160,A180,Data_RewardEvents!$D$2:$D$160,"reward_corrected")</f>
        <v>10</v>
      </c>
      <c r="W180" s="16" t="n">
        <f aca="false">IF(S180&gt;0,_xlfn.MINIFS(Data_RewardEvents!$E$2:$E$160,Data_RewardEvents!$B$2:$B$160,A180,Data_RewardEvents!$D$2:$D$160,"reward_credited"),"")</f>
        <v>46290.3056300513</v>
      </c>
      <c r="X180" s="17" t="n">
        <f aca="false">IF(W180="","",(W180-J180)*24)</f>
        <v>0.0628576955638889</v>
      </c>
      <c r="Y180" s="6" t="n">
        <f aca="false">IF(I180&lt;&gt;"",1,0)</f>
        <v>1</v>
      </c>
      <c r="Z180" s="6" t="n">
        <f aca="false">IF(K180="completed",1,0)</f>
        <v>1</v>
      </c>
      <c r="AA180" s="6" t="n">
        <f aca="false">IF(L180="validated",1,0)</f>
        <v>1</v>
      </c>
      <c r="AB180" s="6" t="n">
        <f aca="false">IF(S180&gt;0,1,0)</f>
        <v>1</v>
      </c>
    </row>
    <row r="181" customFormat="false" ht="15" hidden="false" customHeight="false" outlineLevel="0" collapsed="false">
      <c r="A181" s="6" t="s">
        <v>770</v>
      </c>
      <c r="B181" s="6" t="s">
        <v>376</v>
      </c>
      <c r="C181" s="6" t="s">
        <v>302</v>
      </c>
      <c r="D181" s="6" t="s">
        <v>502</v>
      </c>
      <c r="E181" s="6" t="s">
        <v>378</v>
      </c>
      <c r="F181" s="6" t="s">
        <v>158</v>
      </c>
      <c r="G181" s="6" t="s">
        <v>771</v>
      </c>
      <c r="H181" s="16" t="n">
        <v>46299.3659722222</v>
      </c>
      <c r="I181" s="16" t="n">
        <v>46299.3666666667</v>
      </c>
      <c r="J181" s="16" t="n">
        <v>46299.367135399</v>
      </c>
      <c r="K181" s="6" t="s">
        <v>132</v>
      </c>
      <c r="L181" s="6" t="s">
        <v>137</v>
      </c>
      <c r="M181" s="6" t="n">
        <v>5</v>
      </c>
      <c r="N181" s="6" t="str">
        <f aca="false">README!$B$14</f>
        <v>points</v>
      </c>
      <c r="O181" s="6"/>
      <c r="P181" s="6"/>
      <c r="Q181" s="17" t="n">
        <f aca="false">IF(AND(I181&lt;&gt;"",J181&lt;&gt;""),(J181-I181)*1440,"")</f>
        <v>0.674974598216667</v>
      </c>
      <c r="R181" s="6" t="n">
        <f aca="false">COUNTIFS(Data_RewardEvents!$B$2:$B$160,A181,Data_RewardEvents!$D$2:$D$160,"reward_pending")</f>
        <v>0</v>
      </c>
      <c r="S181" s="6" t="n">
        <f aca="false">COUNTIFS(Data_RewardEvents!$B$2:$B$160,A181,Data_RewardEvents!$D$2:$D$160,"reward_credited")</f>
        <v>1</v>
      </c>
      <c r="T181" s="6" t="n">
        <f aca="false">COUNTIFS(Data_RewardEvents!$B$2:$B$160,A181,Data_RewardEvents!$D$2:$D$160,"reward_reversed")</f>
        <v>0</v>
      </c>
      <c r="U181" s="6" t="n">
        <f aca="false">COUNTIFS(Data_RewardEvents!$B$2:$B$160,A181,Data_RewardEvents!$D$2:$D$160,"reward_corrected")</f>
        <v>0</v>
      </c>
      <c r="V181" s="6" t="n">
        <f aca="false">SUMIFS(Data_RewardEvents!$F$2:$F$160,Data_RewardEvents!$B$2:$B$160,A181,Data_RewardEvents!$D$2:$D$160,"reward_credited")+SUMIFS(Data_RewardEvents!$F$2:$F$160,Data_RewardEvents!$B$2:$B$160,A181,Data_RewardEvents!$D$2:$D$160,"reward_reversed")+SUMIFS(Data_RewardEvents!$F$2:$F$160,Data_RewardEvents!$B$2:$B$160,A181,Data_RewardEvents!$D$2:$D$160,"reward_corrected")</f>
        <v>5</v>
      </c>
      <c r="W181" s="16" t="n">
        <f aca="false">IF(S181&gt;0,_xlfn.MINIFS(Data_RewardEvents!$E$2:$E$160,Data_RewardEvents!$B$2:$B$160,A181,Data_RewardEvents!$D$2:$D$160,"reward_credited"),"")</f>
        <v>46299.3696338814</v>
      </c>
      <c r="X181" s="17" t="n">
        <f aca="false">IF(W181="","",(W181-J181)*24)</f>
        <v>0.0599635757969444</v>
      </c>
      <c r="Y181" s="6" t="n">
        <f aca="false">IF(I181&lt;&gt;"",1,0)</f>
        <v>1</v>
      </c>
      <c r="Z181" s="6" t="n">
        <f aca="false">IF(K181="completed",1,0)</f>
        <v>1</v>
      </c>
      <c r="AA181" s="6" t="n">
        <f aca="false">IF(L181="validated",1,0)</f>
        <v>1</v>
      </c>
      <c r="AB181" s="6" t="n">
        <f aca="false">IF(S181&gt;0,1,0)</f>
        <v>1</v>
      </c>
    </row>
    <row r="182" customFormat="false" ht="15" hidden="false" customHeight="false" outlineLevel="0" collapsed="false">
      <c r="A182" s="6" t="s">
        <v>772</v>
      </c>
      <c r="B182" s="6" t="s">
        <v>376</v>
      </c>
      <c r="C182" s="6" t="s">
        <v>302</v>
      </c>
      <c r="D182" s="6" t="s">
        <v>517</v>
      </c>
      <c r="E182" s="6" t="s">
        <v>378</v>
      </c>
      <c r="F182" s="6" t="s">
        <v>158</v>
      </c>
      <c r="G182" s="6" t="s">
        <v>773</v>
      </c>
      <c r="H182" s="16" t="n">
        <v>46301.6006944445</v>
      </c>
      <c r="I182" s="16" t="n">
        <v>46301.6180555556</v>
      </c>
      <c r="J182" s="16" t="n">
        <v>46301.6186763001</v>
      </c>
      <c r="K182" s="6" t="s">
        <v>132</v>
      </c>
      <c r="L182" s="6" t="s">
        <v>137</v>
      </c>
      <c r="M182" s="6" t="n">
        <v>5</v>
      </c>
      <c r="N182" s="6" t="str">
        <f aca="false">README!$B$14</f>
        <v>points</v>
      </c>
      <c r="O182" s="6"/>
      <c r="P182" s="6"/>
      <c r="Q182" s="17" t="n">
        <f aca="false">IF(AND(I182&lt;&gt;"",J182&lt;&gt;""),(J182-I182)*1440,"")</f>
        <v>0.8938720962</v>
      </c>
      <c r="R182" s="6" t="n">
        <f aca="false">COUNTIFS(Data_RewardEvents!$B$2:$B$160,A182,Data_RewardEvents!$D$2:$D$160,"reward_pending")</f>
        <v>0</v>
      </c>
      <c r="S182" s="6" t="n">
        <f aca="false">COUNTIFS(Data_RewardEvents!$B$2:$B$160,A182,Data_RewardEvents!$D$2:$D$160,"reward_credited")</f>
        <v>1</v>
      </c>
      <c r="T182" s="6" t="n">
        <f aca="false">COUNTIFS(Data_RewardEvents!$B$2:$B$160,A182,Data_RewardEvents!$D$2:$D$160,"reward_reversed")</f>
        <v>0</v>
      </c>
      <c r="U182" s="6" t="n">
        <f aca="false">COUNTIFS(Data_RewardEvents!$B$2:$B$160,A182,Data_RewardEvents!$D$2:$D$160,"reward_corrected")</f>
        <v>0</v>
      </c>
      <c r="V182" s="6" t="n">
        <f aca="false">SUMIFS(Data_RewardEvents!$F$2:$F$160,Data_RewardEvents!$B$2:$B$160,A182,Data_RewardEvents!$D$2:$D$160,"reward_credited")+SUMIFS(Data_RewardEvents!$F$2:$F$160,Data_RewardEvents!$B$2:$B$160,A182,Data_RewardEvents!$D$2:$D$160,"reward_reversed")+SUMIFS(Data_RewardEvents!$F$2:$F$160,Data_RewardEvents!$B$2:$B$160,A182,Data_RewardEvents!$D$2:$D$160,"reward_corrected")</f>
        <v>5</v>
      </c>
      <c r="W182" s="16" t="n">
        <f aca="false">IF(S182&gt;0,_xlfn.MINIFS(Data_RewardEvents!$E$2:$E$160,Data_RewardEvents!$B$2:$B$160,A182,Data_RewardEvents!$D$2:$D$160,"reward_credited"),"")</f>
        <v>46301.6246111308</v>
      </c>
      <c r="X182" s="17" t="n">
        <f aca="false">IF(W182="","",(W182-J182)*24)</f>
        <v>0.1424359368975</v>
      </c>
      <c r="Y182" s="6" t="n">
        <f aca="false">IF(I182&lt;&gt;"",1,0)</f>
        <v>1</v>
      </c>
      <c r="Z182" s="6" t="n">
        <f aca="false">IF(K182="completed",1,0)</f>
        <v>1</v>
      </c>
      <c r="AA182" s="6" t="n">
        <f aca="false">IF(L182="validated",1,0)</f>
        <v>1</v>
      </c>
      <c r="AB182" s="6" t="n">
        <f aca="false">IF(S182&gt;0,1,0)</f>
        <v>1</v>
      </c>
    </row>
    <row r="183" customFormat="false" ht="15" hidden="false" customHeight="false" outlineLevel="0" collapsed="false">
      <c r="A183" s="6" t="s">
        <v>774</v>
      </c>
      <c r="B183" s="6" t="s">
        <v>376</v>
      </c>
      <c r="C183" s="6" t="s">
        <v>302</v>
      </c>
      <c r="D183" s="6" t="s">
        <v>713</v>
      </c>
      <c r="E183" s="6" t="s">
        <v>378</v>
      </c>
      <c r="F183" s="6" t="s">
        <v>158</v>
      </c>
      <c r="G183" s="6" t="s">
        <v>775</v>
      </c>
      <c r="H183" s="16" t="n">
        <v>46303.8041666667</v>
      </c>
      <c r="I183" s="16"/>
      <c r="J183" s="16"/>
      <c r="K183" s="6" t="s">
        <v>374</v>
      </c>
      <c r="L183" s="6"/>
      <c r="M183" s="6" t="n">
        <v>5</v>
      </c>
      <c r="N183" s="6" t="str">
        <f aca="false">README!$B$14</f>
        <v>points</v>
      </c>
      <c r="O183" s="6"/>
      <c r="P183" s="6"/>
      <c r="Q183" s="17" t="str">
        <f aca="false">IF(AND(I183&lt;&gt;"",J183&lt;&gt;""),(J183-I183)*1440,"")</f>
        <v/>
      </c>
      <c r="R183" s="6" t="n">
        <f aca="false">COUNTIFS(Data_RewardEvents!$B$2:$B$160,A183,Data_RewardEvents!$D$2:$D$160,"reward_pending")</f>
        <v>0</v>
      </c>
      <c r="S183" s="6" t="n">
        <f aca="false">COUNTIFS(Data_RewardEvents!$B$2:$B$160,A183,Data_RewardEvents!$D$2:$D$160,"reward_credited")</f>
        <v>0</v>
      </c>
      <c r="T183" s="6" t="n">
        <f aca="false">COUNTIFS(Data_RewardEvents!$B$2:$B$160,A183,Data_RewardEvents!$D$2:$D$160,"reward_reversed")</f>
        <v>0</v>
      </c>
      <c r="U183" s="6" t="n">
        <f aca="false">COUNTIFS(Data_RewardEvents!$B$2:$B$160,A183,Data_RewardEvents!$D$2:$D$160,"reward_corrected")</f>
        <v>0</v>
      </c>
      <c r="V183" s="6" t="n">
        <f aca="false">SUMIFS(Data_RewardEvents!$F$2:$F$160,Data_RewardEvents!$B$2:$B$160,A183,Data_RewardEvents!$D$2:$D$160,"reward_credited")+SUMIFS(Data_RewardEvents!$F$2:$F$160,Data_RewardEvents!$B$2:$B$160,A183,Data_RewardEvents!$D$2:$D$160,"reward_reversed")+SUMIFS(Data_RewardEvents!$F$2:$F$160,Data_RewardEvents!$B$2:$B$160,A183,Data_RewardEvents!$D$2:$D$160,"reward_corrected")</f>
        <v>0</v>
      </c>
      <c r="W183" s="16" t="str">
        <f aca="false">IF(S183&gt;0,_xlfn.MINIFS(Data_RewardEvents!$E$2:$E$160,Data_RewardEvents!$B$2:$B$160,A183,Data_RewardEvents!$D$2:$D$160,"reward_credited"),"")</f>
        <v/>
      </c>
      <c r="X183" s="17" t="str">
        <f aca="false">IF(W183="","",(W183-J183)*24)</f>
        <v/>
      </c>
      <c r="Y183" s="6" t="n">
        <f aca="false">IF(I183&lt;&gt;"",1,0)</f>
        <v>0</v>
      </c>
      <c r="Z183" s="6" t="n">
        <f aca="false">IF(K183="completed",1,0)</f>
        <v>0</v>
      </c>
      <c r="AA183" s="6" t="n">
        <f aca="false">IF(L183="validated",1,0)</f>
        <v>0</v>
      </c>
      <c r="AB183" s="6" t="n">
        <f aca="false">IF(S183&gt;0,1,0)</f>
        <v>0</v>
      </c>
    </row>
    <row r="184" customFormat="false" ht="15" hidden="false" customHeight="false" outlineLevel="0" collapsed="false">
      <c r="A184" s="6" t="s">
        <v>776</v>
      </c>
      <c r="B184" s="6" t="s">
        <v>403</v>
      </c>
      <c r="C184" s="6" t="s">
        <v>404</v>
      </c>
      <c r="D184" s="6" t="s">
        <v>447</v>
      </c>
      <c r="E184" s="6" t="s">
        <v>98</v>
      </c>
      <c r="F184" s="6" t="s">
        <v>406</v>
      </c>
      <c r="G184" s="6"/>
      <c r="H184" s="16" t="n">
        <v>46300.5256944444</v>
      </c>
      <c r="I184" s="16" t="n">
        <v>46300.5395833333</v>
      </c>
      <c r="J184" s="16" t="n">
        <v>46300.5411594507</v>
      </c>
      <c r="K184" s="6" t="s">
        <v>132</v>
      </c>
      <c r="L184" s="6" t="s">
        <v>137</v>
      </c>
      <c r="M184" s="6" t="n">
        <v>10</v>
      </c>
      <c r="N184" s="6" t="str">
        <f aca="false">README!$B$14</f>
        <v>points</v>
      </c>
      <c r="O184" s="6"/>
      <c r="P184" s="6"/>
      <c r="Q184" s="17" t="n">
        <f aca="false">IF(AND(I184&lt;&gt;"",J184&lt;&gt;""),(J184-I184)*1440,"")</f>
        <v>2.2696090245</v>
      </c>
      <c r="R184" s="6" t="n">
        <f aca="false">COUNTIFS(Data_RewardEvents!$B$2:$B$160,A184,Data_RewardEvents!$D$2:$D$160,"reward_pending")</f>
        <v>0</v>
      </c>
      <c r="S184" s="6" t="n">
        <f aca="false">COUNTIFS(Data_RewardEvents!$B$2:$B$160,A184,Data_RewardEvents!$D$2:$D$160,"reward_credited")</f>
        <v>1</v>
      </c>
      <c r="T184" s="6" t="n">
        <f aca="false">COUNTIFS(Data_RewardEvents!$B$2:$B$160,A184,Data_RewardEvents!$D$2:$D$160,"reward_reversed")</f>
        <v>0</v>
      </c>
      <c r="U184" s="6" t="n">
        <f aca="false">COUNTIFS(Data_RewardEvents!$B$2:$B$160,A184,Data_RewardEvents!$D$2:$D$160,"reward_corrected")</f>
        <v>0</v>
      </c>
      <c r="V184" s="6" t="n">
        <f aca="false">SUMIFS(Data_RewardEvents!$F$2:$F$160,Data_RewardEvents!$B$2:$B$160,A184,Data_RewardEvents!$D$2:$D$160,"reward_credited")+SUMIFS(Data_RewardEvents!$F$2:$F$160,Data_RewardEvents!$B$2:$B$160,A184,Data_RewardEvents!$D$2:$D$160,"reward_reversed")+SUMIFS(Data_RewardEvents!$F$2:$F$160,Data_RewardEvents!$B$2:$B$160,A184,Data_RewardEvents!$D$2:$D$160,"reward_corrected")</f>
        <v>10</v>
      </c>
      <c r="W184" s="16" t="n">
        <f aca="false">IF(S184&gt;0,_xlfn.MINIFS(Data_RewardEvents!$E$2:$E$160,Data_RewardEvents!$B$2:$B$160,A184,Data_RewardEvents!$D$2:$D$160,"reward_credited"),"")</f>
        <v>46300.5432629728</v>
      </c>
      <c r="X184" s="17" t="n">
        <f aca="false">IF(W184="","",(W184-J184)*24)</f>
        <v>0.0504845298708333</v>
      </c>
      <c r="Y184" s="6" t="n">
        <f aca="false">IF(I184&lt;&gt;"",1,0)</f>
        <v>1</v>
      </c>
      <c r="Z184" s="6" t="n">
        <f aca="false">IF(K184="completed",1,0)</f>
        <v>1</v>
      </c>
      <c r="AA184" s="6" t="n">
        <f aca="false">IF(L184="validated",1,0)</f>
        <v>1</v>
      </c>
      <c r="AB184" s="6" t="n">
        <f aca="false">IF(S184&gt;0,1,0)</f>
        <v>1</v>
      </c>
    </row>
    <row r="185" customFormat="false" ht="15" hidden="false" customHeight="false" outlineLevel="0" collapsed="false">
      <c r="A185" s="6" t="s">
        <v>777</v>
      </c>
      <c r="B185" s="6" t="s">
        <v>370</v>
      </c>
      <c r="C185" s="6" t="s">
        <v>316</v>
      </c>
      <c r="D185" s="6" t="s">
        <v>485</v>
      </c>
      <c r="E185" s="6" t="s">
        <v>391</v>
      </c>
      <c r="F185" s="6" t="s">
        <v>158</v>
      </c>
      <c r="G185" s="6" t="s">
        <v>778</v>
      </c>
      <c r="H185" s="16" t="n">
        <v>46290.9291666667</v>
      </c>
      <c r="I185" s="16" t="n">
        <v>46290.9423611111</v>
      </c>
      <c r="J185" s="16" t="n">
        <v>46291.164031081</v>
      </c>
      <c r="K185" s="6" t="s">
        <v>132</v>
      </c>
      <c r="L185" s="6" t="s">
        <v>137</v>
      </c>
      <c r="M185" s="6" t="n">
        <v>100</v>
      </c>
      <c r="N185" s="6" t="str">
        <f aca="false">README!$B$14</f>
        <v>points</v>
      </c>
      <c r="O185" s="6"/>
      <c r="P185" s="6"/>
      <c r="Q185" s="17" t="n">
        <f aca="false">IF(AND(I185&lt;&gt;"",J185&lt;&gt;""),(J185-I185)*1440,"")</f>
        <v>319.204756580283</v>
      </c>
      <c r="R185" s="6" t="n">
        <f aca="false">COUNTIFS(Data_RewardEvents!$B$2:$B$160,A185,Data_RewardEvents!$D$2:$D$160,"reward_pending")</f>
        <v>1</v>
      </c>
      <c r="S185" s="6" t="n">
        <f aca="false">COUNTIFS(Data_RewardEvents!$B$2:$B$160,A185,Data_RewardEvents!$D$2:$D$160,"reward_credited")</f>
        <v>1</v>
      </c>
      <c r="T185" s="6" t="n">
        <f aca="false">COUNTIFS(Data_RewardEvents!$B$2:$B$160,A185,Data_RewardEvents!$D$2:$D$160,"reward_reversed")</f>
        <v>0</v>
      </c>
      <c r="U185" s="6" t="n">
        <f aca="false">COUNTIFS(Data_RewardEvents!$B$2:$B$160,A185,Data_RewardEvents!$D$2:$D$160,"reward_corrected")</f>
        <v>0</v>
      </c>
      <c r="V185" s="6" t="n">
        <f aca="false">SUMIFS(Data_RewardEvents!$F$2:$F$160,Data_RewardEvents!$B$2:$B$160,A185,Data_RewardEvents!$D$2:$D$160,"reward_credited")+SUMIFS(Data_RewardEvents!$F$2:$F$160,Data_RewardEvents!$B$2:$B$160,A185,Data_RewardEvents!$D$2:$D$160,"reward_reversed")+SUMIFS(Data_RewardEvents!$F$2:$F$160,Data_RewardEvents!$B$2:$B$160,A185,Data_RewardEvents!$D$2:$D$160,"reward_corrected")</f>
        <v>100</v>
      </c>
      <c r="W185" s="16" t="n">
        <f aca="false">IF(S185&gt;0,_xlfn.MINIFS(Data_RewardEvents!$E$2:$E$160,Data_RewardEvents!$B$2:$B$160,A185,Data_RewardEvents!$D$2:$D$160,"reward_credited"),"")</f>
        <v>46292.3460194631</v>
      </c>
      <c r="X185" s="17" t="n">
        <f aca="false">IF(W185="","",(W185-J185)*24)</f>
        <v>28.3677211705944</v>
      </c>
      <c r="Y185" s="6" t="n">
        <f aca="false">IF(I185&lt;&gt;"",1,0)</f>
        <v>1</v>
      </c>
      <c r="Z185" s="6" t="n">
        <f aca="false">IF(K185="completed",1,0)</f>
        <v>1</v>
      </c>
      <c r="AA185" s="6" t="n">
        <f aca="false">IF(L185="validated",1,0)</f>
        <v>1</v>
      </c>
      <c r="AB185" s="6" t="n">
        <f aca="false">IF(S185&gt;0,1,0)</f>
        <v>1</v>
      </c>
    </row>
    <row r="186" customFormat="false" ht="15" hidden="false" customHeight="false" outlineLevel="0" collapsed="false">
      <c r="A186" s="6" t="s">
        <v>779</v>
      </c>
      <c r="B186" s="6" t="s">
        <v>381</v>
      </c>
      <c r="C186" s="6" t="s">
        <v>309</v>
      </c>
      <c r="D186" s="6" t="s">
        <v>427</v>
      </c>
      <c r="E186" s="6" t="s">
        <v>416</v>
      </c>
      <c r="F186" s="6" t="s">
        <v>158</v>
      </c>
      <c r="G186" s="6" t="s">
        <v>780</v>
      </c>
      <c r="H186" s="16" t="n">
        <v>46303.1597222222</v>
      </c>
      <c r="I186" s="16" t="n">
        <v>46303.1645833333</v>
      </c>
      <c r="J186" s="16" t="n">
        <v>46303.169930865</v>
      </c>
      <c r="K186" s="6" t="s">
        <v>132</v>
      </c>
      <c r="L186" s="6" t="s">
        <v>137</v>
      </c>
      <c r="M186" s="6" t="n">
        <v>50</v>
      </c>
      <c r="N186" s="6" t="str">
        <f aca="false">README!$B$14</f>
        <v>points</v>
      </c>
      <c r="O186" s="6"/>
      <c r="P186" s="6"/>
      <c r="Q186" s="17" t="n">
        <f aca="false">IF(AND(I186&lt;&gt;"",J186&lt;&gt;""),(J186-I186)*1440,"")</f>
        <v>7.70044562173333</v>
      </c>
      <c r="R186" s="6" t="n">
        <f aca="false">COUNTIFS(Data_RewardEvents!$B$2:$B$160,A186,Data_RewardEvents!$D$2:$D$160,"reward_pending")</f>
        <v>1</v>
      </c>
      <c r="S186" s="6" t="n">
        <f aca="false">COUNTIFS(Data_RewardEvents!$B$2:$B$160,A186,Data_RewardEvents!$D$2:$D$160,"reward_credited")</f>
        <v>1</v>
      </c>
      <c r="T186" s="6" t="n">
        <f aca="false">COUNTIFS(Data_RewardEvents!$B$2:$B$160,A186,Data_RewardEvents!$D$2:$D$160,"reward_reversed")</f>
        <v>0</v>
      </c>
      <c r="U186" s="6" t="n">
        <f aca="false">COUNTIFS(Data_RewardEvents!$B$2:$B$160,A186,Data_RewardEvents!$D$2:$D$160,"reward_corrected")</f>
        <v>0</v>
      </c>
      <c r="V186" s="6" t="n">
        <f aca="false">SUMIFS(Data_RewardEvents!$F$2:$F$160,Data_RewardEvents!$B$2:$B$160,A186,Data_RewardEvents!$D$2:$D$160,"reward_credited")+SUMIFS(Data_RewardEvents!$F$2:$F$160,Data_RewardEvents!$B$2:$B$160,A186,Data_RewardEvents!$D$2:$D$160,"reward_reversed")+SUMIFS(Data_RewardEvents!$F$2:$F$160,Data_RewardEvents!$B$2:$B$160,A186,Data_RewardEvents!$D$2:$D$160,"reward_corrected")</f>
        <v>50</v>
      </c>
      <c r="W186" s="16" t="n">
        <f aca="false">IF(S186&gt;0,_xlfn.MINIFS(Data_RewardEvents!$E$2:$E$160,Data_RewardEvents!$B$2:$B$160,A186,Data_RewardEvents!$D$2:$D$160,"reward_credited"),"")</f>
        <v>46306.0689247856</v>
      </c>
      <c r="X186" s="17" t="n">
        <f aca="false">IF(W186="","",(W186-J186)*24)</f>
        <v>69.5758540938839</v>
      </c>
      <c r="Y186" s="6" t="n">
        <f aca="false">IF(I186&lt;&gt;"",1,0)</f>
        <v>1</v>
      </c>
      <c r="Z186" s="6" t="n">
        <f aca="false">IF(K186="completed",1,0)</f>
        <v>1</v>
      </c>
      <c r="AA186" s="6" t="n">
        <f aca="false">IF(L186="validated",1,0)</f>
        <v>1</v>
      </c>
      <c r="AB186" s="6" t="n">
        <f aca="false">IF(S186&gt;0,1,0)</f>
        <v>1</v>
      </c>
    </row>
    <row r="187" customFormat="false" ht="15" hidden="false" customHeight="false" outlineLevel="0" collapsed="false">
      <c r="A187" s="6" t="s">
        <v>781</v>
      </c>
      <c r="B187" s="6" t="s">
        <v>370</v>
      </c>
      <c r="C187" s="6" t="s">
        <v>316</v>
      </c>
      <c r="D187" s="6" t="s">
        <v>408</v>
      </c>
      <c r="E187" s="6" t="s">
        <v>372</v>
      </c>
      <c r="F187" s="6" t="s">
        <v>158</v>
      </c>
      <c r="G187" s="6" t="s">
        <v>782</v>
      </c>
      <c r="H187" s="16" t="n">
        <v>46289.3354166667</v>
      </c>
      <c r="I187" s="16"/>
      <c r="J187" s="16"/>
      <c r="K187" s="6" t="s">
        <v>374</v>
      </c>
      <c r="L187" s="6"/>
      <c r="M187" s="6" t="n">
        <v>100</v>
      </c>
      <c r="N187" s="6" t="str">
        <f aca="false">README!$B$14</f>
        <v>points</v>
      </c>
      <c r="O187" s="6"/>
      <c r="P187" s="6"/>
      <c r="Q187" s="17" t="str">
        <f aca="false">IF(AND(I187&lt;&gt;"",J187&lt;&gt;""),(J187-I187)*1440,"")</f>
        <v/>
      </c>
      <c r="R187" s="6" t="n">
        <f aca="false">COUNTIFS(Data_RewardEvents!$B$2:$B$160,A187,Data_RewardEvents!$D$2:$D$160,"reward_pending")</f>
        <v>0</v>
      </c>
      <c r="S187" s="6" t="n">
        <f aca="false">COUNTIFS(Data_RewardEvents!$B$2:$B$160,A187,Data_RewardEvents!$D$2:$D$160,"reward_credited")</f>
        <v>0</v>
      </c>
      <c r="T187" s="6" t="n">
        <f aca="false">COUNTIFS(Data_RewardEvents!$B$2:$B$160,A187,Data_RewardEvents!$D$2:$D$160,"reward_reversed")</f>
        <v>0</v>
      </c>
      <c r="U187" s="6" t="n">
        <f aca="false">COUNTIFS(Data_RewardEvents!$B$2:$B$160,A187,Data_RewardEvents!$D$2:$D$160,"reward_corrected")</f>
        <v>0</v>
      </c>
      <c r="V187" s="6" t="n">
        <f aca="false">SUMIFS(Data_RewardEvents!$F$2:$F$160,Data_RewardEvents!$B$2:$B$160,A187,Data_RewardEvents!$D$2:$D$160,"reward_credited")+SUMIFS(Data_RewardEvents!$F$2:$F$160,Data_RewardEvents!$B$2:$B$160,A187,Data_RewardEvents!$D$2:$D$160,"reward_reversed")+SUMIFS(Data_RewardEvents!$F$2:$F$160,Data_RewardEvents!$B$2:$B$160,A187,Data_RewardEvents!$D$2:$D$160,"reward_corrected")</f>
        <v>0</v>
      </c>
      <c r="W187" s="16" t="str">
        <f aca="false">IF(S187&gt;0,_xlfn.MINIFS(Data_RewardEvents!$E$2:$E$160,Data_RewardEvents!$B$2:$B$160,A187,Data_RewardEvents!$D$2:$D$160,"reward_credited"),"")</f>
        <v/>
      </c>
      <c r="X187" s="17" t="str">
        <f aca="false">IF(W187="","",(W187-J187)*24)</f>
        <v/>
      </c>
      <c r="Y187" s="6" t="n">
        <f aca="false">IF(I187&lt;&gt;"",1,0)</f>
        <v>0</v>
      </c>
      <c r="Z187" s="6" t="n">
        <f aca="false">IF(K187="completed",1,0)</f>
        <v>0</v>
      </c>
      <c r="AA187" s="6" t="n">
        <f aca="false">IF(L187="validated",1,0)</f>
        <v>0</v>
      </c>
      <c r="AB187" s="6" t="n">
        <f aca="false">IF(S187&gt;0,1,0)</f>
        <v>0</v>
      </c>
    </row>
    <row r="188" customFormat="false" ht="15" hidden="false" customHeight="false" outlineLevel="0" collapsed="false">
      <c r="A188" s="6" t="s">
        <v>783</v>
      </c>
      <c r="B188" s="6" t="s">
        <v>381</v>
      </c>
      <c r="C188" s="6" t="s">
        <v>309</v>
      </c>
      <c r="D188" s="6" t="s">
        <v>435</v>
      </c>
      <c r="E188" s="6" t="s">
        <v>416</v>
      </c>
      <c r="F188" s="6" t="s">
        <v>158</v>
      </c>
      <c r="G188" s="6" t="s">
        <v>784</v>
      </c>
      <c r="H188" s="16" t="n">
        <v>46291.31875</v>
      </c>
      <c r="I188" s="16"/>
      <c r="J188" s="16"/>
      <c r="K188" s="6" t="s">
        <v>374</v>
      </c>
      <c r="L188" s="6"/>
      <c r="M188" s="6" t="n">
        <v>50</v>
      </c>
      <c r="N188" s="6" t="str">
        <f aca="false">README!$B$14</f>
        <v>points</v>
      </c>
      <c r="O188" s="6"/>
      <c r="P188" s="6"/>
      <c r="Q188" s="17" t="str">
        <f aca="false">IF(AND(I188&lt;&gt;"",J188&lt;&gt;""),(J188-I188)*1440,"")</f>
        <v/>
      </c>
      <c r="R188" s="6" t="n">
        <f aca="false">COUNTIFS(Data_RewardEvents!$B$2:$B$160,A188,Data_RewardEvents!$D$2:$D$160,"reward_pending")</f>
        <v>0</v>
      </c>
      <c r="S188" s="6" t="n">
        <f aca="false">COUNTIFS(Data_RewardEvents!$B$2:$B$160,A188,Data_RewardEvents!$D$2:$D$160,"reward_credited")</f>
        <v>0</v>
      </c>
      <c r="T188" s="6" t="n">
        <f aca="false">COUNTIFS(Data_RewardEvents!$B$2:$B$160,A188,Data_RewardEvents!$D$2:$D$160,"reward_reversed")</f>
        <v>0</v>
      </c>
      <c r="U188" s="6" t="n">
        <f aca="false">COUNTIFS(Data_RewardEvents!$B$2:$B$160,A188,Data_RewardEvents!$D$2:$D$160,"reward_corrected")</f>
        <v>0</v>
      </c>
      <c r="V188" s="6" t="n">
        <f aca="false">SUMIFS(Data_RewardEvents!$F$2:$F$160,Data_RewardEvents!$B$2:$B$160,A188,Data_RewardEvents!$D$2:$D$160,"reward_credited")+SUMIFS(Data_RewardEvents!$F$2:$F$160,Data_RewardEvents!$B$2:$B$160,A188,Data_RewardEvents!$D$2:$D$160,"reward_reversed")+SUMIFS(Data_RewardEvents!$F$2:$F$160,Data_RewardEvents!$B$2:$B$160,A188,Data_RewardEvents!$D$2:$D$160,"reward_corrected")</f>
        <v>0</v>
      </c>
      <c r="W188" s="16" t="str">
        <f aca="false">IF(S188&gt;0,_xlfn.MINIFS(Data_RewardEvents!$E$2:$E$160,Data_RewardEvents!$B$2:$B$160,A188,Data_RewardEvents!$D$2:$D$160,"reward_credited"),"")</f>
        <v/>
      </c>
      <c r="X188" s="17" t="str">
        <f aca="false">IF(W188="","",(W188-J188)*24)</f>
        <v/>
      </c>
      <c r="Y188" s="6" t="n">
        <f aca="false">IF(I188&lt;&gt;"",1,0)</f>
        <v>0</v>
      </c>
      <c r="Z188" s="6" t="n">
        <f aca="false">IF(K188="completed",1,0)</f>
        <v>0</v>
      </c>
      <c r="AA188" s="6" t="n">
        <f aca="false">IF(L188="validated",1,0)</f>
        <v>0</v>
      </c>
      <c r="AB188" s="6" t="n">
        <f aca="false">IF(S188&gt;0,1,0)</f>
        <v>0</v>
      </c>
    </row>
    <row r="189" customFormat="false" ht="15" hidden="false" customHeight="false" outlineLevel="0" collapsed="false">
      <c r="A189" s="6" t="s">
        <v>785</v>
      </c>
      <c r="B189" s="6" t="s">
        <v>381</v>
      </c>
      <c r="C189" s="6" t="s">
        <v>309</v>
      </c>
      <c r="D189" s="6" t="s">
        <v>564</v>
      </c>
      <c r="E189" s="6" t="s">
        <v>383</v>
      </c>
      <c r="F189" s="6" t="s">
        <v>158</v>
      </c>
      <c r="G189" s="6" t="s">
        <v>786</v>
      </c>
      <c r="H189" s="16" t="n">
        <v>46292.2493055556</v>
      </c>
      <c r="I189" s="16" t="n">
        <v>46292.2548611111</v>
      </c>
      <c r="J189" s="16" t="n">
        <v>46292.2654807511</v>
      </c>
      <c r="K189" s="6" t="s">
        <v>132</v>
      </c>
      <c r="L189" s="6" t="s">
        <v>280</v>
      </c>
      <c r="M189" s="6" t="n">
        <v>50</v>
      </c>
      <c r="N189" s="6" t="str">
        <f aca="false">README!$B$14</f>
        <v>points</v>
      </c>
      <c r="O189" s="6" t="s">
        <v>198</v>
      </c>
      <c r="P189" s="6" t="s">
        <v>98</v>
      </c>
      <c r="Q189" s="17" t="n">
        <f aca="false">IF(AND(I189&lt;&gt;"",J189&lt;&gt;""),(J189-I189)*1440,"")</f>
        <v>15.2922815282333</v>
      </c>
      <c r="R189" s="6" t="n">
        <f aca="false">COUNTIFS(Data_RewardEvents!$B$2:$B$160,A189,Data_RewardEvents!$D$2:$D$160,"reward_pending")</f>
        <v>0</v>
      </c>
      <c r="S189" s="6" t="n">
        <f aca="false">COUNTIFS(Data_RewardEvents!$B$2:$B$160,A189,Data_RewardEvents!$D$2:$D$160,"reward_credited")</f>
        <v>0</v>
      </c>
      <c r="T189" s="6" t="n">
        <f aca="false">COUNTIFS(Data_RewardEvents!$B$2:$B$160,A189,Data_RewardEvents!$D$2:$D$160,"reward_reversed")</f>
        <v>0</v>
      </c>
      <c r="U189" s="6" t="n">
        <f aca="false">COUNTIFS(Data_RewardEvents!$B$2:$B$160,A189,Data_RewardEvents!$D$2:$D$160,"reward_corrected")</f>
        <v>0</v>
      </c>
      <c r="V189" s="6" t="n">
        <f aca="false">SUMIFS(Data_RewardEvents!$F$2:$F$160,Data_RewardEvents!$B$2:$B$160,A189,Data_RewardEvents!$D$2:$D$160,"reward_credited")+SUMIFS(Data_RewardEvents!$F$2:$F$160,Data_RewardEvents!$B$2:$B$160,A189,Data_RewardEvents!$D$2:$D$160,"reward_reversed")+SUMIFS(Data_RewardEvents!$F$2:$F$160,Data_RewardEvents!$B$2:$B$160,A189,Data_RewardEvents!$D$2:$D$160,"reward_corrected")</f>
        <v>0</v>
      </c>
      <c r="W189" s="16" t="str">
        <f aca="false">IF(S189&gt;0,_xlfn.MINIFS(Data_RewardEvents!$E$2:$E$160,Data_RewardEvents!$B$2:$B$160,A189,Data_RewardEvents!$D$2:$D$160,"reward_credited"),"")</f>
        <v/>
      </c>
      <c r="X189" s="17" t="str">
        <f aca="false">IF(W189="","",(W189-J189)*24)</f>
        <v/>
      </c>
      <c r="Y189" s="6" t="n">
        <f aca="false">IF(I189&lt;&gt;"",1,0)</f>
        <v>1</v>
      </c>
      <c r="Z189" s="6" t="n">
        <f aca="false">IF(K189="completed",1,0)</f>
        <v>1</v>
      </c>
      <c r="AA189" s="6" t="n">
        <f aca="false">IF(L189="validated",1,0)</f>
        <v>0</v>
      </c>
      <c r="AB189" s="6" t="n">
        <f aca="false">IF(S189&gt;0,1,0)</f>
        <v>0</v>
      </c>
    </row>
    <row r="190" customFormat="false" ht="15" hidden="false" customHeight="false" outlineLevel="0" collapsed="false">
      <c r="A190" s="6" t="s">
        <v>787</v>
      </c>
      <c r="B190" s="6" t="s">
        <v>403</v>
      </c>
      <c r="C190" s="6" t="s">
        <v>404</v>
      </c>
      <c r="D190" s="6" t="s">
        <v>727</v>
      </c>
      <c r="E190" s="6" t="s">
        <v>98</v>
      </c>
      <c r="F190" s="6" t="s">
        <v>406</v>
      </c>
      <c r="G190" s="6"/>
      <c r="H190" s="16" t="n">
        <v>46303.7743055556</v>
      </c>
      <c r="I190" s="16" t="n">
        <v>46303.7923611111</v>
      </c>
      <c r="J190" s="16" t="n">
        <v>46303.7958317722</v>
      </c>
      <c r="K190" s="6" t="s">
        <v>132</v>
      </c>
      <c r="L190" s="6" t="s">
        <v>137</v>
      </c>
      <c r="M190" s="6" t="n">
        <v>10</v>
      </c>
      <c r="N190" s="6" t="str">
        <f aca="false">README!$B$14</f>
        <v>points</v>
      </c>
      <c r="O190" s="6"/>
      <c r="P190" s="6"/>
      <c r="Q190" s="17" t="n">
        <f aca="false">IF(AND(I190&lt;&gt;"",J190&lt;&gt;""),(J190-I190)*1440,"")</f>
        <v>4.99775202128333</v>
      </c>
      <c r="R190" s="6" t="n">
        <f aca="false">COUNTIFS(Data_RewardEvents!$B$2:$B$160,A190,Data_RewardEvents!$D$2:$D$160,"reward_pending")</f>
        <v>0</v>
      </c>
      <c r="S190" s="6" t="n">
        <f aca="false">COUNTIFS(Data_RewardEvents!$B$2:$B$160,A190,Data_RewardEvents!$D$2:$D$160,"reward_credited")</f>
        <v>1</v>
      </c>
      <c r="T190" s="6" t="n">
        <f aca="false">COUNTIFS(Data_RewardEvents!$B$2:$B$160,A190,Data_RewardEvents!$D$2:$D$160,"reward_reversed")</f>
        <v>0</v>
      </c>
      <c r="U190" s="6" t="n">
        <f aca="false">COUNTIFS(Data_RewardEvents!$B$2:$B$160,A190,Data_RewardEvents!$D$2:$D$160,"reward_corrected")</f>
        <v>0</v>
      </c>
      <c r="V190" s="6" t="n">
        <f aca="false">SUMIFS(Data_RewardEvents!$F$2:$F$160,Data_RewardEvents!$B$2:$B$160,A190,Data_RewardEvents!$D$2:$D$160,"reward_credited")+SUMIFS(Data_RewardEvents!$F$2:$F$160,Data_RewardEvents!$B$2:$B$160,A190,Data_RewardEvents!$D$2:$D$160,"reward_reversed")+SUMIFS(Data_RewardEvents!$F$2:$F$160,Data_RewardEvents!$B$2:$B$160,A190,Data_RewardEvents!$D$2:$D$160,"reward_corrected")</f>
        <v>10</v>
      </c>
      <c r="W190" s="16" t="n">
        <f aca="false">IF(S190&gt;0,_xlfn.MINIFS(Data_RewardEvents!$E$2:$E$160,Data_RewardEvents!$B$2:$B$160,A190,Data_RewardEvents!$D$2:$D$160,"reward_credited"),"")</f>
        <v>46303.7972514557</v>
      </c>
      <c r="X190" s="17" t="n">
        <f aca="false">IF(W190="","",(W190-J190)*24)</f>
        <v>0.0340724035630556</v>
      </c>
      <c r="Y190" s="6" t="n">
        <f aca="false">IF(I190&lt;&gt;"",1,0)</f>
        <v>1</v>
      </c>
      <c r="Z190" s="6" t="n">
        <f aca="false">IF(K190="completed",1,0)</f>
        <v>1</v>
      </c>
      <c r="AA190" s="6" t="n">
        <f aca="false">IF(L190="validated",1,0)</f>
        <v>1</v>
      </c>
      <c r="AB190" s="6" t="n">
        <f aca="false">IF(S190&gt;0,1,0)</f>
        <v>1</v>
      </c>
    </row>
    <row r="191" customFormat="false" ht="15" hidden="false" customHeight="false" outlineLevel="0" collapsed="false">
      <c r="A191" s="6" t="s">
        <v>788</v>
      </c>
      <c r="B191" s="6" t="s">
        <v>403</v>
      </c>
      <c r="C191" s="6" t="s">
        <v>404</v>
      </c>
      <c r="D191" s="6" t="s">
        <v>458</v>
      </c>
      <c r="E191" s="6" t="s">
        <v>98</v>
      </c>
      <c r="F191" s="6" t="s">
        <v>406</v>
      </c>
      <c r="G191" s="6"/>
      <c r="H191" s="16" t="n">
        <v>46290.4819444444</v>
      </c>
      <c r="I191" s="16" t="n">
        <v>46290.5006944445</v>
      </c>
      <c r="J191" s="16" t="n">
        <v>46290.5026959782</v>
      </c>
      <c r="K191" s="6" t="s">
        <v>132</v>
      </c>
      <c r="L191" s="6" t="s">
        <v>137</v>
      </c>
      <c r="M191" s="6" t="n">
        <v>10</v>
      </c>
      <c r="N191" s="6" t="str">
        <f aca="false">README!$B$14</f>
        <v>points</v>
      </c>
      <c r="O191" s="6"/>
      <c r="P191" s="6"/>
      <c r="Q191" s="17" t="n">
        <f aca="false">IF(AND(I191&lt;&gt;"",J191&lt;&gt;""),(J191-I191)*1440,"")</f>
        <v>2.88220857968333</v>
      </c>
      <c r="R191" s="6" t="n">
        <f aca="false">COUNTIFS(Data_RewardEvents!$B$2:$B$160,A191,Data_RewardEvents!$D$2:$D$160,"reward_pending")</f>
        <v>0</v>
      </c>
      <c r="S191" s="6" t="n">
        <f aca="false">COUNTIFS(Data_RewardEvents!$B$2:$B$160,A191,Data_RewardEvents!$D$2:$D$160,"reward_credited")</f>
        <v>1</v>
      </c>
      <c r="T191" s="6" t="n">
        <f aca="false">COUNTIFS(Data_RewardEvents!$B$2:$B$160,A191,Data_RewardEvents!$D$2:$D$160,"reward_reversed")</f>
        <v>0</v>
      </c>
      <c r="U191" s="6" t="n">
        <f aca="false">COUNTIFS(Data_RewardEvents!$B$2:$B$160,A191,Data_RewardEvents!$D$2:$D$160,"reward_corrected")</f>
        <v>1</v>
      </c>
      <c r="V191" s="6" t="n">
        <f aca="false">SUMIFS(Data_RewardEvents!$F$2:$F$160,Data_RewardEvents!$B$2:$B$160,A191,Data_RewardEvents!$D$2:$D$160,"reward_credited")+SUMIFS(Data_RewardEvents!$F$2:$F$160,Data_RewardEvents!$B$2:$B$160,A191,Data_RewardEvents!$D$2:$D$160,"reward_reversed")+SUMIFS(Data_RewardEvents!$F$2:$F$160,Data_RewardEvents!$B$2:$B$160,A191,Data_RewardEvents!$D$2:$D$160,"reward_corrected")</f>
        <v>8</v>
      </c>
      <c r="W191" s="16" t="n">
        <f aca="false">IF(S191&gt;0,_xlfn.MINIFS(Data_RewardEvents!$E$2:$E$160,Data_RewardEvents!$B$2:$B$160,A191,Data_RewardEvents!$D$2:$D$160,"reward_credited"),"")</f>
        <v>46290.5076728969</v>
      </c>
      <c r="X191" s="17" t="n">
        <f aca="false">IF(W191="","",(W191-J191)*24)</f>
        <v>0.119446050259167</v>
      </c>
      <c r="Y191" s="6" t="n">
        <f aca="false">IF(I191&lt;&gt;"",1,0)</f>
        <v>1</v>
      </c>
      <c r="Z191" s="6" t="n">
        <f aca="false">IF(K191="completed",1,0)</f>
        <v>1</v>
      </c>
      <c r="AA191" s="6" t="n">
        <f aca="false">IF(L191="validated",1,0)</f>
        <v>1</v>
      </c>
      <c r="AB191" s="6" t="n">
        <f aca="false">IF(S191&gt;0,1,0)</f>
        <v>1</v>
      </c>
    </row>
    <row r="192" customFormat="false" ht="15" hidden="false" customHeight="false" outlineLevel="0" collapsed="false">
      <c r="A192" s="6" t="s">
        <v>789</v>
      </c>
      <c r="B192" s="6" t="s">
        <v>376</v>
      </c>
      <c r="C192" s="6" t="s">
        <v>302</v>
      </c>
      <c r="D192" s="6" t="s">
        <v>520</v>
      </c>
      <c r="E192" s="6" t="s">
        <v>387</v>
      </c>
      <c r="F192" s="6" t="s">
        <v>158</v>
      </c>
      <c r="G192" s="6" t="s">
        <v>790</v>
      </c>
      <c r="H192" s="16" t="n">
        <v>46292.6881944445</v>
      </c>
      <c r="I192" s="16" t="n">
        <v>46292.69375</v>
      </c>
      <c r="J192" s="16" t="n">
        <v>46292.6942697848</v>
      </c>
      <c r="K192" s="6" t="s">
        <v>132</v>
      </c>
      <c r="L192" s="6" t="s">
        <v>137</v>
      </c>
      <c r="M192" s="6" t="n">
        <v>5</v>
      </c>
      <c r="N192" s="6" t="str">
        <f aca="false">README!$B$14</f>
        <v>points</v>
      </c>
      <c r="O192" s="6"/>
      <c r="P192" s="6"/>
      <c r="Q192" s="17" t="n">
        <f aca="false">IF(AND(I192&lt;&gt;"",J192&lt;&gt;""),(J192-I192)*1440,"")</f>
        <v>0.74849013355</v>
      </c>
      <c r="R192" s="6" t="n">
        <f aca="false">COUNTIFS(Data_RewardEvents!$B$2:$B$160,A192,Data_RewardEvents!$D$2:$D$160,"reward_pending")</f>
        <v>0</v>
      </c>
      <c r="S192" s="6" t="n">
        <f aca="false">COUNTIFS(Data_RewardEvents!$B$2:$B$160,A192,Data_RewardEvents!$D$2:$D$160,"reward_credited")</f>
        <v>1</v>
      </c>
      <c r="T192" s="6" t="n">
        <f aca="false">COUNTIFS(Data_RewardEvents!$B$2:$B$160,A192,Data_RewardEvents!$D$2:$D$160,"reward_reversed")</f>
        <v>0</v>
      </c>
      <c r="U192" s="6" t="n">
        <f aca="false">COUNTIFS(Data_RewardEvents!$B$2:$B$160,A192,Data_RewardEvents!$D$2:$D$160,"reward_corrected")</f>
        <v>0</v>
      </c>
      <c r="V192" s="6" t="n">
        <f aca="false">SUMIFS(Data_RewardEvents!$F$2:$F$160,Data_RewardEvents!$B$2:$B$160,A192,Data_RewardEvents!$D$2:$D$160,"reward_credited")+SUMIFS(Data_RewardEvents!$F$2:$F$160,Data_RewardEvents!$B$2:$B$160,A192,Data_RewardEvents!$D$2:$D$160,"reward_reversed")+SUMIFS(Data_RewardEvents!$F$2:$F$160,Data_RewardEvents!$B$2:$B$160,A192,Data_RewardEvents!$D$2:$D$160,"reward_corrected")</f>
        <v>5</v>
      </c>
      <c r="W192" s="16" t="n">
        <f aca="false">IF(S192&gt;0,_xlfn.MINIFS(Data_RewardEvents!$E$2:$E$160,Data_RewardEvents!$B$2:$B$160,A192,Data_RewardEvents!$D$2:$D$160,"reward_credited"),"")</f>
        <v>46292.6964487987</v>
      </c>
      <c r="X192" s="17" t="n">
        <f aca="false">IF(W192="","",(W192-J192)*24)</f>
        <v>0.0522963327238889</v>
      </c>
      <c r="Y192" s="6" t="n">
        <f aca="false">IF(I192&lt;&gt;"",1,0)</f>
        <v>1</v>
      </c>
      <c r="Z192" s="6" t="n">
        <f aca="false">IF(K192="completed",1,0)</f>
        <v>1</v>
      </c>
      <c r="AA192" s="6" t="n">
        <f aca="false">IF(L192="validated",1,0)</f>
        <v>1</v>
      </c>
      <c r="AB192" s="6" t="n">
        <f aca="false">IF(S192&gt;0,1,0)</f>
        <v>1</v>
      </c>
    </row>
    <row r="193" customFormat="false" ht="15" hidden="false" customHeight="false" outlineLevel="0" collapsed="false">
      <c r="A193" s="6" t="s">
        <v>791</v>
      </c>
      <c r="B193" s="6" t="s">
        <v>403</v>
      </c>
      <c r="C193" s="6" t="s">
        <v>404</v>
      </c>
      <c r="D193" s="6" t="s">
        <v>605</v>
      </c>
      <c r="E193" s="6" t="s">
        <v>98</v>
      </c>
      <c r="F193" s="6" t="s">
        <v>406</v>
      </c>
      <c r="G193" s="6"/>
      <c r="H193" s="16" t="n">
        <v>46292.95</v>
      </c>
      <c r="I193" s="16" t="n">
        <v>46292.9708333333</v>
      </c>
      <c r="J193" s="16" t="n">
        <v>46292.9731536391</v>
      </c>
      <c r="K193" s="6" t="s">
        <v>132</v>
      </c>
      <c r="L193" s="6" t="s">
        <v>137</v>
      </c>
      <c r="M193" s="6" t="n">
        <v>10</v>
      </c>
      <c r="N193" s="6" t="str">
        <f aca="false">README!$B$14</f>
        <v>points</v>
      </c>
      <c r="O193" s="6"/>
      <c r="P193" s="6"/>
      <c r="Q193" s="17" t="n">
        <f aca="false">IF(AND(I193&lt;&gt;"",J193&lt;&gt;""),(J193-I193)*1440,"")</f>
        <v>3.34124027983333</v>
      </c>
      <c r="R193" s="6" t="n">
        <f aca="false">COUNTIFS(Data_RewardEvents!$B$2:$B$160,A193,Data_RewardEvents!$D$2:$D$160,"reward_pending")</f>
        <v>0</v>
      </c>
      <c r="S193" s="6" t="n">
        <f aca="false">COUNTIFS(Data_RewardEvents!$B$2:$B$160,A193,Data_RewardEvents!$D$2:$D$160,"reward_credited")</f>
        <v>1</v>
      </c>
      <c r="T193" s="6" t="n">
        <f aca="false">COUNTIFS(Data_RewardEvents!$B$2:$B$160,A193,Data_RewardEvents!$D$2:$D$160,"reward_reversed")</f>
        <v>0</v>
      </c>
      <c r="U193" s="6" t="n">
        <f aca="false">COUNTIFS(Data_RewardEvents!$B$2:$B$160,A193,Data_RewardEvents!$D$2:$D$160,"reward_corrected")</f>
        <v>0</v>
      </c>
      <c r="V193" s="6" t="n">
        <f aca="false">SUMIFS(Data_RewardEvents!$F$2:$F$160,Data_RewardEvents!$B$2:$B$160,A193,Data_RewardEvents!$D$2:$D$160,"reward_credited")+SUMIFS(Data_RewardEvents!$F$2:$F$160,Data_RewardEvents!$B$2:$B$160,A193,Data_RewardEvents!$D$2:$D$160,"reward_reversed")+SUMIFS(Data_RewardEvents!$F$2:$F$160,Data_RewardEvents!$B$2:$B$160,A193,Data_RewardEvents!$D$2:$D$160,"reward_corrected")</f>
        <v>10</v>
      </c>
      <c r="W193" s="16" t="n">
        <f aca="false">IF(S193&gt;0,_xlfn.MINIFS(Data_RewardEvents!$E$2:$E$160,Data_RewardEvents!$B$2:$B$160,A193,Data_RewardEvents!$D$2:$D$160,"reward_credited"),"")</f>
        <v>46292.974478493</v>
      </c>
      <c r="X193" s="17" t="n">
        <f aca="false">IF(W193="","",(W193-J193)*24)</f>
        <v>0.0317964940330556</v>
      </c>
      <c r="Y193" s="6" t="n">
        <f aca="false">IF(I193&lt;&gt;"",1,0)</f>
        <v>1</v>
      </c>
      <c r="Z193" s="6" t="n">
        <f aca="false">IF(K193="completed",1,0)</f>
        <v>1</v>
      </c>
      <c r="AA193" s="6" t="n">
        <f aca="false">IF(L193="validated",1,0)</f>
        <v>1</v>
      </c>
      <c r="AB193" s="6" t="n">
        <f aca="false">IF(S193&gt;0,1,0)</f>
        <v>1</v>
      </c>
    </row>
    <row r="194" customFormat="false" ht="15" hidden="false" customHeight="false" outlineLevel="0" collapsed="false">
      <c r="A194" s="6" t="s">
        <v>792</v>
      </c>
      <c r="B194" s="6" t="s">
        <v>376</v>
      </c>
      <c r="C194" s="6" t="s">
        <v>302</v>
      </c>
      <c r="D194" s="6" t="s">
        <v>532</v>
      </c>
      <c r="E194" s="6" t="s">
        <v>387</v>
      </c>
      <c r="F194" s="6" t="s">
        <v>158</v>
      </c>
      <c r="G194" s="6" t="s">
        <v>793</v>
      </c>
      <c r="H194" s="16" t="n">
        <v>46286.6569444445</v>
      </c>
      <c r="I194" s="16" t="n">
        <v>46286.6673611111</v>
      </c>
      <c r="J194" s="16" t="n">
        <v>46286.6678434652</v>
      </c>
      <c r="K194" s="6" t="s">
        <v>132</v>
      </c>
      <c r="L194" s="6" t="s">
        <v>137</v>
      </c>
      <c r="M194" s="6" t="n">
        <v>5</v>
      </c>
      <c r="N194" s="6" t="str">
        <f aca="false">README!$B$14</f>
        <v>points</v>
      </c>
      <c r="O194" s="6"/>
      <c r="P194" s="6"/>
      <c r="Q194" s="17" t="n">
        <f aca="false">IF(AND(I194&lt;&gt;"",J194&lt;&gt;""),(J194-I194)*1440,"")</f>
        <v>0.694589907066667</v>
      </c>
      <c r="R194" s="6" t="n">
        <f aca="false">COUNTIFS(Data_RewardEvents!$B$2:$B$160,A194,Data_RewardEvents!$D$2:$D$160,"reward_pending")</f>
        <v>0</v>
      </c>
      <c r="S194" s="6" t="n">
        <f aca="false">COUNTIFS(Data_RewardEvents!$B$2:$B$160,A194,Data_RewardEvents!$D$2:$D$160,"reward_credited")</f>
        <v>1</v>
      </c>
      <c r="T194" s="6" t="n">
        <f aca="false">COUNTIFS(Data_RewardEvents!$B$2:$B$160,A194,Data_RewardEvents!$D$2:$D$160,"reward_reversed")</f>
        <v>0</v>
      </c>
      <c r="U194" s="6" t="n">
        <f aca="false">COUNTIFS(Data_RewardEvents!$B$2:$B$160,A194,Data_RewardEvents!$D$2:$D$160,"reward_corrected")</f>
        <v>0</v>
      </c>
      <c r="V194" s="6" t="n">
        <f aca="false">SUMIFS(Data_RewardEvents!$F$2:$F$160,Data_RewardEvents!$B$2:$B$160,A194,Data_RewardEvents!$D$2:$D$160,"reward_credited")+SUMIFS(Data_RewardEvents!$F$2:$F$160,Data_RewardEvents!$B$2:$B$160,A194,Data_RewardEvents!$D$2:$D$160,"reward_reversed")+SUMIFS(Data_RewardEvents!$F$2:$F$160,Data_RewardEvents!$B$2:$B$160,A194,Data_RewardEvents!$D$2:$D$160,"reward_corrected")</f>
        <v>5</v>
      </c>
      <c r="W194" s="16" t="n">
        <f aca="false">IF(S194&gt;0,_xlfn.MINIFS(Data_RewardEvents!$E$2:$E$160,Data_RewardEvents!$B$2:$B$160,A194,Data_RewardEvents!$D$2:$D$160,"reward_credited"),"")</f>
        <v>46286.6717364805</v>
      </c>
      <c r="X194" s="17" t="n">
        <f aca="false">IF(W194="","",(W194-J194)*24)</f>
        <v>0.0934323658583333</v>
      </c>
      <c r="Y194" s="6" t="n">
        <f aca="false">IF(I194&lt;&gt;"",1,0)</f>
        <v>1</v>
      </c>
      <c r="Z194" s="6" t="n">
        <f aca="false">IF(K194="completed",1,0)</f>
        <v>1</v>
      </c>
      <c r="AA194" s="6" t="n">
        <f aca="false">IF(L194="validated",1,0)</f>
        <v>1</v>
      </c>
      <c r="AB194" s="6" t="n">
        <f aca="false">IF(S194&gt;0,1,0)</f>
        <v>1</v>
      </c>
    </row>
    <row r="195" customFormat="false" ht="15" hidden="false" customHeight="false" outlineLevel="0" collapsed="false">
      <c r="A195" s="6" t="s">
        <v>794</v>
      </c>
      <c r="B195" s="6" t="s">
        <v>365</v>
      </c>
      <c r="C195" s="6" t="s">
        <v>323</v>
      </c>
      <c r="D195" s="6" t="s">
        <v>424</v>
      </c>
      <c r="E195" s="6" t="s">
        <v>367</v>
      </c>
      <c r="F195" s="6" t="s">
        <v>158</v>
      </c>
      <c r="G195" s="6" t="s">
        <v>795</v>
      </c>
      <c r="H195" s="16" t="n">
        <v>46304.19375</v>
      </c>
      <c r="I195" s="16" t="n">
        <v>46304.2097222222</v>
      </c>
      <c r="J195" s="16" t="n">
        <v>46304.2369398655</v>
      </c>
      <c r="K195" s="6" t="s">
        <v>132</v>
      </c>
      <c r="L195" s="6" t="s">
        <v>137</v>
      </c>
      <c r="M195" s="6" t="n">
        <v>30</v>
      </c>
      <c r="N195" s="6" t="str">
        <f aca="false">README!$B$14</f>
        <v>points</v>
      </c>
      <c r="O195" s="6"/>
      <c r="P195" s="6"/>
      <c r="Q195" s="17" t="n">
        <f aca="false">IF(AND(I195&lt;&gt;"",J195&lt;&gt;""),(J195-I195)*1440,"")</f>
        <v>39.1934063297167</v>
      </c>
      <c r="R195" s="6" t="n">
        <f aca="false">COUNTIFS(Data_RewardEvents!$B$2:$B$160,A195,Data_RewardEvents!$D$2:$D$160,"reward_pending")</f>
        <v>1</v>
      </c>
      <c r="S195" s="6" t="n">
        <f aca="false">COUNTIFS(Data_RewardEvents!$B$2:$B$160,A195,Data_RewardEvents!$D$2:$D$160,"reward_credited")</f>
        <v>1</v>
      </c>
      <c r="T195" s="6" t="n">
        <f aca="false">COUNTIFS(Data_RewardEvents!$B$2:$B$160,A195,Data_RewardEvents!$D$2:$D$160,"reward_reversed")</f>
        <v>0</v>
      </c>
      <c r="U195" s="6" t="n">
        <f aca="false">COUNTIFS(Data_RewardEvents!$B$2:$B$160,A195,Data_RewardEvents!$D$2:$D$160,"reward_corrected")</f>
        <v>0</v>
      </c>
      <c r="V195" s="6" t="n">
        <f aca="false">SUMIFS(Data_RewardEvents!$F$2:$F$160,Data_RewardEvents!$B$2:$B$160,A195,Data_RewardEvents!$D$2:$D$160,"reward_credited")+SUMIFS(Data_RewardEvents!$F$2:$F$160,Data_RewardEvents!$B$2:$B$160,A195,Data_RewardEvents!$D$2:$D$160,"reward_reversed")+SUMIFS(Data_RewardEvents!$F$2:$F$160,Data_RewardEvents!$B$2:$B$160,A195,Data_RewardEvents!$D$2:$D$160,"reward_corrected")</f>
        <v>30</v>
      </c>
      <c r="W195" s="16" t="n">
        <f aca="false">IF(S195&gt;0,_xlfn.MINIFS(Data_RewardEvents!$E$2:$E$160,Data_RewardEvents!$B$2:$B$160,A195,Data_RewardEvents!$D$2:$D$160,"reward_credited"),"")</f>
        <v>46306.612957545</v>
      </c>
      <c r="X195" s="17" t="n">
        <f aca="false">IF(W195="","",(W195-J195)*24)</f>
        <v>57.0244243066989</v>
      </c>
      <c r="Y195" s="6" t="n">
        <f aca="false">IF(I195&lt;&gt;"",1,0)</f>
        <v>1</v>
      </c>
      <c r="Z195" s="6" t="n">
        <f aca="false">IF(K195="completed",1,0)</f>
        <v>1</v>
      </c>
      <c r="AA195" s="6" t="n">
        <f aca="false">IF(L195="validated",1,0)</f>
        <v>1</v>
      </c>
      <c r="AB195" s="6" t="n">
        <f aca="false">IF(S195&gt;0,1,0)</f>
        <v>1</v>
      </c>
    </row>
    <row r="196" customFormat="false" ht="15" hidden="false" customHeight="false" outlineLevel="0" collapsed="false">
      <c r="A196" s="6" t="s">
        <v>796</v>
      </c>
      <c r="B196" s="6" t="s">
        <v>403</v>
      </c>
      <c r="C196" s="6" t="s">
        <v>404</v>
      </c>
      <c r="D196" s="6" t="s">
        <v>568</v>
      </c>
      <c r="E196" s="6" t="s">
        <v>98</v>
      </c>
      <c r="F196" s="6" t="s">
        <v>406</v>
      </c>
      <c r="G196" s="6"/>
      <c r="H196" s="16" t="n">
        <v>46292.1458333333</v>
      </c>
      <c r="I196" s="16" t="n">
        <v>46292.1513888889</v>
      </c>
      <c r="J196" s="16" t="n">
        <v>46292.1525561187</v>
      </c>
      <c r="K196" s="6" t="s">
        <v>132</v>
      </c>
      <c r="L196" s="6" t="s">
        <v>137</v>
      </c>
      <c r="M196" s="6" t="n">
        <v>10</v>
      </c>
      <c r="N196" s="6" t="str">
        <f aca="false">README!$B$14</f>
        <v>points</v>
      </c>
      <c r="O196" s="6"/>
      <c r="P196" s="6"/>
      <c r="Q196" s="17" t="n">
        <f aca="false">IF(AND(I196&lt;&gt;"",J196&lt;&gt;""),(J196-I196)*1440,"")</f>
        <v>1.6808108997</v>
      </c>
      <c r="R196" s="6" t="n">
        <f aca="false">COUNTIFS(Data_RewardEvents!$B$2:$B$160,A196,Data_RewardEvents!$D$2:$D$160,"reward_pending")</f>
        <v>0</v>
      </c>
      <c r="S196" s="6" t="n">
        <f aca="false">COUNTIFS(Data_RewardEvents!$B$2:$B$160,A196,Data_RewardEvents!$D$2:$D$160,"reward_credited")</f>
        <v>1</v>
      </c>
      <c r="T196" s="6" t="n">
        <f aca="false">COUNTIFS(Data_RewardEvents!$B$2:$B$160,A196,Data_RewardEvents!$D$2:$D$160,"reward_reversed")</f>
        <v>0</v>
      </c>
      <c r="U196" s="6" t="n">
        <f aca="false">COUNTIFS(Data_RewardEvents!$B$2:$B$160,A196,Data_RewardEvents!$D$2:$D$160,"reward_corrected")</f>
        <v>0</v>
      </c>
      <c r="V196" s="6" t="n">
        <f aca="false">SUMIFS(Data_RewardEvents!$F$2:$F$160,Data_RewardEvents!$B$2:$B$160,A196,Data_RewardEvents!$D$2:$D$160,"reward_credited")+SUMIFS(Data_RewardEvents!$F$2:$F$160,Data_RewardEvents!$B$2:$B$160,A196,Data_RewardEvents!$D$2:$D$160,"reward_reversed")+SUMIFS(Data_RewardEvents!$F$2:$F$160,Data_RewardEvents!$B$2:$B$160,A196,Data_RewardEvents!$D$2:$D$160,"reward_corrected")</f>
        <v>10</v>
      </c>
      <c r="W196" s="16" t="n">
        <f aca="false">IF(S196&gt;0,_xlfn.MINIFS(Data_RewardEvents!$E$2:$E$160,Data_RewardEvents!$B$2:$B$160,A196,Data_RewardEvents!$D$2:$D$160,"reward_credited"),"")</f>
        <v>46292.1545064678</v>
      </c>
      <c r="X196" s="17" t="n">
        <f aca="false">IF(W196="","",(W196-J196)*24)</f>
        <v>0.0468083794111111</v>
      </c>
      <c r="Y196" s="6" t="n">
        <f aca="false">IF(I196&lt;&gt;"",1,0)</f>
        <v>1</v>
      </c>
      <c r="Z196" s="6" t="n">
        <f aca="false">IF(K196="completed",1,0)</f>
        <v>1</v>
      </c>
      <c r="AA196" s="6" t="n">
        <f aca="false">IF(L196="validated",1,0)</f>
        <v>1</v>
      </c>
      <c r="AB196" s="6" t="n">
        <f aca="false">IF(S196&gt;0,1,0)</f>
        <v>1</v>
      </c>
    </row>
    <row r="197" customFormat="false" ht="15" hidden="false" customHeight="false" outlineLevel="0" collapsed="false">
      <c r="A197" s="6" t="s">
        <v>797</v>
      </c>
      <c r="B197" s="6" t="s">
        <v>381</v>
      </c>
      <c r="C197" s="6" t="s">
        <v>309</v>
      </c>
      <c r="D197" s="6" t="s">
        <v>435</v>
      </c>
      <c r="E197" s="6" t="s">
        <v>416</v>
      </c>
      <c r="F197" s="6" t="s">
        <v>158</v>
      </c>
      <c r="G197" s="6" t="s">
        <v>798</v>
      </c>
      <c r="H197" s="16" t="n">
        <v>46285.6819444444</v>
      </c>
      <c r="I197" s="16" t="n">
        <v>46285.6902777778</v>
      </c>
      <c r="J197" s="16" t="n">
        <v>46285.6968652245</v>
      </c>
      <c r="K197" s="6" t="s">
        <v>132</v>
      </c>
      <c r="L197" s="6" t="s">
        <v>137</v>
      </c>
      <c r="M197" s="6" t="n">
        <v>50</v>
      </c>
      <c r="N197" s="6" t="str">
        <f aca="false">README!$B$14</f>
        <v>points</v>
      </c>
      <c r="O197" s="6"/>
      <c r="P197" s="6"/>
      <c r="Q197" s="17" t="n">
        <f aca="false">IF(AND(I197&lt;&gt;"",J197&lt;&gt;""),(J197-I197)*1440,"")</f>
        <v>9.48592331608333</v>
      </c>
      <c r="R197" s="6" t="n">
        <f aca="false">COUNTIFS(Data_RewardEvents!$B$2:$B$160,A197,Data_RewardEvents!$D$2:$D$160,"reward_pending")</f>
        <v>1</v>
      </c>
      <c r="S197" s="6" t="n">
        <f aca="false">COUNTIFS(Data_RewardEvents!$B$2:$B$160,A197,Data_RewardEvents!$D$2:$D$160,"reward_credited")</f>
        <v>1</v>
      </c>
      <c r="T197" s="6" t="n">
        <f aca="false">COUNTIFS(Data_RewardEvents!$B$2:$B$160,A197,Data_RewardEvents!$D$2:$D$160,"reward_reversed")</f>
        <v>0</v>
      </c>
      <c r="U197" s="6" t="n">
        <f aca="false">COUNTIFS(Data_RewardEvents!$B$2:$B$160,A197,Data_RewardEvents!$D$2:$D$160,"reward_corrected")</f>
        <v>0</v>
      </c>
      <c r="V197" s="6" t="n">
        <f aca="false">SUMIFS(Data_RewardEvents!$F$2:$F$160,Data_RewardEvents!$B$2:$B$160,A197,Data_RewardEvents!$D$2:$D$160,"reward_credited")+SUMIFS(Data_RewardEvents!$F$2:$F$160,Data_RewardEvents!$B$2:$B$160,A197,Data_RewardEvents!$D$2:$D$160,"reward_reversed")+SUMIFS(Data_RewardEvents!$F$2:$F$160,Data_RewardEvents!$B$2:$B$160,A197,Data_RewardEvents!$D$2:$D$160,"reward_corrected")</f>
        <v>50</v>
      </c>
      <c r="W197" s="16" t="n">
        <f aca="false">IF(S197&gt;0,_xlfn.MINIFS(Data_RewardEvents!$E$2:$E$160,Data_RewardEvents!$B$2:$B$160,A197,Data_RewardEvents!$D$2:$D$160,"reward_credited"),"")</f>
        <v>46287.3570706129</v>
      </c>
      <c r="X197" s="17" t="n">
        <f aca="false">IF(W197="","",(W197-J197)*24)</f>
        <v>39.8449293213778</v>
      </c>
      <c r="Y197" s="6" t="n">
        <f aca="false">IF(I197&lt;&gt;"",1,0)</f>
        <v>1</v>
      </c>
      <c r="Z197" s="6" t="n">
        <f aca="false">IF(K197="completed",1,0)</f>
        <v>1</v>
      </c>
      <c r="AA197" s="6" t="n">
        <f aca="false">IF(L197="validated",1,0)</f>
        <v>1</v>
      </c>
      <c r="AB197" s="6" t="n">
        <f aca="false">IF(S197&gt;0,1,0)</f>
        <v>1</v>
      </c>
    </row>
    <row r="198" customFormat="false" ht="15" hidden="false" customHeight="false" outlineLevel="0" collapsed="false">
      <c r="A198" s="6" t="s">
        <v>799</v>
      </c>
      <c r="B198" s="6" t="s">
        <v>381</v>
      </c>
      <c r="C198" s="6" t="s">
        <v>309</v>
      </c>
      <c r="D198" s="6" t="s">
        <v>458</v>
      </c>
      <c r="E198" s="6" t="s">
        <v>416</v>
      </c>
      <c r="F198" s="6" t="s">
        <v>158</v>
      </c>
      <c r="G198" s="6" t="s">
        <v>800</v>
      </c>
      <c r="H198" s="16" t="n">
        <v>46290.3111111111</v>
      </c>
      <c r="I198" s="16" t="n">
        <v>46290.3201388889</v>
      </c>
      <c r="J198" s="16" t="n">
        <v>46290.3307543648</v>
      </c>
      <c r="K198" s="6" t="s">
        <v>132</v>
      </c>
      <c r="L198" s="6" t="s">
        <v>137</v>
      </c>
      <c r="M198" s="6" t="n">
        <v>50</v>
      </c>
      <c r="N198" s="6" t="str">
        <f aca="false">README!$B$14</f>
        <v>points</v>
      </c>
      <c r="O198" s="6"/>
      <c r="P198" s="6"/>
      <c r="Q198" s="17" t="n">
        <f aca="false">IF(AND(I198&lt;&gt;"",J198&lt;&gt;""),(J198-I198)*1440,"")</f>
        <v>15.2862852823333</v>
      </c>
      <c r="R198" s="6" t="n">
        <f aca="false">COUNTIFS(Data_RewardEvents!$B$2:$B$160,A198,Data_RewardEvents!$D$2:$D$160,"reward_pending")</f>
        <v>1</v>
      </c>
      <c r="S198" s="6" t="n">
        <f aca="false">COUNTIFS(Data_RewardEvents!$B$2:$B$160,A198,Data_RewardEvents!$D$2:$D$160,"reward_credited")</f>
        <v>1</v>
      </c>
      <c r="T198" s="6" t="n">
        <f aca="false">COUNTIFS(Data_RewardEvents!$B$2:$B$160,A198,Data_RewardEvents!$D$2:$D$160,"reward_reversed")</f>
        <v>0</v>
      </c>
      <c r="U198" s="6" t="n">
        <f aca="false">COUNTIFS(Data_RewardEvents!$B$2:$B$160,A198,Data_RewardEvents!$D$2:$D$160,"reward_corrected")</f>
        <v>0</v>
      </c>
      <c r="V198" s="6" t="n">
        <f aca="false">SUMIFS(Data_RewardEvents!$F$2:$F$160,Data_RewardEvents!$B$2:$B$160,A198,Data_RewardEvents!$D$2:$D$160,"reward_credited")+SUMIFS(Data_RewardEvents!$F$2:$F$160,Data_RewardEvents!$B$2:$B$160,A198,Data_RewardEvents!$D$2:$D$160,"reward_reversed")+SUMIFS(Data_RewardEvents!$F$2:$F$160,Data_RewardEvents!$B$2:$B$160,A198,Data_RewardEvents!$D$2:$D$160,"reward_corrected")</f>
        <v>50</v>
      </c>
      <c r="W198" s="16" t="n">
        <f aca="false">IF(S198&gt;0,_xlfn.MINIFS(Data_RewardEvents!$E$2:$E$160,Data_RewardEvents!$B$2:$B$160,A198,Data_RewardEvents!$D$2:$D$160,"reward_credited"),"")</f>
        <v>46291.4947403895</v>
      </c>
      <c r="X198" s="17" t="n">
        <f aca="false">IF(W198="","",(W198-J198)*24)</f>
        <v>27.93566459266</v>
      </c>
      <c r="Y198" s="6" t="n">
        <f aca="false">IF(I198&lt;&gt;"",1,0)</f>
        <v>1</v>
      </c>
      <c r="Z198" s="6" t="n">
        <f aca="false">IF(K198="completed",1,0)</f>
        <v>1</v>
      </c>
      <c r="AA198" s="6" t="n">
        <f aca="false">IF(L198="validated",1,0)</f>
        <v>1</v>
      </c>
      <c r="AB198" s="6" t="n">
        <f aca="false">IF(S198&gt;0,1,0)</f>
        <v>1</v>
      </c>
    </row>
    <row r="199" customFormat="false" ht="15" hidden="false" customHeight="false" outlineLevel="0" collapsed="false">
      <c r="A199" s="6" t="s">
        <v>801</v>
      </c>
      <c r="B199" s="6" t="s">
        <v>376</v>
      </c>
      <c r="C199" s="6" t="s">
        <v>302</v>
      </c>
      <c r="D199" s="6" t="s">
        <v>463</v>
      </c>
      <c r="E199" s="6" t="s">
        <v>378</v>
      </c>
      <c r="F199" s="6" t="s">
        <v>158</v>
      </c>
      <c r="G199" s="6" t="s">
        <v>802</v>
      </c>
      <c r="H199" s="16" t="n">
        <v>46289.5541666667</v>
      </c>
      <c r="I199" s="16" t="n">
        <v>46289.5583333333</v>
      </c>
      <c r="J199" s="16" t="n">
        <v>46289.5588753068</v>
      </c>
      <c r="K199" s="6" t="s">
        <v>132</v>
      </c>
      <c r="L199" s="6" t="s">
        <v>137</v>
      </c>
      <c r="M199" s="6" t="n">
        <v>5</v>
      </c>
      <c r="N199" s="6" t="str">
        <f aca="false">README!$B$14</f>
        <v>points</v>
      </c>
      <c r="O199" s="6"/>
      <c r="P199" s="6"/>
      <c r="Q199" s="17" t="n">
        <f aca="false">IF(AND(I199&lt;&gt;"",J199&lt;&gt;""),(J199-I199)*1440,"")</f>
        <v>0.780441738883334</v>
      </c>
      <c r="R199" s="6" t="n">
        <f aca="false">COUNTIFS(Data_RewardEvents!$B$2:$B$160,A199,Data_RewardEvents!$D$2:$D$160,"reward_pending")</f>
        <v>0</v>
      </c>
      <c r="S199" s="6" t="n">
        <f aca="false">COUNTIFS(Data_RewardEvents!$B$2:$B$160,A199,Data_RewardEvents!$D$2:$D$160,"reward_credited")</f>
        <v>1</v>
      </c>
      <c r="T199" s="6" t="n">
        <f aca="false">COUNTIFS(Data_RewardEvents!$B$2:$B$160,A199,Data_RewardEvents!$D$2:$D$160,"reward_reversed")</f>
        <v>0</v>
      </c>
      <c r="U199" s="6" t="n">
        <f aca="false">COUNTIFS(Data_RewardEvents!$B$2:$B$160,A199,Data_RewardEvents!$D$2:$D$160,"reward_corrected")</f>
        <v>0</v>
      </c>
      <c r="V199" s="6" t="n">
        <f aca="false">SUMIFS(Data_RewardEvents!$F$2:$F$160,Data_RewardEvents!$B$2:$B$160,A199,Data_RewardEvents!$D$2:$D$160,"reward_credited")+SUMIFS(Data_RewardEvents!$F$2:$F$160,Data_RewardEvents!$B$2:$B$160,A199,Data_RewardEvents!$D$2:$D$160,"reward_reversed")+SUMIFS(Data_RewardEvents!$F$2:$F$160,Data_RewardEvents!$B$2:$B$160,A199,Data_RewardEvents!$D$2:$D$160,"reward_corrected")</f>
        <v>5</v>
      </c>
      <c r="W199" s="16" t="n">
        <f aca="false">IF(S199&gt;0,_xlfn.MINIFS(Data_RewardEvents!$E$2:$E$160,Data_RewardEvents!$B$2:$B$160,A199,Data_RewardEvents!$D$2:$D$160,"reward_credited"),"")</f>
        <v>46289.5636416507</v>
      </c>
      <c r="X199" s="17" t="n">
        <f aca="false">IF(W199="","",(W199-J199)*24)</f>
        <v>0.114392253861111</v>
      </c>
      <c r="Y199" s="6" t="n">
        <f aca="false">IF(I199&lt;&gt;"",1,0)</f>
        <v>1</v>
      </c>
      <c r="Z199" s="6" t="n">
        <f aca="false">IF(K199="completed",1,0)</f>
        <v>1</v>
      </c>
      <c r="AA199" s="6" t="n">
        <f aca="false">IF(L199="validated",1,0)</f>
        <v>1</v>
      </c>
      <c r="AB199" s="6" t="n">
        <f aca="false">IF(S199&gt;0,1,0)</f>
        <v>1</v>
      </c>
    </row>
    <row r="200" customFormat="false" ht="15" hidden="false" customHeight="false" outlineLevel="0" collapsed="false">
      <c r="A200" s="6" t="s">
        <v>803</v>
      </c>
      <c r="B200" s="6" t="s">
        <v>403</v>
      </c>
      <c r="C200" s="6" t="s">
        <v>404</v>
      </c>
      <c r="D200" s="6" t="s">
        <v>483</v>
      </c>
      <c r="E200" s="6" t="s">
        <v>98</v>
      </c>
      <c r="F200" s="6" t="s">
        <v>406</v>
      </c>
      <c r="G200" s="6"/>
      <c r="H200" s="16" t="n">
        <v>46304.9833333333</v>
      </c>
      <c r="I200" s="16"/>
      <c r="J200" s="16"/>
      <c r="K200" s="6" t="s">
        <v>374</v>
      </c>
      <c r="L200" s="6"/>
      <c r="M200" s="6" t="n">
        <v>10</v>
      </c>
      <c r="N200" s="6" t="str">
        <f aca="false">README!$B$14</f>
        <v>points</v>
      </c>
      <c r="O200" s="6"/>
      <c r="P200" s="6"/>
      <c r="Q200" s="17" t="str">
        <f aca="false">IF(AND(I200&lt;&gt;"",J200&lt;&gt;""),(J200-I200)*1440,"")</f>
        <v/>
      </c>
      <c r="R200" s="6" t="n">
        <f aca="false">COUNTIFS(Data_RewardEvents!$B$2:$B$160,A200,Data_RewardEvents!$D$2:$D$160,"reward_pending")</f>
        <v>0</v>
      </c>
      <c r="S200" s="6" t="n">
        <f aca="false">COUNTIFS(Data_RewardEvents!$B$2:$B$160,A200,Data_RewardEvents!$D$2:$D$160,"reward_credited")</f>
        <v>0</v>
      </c>
      <c r="T200" s="6" t="n">
        <f aca="false">COUNTIFS(Data_RewardEvents!$B$2:$B$160,A200,Data_RewardEvents!$D$2:$D$160,"reward_reversed")</f>
        <v>0</v>
      </c>
      <c r="U200" s="6" t="n">
        <f aca="false">COUNTIFS(Data_RewardEvents!$B$2:$B$160,A200,Data_RewardEvents!$D$2:$D$160,"reward_corrected")</f>
        <v>0</v>
      </c>
      <c r="V200" s="6" t="n">
        <f aca="false">SUMIFS(Data_RewardEvents!$F$2:$F$160,Data_RewardEvents!$B$2:$B$160,A200,Data_RewardEvents!$D$2:$D$160,"reward_credited")+SUMIFS(Data_RewardEvents!$F$2:$F$160,Data_RewardEvents!$B$2:$B$160,A200,Data_RewardEvents!$D$2:$D$160,"reward_reversed")+SUMIFS(Data_RewardEvents!$F$2:$F$160,Data_RewardEvents!$B$2:$B$160,A200,Data_RewardEvents!$D$2:$D$160,"reward_corrected")</f>
        <v>0</v>
      </c>
      <c r="W200" s="16" t="str">
        <f aca="false">IF(S200&gt;0,_xlfn.MINIFS(Data_RewardEvents!$E$2:$E$160,Data_RewardEvents!$B$2:$B$160,A200,Data_RewardEvents!$D$2:$D$160,"reward_credited"),"")</f>
        <v/>
      </c>
      <c r="X200" s="17" t="str">
        <f aca="false">IF(W200="","",(W200-J200)*24)</f>
        <v/>
      </c>
      <c r="Y200" s="6" t="n">
        <f aca="false">IF(I200&lt;&gt;"",1,0)</f>
        <v>0</v>
      </c>
      <c r="Z200" s="6" t="n">
        <f aca="false">IF(K200="completed",1,0)</f>
        <v>0</v>
      </c>
      <c r="AA200" s="6" t="n">
        <f aca="false">IF(L200="validated",1,0)</f>
        <v>0</v>
      </c>
      <c r="AB200" s="6" t="n">
        <f aca="false">IF(S200&gt;0,1,0)</f>
        <v>0</v>
      </c>
    </row>
    <row r="201" customFormat="false" ht="15" hidden="false" customHeight="false" outlineLevel="0" collapsed="false">
      <c r="A201" s="6" t="s">
        <v>804</v>
      </c>
      <c r="B201" s="6" t="s">
        <v>376</v>
      </c>
      <c r="C201" s="6" t="s">
        <v>302</v>
      </c>
      <c r="D201" s="6" t="s">
        <v>805</v>
      </c>
      <c r="E201" s="6" t="s">
        <v>378</v>
      </c>
      <c r="F201" s="6" t="s">
        <v>158</v>
      </c>
      <c r="G201" s="6" t="s">
        <v>806</v>
      </c>
      <c r="H201" s="16" t="n">
        <v>46288.5034722222</v>
      </c>
      <c r="I201" s="16"/>
      <c r="J201" s="16"/>
      <c r="K201" s="6" t="s">
        <v>374</v>
      </c>
      <c r="L201" s="6"/>
      <c r="M201" s="6" t="n">
        <v>5</v>
      </c>
      <c r="N201" s="6" t="str">
        <f aca="false">README!$B$14</f>
        <v>points</v>
      </c>
      <c r="O201" s="6"/>
      <c r="P201" s="6"/>
      <c r="Q201" s="17" t="str">
        <f aca="false">IF(AND(I201&lt;&gt;"",J201&lt;&gt;""),(J201-I201)*1440,"")</f>
        <v/>
      </c>
      <c r="R201" s="6" t="n">
        <f aca="false">COUNTIFS(Data_RewardEvents!$B$2:$B$160,A201,Data_RewardEvents!$D$2:$D$160,"reward_pending")</f>
        <v>0</v>
      </c>
      <c r="S201" s="6" t="n">
        <f aca="false">COUNTIFS(Data_RewardEvents!$B$2:$B$160,A201,Data_RewardEvents!$D$2:$D$160,"reward_credited")</f>
        <v>0</v>
      </c>
      <c r="T201" s="6" t="n">
        <f aca="false">COUNTIFS(Data_RewardEvents!$B$2:$B$160,A201,Data_RewardEvents!$D$2:$D$160,"reward_reversed")</f>
        <v>0</v>
      </c>
      <c r="U201" s="6" t="n">
        <f aca="false">COUNTIFS(Data_RewardEvents!$B$2:$B$160,A201,Data_RewardEvents!$D$2:$D$160,"reward_corrected")</f>
        <v>0</v>
      </c>
      <c r="V201" s="6" t="n">
        <f aca="false">SUMIFS(Data_RewardEvents!$F$2:$F$160,Data_RewardEvents!$B$2:$B$160,A201,Data_RewardEvents!$D$2:$D$160,"reward_credited")+SUMIFS(Data_RewardEvents!$F$2:$F$160,Data_RewardEvents!$B$2:$B$160,A201,Data_RewardEvents!$D$2:$D$160,"reward_reversed")+SUMIFS(Data_RewardEvents!$F$2:$F$160,Data_RewardEvents!$B$2:$B$160,A201,Data_RewardEvents!$D$2:$D$160,"reward_corrected")</f>
        <v>0</v>
      </c>
      <c r="W201" s="16" t="str">
        <f aca="false">IF(S201&gt;0,_xlfn.MINIFS(Data_RewardEvents!$E$2:$E$160,Data_RewardEvents!$B$2:$B$160,A201,Data_RewardEvents!$D$2:$D$160,"reward_credited"),"")</f>
        <v/>
      </c>
      <c r="X201" s="17" t="str">
        <f aca="false">IF(W201="","",(W201-J201)*24)</f>
        <v/>
      </c>
      <c r="Y201" s="6" t="n">
        <f aca="false">IF(I201&lt;&gt;"",1,0)</f>
        <v>0</v>
      </c>
      <c r="Z201" s="6" t="n">
        <f aca="false">IF(K201="completed",1,0)</f>
        <v>0</v>
      </c>
      <c r="AA201" s="6" t="n">
        <f aca="false">IF(L201="validated",1,0)</f>
        <v>0</v>
      </c>
      <c r="AB201" s="6" t="n">
        <f aca="false">IF(S201&gt;0,1,0)</f>
        <v>0</v>
      </c>
    </row>
    <row r="202" customFormat="false" ht="15" hidden="false" customHeight="false" outlineLevel="0" collapsed="false">
      <c r="A202" s="6" t="s">
        <v>807</v>
      </c>
      <c r="B202" s="6" t="s">
        <v>376</v>
      </c>
      <c r="C202" s="6" t="s">
        <v>302</v>
      </c>
      <c r="D202" s="6" t="s">
        <v>382</v>
      </c>
      <c r="E202" s="6" t="s">
        <v>378</v>
      </c>
      <c r="F202" s="6" t="s">
        <v>158</v>
      </c>
      <c r="G202" s="6" t="s">
        <v>808</v>
      </c>
      <c r="H202" s="16" t="n">
        <v>46289.6715277778</v>
      </c>
      <c r="I202" s="16" t="n">
        <v>46289.6798611111</v>
      </c>
      <c r="J202" s="16" t="n">
        <v>46289.6804984341</v>
      </c>
      <c r="K202" s="6" t="s">
        <v>132</v>
      </c>
      <c r="L202" s="6" t="s">
        <v>137</v>
      </c>
      <c r="M202" s="6" t="n">
        <v>5</v>
      </c>
      <c r="N202" s="6" t="str">
        <f aca="false">README!$B$14</f>
        <v>points</v>
      </c>
      <c r="O202" s="6"/>
      <c r="P202" s="6"/>
      <c r="Q202" s="17" t="n">
        <f aca="false">IF(AND(I202&lt;&gt;"",J202&lt;&gt;""),(J202-I202)*1440,"")</f>
        <v>0.917745108016667</v>
      </c>
      <c r="R202" s="6" t="n">
        <f aca="false">COUNTIFS(Data_RewardEvents!$B$2:$B$160,A202,Data_RewardEvents!$D$2:$D$160,"reward_pending")</f>
        <v>0</v>
      </c>
      <c r="S202" s="6" t="n">
        <f aca="false">COUNTIFS(Data_RewardEvents!$B$2:$B$160,A202,Data_RewardEvents!$D$2:$D$160,"reward_credited")</f>
        <v>1</v>
      </c>
      <c r="T202" s="6" t="n">
        <f aca="false">COUNTIFS(Data_RewardEvents!$B$2:$B$160,A202,Data_RewardEvents!$D$2:$D$160,"reward_reversed")</f>
        <v>0</v>
      </c>
      <c r="U202" s="6" t="n">
        <f aca="false">COUNTIFS(Data_RewardEvents!$B$2:$B$160,A202,Data_RewardEvents!$D$2:$D$160,"reward_corrected")</f>
        <v>0</v>
      </c>
      <c r="V202" s="6" t="n">
        <f aca="false">SUMIFS(Data_RewardEvents!$F$2:$F$160,Data_RewardEvents!$B$2:$B$160,A202,Data_RewardEvents!$D$2:$D$160,"reward_credited")+SUMIFS(Data_RewardEvents!$F$2:$F$160,Data_RewardEvents!$B$2:$B$160,A202,Data_RewardEvents!$D$2:$D$160,"reward_reversed")+SUMIFS(Data_RewardEvents!$F$2:$F$160,Data_RewardEvents!$B$2:$B$160,A202,Data_RewardEvents!$D$2:$D$160,"reward_corrected")</f>
        <v>5</v>
      </c>
      <c r="W202" s="16" t="n">
        <f aca="false">IF(S202&gt;0,_xlfn.MINIFS(Data_RewardEvents!$E$2:$E$160,Data_RewardEvents!$B$2:$B$160,A202,Data_RewardEvents!$D$2:$D$160,"reward_credited"),"")</f>
        <v>46289.6822832677</v>
      </c>
      <c r="X202" s="17" t="n">
        <f aca="false">IF(W202="","",(W202-J202)*24)</f>
        <v>0.0428360067305556</v>
      </c>
      <c r="Y202" s="6" t="n">
        <f aca="false">IF(I202&lt;&gt;"",1,0)</f>
        <v>1</v>
      </c>
      <c r="Z202" s="6" t="n">
        <f aca="false">IF(K202="completed",1,0)</f>
        <v>1</v>
      </c>
      <c r="AA202" s="6" t="n">
        <f aca="false">IF(L202="validated",1,0)</f>
        <v>1</v>
      </c>
      <c r="AB202" s="6" t="n">
        <f aca="false">IF(S202&gt;0,1,0)</f>
        <v>1</v>
      </c>
    </row>
    <row r="203" customFormat="false" ht="15" hidden="false" customHeight="false" outlineLevel="0" collapsed="false">
      <c r="A203" s="6" t="s">
        <v>809</v>
      </c>
      <c r="B203" s="6" t="s">
        <v>376</v>
      </c>
      <c r="C203" s="6" t="s">
        <v>302</v>
      </c>
      <c r="D203" s="6" t="s">
        <v>582</v>
      </c>
      <c r="E203" s="6" t="s">
        <v>387</v>
      </c>
      <c r="F203" s="6" t="s">
        <v>158</v>
      </c>
      <c r="G203" s="6" t="s">
        <v>810</v>
      </c>
      <c r="H203" s="16" t="n">
        <v>46289.8131944445</v>
      </c>
      <c r="I203" s="16" t="n">
        <v>46289.8138888889</v>
      </c>
      <c r="J203" s="16" t="n">
        <v>46289.8146120797</v>
      </c>
      <c r="K203" s="6" t="s">
        <v>132</v>
      </c>
      <c r="L203" s="6" t="s">
        <v>137</v>
      </c>
      <c r="M203" s="6" t="n">
        <v>5</v>
      </c>
      <c r="N203" s="6" t="str">
        <f aca="false">README!$B$14</f>
        <v>points</v>
      </c>
      <c r="O203" s="6"/>
      <c r="P203" s="6"/>
      <c r="Q203" s="17" t="n">
        <f aca="false">IF(AND(I203&lt;&gt;"",J203&lt;&gt;""),(J203-I203)*1440,"")</f>
        <v>1.04139480738333</v>
      </c>
      <c r="R203" s="6" t="n">
        <f aca="false">COUNTIFS(Data_RewardEvents!$B$2:$B$160,A203,Data_RewardEvents!$D$2:$D$160,"reward_pending")</f>
        <v>0</v>
      </c>
      <c r="S203" s="6" t="n">
        <f aca="false">COUNTIFS(Data_RewardEvents!$B$2:$B$160,A203,Data_RewardEvents!$D$2:$D$160,"reward_credited")</f>
        <v>1</v>
      </c>
      <c r="T203" s="6" t="n">
        <f aca="false">COUNTIFS(Data_RewardEvents!$B$2:$B$160,A203,Data_RewardEvents!$D$2:$D$160,"reward_reversed")</f>
        <v>0</v>
      </c>
      <c r="U203" s="6" t="n">
        <f aca="false">COUNTIFS(Data_RewardEvents!$B$2:$B$160,A203,Data_RewardEvents!$D$2:$D$160,"reward_corrected")</f>
        <v>0</v>
      </c>
      <c r="V203" s="6" t="n">
        <f aca="false">SUMIFS(Data_RewardEvents!$F$2:$F$160,Data_RewardEvents!$B$2:$B$160,A203,Data_RewardEvents!$D$2:$D$160,"reward_credited")+SUMIFS(Data_RewardEvents!$F$2:$F$160,Data_RewardEvents!$B$2:$B$160,A203,Data_RewardEvents!$D$2:$D$160,"reward_reversed")+SUMIFS(Data_RewardEvents!$F$2:$F$160,Data_RewardEvents!$B$2:$B$160,A203,Data_RewardEvents!$D$2:$D$160,"reward_corrected")</f>
        <v>5</v>
      </c>
      <c r="W203" s="16" t="n">
        <f aca="false">IF(S203&gt;0,_xlfn.MINIFS(Data_RewardEvents!$E$2:$E$160,Data_RewardEvents!$B$2:$B$160,A203,Data_RewardEvents!$D$2:$D$160,"reward_credited"),"")</f>
        <v>46289.8186723766</v>
      </c>
      <c r="X203" s="17" t="n">
        <f aca="false">IF(W203="","",(W203-J203)*24)</f>
        <v>0.0974471239022222</v>
      </c>
      <c r="Y203" s="6" t="n">
        <f aca="false">IF(I203&lt;&gt;"",1,0)</f>
        <v>1</v>
      </c>
      <c r="Z203" s="6" t="n">
        <f aca="false">IF(K203="completed",1,0)</f>
        <v>1</v>
      </c>
      <c r="AA203" s="6" t="n">
        <f aca="false">IF(L203="validated",1,0)</f>
        <v>1</v>
      </c>
      <c r="AB203" s="6" t="n">
        <f aca="false">IF(S203&gt;0,1,0)</f>
        <v>1</v>
      </c>
    </row>
    <row r="204" customFormat="false" ht="15" hidden="false" customHeight="false" outlineLevel="0" collapsed="false">
      <c r="A204" s="6" t="s">
        <v>811</v>
      </c>
      <c r="B204" s="6" t="s">
        <v>370</v>
      </c>
      <c r="C204" s="6" t="s">
        <v>316</v>
      </c>
      <c r="D204" s="6" t="s">
        <v>443</v>
      </c>
      <c r="E204" s="6" t="s">
        <v>372</v>
      </c>
      <c r="F204" s="6" t="s">
        <v>158</v>
      </c>
      <c r="G204" s="6" t="s">
        <v>812</v>
      </c>
      <c r="H204" s="16" t="n">
        <v>46295.25</v>
      </c>
      <c r="I204" s="16"/>
      <c r="J204" s="16"/>
      <c r="K204" s="6" t="s">
        <v>374</v>
      </c>
      <c r="L204" s="6"/>
      <c r="M204" s="6" t="n">
        <v>100</v>
      </c>
      <c r="N204" s="6" t="str">
        <f aca="false">README!$B$14</f>
        <v>points</v>
      </c>
      <c r="O204" s="6"/>
      <c r="P204" s="6"/>
      <c r="Q204" s="17" t="str">
        <f aca="false">IF(AND(I204&lt;&gt;"",J204&lt;&gt;""),(J204-I204)*1440,"")</f>
        <v/>
      </c>
      <c r="R204" s="6" t="n">
        <f aca="false">COUNTIFS(Data_RewardEvents!$B$2:$B$160,A204,Data_RewardEvents!$D$2:$D$160,"reward_pending")</f>
        <v>0</v>
      </c>
      <c r="S204" s="6" t="n">
        <f aca="false">COUNTIFS(Data_RewardEvents!$B$2:$B$160,A204,Data_RewardEvents!$D$2:$D$160,"reward_credited")</f>
        <v>0</v>
      </c>
      <c r="T204" s="6" t="n">
        <f aca="false">COUNTIFS(Data_RewardEvents!$B$2:$B$160,A204,Data_RewardEvents!$D$2:$D$160,"reward_reversed")</f>
        <v>0</v>
      </c>
      <c r="U204" s="6" t="n">
        <f aca="false">COUNTIFS(Data_RewardEvents!$B$2:$B$160,A204,Data_RewardEvents!$D$2:$D$160,"reward_corrected")</f>
        <v>0</v>
      </c>
      <c r="V204" s="6" t="n">
        <f aca="false">SUMIFS(Data_RewardEvents!$F$2:$F$160,Data_RewardEvents!$B$2:$B$160,A204,Data_RewardEvents!$D$2:$D$160,"reward_credited")+SUMIFS(Data_RewardEvents!$F$2:$F$160,Data_RewardEvents!$B$2:$B$160,A204,Data_RewardEvents!$D$2:$D$160,"reward_reversed")+SUMIFS(Data_RewardEvents!$F$2:$F$160,Data_RewardEvents!$B$2:$B$160,A204,Data_RewardEvents!$D$2:$D$160,"reward_corrected")</f>
        <v>0</v>
      </c>
      <c r="W204" s="16" t="str">
        <f aca="false">IF(S204&gt;0,_xlfn.MINIFS(Data_RewardEvents!$E$2:$E$160,Data_RewardEvents!$B$2:$B$160,A204,Data_RewardEvents!$D$2:$D$160,"reward_credited"),"")</f>
        <v/>
      </c>
      <c r="X204" s="17" t="str">
        <f aca="false">IF(W204="","",(W204-J204)*24)</f>
        <v/>
      </c>
      <c r="Y204" s="6" t="n">
        <f aca="false">IF(I204&lt;&gt;"",1,0)</f>
        <v>0</v>
      </c>
      <c r="Z204" s="6" t="n">
        <f aca="false">IF(K204="completed",1,0)</f>
        <v>0</v>
      </c>
      <c r="AA204" s="6" t="n">
        <f aca="false">IF(L204="validated",1,0)</f>
        <v>0</v>
      </c>
      <c r="AB204" s="6" t="n">
        <f aca="false">IF(S204&gt;0,1,0)</f>
        <v>0</v>
      </c>
    </row>
    <row r="205" customFormat="false" ht="15" hidden="false" customHeight="false" outlineLevel="0" collapsed="false">
      <c r="A205" s="6" t="s">
        <v>813</v>
      </c>
      <c r="B205" s="6" t="s">
        <v>403</v>
      </c>
      <c r="C205" s="6" t="s">
        <v>404</v>
      </c>
      <c r="D205" s="6" t="s">
        <v>517</v>
      </c>
      <c r="E205" s="6" t="s">
        <v>98</v>
      </c>
      <c r="F205" s="6" t="s">
        <v>406</v>
      </c>
      <c r="G205" s="6"/>
      <c r="H205" s="16" t="n">
        <v>46288.1909722222</v>
      </c>
      <c r="I205" s="16" t="n">
        <v>46288.20625</v>
      </c>
      <c r="J205" s="16" t="n">
        <v>46288.2080689721</v>
      </c>
      <c r="K205" s="6" t="s">
        <v>132</v>
      </c>
      <c r="L205" s="6" t="s">
        <v>137</v>
      </c>
      <c r="M205" s="6" t="n">
        <v>10</v>
      </c>
      <c r="N205" s="6" t="str">
        <f aca="false">README!$B$14</f>
        <v>points</v>
      </c>
      <c r="O205" s="6"/>
      <c r="P205" s="6"/>
      <c r="Q205" s="17" t="n">
        <f aca="false">IF(AND(I205&lt;&gt;"",J205&lt;&gt;""),(J205-I205)*1440,"")</f>
        <v>2.61931975255</v>
      </c>
      <c r="R205" s="6" t="n">
        <f aca="false">COUNTIFS(Data_RewardEvents!$B$2:$B$160,A205,Data_RewardEvents!$D$2:$D$160,"reward_pending")</f>
        <v>0</v>
      </c>
      <c r="S205" s="6" t="n">
        <f aca="false">COUNTIFS(Data_RewardEvents!$B$2:$B$160,A205,Data_RewardEvents!$D$2:$D$160,"reward_credited")</f>
        <v>1</v>
      </c>
      <c r="T205" s="6" t="n">
        <f aca="false">COUNTIFS(Data_RewardEvents!$B$2:$B$160,A205,Data_RewardEvents!$D$2:$D$160,"reward_reversed")</f>
        <v>0</v>
      </c>
      <c r="U205" s="6" t="n">
        <f aca="false">COUNTIFS(Data_RewardEvents!$B$2:$B$160,A205,Data_RewardEvents!$D$2:$D$160,"reward_corrected")</f>
        <v>0</v>
      </c>
      <c r="V205" s="6" t="n">
        <f aca="false">SUMIFS(Data_RewardEvents!$F$2:$F$160,Data_RewardEvents!$B$2:$B$160,A205,Data_RewardEvents!$D$2:$D$160,"reward_credited")+SUMIFS(Data_RewardEvents!$F$2:$F$160,Data_RewardEvents!$B$2:$B$160,A205,Data_RewardEvents!$D$2:$D$160,"reward_reversed")+SUMIFS(Data_RewardEvents!$F$2:$F$160,Data_RewardEvents!$B$2:$B$160,A205,Data_RewardEvents!$D$2:$D$160,"reward_corrected")</f>
        <v>10</v>
      </c>
      <c r="W205" s="16" t="n">
        <f aca="false">IF(S205&gt;0,_xlfn.MINIFS(Data_RewardEvents!$E$2:$E$160,Data_RewardEvents!$B$2:$B$160,A205,Data_RewardEvents!$D$2:$D$160,"reward_credited"),"")</f>
        <v>46288.2129087191</v>
      </c>
      <c r="X205" s="17" t="n">
        <f aca="false">IF(W205="","",(W205-J205)*24)</f>
        <v>0.116153930139167</v>
      </c>
      <c r="Y205" s="6" t="n">
        <f aca="false">IF(I205&lt;&gt;"",1,0)</f>
        <v>1</v>
      </c>
      <c r="Z205" s="6" t="n">
        <f aca="false">IF(K205="completed",1,0)</f>
        <v>1</v>
      </c>
      <c r="AA205" s="6" t="n">
        <f aca="false">IF(L205="validated",1,0)</f>
        <v>1</v>
      </c>
      <c r="AB205" s="6" t="n">
        <f aca="false">IF(S205&gt;0,1,0)</f>
        <v>1</v>
      </c>
    </row>
    <row r="206" customFormat="false" ht="15" hidden="false" customHeight="false" outlineLevel="0" collapsed="false">
      <c r="A206" s="6" t="s">
        <v>814</v>
      </c>
      <c r="B206" s="6" t="s">
        <v>381</v>
      </c>
      <c r="C206" s="6" t="s">
        <v>309</v>
      </c>
      <c r="D206" s="6" t="s">
        <v>483</v>
      </c>
      <c r="E206" s="6" t="s">
        <v>416</v>
      </c>
      <c r="F206" s="6" t="s">
        <v>158</v>
      </c>
      <c r="G206" s="6" t="s">
        <v>815</v>
      </c>
      <c r="H206" s="16" t="n">
        <v>46297.7486111111</v>
      </c>
      <c r="I206" s="16" t="n">
        <v>46297.7520833333</v>
      </c>
      <c r="J206" s="16" t="n">
        <v>46297.7624029765</v>
      </c>
      <c r="K206" s="6" t="s">
        <v>132</v>
      </c>
      <c r="L206" s="6" t="s">
        <v>137</v>
      </c>
      <c r="M206" s="6" t="n">
        <v>50</v>
      </c>
      <c r="N206" s="6" t="str">
        <f aca="false">README!$B$14</f>
        <v>points</v>
      </c>
      <c r="O206" s="6"/>
      <c r="P206" s="6"/>
      <c r="Q206" s="17" t="n">
        <f aca="false">IF(AND(I206&lt;&gt;"",J206&lt;&gt;""),(J206-I206)*1440,"")</f>
        <v>14.86028617015</v>
      </c>
      <c r="R206" s="6" t="n">
        <f aca="false">COUNTIFS(Data_RewardEvents!$B$2:$B$160,A206,Data_RewardEvents!$D$2:$D$160,"reward_pending")</f>
        <v>1</v>
      </c>
      <c r="S206" s="6" t="n">
        <f aca="false">COUNTIFS(Data_RewardEvents!$B$2:$B$160,A206,Data_RewardEvents!$D$2:$D$160,"reward_credited")</f>
        <v>1</v>
      </c>
      <c r="T206" s="6" t="n">
        <f aca="false">COUNTIFS(Data_RewardEvents!$B$2:$B$160,A206,Data_RewardEvents!$D$2:$D$160,"reward_reversed")</f>
        <v>0</v>
      </c>
      <c r="U206" s="6" t="n">
        <f aca="false">COUNTIFS(Data_RewardEvents!$B$2:$B$160,A206,Data_RewardEvents!$D$2:$D$160,"reward_corrected")</f>
        <v>0</v>
      </c>
      <c r="V206" s="6" t="n">
        <f aca="false">SUMIFS(Data_RewardEvents!$F$2:$F$160,Data_RewardEvents!$B$2:$B$160,A206,Data_RewardEvents!$D$2:$D$160,"reward_credited")+SUMIFS(Data_RewardEvents!$F$2:$F$160,Data_RewardEvents!$B$2:$B$160,A206,Data_RewardEvents!$D$2:$D$160,"reward_reversed")+SUMIFS(Data_RewardEvents!$F$2:$F$160,Data_RewardEvents!$B$2:$B$160,A206,Data_RewardEvents!$D$2:$D$160,"reward_corrected")</f>
        <v>50</v>
      </c>
      <c r="W206" s="16" t="n">
        <f aca="false">IF(S206&gt;0,_xlfn.MINIFS(Data_RewardEvents!$E$2:$E$160,Data_RewardEvents!$B$2:$B$160,A206,Data_RewardEvents!$D$2:$D$160,"reward_credited"),"")</f>
        <v>46300.5838111581</v>
      </c>
      <c r="X206" s="17" t="n">
        <f aca="false">IF(W206="","",(W206-J206)*24)</f>
        <v>67.7137963583225</v>
      </c>
      <c r="Y206" s="6" t="n">
        <f aca="false">IF(I206&lt;&gt;"",1,0)</f>
        <v>1</v>
      </c>
      <c r="Z206" s="6" t="n">
        <f aca="false">IF(K206="completed",1,0)</f>
        <v>1</v>
      </c>
      <c r="AA206" s="6" t="n">
        <f aca="false">IF(L206="validated",1,0)</f>
        <v>1</v>
      </c>
      <c r="AB206" s="6" t="n">
        <f aca="false">IF(S206&gt;0,1,0)</f>
        <v>1</v>
      </c>
    </row>
    <row r="207" customFormat="false" ht="15" hidden="false" customHeight="false" outlineLevel="0" collapsed="false">
      <c r="A207" s="6" t="s">
        <v>816</v>
      </c>
      <c r="B207" s="6" t="s">
        <v>403</v>
      </c>
      <c r="C207" s="6" t="s">
        <v>404</v>
      </c>
      <c r="D207" s="6" t="s">
        <v>600</v>
      </c>
      <c r="E207" s="6" t="s">
        <v>98</v>
      </c>
      <c r="F207" s="6" t="s">
        <v>406</v>
      </c>
      <c r="G207" s="6"/>
      <c r="H207" s="16" t="n">
        <v>46289.1645833333</v>
      </c>
      <c r="I207" s="16"/>
      <c r="J207" s="16"/>
      <c r="K207" s="6" t="s">
        <v>374</v>
      </c>
      <c r="L207" s="6"/>
      <c r="M207" s="6" t="n">
        <v>10</v>
      </c>
      <c r="N207" s="6" t="str">
        <f aca="false">README!$B$14</f>
        <v>points</v>
      </c>
      <c r="O207" s="6"/>
      <c r="P207" s="6"/>
      <c r="Q207" s="17" t="str">
        <f aca="false">IF(AND(I207&lt;&gt;"",J207&lt;&gt;""),(J207-I207)*1440,"")</f>
        <v/>
      </c>
      <c r="R207" s="6" t="n">
        <f aca="false">COUNTIFS(Data_RewardEvents!$B$2:$B$160,A207,Data_RewardEvents!$D$2:$D$160,"reward_pending")</f>
        <v>0</v>
      </c>
      <c r="S207" s="6" t="n">
        <f aca="false">COUNTIFS(Data_RewardEvents!$B$2:$B$160,A207,Data_RewardEvents!$D$2:$D$160,"reward_credited")</f>
        <v>0</v>
      </c>
      <c r="T207" s="6" t="n">
        <f aca="false">COUNTIFS(Data_RewardEvents!$B$2:$B$160,A207,Data_RewardEvents!$D$2:$D$160,"reward_reversed")</f>
        <v>0</v>
      </c>
      <c r="U207" s="6" t="n">
        <f aca="false">COUNTIFS(Data_RewardEvents!$B$2:$B$160,A207,Data_RewardEvents!$D$2:$D$160,"reward_corrected")</f>
        <v>0</v>
      </c>
      <c r="V207" s="6" t="n">
        <f aca="false">SUMIFS(Data_RewardEvents!$F$2:$F$160,Data_RewardEvents!$B$2:$B$160,A207,Data_RewardEvents!$D$2:$D$160,"reward_credited")+SUMIFS(Data_RewardEvents!$F$2:$F$160,Data_RewardEvents!$B$2:$B$160,A207,Data_RewardEvents!$D$2:$D$160,"reward_reversed")+SUMIFS(Data_RewardEvents!$F$2:$F$160,Data_RewardEvents!$B$2:$B$160,A207,Data_RewardEvents!$D$2:$D$160,"reward_corrected")</f>
        <v>0</v>
      </c>
      <c r="W207" s="16" t="str">
        <f aca="false">IF(S207&gt;0,_xlfn.MINIFS(Data_RewardEvents!$E$2:$E$160,Data_RewardEvents!$B$2:$B$160,A207,Data_RewardEvents!$D$2:$D$160,"reward_credited"),"")</f>
        <v/>
      </c>
      <c r="X207" s="17" t="str">
        <f aca="false">IF(W207="","",(W207-J207)*24)</f>
        <v/>
      </c>
      <c r="Y207" s="6" t="n">
        <f aca="false">IF(I207&lt;&gt;"",1,0)</f>
        <v>0</v>
      </c>
      <c r="Z207" s="6" t="n">
        <f aca="false">IF(K207="completed",1,0)</f>
        <v>0</v>
      </c>
      <c r="AA207" s="6" t="n">
        <f aca="false">IF(L207="validated",1,0)</f>
        <v>0</v>
      </c>
      <c r="AB207" s="6" t="n">
        <f aca="false">IF(S207&gt;0,1,0)</f>
        <v>0</v>
      </c>
    </row>
    <row r="208" customFormat="false" ht="15" hidden="false" customHeight="false" outlineLevel="0" collapsed="false">
      <c r="A208" s="6" t="s">
        <v>817</v>
      </c>
      <c r="B208" s="6" t="s">
        <v>403</v>
      </c>
      <c r="C208" s="6" t="s">
        <v>404</v>
      </c>
      <c r="D208" s="6" t="s">
        <v>400</v>
      </c>
      <c r="E208" s="6" t="s">
        <v>98</v>
      </c>
      <c r="F208" s="6" t="s">
        <v>406</v>
      </c>
      <c r="G208" s="6"/>
      <c r="H208" s="16" t="n">
        <v>46298.6701388889</v>
      </c>
      <c r="I208" s="16" t="n">
        <v>46298.6861111111</v>
      </c>
      <c r="J208" s="16" t="n">
        <v>46298.687176935</v>
      </c>
      <c r="K208" s="6" t="s">
        <v>132</v>
      </c>
      <c r="L208" s="6" t="s">
        <v>137</v>
      </c>
      <c r="M208" s="6" t="n">
        <v>10</v>
      </c>
      <c r="N208" s="6" t="str">
        <f aca="false">README!$B$14</f>
        <v>points</v>
      </c>
      <c r="O208" s="6"/>
      <c r="P208" s="6"/>
      <c r="Q208" s="17" t="n">
        <f aca="false">IF(AND(I208&lt;&gt;"",J208&lt;&gt;""),(J208-I208)*1440,"")</f>
        <v>1.5347863594</v>
      </c>
      <c r="R208" s="6" t="n">
        <f aca="false">COUNTIFS(Data_RewardEvents!$B$2:$B$160,A208,Data_RewardEvents!$D$2:$D$160,"reward_pending")</f>
        <v>0</v>
      </c>
      <c r="S208" s="6" t="n">
        <f aca="false">COUNTIFS(Data_RewardEvents!$B$2:$B$160,A208,Data_RewardEvents!$D$2:$D$160,"reward_credited")</f>
        <v>1</v>
      </c>
      <c r="T208" s="6" t="n">
        <f aca="false">COUNTIFS(Data_RewardEvents!$B$2:$B$160,A208,Data_RewardEvents!$D$2:$D$160,"reward_reversed")</f>
        <v>0</v>
      </c>
      <c r="U208" s="6" t="n">
        <f aca="false">COUNTIFS(Data_RewardEvents!$B$2:$B$160,A208,Data_RewardEvents!$D$2:$D$160,"reward_corrected")</f>
        <v>0</v>
      </c>
      <c r="V208" s="6" t="n">
        <f aca="false">SUMIFS(Data_RewardEvents!$F$2:$F$160,Data_RewardEvents!$B$2:$B$160,A208,Data_RewardEvents!$D$2:$D$160,"reward_credited")+SUMIFS(Data_RewardEvents!$F$2:$F$160,Data_RewardEvents!$B$2:$B$160,A208,Data_RewardEvents!$D$2:$D$160,"reward_reversed")+SUMIFS(Data_RewardEvents!$F$2:$F$160,Data_RewardEvents!$B$2:$B$160,A208,Data_RewardEvents!$D$2:$D$160,"reward_corrected")</f>
        <v>10</v>
      </c>
      <c r="W208" s="16" t="n">
        <f aca="false">IF(S208&gt;0,_xlfn.MINIFS(Data_RewardEvents!$E$2:$E$160,Data_RewardEvents!$B$2:$B$160,A208,Data_RewardEvents!$D$2:$D$160,"reward_credited"),"")</f>
        <v>46298.6906255246</v>
      </c>
      <c r="X208" s="17" t="n">
        <f aca="false">IF(W208="","",(W208-J208)*24)</f>
        <v>0.0827661522197222</v>
      </c>
      <c r="Y208" s="6" t="n">
        <f aca="false">IF(I208&lt;&gt;"",1,0)</f>
        <v>1</v>
      </c>
      <c r="Z208" s="6" t="n">
        <f aca="false">IF(K208="completed",1,0)</f>
        <v>1</v>
      </c>
      <c r="AA208" s="6" t="n">
        <f aca="false">IF(L208="validated",1,0)</f>
        <v>1</v>
      </c>
      <c r="AB208" s="6" t="n">
        <f aca="false">IF(S208&gt;0,1,0)</f>
        <v>1</v>
      </c>
    </row>
    <row r="209" customFormat="false" ht="15" hidden="false" customHeight="false" outlineLevel="0" collapsed="false">
      <c r="A209" s="6" t="s">
        <v>818</v>
      </c>
      <c r="B209" s="6" t="s">
        <v>376</v>
      </c>
      <c r="C209" s="6" t="s">
        <v>302</v>
      </c>
      <c r="D209" s="6" t="s">
        <v>377</v>
      </c>
      <c r="E209" s="6" t="s">
        <v>387</v>
      </c>
      <c r="F209" s="6" t="s">
        <v>158</v>
      </c>
      <c r="G209" s="6" t="s">
        <v>819</v>
      </c>
      <c r="H209" s="16" t="n">
        <v>46295.225</v>
      </c>
      <c r="I209" s="16" t="n">
        <v>46295.2395833333</v>
      </c>
      <c r="J209" s="16" t="n">
        <v>46295.2403828891</v>
      </c>
      <c r="K209" s="6" t="s">
        <v>132</v>
      </c>
      <c r="L209" s="6" t="s">
        <v>137</v>
      </c>
      <c r="M209" s="6" t="n">
        <v>5</v>
      </c>
      <c r="N209" s="6" t="str">
        <f aca="false">README!$B$14</f>
        <v>points</v>
      </c>
      <c r="O209" s="6"/>
      <c r="P209" s="6"/>
      <c r="Q209" s="17" t="n">
        <f aca="false">IF(AND(I209&lt;&gt;"",J209&lt;&gt;""),(J209-I209)*1440,"")</f>
        <v>1.151360285</v>
      </c>
      <c r="R209" s="6" t="n">
        <f aca="false">COUNTIFS(Data_RewardEvents!$B$2:$B$160,A209,Data_RewardEvents!$D$2:$D$160,"reward_pending")</f>
        <v>0</v>
      </c>
      <c r="S209" s="6" t="n">
        <f aca="false">COUNTIFS(Data_RewardEvents!$B$2:$B$160,A209,Data_RewardEvents!$D$2:$D$160,"reward_credited")</f>
        <v>1</v>
      </c>
      <c r="T209" s="6" t="n">
        <f aca="false">COUNTIFS(Data_RewardEvents!$B$2:$B$160,A209,Data_RewardEvents!$D$2:$D$160,"reward_reversed")</f>
        <v>0</v>
      </c>
      <c r="U209" s="6" t="n">
        <f aca="false">COUNTIFS(Data_RewardEvents!$B$2:$B$160,A209,Data_RewardEvents!$D$2:$D$160,"reward_corrected")</f>
        <v>0</v>
      </c>
      <c r="V209" s="6" t="n">
        <f aca="false">SUMIFS(Data_RewardEvents!$F$2:$F$160,Data_RewardEvents!$B$2:$B$160,A209,Data_RewardEvents!$D$2:$D$160,"reward_credited")+SUMIFS(Data_RewardEvents!$F$2:$F$160,Data_RewardEvents!$B$2:$B$160,A209,Data_RewardEvents!$D$2:$D$160,"reward_reversed")+SUMIFS(Data_RewardEvents!$F$2:$F$160,Data_RewardEvents!$B$2:$B$160,A209,Data_RewardEvents!$D$2:$D$160,"reward_corrected")</f>
        <v>5</v>
      </c>
      <c r="W209" s="16" t="n">
        <f aca="false">IF(S209&gt;0,_xlfn.MINIFS(Data_RewardEvents!$E$2:$E$160,Data_RewardEvents!$B$2:$B$160,A209,Data_RewardEvents!$D$2:$D$160,"reward_credited"),"")</f>
        <v>46295.2444436462</v>
      </c>
      <c r="X209" s="17" t="n">
        <f aca="false">IF(W209="","",(W209-J209)*24)</f>
        <v>0.0974581705522222</v>
      </c>
      <c r="Y209" s="6" t="n">
        <f aca="false">IF(I209&lt;&gt;"",1,0)</f>
        <v>1</v>
      </c>
      <c r="Z209" s="6" t="n">
        <f aca="false">IF(K209="completed",1,0)</f>
        <v>1</v>
      </c>
      <c r="AA209" s="6" t="n">
        <f aca="false">IF(L209="validated",1,0)</f>
        <v>1</v>
      </c>
      <c r="AB209" s="6" t="n">
        <f aca="false">IF(S209&gt;0,1,0)</f>
        <v>1</v>
      </c>
    </row>
    <row r="210" customFormat="false" ht="15" hidden="false" customHeight="false" outlineLevel="0" collapsed="false">
      <c r="A210" s="6" t="s">
        <v>820</v>
      </c>
      <c r="B210" s="6" t="s">
        <v>365</v>
      </c>
      <c r="C210" s="6" t="s">
        <v>323</v>
      </c>
      <c r="D210" s="6" t="s">
        <v>556</v>
      </c>
      <c r="E210" s="6" t="s">
        <v>444</v>
      </c>
      <c r="F210" s="6" t="s">
        <v>158</v>
      </c>
      <c r="G210" s="6" t="s">
        <v>821</v>
      </c>
      <c r="H210" s="16" t="n">
        <v>46290.4361111111</v>
      </c>
      <c r="I210" s="16" t="n">
        <v>46290.4513888889</v>
      </c>
      <c r="J210" s="16" t="n">
        <v>46290.4733092742</v>
      </c>
      <c r="K210" s="6" t="s">
        <v>132</v>
      </c>
      <c r="L210" s="6" t="s">
        <v>137</v>
      </c>
      <c r="M210" s="6" t="n">
        <v>30</v>
      </c>
      <c r="N210" s="6" t="str">
        <f aca="false">README!$B$14</f>
        <v>points</v>
      </c>
      <c r="O210" s="6"/>
      <c r="P210" s="6"/>
      <c r="Q210" s="17" t="n">
        <f aca="false">IF(AND(I210&lt;&gt;"",J210&lt;&gt;""),(J210-I210)*1440,"")</f>
        <v>31.5653549018167</v>
      </c>
      <c r="R210" s="6" t="n">
        <f aca="false">COUNTIFS(Data_RewardEvents!$B$2:$B$160,A210,Data_RewardEvents!$D$2:$D$160,"reward_pending")</f>
        <v>1</v>
      </c>
      <c r="S210" s="6" t="n">
        <f aca="false">COUNTIFS(Data_RewardEvents!$B$2:$B$160,A210,Data_RewardEvents!$D$2:$D$160,"reward_credited")</f>
        <v>1</v>
      </c>
      <c r="T210" s="6" t="n">
        <f aca="false">COUNTIFS(Data_RewardEvents!$B$2:$B$160,A210,Data_RewardEvents!$D$2:$D$160,"reward_reversed")</f>
        <v>0</v>
      </c>
      <c r="U210" s="6" t="n">
        <f aca="false">COUNTIFS(Data_RewardEvents!$B$2:$B$160,A210,Data_RewardEvents!$D$2:$D$160,"reward_corrected")</f>
        <v>0</v>
      </c>
      <c r="V210" s="6" t="n">
        <f aca="false">SUMIFS(Data_RewardEvents!$F$2:$F$160,Data_RewardEvents!$B$2:$B$160,A210,Data_RewardEvents!$D$2:$D$160,"reward_credited")+SUMIFS(Data_RewardEvents!$F$2:$F$160,Data_RewardEvents!$B$2:$B$160,A210,Data_RewardEvents!$D$2:$D$160,"reward_reversed")+SUMIFS(Data_RewardEvents!$F$2:$F$160,Data_RewardEvents!$B$2:$B$160,A210,Data_RewardEvents!$D$2:$D$160,"reward_corrected")</f>
        <v>30</v>
      </c>
      <c r="W210" s="16" t="n">
        <f aca="false">IF(S210&gt;0,_xlfn.MINIFS(Data_RewardEvents!$E$2:$E$160,Data_RewardEvents!$B$2:$B$160,A210,Data_RewardEvents!$D$2:$D$160,"reward_credited"),"")</f>
        <v>46292.4763423946</v>
      </c>
      <c r="X210" s="17" t="n">
        <f aca="false">IF(W210="","",(W210-J210)*24)</f>
        <v>48.0727948891581</v>
      </c>
      <c r="Y210" s="6" t="n">
        <f aca="false">IF(I210&lt;&gt;"",1,0)</f>
        <v>1</v>
      </c>
      <c r="Z210" s="6" t="n">
        <f aca="false">IF(K210="completed",1,0)</f>
        <v>1</v>
      </c>
      <c r="AA210" s="6" t="n">
        <f aca="false">IF(L210="validated",1,0)</f>
        <v>1</v>
      </c>
      <c r="AB210" s="6" t="n">
        <f aca="false">IF(S210&gt;0,1,0)</f>
        <v>1</v>
      </c>
    </row>
    <row r="211" customFormat="false" ht="15" hidden="false" customHeight="false" outlineLevel="0" collapsed="false">
      <c r="A211" s="6" t="s">
        <v>822</v>
      </c>
      <c r="B211" s="6" t="s">
        <v>370</v>
      </c>
      <c r="C211" s="6" t="s">
        <v>316</v>
      </c>
      <c r="D211" s="6" t="s">
        <v>397</v>
      </c>
      <c r="E211" s="6" t="s">
        <v>391</v>
      </c>
      <c r="F211" s="6" t="s">
        <v>158</v>
      </c>
      <c r="G211" s="6" t="s">
        <v>823</v>
      </c>
      <c r="H211" s="16" t="n">
        <v>46297.1451388889</v>
      </c>
      <c r="I211" s="16" t="n">
        <v>46297.1548611111</v>
      </c>
      <c r="J211" s="16" t="n">
        <v>46297.2003896261</v>
      </c>
      <c r="K211" s="6" t="s">
        <v>132</v>
      </c>
      <c r="L211" s="6" t="s">
        <v>137</v>
      </c>
      <c r="M211" s="6" t="n">
        <v>100</v>
      </c>
      <c r="N211" s="6" t="str">
        <f aca="false">README!$B$14</f>
        <v>points</v>
      </c>
      <c r="O211" s="6" t="s">
        <v>216</v>
      </c>
      <c r="P211" s="6" t="s">
        <v>98</v>
      </c>
      <c r="Q211" s="17" t="n">
        <f aca="false">IF(AND(I211&lt;&gt;"",J211&lt;&gt;""),(J211-I211)*1440,"")</f>
        <v>65.5610616027833</v>
      </c>
      <c r="R211" s="6" t="n">
        <f aca="false">COUNTIFS(Data_RewardEvents!$B$2:$B$160,A211,Data_RewardEvents!$D$2:$D$160,"reward_pending")</f>
        <v>1</v>
      </c>
      <c r="S211" s="6" t="n">
        <f aca="false">COUNTIFS(Data_RewardEvents!$B$2:$B$160,A211,Data_RewardEvents!$D$2:$D$160,"reward_credited")</f>
        <v>0</v>
      </c>
      <c r="T211" s="6" t="n">
        <f aca="false">COUNTIFS(Data_RewardEvents!$B$2:$B$160,A211,Data_RewardEvents!$D$2:$D$160,"reward_reversed")</f>
        <v>0</v>
      </c>
      <c r="U211" s="6" t="n">
        <f aca="false">COUNTIFS(Data_RewardEvents!$B$2:$B$160,A211,Data_RewardEvents!$D$2:$D$160,"reward_corrected")</f>
        <v>0</v>
      </c>
      <c r="V211" s="6" t="n">
        <f aca="false">SUMIFS(Data_RewardEvents!$F$2:$F$160,Data_RewardEvents!$B$2:$B$160,A211,Data_RewardEvents!$D$2:$D$160,"reward_credited")+SUMIFS(Data_RewardEvents!$F$2:$F$160,Data_RewardEvents!$B$2:$B$160,A211,Data_RewardEvents!$D$2:$D$160,"reward_reversed")+SUMIFS(Data_RewardEvents!$F$2:$F$160,Data_RewardEvents!$B$2:$B$160,A211,Data_RewardEvents!$D$2:$D$160,"reward_corrected")</f>
        <v>0</v>
      </c>
      <c r="W211" s="16" t="str">
        <f aca="false">IF(S211&gt;0,_xlfn.MINIFS(Data_RewardEvents!$E$2:$E$160,Data_RewardEvents!$B$2:$B$160,A211,Data_RewardEvents!$D$2:$D$160,"reward_credited"),"")</f>
        <v/>
      </c>
      <c r="X211" s="17" t="str">
        <f aca="false">IF(W211="","",(W211-J211)*24)</f>
        <v/>
      </c>
      <c r="Y211" s="6" t="n">
        <f aca="false">IF(I211&lt;&gt;"",1,0)</f>
        <v>1</v>
      </c>
      <c r="Z211" s="6" t="n">
        <f aca="false">IF(K211="completed",1,0)</f>
        <v>1</v>
      </c>
      <c r="AA211" s="6" t="n">
        <f aca="false">IF(L211="validated",1,0)</f>
        <v>1</v>
      </c>
      <c r="AB211" s="6" t="n">
        <f aca="false">IF(S211&gt;0,1,0)</f>
        <v>0</v>
      </c>
    </row>
    <row r="212" customFormat="false" ht="15" hidden="false" customHeight="false" outlineLevel="0" collapsed="false">
      <c r="A212" s="6" t="s">
        <v>824</v>
      </c>
      <c r="B212" s="6" t="s">
        <v>381</v>
      </c>
      <c r="C212" s="6" t="s">
        <v>309</v>
      </c>
      <c r="D212" s="6" t="s">
        <v>440</v>
      </c>
      <c r="E212" s="6" t="s">
        <v>383</v>
      </c>
      <c r="F212" s="6" t="s">
        <v>158</v>
      </c>
      <c r="G212" s="6" t="s">
        <v>825</v>
      </c>
      <c r="H212" s="16" t="n">
        <v>46286.9479166667</v>
      </c>
      <c r="I212" s="16" t="n">
        <v>46286.9486111111</v>
      </c>
      <c r="J212" s="16"/>
      <c r="K212" s="6" t="s">
        <v>448</v>
      </c>
      <c r="L212" s="6"/>
      <c r="M212" s="6" t="n">
        <v>50</v>
      </c>
      <c r="N212" s="6" t="str">
        <f aca="false">README!$B$14</f>
        <v>points</v>
      </c>
      <c r="O212" s="6" t="s">
        <v>185</v>
      </c>
      <c r="P212" s="6" t="s">
        <v>207</v>
      </c>
      <c r="Q212" s="17" t="str">
        <f aca="false">IF(AND(I212&lt;&gt;"",J212&lt;&gt;""),(J212-I212)*1440,"")</f>
        <v/>
      </c>
      <c r="R212" s="6" t="n">
        <f aca="false">COUNTIFS(Data_RewardEvents!$B$2:$B$160,A212,Data_RewardEvents!$D$2:$D$160,"reward_pending")</f>
        <v>0</v>
      </c>
      <c r="S212" s="6" t="n">
        <f aca="false">COUNTIFS(Data_RewardEvents!$B$2:$B$160,A212,Data_RewardEvents!$D$2:$D$160,"reward_credited")</f>
        <v>0</v>
      </c>
      <c r="T212" s="6" t="n">
        <f aca="false">COUNTIFS(Data_RewardEvents!$B$2:$B$160,A212,Data_RewardEvents!$D$2:$D$160,"reward_reversed")</f>
        <v>0</v>
      </c>
      <c r="U212" s="6" t="n">
        <f aca="false">COUNTIFS(Data_RewardEvents!$B$2:$B$160,A212,Data_RewardEvents!$D$2:$D$160,"reward_corrected")</f>
        <v>0</v>
      </c>
      <c r="V212" s="6" t="n">
        <f aca="false">SUMIFS(Data_RewardEvents!$F$2:$F$160,Data_RewardEvents!$B$2:$B$160,A212,Data_RewardEvents!$D$2:$D$160,"reward_credited")+SUMIFS(Data_RewardEvents!$F$2:$F$160,Data_RewardEvents!$B$2:$B$160,A212,Data_RewardEvents!$D$2:$D$160,"reward_reversed")+SUMIFS(Data_RewardEvents!$F$2:$F$160,Data_RewardEvents!$B$2:$B$160,A212,Data_RewardEvents!$D$2:$D$160,"reward_corrected")</f>
        <v>0</v>
      </c>
      <c r="W212" s="16" t="str">
        <f aca="false">IF(S212&gt;0,_xlfn.MINIFS(Data_RewardEvents!$E$2:$E$160,Data_RewardEvents!$B$2:$B$160,A212,Data_RewardEvents!$D$2:$D$160,"reward_credited"),"")</f>
        <v/>
      </c>
      <c r="X212" s="17" t="str">
        <f aca="false">IF(W212="","",(W212-J212)*24)</f>
        <v/>
      </c>
      <c r="Y212" s="6" t="n">
        <f aca="false">IF(I212&lt;&gt;"",1,0)</f>
        <v>1</v>
      </c>
      <c r="Z212" s="6" t="n">
        <f aca="false">IF(K212="completed",1,0)</f>
        <v>0</v>
      </c>
      <c r="AA212" s="6" t="n">
        <f aca="false">IF(L212="validated",1,0)</f>
        <v>0</v>
      </c>
      <c r="AB212" s="6" t="n">
        <f aca="false">IF(S212&gt;0,1,0)</f>
        <v>0</v>
      </c>
    </row>
    <row r="213" customFormat="false" ht="15" hidden="false" customHeight="false" outlineLevel="0" collapsed="false">
      <c r="A213" s="6" t="s">
        <v>826</v>
      </c>
      <c r="B213" s="6" t="s">
        <v>376</v>
      </c>
      <c r="C213" s="6" t="s">
        <v>302</v>
      </c>
      <c r="D213" s="6" t="s">
        <v>520</v>
      </c>
      <c r="E213" s="6" t="s">
        <v>378</v>
      </c>
      <c r="F213" s="6" t="s">
        <v>158</v>
      </c>
      <c r="G213" s="6" t="s">
        <v>827</v>
      </c>
      <c r="H213" s="16" t="n">
        <v>46292.4229166667</v>
      </c>
      <c r="I213" s="16" t="n">
        <v>46292.4395833333</v>
      </c>
      <c r="J213" s="16" t="n">
        <v>46292.4401557089</v>
      </c>
      <c r="K213" s="6" t="s">
        <v>132</v>
      </c>
      <c r="L213" s="6" t="s">
        <v>137</v>
      </c>
      <c r="M213" s="6" t="n">
        <v>5</v>
      </c>
      <c r="N213" s="6" t="str">
        <f aca="false">README!$B$14</f>
        <v>points</v>
      </c>
      <c r="O213" s="6"/>
      <c r="P213" s="6"/>
      <c r="Q213" s="17" t="n">
        <f aca="false">IF(AND(I213&lt;&gt;"",J213&lt;&gt;""),(J213-I213)*1440,"")</f>
        <v>0.824220848733333</v>
      </c>
      <c r="R213" s="6" t="n">
        <f aca="false">COUNTIFS(Data_RewardEvents!$B$2:$B$160,A213,Data_RewardEvents!$D$2:$D$160,"reward_pending")</f>
        <v>0</v>
      </c>
      <c r="S213" s="6" t="n">
        <f aca="false">COUNTIFS(Data_RewardEvents!$B$2:$B$160,A213,Data_RewardEvents!$D$2:$D$160,"reward_credited")</f>
        <v>1</v>
      </c>
      <c r="T213" s="6" t="n">
        <f aca="false">COUNTIFS(Data_RewardEvents!$B$2:$B$160,A213,Data_RewardEvents!$D$2:$D$160,"reward_reversed")</f>
        <v>0</v>
      </c>
      <c r="U213" s="6" t="n">
        <f aca="false">COUNTIFS(Data_RewardEvents!$B$2:$B$160,A213,Data_RewardEvents!$D$2:$D$160,"reward_corrected")</f>
        <v>0</v>
      </c>
      <c r="V213" s="6" t="n">
        <f aca="false">SUMIFS(Data_RewardEvents!$F$2:$F$160,Data_RewardEvents!$B$2:$B$160,A213,Data_RewardEvents!$D$2:$D$160,"reward_credited")+SUMIFS(Data_RewardEvents!$F$2:$F$160,Data_RewardEvents!$B$2:$B$160,A213,Data_RewardEvents!$D$2:$D$160,"reward_reversed")+SUMIFS(Data_RewardEvents!$F$2:$F$160,Data_RewardEvents!$B$2:$B$160,A213,Data_RewardEvents!$D$2:$D$160,"reward_corrected")</f>
        <v>5</v>
      </c>
      <c r="W213" s="16" t="n">
        <f aca="false">IF(S213&gt;0,_xlfn.MINIFS(Data_RewardEvents!$E$2:$E$160,Data_RewardEvents!$B$2:$B$160,A213,Data_RewardEvents!$D$2:$D$160,"reward_credited"),"")</f>
        <v>46292.4433624555</v>
      </c>
      <c r="X213" s="17" t="n">
        <f aca="false">IF(W213="","",(W213-J213)*24)</f>
        <v>0.0769619172205556</v>
      </c>
      <c r="Y213" s="6" t="n">
        <f aca="false">IF(I213&lt;&gt;"",1,0)</f>
        <v>1</v>
      </c>
      <c r="Z213" s="6" t="n">
        <f aca="false">IF(K213="completed",1,0)</f>
        <v>1</v>
      </c>
      <c r="AA213" s="6" t="n">
        <f aca="false">IF(L213="validated",1,0)</f>
        <v>1</v>
      </c>
      <c r="AB213" s="6" t="n">
        <f aca="false">IF(S213&gt;0,1,0)</f>
        <v>1</v>
      </c>
    </row>
    <row r="214" customFormat="false" ht="15" hidden="false" customHeight="false" outlineLevel="0" collapsed="false">
      <c r="A214" s="6" t="s">
        <v>828</v>
      </c>
      <c r="B214" s="6" t="s">
        <v>365</v>
      </c>
      <c r="C214" s="6" t="s">
        <v>323</v>
      </c>
      <c r="D214" s="6" t="s">
        <v>590</v>
      </c>
      <c r="E214" s="6" t="s">
        <v>444</v>
      </c>
      <c r="F214" s="6" t="s">
        <v>158</v>
      </c>
      <c r="G214" s="6" t="s">
        <v>829</v>
      </c>
      <c r="H214" s="16" t="n">
        <v>46303.9222222222</v>
      </c>
      <c r="I214" s="16" t="n">
        <v>46303.9340277778</v>
      </c>
      <c r="J214" s="16" t="n">
        <v>46303.9566295481</v>
      </c>
      <c r="K214" s="6" t="s">
        <v>132</v>
      </c>
      <c r="L214" s="6" t="s">
        <v>137</v>
      </c>
      <c r="M214" s="6" t="n">
        <v>30</v>
      </c>
      <c r="N214" s="6" t="str">
        <f aca="false">README!$B$14</f>
        <v>points</v>
      </c>
      <c r="O214" s="6"/>
      <c r="P214" s="6"/>
      <c r="Q214" s="17" t="n">
        <f aca="false">IF(AND(I214&lt;&gt;"",J214&lt;&gt;""),(J214-I214)*1440,"")</f>
        <v>32.5465492985667</v>
      </c>
      <c r="R214" s="6" t="n">
        <f aca="false">COUNTIFS(Data_RewardEvents!$B$2:$B$160,A214,Data_RewardEvents!$D$2:$D$160,"reward_pending")</f>
        <v>1</v>
      </c>
      <c r="S214" s="6" t="n">
        <f aca="false">COUNTIFS(Data_RewardEvents!$B$2:$B$160,A214,Data_RewardEvents!$D$2:$D$160,"reward_credited")</f>
        <v>1</v>
      </c>
      <c r="T214" s="6" t="n">
        <f aca="false">COUNTIFS(Data_RewardEvents!$B$2:$B$160,A214,Data_RewardEvents!$D$2:$D$160,"reward_reversed")</f>
        <v>0</v>
      </c>
      <c r="U214" s="6" t="n">
        <f aca="false">COUNTIFS(Data_RewardEvents!$B$2:$B$160,A214,Data_RewardEvents!$D$2:$D$160,"reward_corrected")</f>
        <v>0</v>
      </c>
      <c r="V214" s="6" t="n">
        <f aca="false">SUMIFS(Data_RewardEvents!$F$2:$F$160,Data_RewardEvents!$B$2:$B$160,A214,Data_RewardEvents!$D$2:$D$160,"reward_credited")+SUMIFS(Data_RewardEvents!$F$2:$F$160,Data_RewardEvents!$B$2:$B$160,A214,Data_RewardEvents!$D$2:$D$160,"reward_reversed")+SUMIFS(Data_RewardEvents!$F$2:$F$160,Data_RewardEvents!$B$2:$B$160,A214,Data_RewardEvents!$D$2:$D$160,"reward_corrected")</f>
        <v>30</v>
      </c>
      <c r="W214" s="16" t="n">
        <f aca="false">IF(S214&gt;0,_xlfn.MINIFS(Data_RewardEvents!$E$2:$E$160,Data_RewardEvents!$B$2:$B$160,A214,Data_RewardEvents!$D$2:$D$160,"reward_credited"),"")</f>
        <v>46305.7719179646</v>
      </c>
      <c r="X214" s="17" t="n">
        <f aca="false">IF(W214="","",(W214-J214)*24)</f>
        <v>43.566921995545</v>
      </c>
      <c r="Y214" s="6" t="n">
        <f aca="false">IF(I214&lt;&gt;"",1,0)</f>
        <v>1</v>
      </c>
      <c r="Z214" s="6" t="n">
        <f aca="false">IF(K214="completed",1,0)</f>
        <v>1</v>
      </c>
      <c r="AA214" s="6" t="n">
        <f aca="false">IF(L214="validated",1,0)</f>
        <v>1</v>
      </c>
      <c r="AB214" s="6" t="n">
        <f aca="false">IF(S214&gt;0,1,0)</f>
        <v>1</v>
      </c>
    </row>
    <row r="215" customFormat="false" ht="15" hidden="false" customHeight="false" outlineLevel="0" collapsed="false">
      <c r="A215" s="6" t="s">
        <v>830</v>
      </c>
      <c r="B215" s="6" t="s">
        <v>403</v>
      </c>
      <c r="C215" s="6" t="s">
        <v>404</v>
      </c>
      <c r="D215" s="6" t="s">
        <v>831</v>
      </c>
      <c r="E215" s="6" t="s">
        <v>98</v>
      </c>
      <c r="F215" s="6" t="s">
        <v>406</v>
      </c>
      <c r="G215" s="6"/>
      <c r="H215" s="16" t="n">
        <v>46290.9722222222</v>
      </c>
      <c r="I215" s="16" t="n">
        <v>46290.9930555556</v>
      </c>
      <c r="J215" s="16"/>
      <c r="K215" s="6" t="s">
        <v>419</v>
      </c>
      <c r="L215" s="6"/>
      <c r="M215" s="6" t="n">
        <v>10</v>
      </c>
      <c r="N215" s="6" t="str">
        <f aca="false">README!$B$14</f>
        <v>points</v>
      </c>
      <c r="O215" s="6" t="s">
        <v>204</v>
      </c>
      <c r="P215" s="6" t="s">
        <v>207</v>
      </c>
      <c r="Q215" s="17" t="str">
        <f aca="false">IF(AND(I215&lt;&gt;"",J215&lt;&gt;""),(J215-I215)*1440,"")</f>
        <v/>
      </c>
      <c r="R215" s="6" t="n">
        <f aca="false">COUNTIFS(Data_RewardEvents!$B$2:$B$160,A215,Data_RewardEvents!$D$2:$D$160,"reward_pending")</f>
        <v>0</v>
      </c>
      <c r="S215" s="6" t="n">
        <f aca="false">COUNTIFS(Data_RewardEvents!$B$2:$B$160,A215,Data_RewardEvents!$D$2:$D$160,"reward_credited")</f>
        <v>0</v>
      </c>
      <c r="T215" s="6" t="n">
        <f aca="false">COUNTIFS(Data_RewardEvents!$B$2:$B$160,A215,Data_RewardEvents!$D$2:$D$160,"reward_reversed")</f>
        <v>0</v>
      </c>
      <c r="U215" s="6" t="n">
        <f aca="false">COUNTIFS(Data_RewardEvents!$B$2:$B$160,A215,Data_RewardEvents!$D$2:$D$160,"reward_corrected")</f>
        <v>0</v>
      </c>
      <c r="V215" s="6" t="n">
        <f aca="false">SUMIFS(Data_RewardEvents!$F$2:$F$160,Data_RewardEvents!$B$2:$B$160,A215,Data_RewardEvents!$D$2:$D$160,"reward_credited")+SUMIFS(Data_RewardEvents!$F$2:$F$160,Data_RewardEvents!$B$2:$B$160,A215,Data_RewardEvents!$D$2:$D$160,"reward_reversed")+SUMIFS(Data_RewardEvents!$F$2:$F$160,Data_RewardEvents!$B$2:$B$160,A215,Data_RewardEvents!$D$2:$D$160,"reward_corrected")</f>
        <v>0</v>
      </c>
      <c r="W215" s="16" t="str">
        <f aca="false">IF(S215&gt;0,_xlfn.MINIFS(Data_RewardEvents!$E$2:$E$160,Data_RewardEvents!$B$2:$B$160,A215,Data_RewardEvents!$D$2:$D$160,"reward_credited"),"")</f>
        <v/>
      </c>
      <c r="X215" s="17" t="str">
        <f aca="false">IF(W215="","",(W215-J215)*24)</f>
        <v/>
      </c>
      <c r="Y215" s="6" t="n">
        <f aca="false">IF(I215&lt;&gt;"",1,0)</f>
        <v>1</v>
      </c>
      <c r="Z215" s="6" t="n">
        <f aca="false">IF(K215="completed",1,0)</f>
        <v>0</v>
      </c>
      <c r="AA215" s="6" t="n">
        <f aca="false">IF(L215="validated",1,0)</f>
        <v>0</v>
      </c>
      <c r="AB215" s="6" t="n">
        <f aca="false">IF(S215&gt;0,1,0)</f>
        <v>0</v>
      </c>
    </row>
    <row r="216" customFormat="false" ht="15" hidden="false" customHeight="false" outlineLevel="0" collapsed="false">
      <c r="A216" s="6" t="s">
        <v>832</v>
      </c>
      <c r="B216" s="6" t="s">
        <v>381</v>
      </c>
      <c r="C216" s="6" t="s">
        <v>309</v>
      </c>
      <c r="D216" s="6" t="s">
        <v>466</v>
      </c>
      <c r="E216" s="6" t="s">
        <v>383</v>
      </c>
      <c r="F216" s="6" t="s">
        <v>158</v>
      </c>
      <c r="G216" s="6" t="s">
        <v>833</v>
      </c>
      <c r="H216" s="16" t="n">
        <v>46290.4902777778</v>
      </c>
      <c r="I216" s="16" t="n">
        <v>46290.5020833333</v>
      </c>
      <c r="J216" s="16" t="n">
        <v>46290.5115645585</v>
      </c>
      <c r="K216" s="6" t="s">
        <v>132</v>
      </c>
      <c r="L216" s="6" t="s">
        <v>137</v>
      </c>
      <c r="M216" s="6" t="n">
        <v>50</v>
      </c>
      <c r="N216" s="6" t="str">
        <f aca="false">README!$B$14</f>
        <v>points</v>
      </c>
      <c r="O216" s="6"/>
      <c r="P216" s="6"/>
      <c r="Q216" s="17" t="n">
        <f aca="false">IF(AND(I216&lt;&gt;"",J216&lt;&gt;""),(J216-I216)*1440,"")</f>
        <v>13.6529642133833</v>
      </c>
      <c r="R216" s="6" t="n">
        <f aca="false">COUNTIFS(Data_RewardEvents!$B$2:$B$160,A216,Data_RewardEvents!$D$2:$D$160,"reward_pending")</f>
        <v>1</v>
      </c>
      <c r="S216" s="6" t="n">
        <f aca="false">COUNTIFS(Data_RewardEvents!$B$2:$B$160,A216,Data_RewardEvents!$D$2:$D$160,"reward_credited")</f>
        <v>1</v>
      </c>
      <c r="T216" s="6" t="n">
        <f aca="false">COUNTIFS(Data_RewardEvents!$B$2:$B$160,A216,Data_RewardEvents!$D$2:$D$160,"reward_reversed")</f>
        <v>0</v>
      </c>
      <c r="U216" s="6" t="n">
        <f aca="false">COUNTIFS(Data_RewardEvents!$B$2:$B$160,A216,Data_RewardEvents!$D$2:$D$160,"reward_corrected")</f>
        <v>0</v>
      </c>
      <c r="V216" s="6" t="n">
        <f aca="false">SUMIFS(Data_RewardEvents!$F$2:$F$160,Data_RewardEvents!$B$2:$B$160,A216,Data_RewardEvents!$D$2:$D$160,"reward_credited")+SUMIFS(Data_RewardEvents!$F$2:$F$160,Data_RewardEvents!$B$2:$B$160,A216,Data_RewardEvents!$D$2:$D$160,"reward_reversed")+SUMIFS(Data_RewardEvents!$F$2:$F$160,Data_RewardEvents!$B$2:$B$160,A216,Data_RewardEvents!$D$2:$D$160,"reward_corrected")</f>
        <v>50</v>
      </c>
      <c r="W216" s="16" t="n">
        <f aca="false">IF(S216&gt;0,_xlfn.MINIFS(Data_RewardEvents!$E$2:$E$160,Data_RewardEvents!$B$2:$B$160,A216,Data_RewardEvents!$D$2:$D$160,"reward_credited"),"")</f>
        <v>46291.7814064995</v>
      </c>
      <c r="X216" s="17" t="n">
        <f aca="false">IF(W216="","",(W216-J216)*24)</f>
        <v>30.4762065840186</v>
      </c>
      <c r="Y216" s="6" t="n">
        <f aca="false">IF(I216&lt;&gt;"",1,0)</f>
        <v>1</v>
      </c>
      <c r="Z216" s="6" t="n">
        <f aca="false">IF(K216="completed",1,0)</f>
        <v>1</v>
      </c>
      <c r="AA216" s="6" t="n">
        <f aca="false">IF(L216="validated",1,0)</f>
        <v>1</v>
      </c>
      <c r="AB216" s="6" t="n">
        <f aca="false">IF(S216&gt;0,1,0)</f>
        <v>1</v>
      </c>
    </row>
    <row r="217" customFormat="false" ht="15" hidden="false" customHeight="false" outlineLevel="0" collapsed="false">
      <c r="A217" s="6" t="s">
        <v>834</v>
      </c>
      <c r="B217" s="6" t="s">
        <v>381</v>
      </c>
      <c r="C217" s="6" t="s">
        <v>309</v>
      </c>
      <c r="D217" s="6" t="s">
        <v>632</v>
      </c>
      <c r="E217" s="6" t="s">
        <v>383</v>
      </c>
      <c r="F217" s="6" t="s">
        <v>158</v>
      </c>
      <c r="G217" s="6" t="s">
        <v>835</v>
      </c>
      <c r="H217" s="16" t="n">
        <v>46287.6208333333</v>
      </c>
      <c r="I217" s="16"/>
      <c r="J217" s="16"/>
      <c r="K217" s="6" t="s">
        <v>374</v>
      </c>
      <c r="L217" s="6"/>
      <c r="M217" s="6" t="n">
        <v>50</v>
      </c>
      <c r="N217" s="6" t="str">
        <f aca="false">README!$B$14</f>
        <v>points</v>
      </c>
      <c r="O217" s="6"/>
      <c r="P217" s="6"/>
      <c r="Q217" s="17" t="str">
        <f aca="false">IF(AND(I217&lt;&gt;"",J217&lt;&gt;""),(J217-I217)*1440,"")</f>
        <v/>
      </c>
      <c r="R217" s="6" t="n">
        <f aca="false">COUNTIFS(Data_RewardEvents!$B$2:$B$160,A217,Data_RewardEvents!$D$2:$D$160,"reward_pending")</f>
        <v>0</v>
      </c>
      <c r="S217" s="6" t="n">
        <f aca="false">COUNTIFS(Data_RewardEvents!$B$2:$B$160,A217,Data_RewardEvents!$D$2:$D$160,"reward_credited")</f>
        <v>0</v>
      </c>
      <c r="T217" s="6" t="n">
        <f aca="false">COUNTIFS(Data_RewardEvents!$B$2:$B$160,A217,Data_RewardEvents!$D$2:$D$160,"reward_reversed")</f>
        <v>0</v>
      </c>
      <c r="U217" s="6" t="n">
        <f aca="false">COUNTIFS(Data_RewardEvents!$B$2:$B$160,A217,Data_RewardEvents!$D$2:$D$160,"reward_corrected")</f>
        <v>0</v>
      </c>
      <c r="V217" s="6" t="n">
        <f aca="false">SUMIFS(Data_RewardEvents!$F$2:$F$160,Data_RewardEvents!$B$2:$B$160,A217,Data_RewardEvents!$D$2:$D$160,"reward_credited")+SUMIFS(Data_RewardEvents!$F$2:$F$160,Data_RewardEvents!$B$2:$B$160,A217,Data_RewardEvents!$D$2:$D$160,"reward_reversed")+SUMIFS(Data_RewardEvents!$F$2:$F$160,Data_RewardEvents!$B$2:$B$160,A217,Data_RewardEvents!$D$2:$D$160,"reward_corrected")</f>
        <v>0</v>
      </c>
      <c r="W217" s="16" t="str">
        <f aca="false">IF(S217&gt;0,_xlfn.MINIFS(Data_RewardEvents!$E$2:$E$160,Data_RewardEvents!$B$2:$B$160,A217,Data_RewardEvents!$D$2:$D$160,"reward_credited"),"")</f>
        <v/>
      </c>
      <c r="X217" s="17" t="str">
        <f aca="false">IF(W217="","",(W217-J217)*24)</f>
        <v/>
      </c>
      <c r="Y217" s="6" t="n">
        <f aca="false">IF(I217&lt;&gt;"",1,0)</f>
        <v>0</v>
      </c>
      <c r="Z217" s="6" t="n">
        <f aca="false">IF(K217="completed",1,0)</f>
        <v>0</v>
      </c>
      <c r="AA217" s="6" t="n">
        <f aca="false">IF(L217="validated",1,0)</f>
        <v>0</v>
      </c>
      <c r="AB217" s="6" t="n">
        <f aca="false">IF(S217&gt;0,1,0)</f>
        <v>0</v>
      </c>
    </row>
    <row r="218" customFormat="false" ht="15" hidden="false" customHeight="false" outlineLevel="0" collapsed="false">
      <c r="A218" s="6" t="s">
        <v>836</v>
      </c>
      <c r="B218" s="6" t="s">
        <v>403</v>
      </c>
      <c r="C218" s="6" t="s">
        <v>404</v>
      </c>
      <c r="D218" s="6" t="s">
        <v>727</v>
      </c>
      <c r="E218" s="6" t="s">
        <v>98</v>
      </c>
      <c r="F218" s="6" t="s">
        <v>406</v>
      </c>
      <c r="G218" s="6"/>
      <c r="H218" s="16" t="n">
        <v>46299.8270833333</v>
      </c>
      <c r="I218" s="16" t="n">
        <v>46299.8444444445</v>
      </c>
      <c r="J218" s="16" t="n">
        <v>46299.8470921619</v>
      </c>
      <c r="K218" s="6" t="s">
        <v>132</v>
      </c>
      <c r="L218" s="6" t="s">
        <v>137</v>
      </c>
      <c r="M218" s="6" t="n">
        <v>10</v>
      </c>
      <c r="N218" s="6" t="str">
        <f aca="false">README!$B$14</f>
        <v>points</v>
      </c>
      <c r="O218" s="6"/>
      <c r="P218" s="6"/>
      <c r="Q218" s="17" t="n">
        <f aca="false">IF(AND(I218&lt;&gt;"",J218&lt;&gt;""),(J218-I218)*1440,"")</f>
        <v>3.81271318648333</v>
      </c>
      <c r="R218" s="6" t="n">
        <f aca="false">COUNTIFS(Data_RewardEvents!$B$2:$B$160,A218,Data_RewardEvents!$D$2:$D$160,"reward_pending")</f>
        <v>0</v>
      </c>
      <c r="S218" s="6" t="n">
        <f aca="false">COUNTIFS(Data_RewardEvents!$B$2:$B$160,A218,Data_RewardEvents!$D$2:$D$160,"reward_credited")</f>
        <v>1</v>
      </c>
      <c r="T218" s="6" t="n">
        <f aca="false">COUNTIFS(Data_RewardEvents!$B$2:$B$160,A218,Data_RewardEvents!$D$2:$D$160,"reward_reversed")</f>
        <v>0</v>
      </c>
      <c r="U218" s="6" t="n">
        <f aca="false">COUNTIFS(Data_RewardEvents!$B$2:$B$160,A218,Data_RewardEvents!$D$2:$D$160,"reward_corrected")</f>
        <v>0</v>
      </c>
      <c r="V218" s="6" t="n">
        <f aca="false">SUMIFS(Data_RewardEvents!$F$2:$F$160,Data_RewardEvents!$B$2:$B$160,A218,Data_RewardEvents!$D$2:$D$160,"reward_credited")+SUMIFS(Data_RewardEvents!$F$2:$F$160,Data_RewardEvents!$B$2:$B$160,A218,Data_RewardEvents!$D$2:$D$160,"reward_reversed")+SUMIFS(Data_RewardEvents!$F$2:$F$160,Data_RewardEvents!$B$2:$B$160,A218,Data_RewardEvents!$D$2:$D$160,"reward_corrected")</f>
        <v>10</v>
      </c>
      <c r="W218" s="16" t="n">
        <f aca="false">IF(S218&gt;0,_xlfn.MINIFS(Data_RewardEvents!$E$2:$E$160,Data_RewardEvents!$B$2:$B$160,A218,Data_RewardEvents!$D$2:$D$160,"reward_credited"),"")</f>
        <v>46299.8493892529</v>
      </c>
      <c r="X218" s="17" t="n">
        <f aca="false">IF(W218="","",(W218-J218)*24)</f>
        <v>0.0551301818922222</v>
      </c>
      <c r="Y218" s="6" t="n">
        <f aca="false">IF(I218&lt;&gt;"",1,0)</f>
        <v>1</v>
      </c>
      <c r="Z218" s="6" t="n">
        <f aca="false">IF(K218="completed",1,0)</f>
        <v>1</v>
      </c>
      <c r="AA218" s="6" t="n">
        <f aca="false">IF(L218="validated",1,0)</f>
        <v>1</v>
      </c>
      <c r="AB218" s="6" t="n">
        <f aca="false">IF(S218&gt;0,1,0)</f>
        <v>1</v>
      </c>
    </row>
    <row r="219" customFormat="false" ht="15" hidden="false" customHeight="false" outlineLevel="0" collapsed="false">
      <c r="A219" s="6" t="s">
        <v>837</v>
      </c>
      <c r="B219" s="6" t="s">
        <v>365</v>
      </c>
      <c r="C219" s="6" t="s">
        <v>323</v>
      </c>
      <c r="D219" s="6" t="s">
        <v>412</v>
      </c>
      <c r="E219" s="6" t="s">
        <v>367</v>
      </c>
      <c r="F219" s="6" t="s">
        <v>158</v>
      </c>
      <c r="G219" s="6" t="s">
        <v>838</v>
      </c>
      <c r="H219" s="16" t="n">
        <v>46297.6125</v>
      </c>
      <c r="I219" s="16"/>
      <c r="J219" s="16"/>
      <c r="K219" s="6" t="s">
        <v>374</v>
      </c>
      <c r="L219" s="6"/>
      <c r="M219" s="6" t="n">
        <v>30</v>
      </c>
      <c r="N219" s="6" t="str">
        <f aca="false">README!$B$14</f>
        <v>points</v>
      </c>
      <c r="O219" s="6"/>
      <c r="P219" s="6"/>
      <c r="Q219" s="17" t="str">
        <f aca="false">IF(AND(I219&lt;&gt;"",J219&lt;&gt;""),(J219-I219)*1440,"")</f>
        <v/>
      </c>
      <c r="R219" s="6" t="n">
        <f aca="false">COUNTIFS(Data_RewardEvents!$B$2:$B$160,A219,Data_RewardEvents!$D$2:$D$160,"reward_pending")</f>
        <v>0</v>
      </c>
      <c r="S219" s="6" t="n">
        <f aca="false">COUNTIFS(Data_RewardEvents!$B$2:$B$160,A219,Data_RewardEvents!$D$2:$D$160,"reward_credited")</f>
        <v>0</v>
      </c>
      <c r="T219" s="6" t="n">
        <f aca="false">COUNTIFS(Data_RewardEvents!$B$2:$B$160,A219,Data_RewardEvents!$D$2:$D$160,"reward_reversed")</f>
        <v>0</v>
      </c>
      <c r="U219" s="6" t="n">
        <f aca="false">COUNTIFS(Data_RewardEvents!$B$2:$B$160,A219,Data_RewardEvents!$D$2:$D$160,"reward_corrected")</f>
        <v>0</v>
      </c>
      <c r="V219" s="6" t="n">
        <f aca="false">SUMIFS(Data_RewardEvents!$F$2:$F$160,Data_RewardEvents!$B$2:$B$160,A219,Data_RewardEvents!$D$2:$D$160,"reward_credited")+SUMIFS(Data_RewardEvents!$F$2:$F$160,Data_RewardEvents!$B$2:$B$160,A219,Data_RewardEvents!$D$2:$D$160,"reward_reversed")+SUMIFS(Data_RewardEvents!$F$2:$F$160,Data_RewardEvents!$B$2:$B$160,A219,Data_RewardEvents!$D$2:$D$160,"reward_corrected")</f>
        <v>0</v>
      </c>
      <c r="W219" s="16" t="str">
        <f aca="false">IF(S219&gt;0,_xlfn.MINIFS(Data_RewardEvents!$E$2:$E$160,Data_RewardEvents!$B$2:$B$160,A219,Data_RewardEvents!$D$2:$D$160,"reward_credited"),"")</f>
        <v/>
      </c>
      <c r="X219" s="17" t="str">
        <f aca="false">IF(W219="","",(W219-J219)*24)</f>
        <v/>
      </c>
      <c r="Y219" s="6" t="n">
        <f aca="false">IF(I219&lt;&gt;"",1,0)</f>
        <v>0</v>
      </c>
      <c r="Z219" s="6" t="n">
        <f aca="false">IF(K219="completed",1,0)</f>
        <v>0</v>
      </c>
      <c r="AA219" s="6" t="n">
        <f aca="false">IF(L219="validated",1,0)</f>
        <v>0</v>
      </c>
      <c r="AB219" s="6" t="n">
        <f aca="false">IF(S219&gt;0,1,0)</f>
        <v>0</v>
      </c>
    </row>
    <row r="220" customFormat="false" ht="15" hidden="false" customHeight="false" outlineLevel="0" collapsed="false">
      <c r="A220" s="6" t="s">
        <v>839</v>
      </c>
      <c r="B220" s="6" t="s">
        <v>365</v>
      </c>
      <c r="C220" s="6" t="s">
        <v>323</v>
      </c>
      <c r="D220" s="6" t="s">
        <v>463</v>
      </c>
      <c r="E220" s="6" t="s">
        <v>367</v>
      </c>
      <c r="F220" s="6" t="s">
        <v>158</v>
      </c>
      <c r="G220" s="6" t="s">
        <v>840</v>
      </c>
      <c r="H220" s="16" t="n">
        <v>46295.5027777778</v>
      </c>
      <c r="I220" s="16"/>
      <c r="J220" s="16"/>
      <c r="K220" s="6" t="s">
        <v>374</v>
      </c>
      <c r="L220" s="6"/>
      <c r="M220" s="6" t="n">
        <v>30</v>
      </c>
      <c r="N220" s="6" t="str">
        <f aca="false">README!$B$14</f>
        <v>points</v>
      </c>
      <c r="O220" s="6"/>
      <c r="P220" s="6"/>
      <c r="Q220" s="17" t="str">
        <f aca="false">IF(AND(I220&lt;&gt;"",J220&lt;&gt;""),(J220-I220)*1440,"")</f>
        <v/>
      </c>
      <c r="R220" s="6" t="n">
        <f aca="false">COUNTIFS(Data_RewardEvents!$B$2:$B$160,A220,Data_RewardEvents!$D$2:$D$160,"reward_pending")</f>
        <v>0</v>
      </c>
      <c r="S220" s="6" t="n">
        <f aca="false">COUNTIFS(Data_RewardEvents!$B$2:$B$160,A220,Data_RewardEvents!$D$2:$D$160,"reward_credited")</f>
        <v>0</v>
      </c>
      <c r="T220" s="6" t="n">
        <f aca="false">COUNTIFS(Data_RewardEvents!$B$2:$B$160,A220,Data_RewardEvents!$D$2:$D$160,"reward_reversed")</f>
        <v>0</v>
      </c>
      <c r="U220" s="6" t="n">
        <f aca="false">COUNTIFS(Data_RewardEvents!$B$2:$B$160,A220,Data_RewardEvents!$D$2:$D$160,"reward_corrected")</f>
        <v>0</v>
      </c>
      <c r="V220" s="6" t="n">
        <f aca="false">SUMIFS(Data_RewardEvents!$F$2:$F$160,Data_RewardEvents!$B$2:$B$160,A220,Data_RewardEvents!$D$2:$D$160,"reward_credited")+SUMIFS(Data_RewardEvents!$F$2:$F$160,Data_RewardEvents!$B$2:$B$160,A220,Data_RewardEvents!$D$2:$D$160,"reward_reversed")+SUMIFS(Data_RewardEvents!$F$2:$F$160,Data_RewardEvents!$B$2:$B$160,A220,Data_RewardEvents!$D$2:$D$160,"reward_corrected")</f>
        <v>0</v>
      </c>
      <c r="W220" s="16" t="str">
        <f aca="false">IF(S220&gt;0,_xlfn.MINIFS(Data_RewardEvents!$E$2:$E$160,Data_RewardEvents!$B$2:$B$160,A220,Data_RewardEvents!$D$2:$D$160,"reward_credited"),"")</f>
        <v/>
      </c>
      <c r="X220" s="17" t="str">
        <f aca="false">IF(W220="","",(W220-J220)*24)</f>
        <v/>
      </c>
      <c r="Y220" s="6" t="n">
        <f aca="false">IF(I220&lt;&gt;"",1,0)</f>
        <v>0</v>
      </c>
      <c r="Z220" s="6" t="n">
        <f aca="false">IF(K220="completed",1,0)</f>
        <v>0</v>
      </c>
      <c r="AA220" s="6" t="n">
        <f aca="false">IF(L220="validated",1,0)</f>
        <v>0</v>
      </c>
      <c r="AB220" s="6" t="n">
        <f aca="false">IF(S220&gt;0,1,0)</f>
        <v>0</v>
      </c>
    </row>
    <row r="221" customFormat="false" ht="15" hidden="false" customHeight="false" outlineLevel="0" collapsed="false">
      <c r="A221" s="6" t="s">
        <v>841</v>
      </c>
      <c r="B221" s="6" t="s">
        <v>376</v>
      </c>
      <c r="C221" s="6" t="s">
        <v>302</v>
      </c>
      <c r="D221" s="6" t="s">
        <v>842</v>
      </c>
      <c r="E221" s="6" t="s">
        <v>387</v>
      </c>
      <c r="F221" s="6" t="s">
        <v>158</v>
      </c>
      <c r="G221" s="6" t="s">
        <v>843</v>
      </c>
      <c r="H221" s="16" t="n">
        <v>46297.7694444444</v>
      </c>
      <c r="I221" s="16"/>
      <c r="J221" s="16"/>
      <c r="K221" s="6" t="s">
        <v>374</v>
      </c>
      <c r="L221" s="6"/>
      <c r="M221" s="6" t="n">
        <v>5</v>
      </c>
      <c r="N221" s="6" t="str">
        <f aca="false">README!$B$14</f>
        <v>points</v>
      </c>
      <c r="O221" s="6"/>
      <c r="P221" s="6"/>
      <c r="Q221" s="17" t="str">
        <f aca="false">IF(AND(I221&lt;&gt;"",J221&lt;&gt;""),(J221-I221)*1440,"")</f>
        <v/>
      </c>
      <c r="R221" s="6" t="n">
        <f aca="false">COUNTIFS(Data_RewardEvents!$B$2:$B$160,A221,Data_RewardEvents!$D$2:$D$160,"reward_pending")</f>
        <v>0</v>
      </c>
      <c r="S221" s="6" t="n">
        <f aca="false">COUNTIFS(Data_RewardEvents!$B$2:$B$160,A221,Data_RewardEvents!$D$2:$D$160,"reward_credited")</f>
        <v>0</v>
      </c>
      <c r="T221" s="6" t="n">
        <f aca="false">COUNTIFS(Data_RewardEvents!$B$2:$B$160,A221,Data_RewardEvents!$D$2:$D$160,"reward_reversed")</f>
        <v>0</v>
      </c>
      <c r="U221" s="6" t="n">
        <f aca="false">COUNTIFS(Data_RewardEvents!$B$2:$B$160,A221,Data_RewardEvents!$D$2:$D$160,"reward_corrected")</f>
        <v>0</v>
      </c>
      <c r="V221" s="6" t="n">
        <f aca="false">SUMIFS(Data_RewardEvents!$F$2:$F$160,Data_RewardEvents!$B$2:$B$160,A221,Data_RewardEvents!$D$2:$D$160,"reward_credited")+SUMIFS(Data_RewardEvents!$F$2:$F$160,Data_RewardEvents!$B$2:$B$160,A221,Data_RewardEvents!$D$2:$D$160,"reward_reversed")+SUMIFS(Data_RewardEvents!$F$2:$F$160,Data_RewardEvents!$B$2:$B$160,A221,Data_RewardEvents!$D$2:$D$160,"reward_corrected")</f>
        <v>0</v>
      </c>
      <c r="W221" s="16" t="str">
        <f aca="false">IF(S221&gt;0,_xlfn.MINIFS(Data_RewardEvents!$E$2:$E$160,Data_RewardEvents!$B$2:$B$160,A221,Data_RewardEvents!$D$2:$D$160,"reward_credited"),"")</f>
        <v/>
      </c>
      <c r="X221" s="17" t="str">
        <f aca="false">IF(W221="","",(W221-J221)*24)</f>
        <v/>
      </c>
      <c r="Y221" s="6" t="n">
        <f aca="false">IF(I221&lt;&gt;"",1,0)</f>
        <v>0</v>
      </c>
      <c r="Z221" s="6" t="n">
        <f aca="false">IF(K221="completed",1,0)</f>
        <v>0</v>
      </c>
      <c r="AA221" s="6" t="n">
        <f aca="false">IF(L221="validated",1,0)</f>
        <v>0</v>
      </c>
      <c r="AB221" s="6" t="n">
        <f aca="false">IF(S221&gt;0,1,0)</f>
        <v>0</v>
      </c>
    </row>
  </sheetData>
  <autoFilter ref="A1:AB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0"/>
    <col collapsed="false" customWidth="true" hidden="false" outlineLevel="0" max="5" min="4" style="0" width="17"/>
    <col collapsed="false" customWidth="true" hidden="false" outlineLevel="0" max="6" min="6" style="0" width="9"/>
    <col collapsed="false" customWidth="true" hidden="false" outlineLevel="0" max="7" min="7" style="0" width="11"/>
    <col collapsed="false" customWidth="true" hidden="false" outlineLevel="0" max="8" min="8" style="0" width="30"/>
    <col collapsed="false" customWidth="true" hidden="false" outlineLevel="0" max="9" min="9" style="0" width="22"/>
  </cols>
  <sheetData>
    <row r="1" customFormat="false" ht="15" hidden="false" customHeight="false" outlineLevel="0" collapsed="false">
      <c r="A1" s="18" t="s">
        <v>844</v>
      </c>
      <c r="B1" s="18" t="s">
        <v>92</v>
      </c>
      <c r="C1" s="18" t="s">
        <v>111</v>
      </c>
      <c r="D1" s="18" t="s">
        <v>238</v>
      </c>
      <c r="E1" s="18" t="s">
        <v>845</v>
      </c>
      <c r="F1" s="18" t="s">
        <v>846</v>
      </c>
      <c r="G1" s="18" t="s">
        <v>148</v>
      </c>
      <c r="H1" s="18" t="s">
        <v>847</v>
      </c>
      <c r="I1" s="18" t="s">
        <v>171</v>
      </c>
    </row>
    <row r="2" customFormat="false" ht="15" hidden="false" customHeight="false" outlineLevel="0" collapsed="false">
      <c r="A2" s="6" t="s">
        <v>848</v>
      </c>
      <c r="B2" s="6" t="s">
        <v>731</v>
      </c>
      <c r="C2" s="6" t="s">
        <v>585</v>
      </c>
      <c r="D2" s="6" t="s">
        <v>251</v>
      </c>
      <c r="E2" s="16" t="n">
        <v>46285.2149088611</v>
      </c>
      <c r="F2" s="6" t="n">
        <v>5</v>
      </c>
      <c r="G2" s="6" t="str">
        <f aca="false">README!$B$14</f>
        <v>points</v>
      </c>
      <c r="H2" s="6" t="s">
        <v>849</v>
      </c>
      <c r="I2" s="6" t="s">
        <v>406</v>
      </c>
    </row>
    <row r="3" customFormat="false" ht="15" hidden="false" customHeight="false" outlineLevel="0" collapsed="false">
      <c r="A3" s="6" t="s">
        <v>850</v>
      </c>
      <c r="B3" s="6" t="s">
        <v>410</v>
      </c>
      <c r="C3" s="6" t="s">
        <v>408</v>
      </c>
      <c r="D3" s="6" t="s">
        <v>251</v>
      </c>
      <c r="E3" s="16" t="n">
        <v>46285.4948088776</v>
      </c>
      <c r="F3" s="6" t="n">
        <v>10</v>
      </c>
      <c r="G3" s="6" t="str">
        <f aca="false">README!$B$14</f>
        <v>points</v>
      </c>
      <c r="H3" s="6" t="s">
        <v>849</v>
      </c>
      <c r="I3" s="6" t="s">
        <v>406</v>
      </c>
    </row>
    <row r="4" customFormat="false" ht="15" hidden="false" customHeight="false" outlineLevel="0" collapsed="false">
      <c r="A4" s="6" t="s">
        <v>851</v>
      </c>
      <c r="B4" s="6" t="s">
        <v>500</v>
      </c>
      <c r="C4" s="6" t="s">
        <v>394</v>
      </c>
      <c r="D4" s="6" t="s">
        <v>251</v>
      </c>
      <c r="E4" s="16" t="n">
        <v>46285.5515959924</v>
      </c>
      <c r="F4" s="6" t="n">
        <v>10</v>
      </c>
      <c r="G4" s="6" t="str">
        <f aca="false">README!$B$14</f>
        <v>points</v>
      </c>
      <c r="H4" s="6" t="s">
        <v>849</v>
      </c>
      <c r="I4" s="6" t="s">
        <v>406</v>
      </c>
    </row>
    <row r="5" customFormat="false" ht="15" hidden="false" customHeight="false" outlineLevel="0" collapsed="false">
      <c r="A5" s="6" t="s">
        <v>852</v>
      </c>
      <c r="B5" s="6" t="s">
        <v>797</v>
      </c>
      <c r="C5" s="6" t="s">
        <v>435</v>
      </c>
      <c r="D5" s="6" t="s">
        <v>244</v>
      </c>
      <c r="E5" s="16" t="n">
        <v>46285.7003374468</v>
      </c>
      <c r="F5" s="6" t="n">
        <v>50</v>
      </c>
      <c r="G5" s="6" t="str">
        <f aca="false">README!$B$14</f>
        <v>points</v>
      </c>
      <c r="H5" s="6" t="s">
        <v>853</v>
      </c>
      <c r="I5" s="6" t="s">
        <v>406</v>
      </c>
    </row>
    <row r="6" customFormat="false" ht="15" hidden="false" customHeight="false" outlineLevel="0" collapsed="false">
      <c r="A6" s="6" t="s">
        <v>854</v>
      </c>
      <c r="B6" s="6" t="s">
        <v>765</v>
      </c>
      <c r="C6" s="6" t="s">
        <v>113</v>
      </c>
      <c r="D6" s="6" t="s">
        <v>244</v>
      </c>
      <c r="E6" s="16" t="n">
        <v>46285.794454119</v>
      </c>
      <c r="F6" s="6" t="n">
        <v>50</v>
      </c>
      <c r="G6" s="6" t="str">
        <f aca="false">README!$B$14</f>
        <v>points</v>
      </c>
      <c r="H6" s="6" t="s">
        <v>853</v>
      </c>
      <c r="I6" s="6" t="s">
        <v>406</v>
      </c>
    </row>
    <row r="7" customFormat="false" ht="15" hidden="false" customHeight="false" outlineLevel="0" collapsed="false">
      <c r="A7" s="6" t="s">
        <v>855</v>
      </c>
      <c r="B7" s="6" t="s">
        <v>380</v>
      </c>
      <c r="C7" s="6" t="s">
        <v>382</v>
      </c>
      <c r="D7" s="6" t="s">
        <v>244</v>
      </c>
      <c r="E7" s="16" t="n">
        <v>46286.0213223833</v>
      </c>
      <c r="F7" s="6" t="n">
        <v>50</v>
      </c>
      <c r="G7" s="6" t="str">
        <f aca="false">README!$B$14</f>
        <v>points</v>
      </c>
      <c r="H7" s="6" t="s">
        <v>853</v>
      </c>
      <c r="I7" s="6" t="s">
        <v>406</v>
      </c>
    </row>
    <row r="8" customFormat="false" ht="15" hidden="false" customHeight="false" outlineLevel="0" collapsed="false">
      <c r="A8" s="6" t="s">
        <v>856</v>
      </c>
      <c r="B8" s="6" t="s">
        <v>536</v>
      </c>
      <c r="C8" s="6" t="s">
        <v>447</v>
      </c>
      <c r="D8" s="6" t="s">
        <v>251</v>
      </c>
      <c r="E8" s="16" t="n">
        <v>46286.1658052606</v>
      </c>
      <c r="F8" s="6" t="n">
        <v>10</v>
      </c>
      <c r="G8" s="6" t="str">
        <f aca="false">README!$B$14</f>
        <v>points</v>
      </c>
      <c r="H8" s="6" t="s">
        <v>849</v>
      </c>
      <c r="I8" s="6" t="s">
        <v>406</v>
      </c>
    </row>
    <row r="9" customFormat="false" ht="15" hidden="false" customHeight="false" outlineLevel="0" collapsed="false">
      <c r="A9" s="6" t="s">
        <v>857</v>
      </c>
      <c r="B9" s="6" t="s">
        <v>470</v>
      </c>
      <c r="C9" s="6" t="s">
        <v>366</v>
      </c>
      <c r="D9" s="6" t="s">
        <v>244</v>
      </c>
      <c r="E9" s="16" t="n">
        <v>46286.374856651</v>
      </c>
      <c r="F9" s="6" t="n">
        <v>100</v>
      </c>
      <c r="G9" s="6" t="str">
        <f aca="false">README!$B$14</f>
        <v>points</v>
      </c>
      <c r="H9" s="6" t="s">
        <v>853</v>
      </c>
      <c r="I9" s="6" t="s">
        <v>406</v>
      </c>
    </row>
    <row r="10" customFormat="false" ht="15" hidden="false" customHeight="false" outlineLevel="0" collapsed="false">
      <c r="A10" s="6" t="s">
        <v>858</v>
      </c>
      <c r="B10" s="6" t="s">
        <v>792</v>
      </c>
      <c r="C10" s="6" t="s">
        <v>532</v>
      </c>
      <c r="D10" s="6" t="s">
        <v>251</v>
      </c>
      <c r="E10" s="16" t="n">
        <v>46286.6717364805</v>
      </c>
      <c r="F10" s="6" t="n">
        <v>5</v>
      </c>
      <c r="G10" s="6" t="str">
        <f aca="false">README!$B$14</f>
        <v>points</v>
      </c>
      <c r="H10" s="6" t="s">
        <v>849</v>
      </c>
      <c r="I10" s="6" t="s">
        <v>406</v>
      </c>
    </row>
    <row r="11" customFormat="false" ht="15" hidden="false" customHeight="false" outlineLevel="0" collapsed="false">
      <c r="A11" s="6" t="s">
        <v>859</v>
      </c>
      <c r="B11" s="6" t="s">
        <v>731</v>
      </c>
      <c r="C11" s="6" t="s">
        <v>585</v>
      </c>
      <c r="D11" s="6" t="s">
        <v>263</v>
      </c>
      <c r="E11" s="16" t="n">
        <v>46286.9354810466</v>
      </c>
      <c r="F11" s="6" t="n">
        <v>-1</v>
      </c>
      <c r="G11" s="6" t="str">
        <f aca="false">README!$B$14</f>
        <v>points</v>
      </c>
      <c r="H11" s="6" t="s">
        <v>860</v>
      </c>
      <c r="I11" s="6" t="s">
        <v>173</v>
      </c>
    </row>
    <row r="12" customFormat="false" ht="15" hidden="false" customHeight="false" outlineLevel="0" collapsed="false">
      <c r="A12" s="6" t="s">
        <v>861</v>
      </c>
      <c r="B12" s="6" t="s">
        <v>737</v>
      </c>
      <c r="C12" s="6" t="s">
        <v>568</v>
      </c>
      <c r="D12" s="6" t="s">
        <v>251</v>
      </c>
      <c r="E12" s="16" t="n">
        <v>46287.1588827078</v>
      </c>
      <c r="F12" s="6" t="n">
        <v>5</v>
      </c>
      <c r="G12" s="6" t="str">
        <f aca="false">README!$B$14</f>
        <v>points</v>
      </c>
      <c r="H12" s="6" t="s">
        <v>849</v>
      </c>
      <c r="I12" s="6" t="s">
        <v>406</v>
      </c>
    </row>
    <row r="13" customFormat="false" ht="15" hidden="false" customHeight="false" outlineLevel="0" collapsed="false">
      <c r="A13" s="6" t="s">
        <v>862</v>
      </c>
      <c r="B13" s="6" t="s">
        <v>389</v>
      </c>
      <c r="C13" s="6" t="s">
        <v>390</v>
      </c>
      <c r="D13" s="6" t="s">
        <v>244</v>
      </c>
      <c r="E13" s="16" t="n">
        <v>46287.3030567871</v>
      </c>
      <c r="F13" s="6" t="n">
        <v>100</v>
      </c>
      <c r="G13" s="6" t="str">
        <f aca="false">README!$B$14</f>
        <v>points</v>
      </c>
      <c r="H13" s="6" t="s">
        <v>853</v>
      </c>
      <c r="I13" s="6" t="s">
        <v>406</v>
      </c>
    </row>
    <row r="14" customFormat="false" ht="15" hidden="false" customHeight="false" outlineLevel="0" collapsed="false">
      <c r="A14" s="6" t="s">
        <v>863</v>
      </c>
      <c r="B14" s="6" t="s">
        <v>380</v>
      </c>
      <c r="C14" s="6" t="s">
        <v>382</v>
      </c>
      <c r="D14" s="6" t="s">
        <v>251</v>
      </c>
      <c r="E14" s="16" t="n">
        <v>46287.3375508011</v>
      </c>
      <c r="F14" s="6" t="n">
        <v>50</v>
      </c>
      <c r="G14" s="6" t="str">
        <f aca="false">README!$B$14</f>
        <v>points</v>
      </c>
      <c r="H14" s="6" t="s">
        <v>849</v>
      </c>
      <c r="I14" s="6" t="s">
        <v>406</v>
      </c>
    </row>
    <row r="15" customFormat="false" ht="15" hidden="false" customHeight="false" outlineLevel="0" collapsed="false">
      <c r="A15" s="6" t="s">
        <v>864</v>
      </c>
      <c r="B15" s="6" t="s">
        <v>797</v>
      </c>
      <c r="C15" s="6" t="s">
        <v>435</v>
      </c>
      <c r="D15" s="6" t="s">
        <v>251</v>
      </c>
      <c r="E15" s="16" t="n">
        <v>46287.3570706129</v>
      </c>
      <c r="F15" s="6" t="n">
        <v>50</v>
      </c>
      <c r="G15" s="6" t="str">
        <f aca="false">README!$B$14</f>
        <v>points</v>
      </c>
      <c r="H15" s="6" t="s">
        <v>849</v>
      </c>
      <c r="I15" s="6" t="s">
        <v>406</v>
      </c>
    </row>
    <row r="16" customFormat="false" ht="15" hidden="false" customHeight="false" outlineLevel="0" collapsed="false">
      <c r="A16" s="6" t="s">
        <v>865</v>
      </c>
      <c r="B16" s="6" t="s">
        <v>735</v>
      </c>
      <c r="C16" s="6" t="s">
        <v>532</v>
      </c>
      <c r="D16" s="6" t="s">
        <v>244</v>
      </c>
      <c r="E16" s="16" t="n">
        <v>46287.8639859783</v>
      </c>
      <c r="F16" s="6" t="n">
        <v>100</v>
      </c>
      <c r="G16" s="6" t="str">
        <f aca="false">README!$B$14</f>
        <v>points</v>
      </c>
      <c r="H16" s="6" t="s">
        <v>853</v>
      </c>
      <c r="I16" s="6" t="s">
        <v>406</v>
      </c>
    </row>
    <row r="17" customFormat="false" ht="15" hidden="false" customHeight="false" outlineLevel="0" collapsed="false">
      <c r="A17" s="6" t="s">
        <v>866</v>
      </c>
      <c r="B17" s="6" t="s">
        <v>703</v>
      </c>
      <c r="C17" s="6" t="s">
        <v>579</v>
      </c>
      <c r="D17" s="6" t="s">
        <v>244</v>
      </c>
      <c r="E17" s="16" t="n">
        <v>46287.9365285676</v>
      </c>
      <c r="F17" s="6" t="n">
        <v>30</v>
      </c>
      <c r="G17" s="6" t="str">
        <f aca="false">README!$B$14</f>
        <v>points</v>
      </c>
      <c r="H17" s="6" t="s">
        <v>853</v>
      </c>
      <c r="I17" s="6" t="s">
        <v>406</v>
      </c>
    </row>
    <row r="18" customFormat="false" ht="15" hidden="false" customHeight="false" outlineLevel="0" collapsed="false">
      <c r="A18" s="6" t="s">
        <v>867</v>
      </c>
      <c r="B18" s="6" t="s">
        <v>813</v>
      </c>
      <c r="C18" s="6" t="s">
        <v>517</v>
      </c>
      <c r="D18" s="6" t="s">
        <v>251</v>
      </c>
      <c r="E18" s="16" t="n">
        <v>46288.2129087191</v>
      </c>
      <c r="F18" s="6" t="n">
        <v>10</v>
      </c>
      <c r="G18" s="6" t="str">
        <f aca="false">README!$B$14</f>
        <v>points</v>
      </c>
      <c r="H18" s="6" t="s">
        <v>849</v>
      </c>
      <c r="I18" s="6" t="s">
        <v>406</v>
      </c>
    </row>
    <row r="19" customFormat="false" ht="15" hidden="false" customHeight="false" outlineLevel="0" collapsed="false">
      <c r="A19" s="6" t="s">
        <v>868</v>
      </c>
      <c r="B19" s="6" t="s">
        <v>423</v>
      </c>
      <c r="C19" s="6" t="s">
        <v>424</v>
      </c>
      <c r="D19" s="6" t="s">
        <v>251</v>
      </c>
      <c r="E19" s="16" t="n">
        <v>46288.2518454173</v>
      </c>
      <c r="F19" s="6" t="n">
        <v>5</v>
      </c>
      <c r="G19" s="6" t="str">
        <f aca="false">README!$B$14</f>
        <v>points</v>
      </c>
      <c r="H19" s="6" t="s">
        <v>849</v>
      </c>
      <c r="I19" s="6" t="s">
        <v>406</v>
      </c>
    </row>
    <row r="20" customFormat="false" ht="15" hidden="false" customHeight="false" outlineLevel="0" collapsed="false">
      <c r="A20" s="6" t="s">
        <v>869</v>
      </c>
      <c r="B20" s="6" t="s">
        <v>375</v>
      </c>
      <c r="C20" s="6" t="s">
        <v>377</v>
      </c>
      <c r="D20" s="6" t="s">
        <v>251</v>
      </c>
      <c r="E20" s="16" t="n">
        <v>46288.2940602692</v>
      </c>
      <c r="F20" s="6" t="n">
        <v>5</v>
      </c>
      <c r="G20" s="6" t="str">
        <f aca="false">README!$B$14</f>
        <v>points</v>
      </c>
      <c r="H20" s="6" t="s">
        <v>849</v>
      </c>
      <c r="I20" s="6" t="s">
        <v>406</v>
      </c>
    </row>
    <row r="21" customFormat="false" ht="15" hidden="false" customHeight="false" outlineLevel="0" collapsed="false">
      <c r="A21" s="6" t="s">
        <v>870</v>
      </c>
      <c r="B21" s="6" t="s">
        <v>666</v>
      </c>
      <c r="C21" s="6" t="s">
        <v>371</v>
      </c>
      <c r="D21" s="6" t="s">
        <v>244</v>
      </c>
      <c r="E21" s="16" t="n">
        <v>46288.3004119663</v>
      </c>
      <c r="F21" s="6" t="n">
        <v>100</v>
      </c>
      <c r="G21" s="6" t="str">
        <f aca="false">README!$B$14</f>
        <v>points</v>
      </c>
      <c r="H21" s="6" t="s">
        <v>853</v>
      </c>
      <c r="I21" s="6" t="s">
        <v>406</v>
      </c>
    </row>
    <row r="22" customFormat="false" ht="15" hidden="false" customHeight="false" outlineLevel="0" collapsed="false">
      <c r="A22" s="6" t="s">
        <v>871</v>
      </c>
      <c r="B22" s="6" t="s">
        <v>414</v>
      </c>
      <c r="C22" s="6" t="s">
        <v>415</v>
      </c>
      <c r="D22" s="6" t="s">
        <v>244</v>
      </c>
      <c r="E22" s="16" t="n">
        <v>46288.3347957887</v>
      </c>
      <c r="F22" s="6" t="n">
        <v>50</v>
      </c>
      <c r="G22" s="6" t="str">
        <f aca="false">README!$B$14</f>
        <v>points</v>
      </c>
      <c r="H22" s="6" t="s">
        <v>853</v>
      </c>
      <c r="I22" s="6" t="s">
        <v>406</v>
      </c>
    </row>
    <row r="23" customFormat="false" ht="15" hidden="false" customHeight="false" outlineLevel="0" collapsed="false">
      <c r="A23" s="6" t="s">
        <v>872</v>
      </c>
      <c r="B23" s="6" t="s">
        <v>468</v>
      </c>
      <c r="C23" s="6" t="s">
        <v>461</v>
      </c>
      <c r="D23" s="6" t="s">
        <v>251</v>
      </c>
      <c r="E23" s="16" t="n">
        <v>46288.6422333111</v>
      </c>
      <c r="F23" s="6" t="n">
        <v>5</v>
      </c>
      <c r="G23" s="6" t="str">
        <f aca="false">README!$B$14</f>
        <v>points</v>
      </c>
      <c r="H23" s="6" t="s">
        <v>849</v>
      </c>
      <c r="I23" s="6" t="s">
        <v>406</v>
      </c>
    </row>
    <row r="24" customFormat="false" ht="15" hidden="false" customHeight="false" outlineLevel="0" collapsed="false">
      <c r="A24" s="6" t="s">
        <v>873</v>
      </c>
      <c r="B24" s="6" t="s">
        <v>455</v>
      </c>
      <c r="C24" s="6" t="s">
        <v>443</v>
      </c>
      <c r="D24" s="6" t="s">
        <v>244</v>
      </c>
      <c r="E24" s="16" t="n">
        <v>46289.0811386669</v>
      </c>
      <c r="F24" s="6" t="n">
        <v>30</v>
      </c>
      <c r="G24" s="6" t="str">
        <f aca="false">README!$B$14</f>
        <v>points</v>
      </c>
      <c r="H24" s="6" t="s">
        <v>853</v>
      </c>
      <c r="I24" s="6" t="s">
        <v>406</v>
      </c>
    </row>
    <row r="25" customFormat="false" ht="15" hidden="false" customHeight="false" outlineLevel="0" collapsed="false">
      <c r="A25" s="6" t="s">
        <v>874</v>
      </c>
      <c r="B25" s="6" t="s">
        <v>505</v>
      </c>
      <c r="C25" s="6" t="s">
        <v>405</v>
      </c>
      <c r="D25" s="6" t="s">
        <v>251</v>
      </c>
      <c r="E25" s="16" t="n">
        <v>46289.2198581829</v>
      </c>
      <c r="F25" s="6" t="n">
        <v>10</v>
      </c>
      <c r="G25" s="6" t="str">
        <f aca="false">README!$B$14</f>
        <v>points</v>
      </c>
      <c r="H25" s="6" t="s">
        <v>849</v>
      </c>
      <c r="I25" s="6" t="s">
        <v>406</v>
      </c>
    </row>
    <row r="26" customFormat="false" ht="15" hidden="false" customHeight="false" outlineLevel="0" collapsed="false">
      <c r="A26" s="6" t="s">
        <v>875</v>
      </c>
      <c r="B26" s="6" t="s">
        <v>522</v>
      </c>
      <c r="C26" s="6" t="s">
        <v>498</v>
      </c>
      <c r="D26" s="6" t="s">
        <v>251</v>
      </c>
      <c r="E26" s="16" t="n">
        <v>46289.3890134819</v>
      </c>
      <c r="F26" s="6" t="n">
        <v>5</v>
      </c>
      <c r="G26" s="6" t="str">
        <f aca="false">README!$B$14</f>
        <v>points</v>
      </c>
      <c r="H26" s="6" t="s">
        <v>849</v>
      </c>
      <c r="I26" s="6" t="s">
        <v>406</v>
      </c>
    </row>
    <row r="27" customFormat="false" ht="15" hidden="false" customHeight="false" outlineLevel="0" collapsed="false">
      <c r="A27" s="6" t="s">
        <v>876</v>
      </c>
      <c r="B27" s="6" t="s">
        <v>455</v>
      </c>
      <c r="C27" s="6" t="s">
        <v>443</v>
      </c>
      <c r="D27" s="6" t="s">
        <v>251</v>
      </c>
      <c r="E27" s="16" t="n">
        <v>46289.4167181115</v>
      </c>
      <c r="F27" s="6" t="n">
        <v>30</v>
      </c>
      <c r="G27" s="6" t="str">
        <f aca="false">README!$B$14</f>
        <v>points</v>
      </c>
      <c r="H27" s="6" t="s">
        <v>849</v>
      </c>
      <c r="I27" s="6" t="s">
        <v>406</v>
      </c>
    </row>
    <row r="28" customFormat="false" ht="15" hidden="false" customHeight="false" outlineLevel="0" collapsed="false">
      <c r="A28" s="6" t="s">
        <v>877</v>
      </c>
      <c r="B28" s="6" t="s">
        <v>801</v>
      </c>
      <c r="C28" s="6" t="s">
        <v>463</v>
      </c>
      <c r="D28" s="6" t="s">
        <v>251</v>
      </c>
      <c r="E28" s="16" t="n">
        <v>46289.5636416507</v>
      </c>
      <c r="F28" s="6" t="n">
        <v>5</v>
      </c>
      <c r="G28" s="6" t="str">
        <f aca="false">README!$B$14</f>
        <v>points</v>
      </c>
      <c r="H28" s="6" t="s">
        <v>849</v>
      </c>
      <c r="I28" s="6" t="s">
        <v>406</v>
      </c>
    </row>
    <row r="29" customFormat="false" ht="15" hidden="false" customHeight="false" outlineLevel="0" collapsed="false">
      <c r="A29" s="6" t="s">
        <v>878</v>
      </c>
      <c r="B29" s="6" t="s">
        <v>389</v>
      </c>
      <c r="C29" s="6" t="s">
        <v>390</v>
      </c>
      <c r="D29" s="6" t="s">
        <v>251</v>
      </c>
      <c r="E29" s="16" t="n">
        <v>46289.6521667329</v>
      </c>
      <c r="F29" s="6" t="n">
        <v>100</v>
      </c>
      <c r="G29" s="6" t="str">
        <f aca="false">README!$B$14</f>
        <v>points</v>
      </c>
      <c r="H29" s="6" t="s">
        <v>849</v>
      </c>
      <c r="I29" s="6" t="s">
        <v>406</v>
      </c>
    </row>
    <row r="30" customFormat="false" ht="15" hidden="false" customHeight="false" outlineLevel="0" collapsed="false">
      <c r="A30" s="6" t="s">
        <v>879</v>
      </c>
      <c r="B30" s="6" t="s">
        <v>807</v>
      </c>
      <c r="C30" s="6" t="s">
        <v>382</v>
      </c>
      <c r="D30" s="6" t="s">
        <v>251</v>
      </c>
      <c r="E30" s="16" t="n">
        <v>46289.6822832677</v>
      </c>
      <c r="F30" s="6" t="n">
        <v>5</v>
      </c>
      <c r="G30" s="6" t="str">
        <f aca="false">README!$B$14</f>
        <v>points</v>
      </c>
      <c r="H30" s="6" t="s">
        <v>849</v>
      </c>
      <c r="I30" s="6" t="s">
        <v>406</v>
      </c>
    </row>
    <row r="31" customFormat="false" ht="15" hidden="false" customHeight="false" outlineLevel="0" collapsed="false">
      <c r="A31" s="6" t="s">
        <v>880</v>
      </c>
      <c r="B31" s="6" t="s">
        <v>537</v>
      </c>
      <c r="C31" s="6" t="s">
        <v>447</v>
      </c>
      <c r="D31" s="6" t="s">
        <v>251</v>
      </c>
      <c r="E31" s="16" t="n">
        <v>46289.7885549092</v>
      </c>
      <c r="F31" s="6" t="n">
        <v>10</v>
      </c>
      <c r="G31" s="6" t="str">
        <f aca="false">README!$B$14</f>
        <v>points</v>
      </c>
      <c r="H31" s="6" t="s">
        <v>849</v>
      </c>
      <c r="I31" s="6" t="s">
        <v>406</v>
      </c>
    </row>
    <row r="32" customFormat="false" ht="15" hidden="false" customHeight="false" outlineLevel="0" collapsed="false">
      <c r="A32" s="6" t="s">
        <v>881</v>
      </c>
      <c r="B32" s="6" t="s">
        <v>809</v>
      </c>
      <c r="C32" s="6" t="s">
        <v>582</v>
      </c>
      <c r="D32" s="6" t="s">
        <v>251</v>
      </c>
      <c r="E32" s="16" t="n">
        <v>46289.8186723766</v>
      </c>
      <c r="F32" s="6" t="n">
        <v>5</v>
      </c>
      <c r="G32" s="6" t="str">
        <f aca="false">README!$B$14</f>
        <v>points</v>
      </c>
      <c r="H32" s="6" t="s">
        <v>849</v>
      </c>
      <c r="I32" s="6" t="s">
        <v>406</v>
      </c>
    </row>
    <row r="33" customFormat="false" ht="15" hidden="false" customHeight="false" outlineLevel="0" collapsed="false">
      <c r="A33" s="6" t="s">
        <v>882</v>
      </c>
      <c r="B33" s="6" t="s">
        <v>528</v>
      </c>
      <c r="C33" s="6" t="s">
        <v>412</v>
      </c>
      <c r="D33" s="6" t="s">
        <v>251</v>
      </c>
      <c r="E33" s="16" t="n">
        <v>46289.8516633545</v>
      </c>
      <c r="F33" s="6" t="n">
        <v>10</v>
      </c>
      <c r="G33" s="6" t="str">
        <f aca="false">README!$B$14</f>
        <v>points</v>
      </c>
      <c r="H33" s="6" t="s">
        <v>849</v>
      </c>
      <c r="I33" s="6" t="s">
        <v>406</v>
      </c>
    </row>
    <row r="34" customFormat="false" ht="15" hidden="false" customHeight="false" outlineLevel="0" collapsed="false">
      <c r="A34" s="6" t="s">
        <v>883</v>
      </c>
      <c r="B34" s="6" t="s">
        <v>666</v>
      </c>
      <c r="C34" s="6" t="s">
        <v>371</v>
      </c>
      <c r="D34" s="6" t="s">
        <v>251</v>
      </c>
      <c r="E34" s="16" t="n">
        <v>46289.9210290364</v>
      </c>
      <c r="F34" s="6" t="n">
        <v>100</v>
      </c>
      <c r="G34" s="6" t="str">
        <f aca="false">README!$B$14</f>
        <v>points</v>
      </c>
      <c r="H34" s="6" t="s">
        <v>849</v>
      </c>
      <c r="I34" s="6" t="s">
        <v>406</v>
      </c>
    </row>
    <row r="35" customFormat="false" ht="15" hidden="false" customHeight="false" outlineLevel="0" collapsed="false">
      <c r="A35" s="6" t="s">
        <v>884</v>
      </c>
      <c r="B35" s="6" t="s">
        <v>420</v>
      </c>
      <c r="C35" s="6" t="s">
        <v>421</v>
      </c>
      <c r="D35" s="6" t="s">
        <v>244</v>
      </c>
      <c r="E35" s="16" t="n">
        <v>46289.9865458599</v>
      </c>
      <c r="F35" s="6" t="n">
        <v>50</v>
      </c>
      <c r="G35" s="6" t="str">
        <f aca="false">README!$B$14</f>
        <v>points</v>
      </c>
      <c r="H35" s="6" t="s">
        <v>853</v>
      </c>
      <c r="I35" s="6" t="s">
        <v>406</v>
      </c>
    </row>
    <row r="36" customFormat="false" ht="15" hidden="false" customHeight="false" outlineLevel="0" collapsed="false">
      <c r="A36" s="6" t="s">
        <v>885</v>
      </c>
      <c r="B36" s="6" t="s">
        <v>735</v>
      </c>
      <c r="C36" s="6" t="s">
        <v>532</v>
      </c>
      <c r="D36" s="6" t="s">
        <v>251</v>
      </c>
      <c r="E36" s="16" t="n">
        <v>46290.0339847666</v>
      </c>
      <c r="F36" s="6" t="n">
        <v>100</v>
      </c>
      <c r="G36" s="6" t="str">
        <f aca="false">README!$B$14</f>
        <v>points</v>
      </c>
      <c r="H36" s="6" t="s">
        <v>849</v>
      </c>
      <c r="I36" s="6" t="s">
        <v>406</v>
      </c>
    </row>
    <row r="37" customFormat="false" ht="15" hidden="false" customHeight="false" outlineLevel="0" collapsed="false">
      <c r="A37" s="6" t="s">
        <v>886</v>
      </c>
      <c r="B37" s="6" t="s">
        <v>767</v>
      </c>
      <c r="C37" s="6" t="s">
        <v>593</v>
      </c>
      <c r="D37" s="6" t="s">
        <v>244</v>
      </c>
      <c r="E37" s="16" t="n">
        <v>46290.1351902933</v>
      </c>
      <c r="F37" s="6" t="n">
        <v>100</v>
      </c>
      <c r="G37" s="6" t="str">
        <f aca="false">README!$B$14</f>
        <v>points</v>
      </c>
      <c r="H37" s="6" t="s">
        <v>853</v>
      </c>
      <c r="I37" s="6" t="s">
        <v>406</v>
      </c>
    </row>
    <row r="38" customFormat="false" ht="15" hidden="false" customHeight="false" outlineLevel="0" collapsed="false">
      <c r="A38" s="6" t="s">
        <v>887</v>
      </c>
      <c r="B38" s="6" t="s">
        <v>769</v>
      </c>
      <c r="C38" s="6" t="s">
        <v>113</v>
      </c>
      <c r="D38" s="6" t="s">
        <v>251</v>
      </c>
      <c r="E38" s="16" t="n">
        <v>46290.3056300513</v>
      </c>
      <c r="F38" s="6" t="n">
        <v>10</v>
      </c>
      <c r="G38" s="6" t="str">
        <f aca="false">README!$B$14</f>
        <v>points</v>
      </c>
      <c r="H38" s="6" t="s">
        <v>849</v>
      </c>
      <c r="I38" s="6" t="s">
        <v>406</v>
      </c>
    </row>
    <row r="39" customFormat="false" ht="15" hidden="false" customHeight="false" outlineLevel="0" collapsed="false">
      <c r="A39" s="6" t="s">
        <v>888</v>
      </c>
      <c r="B39" s="6" t="s">
        <v>414</v>
      </c>
      <c r="C39" s="6" t="s">
        <v>415</v>
      </c>
      <c r="D39" s="6" t="s">
        <v>251</v>
      </c>
      <c r="E39" s="16" t="n">
        <v>46290.3058243361</v>
      </c>
      <c r="F39" s="6" t="n">
        <v>50</v>
      </c>
      <c r="G39" s="6" t="str">
        <f aca="false">README!$B$14</f>
        <v>points</v>
      </c>
      <c r="H39" s="6" t="s">
        <v>849</v>
      </c>
      <c r="I39" s="6" t="s">
        <v>406</v>
      </c>
    </row>
    <row r="40" customFormat="false" ht="15" hidden="false" customHeight="false" outlineLevel="0" collapsed="false">
      <c r="A40" s="6" t="s">
        <v>889</v>
      </c>
      <c r="B40" s="6" t="s">
        <v>799</v>
      </c>
      <c r="C40" s="6" t="s">
        <v>458</v>
      </c>
      <c r="D40" s="6" t="s">
        <v>244</v>
      </c>
      <c r="E40" s="16" t="n">
        <v>46290.334226587</v>
      </c>
      <c r="F40" s="6" t="n">
        <v>50</v>
      </c>
      <c r="G40" s="6" t="str">
        <f aca="false">README!$B$14</f>
        <v>points</v>
      </c>
      <c r="H40" s="6" t="s">
        <v>853</v>
      </c>
      <c r="I40" s="6" t="s">
        <v>406</v>
      </c>
    </row>
    <row r="41" customFormat="false" ht="15" hidden="false" customHeight="false" outlineLevel="0" collapsed="false">
      <c r="A41" s="6" t="s">
        <v>890</v>
      </c>
      <c r="B41" s="6" t="s">
        <v>495</v>
      </c>
      <c r="C41" s="6" t="s">
        <v>485</v>
      </c>
      <c r="D41" s="6" t="s">
        <v>251</v>
      </c>
      <c r="E41" s="16" t="n">
        <v>46290.363911335</v>
      </c>
      <c r="F41" s="6" t="n">
        <v>5</v>
      </c>
      <c r="G41" s="6" t="str">
        <f aca="false">README!$B$14</f>
        <v>points</v>
      </c>
      <c r="H41" s="6" t="s">
        <v>849</v>
      </c>
      <c r="I41" s="6" t="s">
        <v>406</v>
      </c>
    </row>
    <row r="42" customFormat="false" ht="15" hidden="false" customHeight="false" outlineLevel="0" collapsed="false">
      <c r="A42" s="6" t="s">
        <v>891</v>
      </c>
      <c r="B42" s="6" t="s">
        <v>662</v>
      </c>
      <c r="C42" s="6" t="s">
        <v>113</v>
      </c>
      <c r="D42" s="6" t="s">
        <v>251</v>
      </c>
      <c r="E42" s="16" t="n">
        <v>46290.3753559778</v>
      </c>
      <c r="F42" s="6" t="n">
        <v>5</v>
      </c>
      <c r="G42" s="6" t="str">
        <f aca="false">README!$B$14</f>
        <v>points</v>
      </c>
      <c r="H42" s="6" t="s">
        <v>849</v>
      </c>
      <c r="I42" s="6" t="s">
        <v>406</v>
      </c>
    </row>
    <row r="43" customFormat="false" ht="15" hidden="false" customHeight="false" outlineLevel="0" collapsed="false">
      <c r="A43" s="6" t="s">
        <v>892</v>
      </c>
      <c r="B43" s="6" t="s">
        <v>820</v>
      </c>
      <c r="C43" s="6" t="s">
        <v>556</v>
      </c>
      <c r="D43" s="6" t="s">
        <v>244</v>
      </c>
      <c r="E43" s="16" t="n">
        <v>46290.4767814965</v>
      </c>
      <c r="F43" s="6" t="n">
        <v>30</v>
      </c>
      <c r="G43" s="6" t="str">
        <f aca="false">README!$B$14</f>
        <v>points</v>
      </c>
      <c r="H43" s="6" t="s">
        <v>853</v>
      </c>
      <c r="I43" s="6" t="s">
        <v>406</v>
      </c>
    </row>
    <row r="44" customFormat="false" ht="15" hidden="false" customHeight="false" outlineLevel="0" collapsed="false">
      <c r="A44" s="6" t="s">
        <v>893</v>
      </c>
      <c r="B44" s="6" t="s">
        <v>703</v>
      </c>
      <c r="C44" s="6" t="s">
        <v>579</v>
      </c>
      <c r="D44" s="6" t="s">
        <v>251</v>
      </c>
      <c r="E44" s="16" t="n">
        <v>46290.5037837017</v>
      </c>
      <c r="F44" s="6" t="n">
        <v>30</v>
      </c>
      <c r="G44" s="6" t="str">
        <f aca="false">README!$B$14</f>
        <v>points</v>
      </c>
      <c r="H44" s="6" t="s">
        <v>849</v>
      </c>
      <c r="I44" s="6" t="s">
        <v>406</v>
      </c>
    </row>
    <row r="45" customFormat="false" ht="15" hidden="false" customHeight="false" outlineLevel="0" collapsed="false">
      <c r="A45" s="6" t="s">
        <v>894</v>
      </c>
      <c r="B45" s="6" t="s">
        <v>788</v>
      </c>
      <c r="C45" s="6" t="s">
        <v>458</v>
      </c>
      <c r="D45" s="6" t="s">
        <v>251</v>
      </c>
      <c r="E45" s="16" t="n">
        <v>46290.5076728969</v>
      </c>
      <c r="F45" s="6" t="n">
        <v>10</v>
      </c>
      <c r="G45" s="6" t="str">
        <f aca="false">README!$B$14</f>
        <v>points</v>
      </c>
      <c r="H45" s="6" t="s">
        <v>849</v>
      </c>
      <c r="I45" s="6" t="s">
        <v>406</v>
      </c>
    </row>
    <row r="46" customFormat="false" ht="15" hidden="false" customHeight="false" outlineLevel="0" collapsed="false">
      <c r="A46" s="6" t="s">
        <v>895</v>
      </c>
      <c r="B46" s="6" t="s">
        <v>832</v>
      </c>
      <c r="C46" s="6" t="s">
        <v>466</v>
      </c>
      <c r="D46" s="6" t="s">
        <v>244</v>
      </c>
      <c r="E46" s="16" t="n">
        <v>46290.5150367807</v>
      </c>
      <c r="F46" s="6" t="n">
        <v>50</v>
      </c>
      <c r="G46" s="6" t="str">
        <f aca="false">README!$B$14</f>
        <v>points</v>
      </c>
      <c r="H46" s="6" t="s">
        <v>853</v>
      </c>
      <c r="I46" s="6" t="s">
        <v>406</v>
      </c>
    </row>
    <row r="47" customFormat="false" ht="15" hidden="false" customHeight="false" outlineLevel="0" collapsed="false">
      <c r="A47" s="6" t="s">
        <v>896</v>
      </c>
      <c r="B47" s="6" t="s">
        <v>758</v>
      </c>
      <c r="C47" s="6" t="s">
        <v>551</v>
      </c>
      <c r="D47" s="6" t="s">
        <v>244</v>
      </c>
      <c r="E47" s="16" t="n">
        <v>46290.724074945</v>
      </c>
      <c r="F47" s="6" t="n">
        <v>30</v>
      </c>
      <c r="G47" s="6" t="str">
        <f aca="false">README!$B$14</f>
        <v>points</v>
      </c>
      <c r="H47" s="6" t="s">
        <v>853</v>
      </c>
      <c r="I47" s="6" t="s">
        <v>406</v>
      </c>
    </row>
    <row r="48" customFormat="false" ht="15" hidden="false" customHeight="false" outlineLevel="0" collapsed="false">
      <c r="A48" s="6" t="s">
        <v>897</v>
      </c>
      <c r="B48" s="6" t="s">
        <v>777</v>
      </c>
      <c r="C48" s="6" t="s">
        <v>485</v>
      </c>
      <c r="D48" s="6" t="s">
        <v>244</v>
      </c>
      <c r="E48" s="16" t="n">
        <v>46291.1675033032</v>
      </c>
      <c r="F48" s="6" t="n">
        <v>100</v>
      </c>
      <c r="G48" s="6" t="str">
        <f aca="false">README!$B$14</f>
        <v>points</v>
      </c>
      <c r="H48" s="6" t="s">
        <v>853</v>
      </c>
      <c r="I48" s="6" t="s">
        <v>406</v>
      </c>
    </row>
    <row r="49" customFormat="false" ht="15" hidden="false" customHeight="false" outlineLevel="0" collapsed="false">
      <c r="A49" s="6" t="s">
        <v>898</v>
      </c>
      <c r="B49" s="6" t="s">
        <v>799</v>
      </c>
      <c r="C49" s="6" t="s">
        <v>458</v>
      </c>
      <c r="D49" s="6" t="s">
        <v>251</v>
      </c>
      <c r="E49" s="16" t="n">
        <v>46291.4947403895</v>
      </c>
      <c r="F49" s="6" t="n">
        <v>50</v>
      </c>
      <c r="G49" s="6" t="str">
        <f aca="false">README!$B$14</f>
        <v>points</v>
      </c>
      <c r="H49" s="6" t="s">
        <v>849</v>
      </c>
      <c r="I49" s="6" t="s">
        <v>406</v>
      </c>
    </row>
    <row r="50" customFormat="false" ht="15" hidden="false" customHeight="false" outlineLevel="0" collapsed="false">
      <c r="A50" s="6" t="s">
        <v>899</v>
      </c>
      <c r="B50" s="6" t="s">
        <v>715</v>
      </c>
      <c r="C50" s="6" t="s">
        <v>458</v>
      </c>
      <c r="D50" s="6" t="s">
        <v>244</v>
      </c>
      <c r="E50" s="16" t="n">
        <v>46291.5003431493</v>
      </c>
      <c r="F50" s="6" t="n">
        <v>100</v>
      </c>
      <c r="G50" s="6" t="str">
        <f aca="false">README!$B$14</f>
        <v>points</v>
      </c>
      <c r="H50" s="6" t="s">
        <v>853</v>
      </c>
      <c r="I50" s="6" t="s">
        <v>406</v>
      </c>
    </row>
    <row r="51" customFormat="false" ht="15" hidden="false" customHeight="false" outlineLevel="0" collapsed="false">
      <c r="A51" s="6" t="s">
        <v>900</v>
      </c>
      <c r="B51" s="6" t="s">
        <v>701</v>
      </c>
      <c r="C51" s="6" t="s">
        <v>371</v>
      </c>
      <c r="D51" s="6" t="s">
        <v>251</v>
      </c>
      <c r="E51" s="16" t="n">
        <v>46291.5015567443</v>
      </c>
      <c r="F51" s="6" t="n">
        <v>5</v>
      </c>
      <c r="G51" s="6" t="str">
        <f aca="false">README!$B$14</f>
        <v>points</v>
      </c>
      <c r="H51" s="6" t="s">
        <v>849</v>
      </c>
      <c r="I51" s="6" t="s">
        <v>406</v>
      </c>
    </row>
    <row r="52" customFormat="false" ht="15" hidden="false" customHeight="false" outlineLevel="0" collapsed="false">
      <c r="A52" s="6" t="s">
        <v>901</v>
      </c>
      <c r="B52" s="6" t="s">
        <v>660</v>
      </c>
      <c r="C52" s="6" t="s">
        <v>415</v>
      </c>
      <c r="D52" s="6" t="s">
        <v>251</v>
      </c>
      <c r="E52" s="16" t="n">
        <v>46291.5792172099</v>
      </c>
      <c r="F52" s="6" t="n">
        <v>5</v>
      </c>
      <c r="G52" s="6" t="str">
        <f aca="false">README!$B$14</f>
        <v>points</v>
      </c>
      <c r="H52" s="6" t="s">
        <v>849</v>
      </c>
      <c r="I52" s="6" t="s">
        <v>406</v>
      </c>
    </row>
    <row r="53" customFormat="false" ht="15" hidden="false" customHeight="false" outlineLevel="0" collapsed="false">
      <c r="A53" s="6" t="s">
        <v>902</v>
      </c>
      <c r="B53" s="6" t="s">
        <v>545</v>
      </c>
      <c r="C53" s="6" t="s">
        <v>546</v>
      </c>
      <c r="D53" s="6" t="s">
        <v>251</v>
      </c>
      <c r="E53" s="16" t="n">
        <v>46291.6354582294</v>
      </c>
      <c r="F53" s="6" t="n">
        <v>5</v>
      </c>
      <c r="G53" s="6" t="str">
        <f aca="false">README!$B$14</f>
        <v>points</v>
      </c>
      <c r="H53" s="6" t="s">
        <v>849</v>
      </c>
      <c r="I53" s="6" t="s">
        <v>406</v>
      </c>
    </row>
    <row r="54" customFormat="false" ht="15" hidden="false" customHeight="false" outlineLevel="0" collapsed="false">
      <c r="A54" s="6" t="s">
        <v>903</v>
      </c>
      <c r="B54" s="6" t="s">
        <v>788</v>
      </c>
      <c r="C54" s="6" t="s">
        <v>458</v>
      </c>
      <c r="D54" s="6" t="s">
        <v>263</v>
      </c>
      <c r="E54" s="16" t="n">
        <v>46291.6486418765</v>
      </c>
      <c r="F54" s="6" t="n">
        <v>-2</v>
      </c>
      <c r="G54" s="6" t="str">
        <f aca="false">README!$B$14</f>
        <v>points</v>
      </c>
      <c r="H54" s="6" t="s">
        <v>860</v>
      </c>
      <c r="I54" s="6" t="s">
        <v>406</v>
      </c>
    </row>
    <row r="55" customFormat="false" ht="15" hidden="false" customHeight="false" outlineLevel="0" collapsed="false">
      <c r="A55" s="6" t="s">
        <v>904</v>
      </c>
      <c r="B55" s="6" t="s">
        <v>832</v>
      </c>
      <c r="C55" s="6" t="s">
        <v>466</v>
      </c>
      <c r="D55" s="6" t="s">
        <v>251</v>
      </c>
      <c r="E55" s="16" t="n">
        <v>46291.7814064995</v>
      </c>
      <c r="F55" s="6" t="n">
        <v>50</v>
      </c>
      <c r="G55" s="6" t="str">
        <f aca="false">README!$B$14</f>
        <v>points</v>
      </c>
      <c r="H55" s="6" t="s">
        <v>849</v>
      </c>
      <c r="I55" s="6" t="s">
        <v>406</v>
      </c>
    </row>
    <row r="56" customFormat="false" ht="15" hidden="false" customHeight="false" outlineLevel="0" collapsed="false">
      <c r="A56" s="6" t="s">
        <v>905</v>
      </c>
      <c r="B56" s="6" t="s">
        <v>457</v>
      </c>
      <c r="C56" s="6" t="s">
        <v>458</v>
      </c>
      <c r="D56" s="6" t="s">
        <v>244</v>
      </c>
      <c r="E56" s="16" t="n">
        <v>46291.8239487173</v>
      </c>
      <c r="F56" s="6" t="n">
        <v>30</v>
      </c>
      <c r="G56" s="6" t="str">
        <f aca="false">README!$B$14</f>
        <v>points</v>
      </c>
      <c r="H56" s="6" t="s">
        <v>853</v>
      </c>
      <c r="I56" s="6" t="s">
        <v>406</v>
      </c>
    </row>
    <row r="57" customFormat="false" ht="15" hidden="false" customHeight="false" outlineLevel="0" collapsed="false">
      <c r="A57" s="6" t="s">
        <v>906</v>
      </c>
      <c r="B57" s="6" t="s">
        <v>719</v>
      </c>
      <c r="C57" s="6" t="s">
        <v>593</v>
      </c>
      <c r="D57" s="6" t="s">
        <v>251</v>
      </c>
      <c r="E57" s="16" t="n">
        <v>46291.8636367621</v>
      </c>
      <c r="F57" s="6" t="n">
        <v>10</v>
      </c>
      <c r="G57" s="6" t="str">
        <f aca="false">README!$B$14</f>
        <v>points</v>
      </c>
      <c r="H57" s="6" t="s">
        <v>849</v>
      </c>
      <c r="I57" s="6" t="s">
        <v>406</v>
      </c>
    </row>
    <row r="58" customFormat="false" ht="15" hidden="false" customHeight="false" outlineLevel="0" collapsed="false">
      <c r="A58" s="6" t="s">
        <v>907</v>
      </c>
      <c r="B58" s="6" t="s">
        <v>490</v>
      </c>
      <c r="C58" s="6" t="s">
        <v>491</v>
      </c>
      <c r="D58" s="6" t="s">
        <v>244</v>
      </c>
      <c r="E58" s="16" t="n">
        <v>46291.9524456604</v>
      </c>
      <c r="F58" s="6" t="n">
        <v>50</v>
      </c>
      <c r="G58" s="6" t="str">
        <f aca="false">README!$B$14</f>
        <v>points</v>
      </c>
      <c r="H58" s="6" t="s">
        <v>853</v>
      </c>
      <c r="I58" s="6" t="s">
        <v>406</v>
      </c>
    </row>
    <row r="59" customFormat="false" ht="15" hidden="false" customHeight="false" outlineLevel="0" collapsed="false">
      <c r="A59" s="6" t="s">
        <v>908</v>
      </c>
      <c r="B59" s="6" t="s">
        <v>796</v>
      </c>
      <c r="C59" s="6" t="s">
        <v>568</v>
      </c>
      <c r="D59" s="6" t="s">
        <v>251</v>
      </c>
      <c r="E59" s="16" t="n">
        <v>46292.1545064678</v>
      </c>
      <c r="F59" s="6" t="n">
        <v>10</v>
      </c>
      <c r="G59" s="6" t="str">
        <f aca="false">README!$B$14</f>
        <v>points</v>
      </c>
      <c r="H59" s="6" t="s">
        <v>849</v>
      </c>
      <c r="I59" s="6" t="s">
        <v>406</v>
      </c>
    </row>
    <row r="60" customFormat="false" ht="15" hidden="false" customHeight="false" outlineLevel="0" collapsed="false">
      <c r="A60" s="6" t="s">
        <v>909</v>
      </c>
      <c r="B60" s="6" t="s">
        <v>715</v>
      </c>
      <c r="C60" s="6" t="s">
        <v>458</v>
      </c>
      <c r="D60" s="6" t="s">
        <v>251</v>
      </c>
      <c r="E60" s="16" t="n">
        <v>46292.2896601689</v>
      </c>
      <c r="F60" s="6" t="n">
        <v>100</v>
      </c>
      <c r="G60" s="6" t="str">
        <f aca="false">README!$B$14</f>
        <v>points</v>
      </c>
      <c r="H60" s="6" t="s">
        <v>849</v>
      </c>
      <c r="I60" s="6" t="s">
        <v>406</v>
      </c>
    </row>
    <row r="61" customFormat="false" ht="15" hidden="false" customHeight="false" outlineLevel="0" collapsed="false">
      <c r="A61" s="6" t="s">
        <v>910</v>
      </c>
      <c r="B61" s="6" t="s">
        <v>457</v>
      </c>
      <c r="C61" s="6" t="s">
        <v>458</v>
      </c>
      <c r="D61" s="6" t="s">
        <v>251</v>
      </c>
      <c r="E61" s="16" t="n">
        <v>46292.2944624863</v>
      </c>
      <c r="F61" s="6" t="n">
        <v>30</v>
      </c>
      <c r="G61" s="6" t="str">
        <f aca="false">README!$B$14</f>
        <v>points</v>
      </c>
      <c r="H61" s="6" t="s">
        <v>849</v>
      </c>
      <c r="I61" s="6" t="s">
        <v>406</v>
      </c>
    </row>
    <row r="62" customFormat="false" ht="15" hidden="false" customHeight="false" outlineLevel="0" collapsed="false">
      <c r="A62" s="6" t="s">
        <v>911</v>
      </c>
      <c r="B62" s="6" t="s">
        <v>653</v>
      </c>
      <c r="C62" s="6" t="s">
        <v>430</v>
      </c>
      <c r="D62" s="6" t="s">
        <v>244</v>
      </c>
      <c r="E62" s="16" t="n">
        <v>46292.3378382194</v>
      </c>
      <c r="F62" s="6" t="n">
        <v>30</v>
      </c>
      <c r="G62" s="6" t="str">
        <f aca="false">README!$B$14</f>
        <v>points</v>
      </c>
      <c r="H62" s="6" t="s">
        <v>853</v>
      </c>
      <c r="I62" s="6" t="s">
        <v>406</v>
      </c>
    </row>
    <row r="63" customFormat="false" ht="15" hidden="false" customHeight="false" outlineLevel="0" collapsed="false">
      <c r="A63" s="6" t="s">
        <v>912</v>
      </c>
      <c r="B63" s="6" t="s">
        <v>777</v>
      </c>
      <c r="C63" s="6" t="s">
        <v>485</v>
      </c>
      <c r="D63" s="6" t="s">
        <v>251</v>
      </c>
      <c r="E63" s="16" t="n">
        <v>46292.3460194631</v>
      </c>
      <c r="F63" s="6" t="n">
        <v>100</v>
      </c>
      <c r="G63" s="6" t="str">
        <f aca="false">README!$B$14</f>
        <v>points</v>
      </c>
      <c r="H63" s="6" t="s">
        <v>849</v>
      </c>
      <c r="I63" s="6" t="s">
        <v>406</v>
      </c>
    </row>
    <row r="64" customFormat="false" ht="15" hidden="false" customHeight="false" outlineLevel="0" collapsed="false">
      <c r="A64" s="6" t="s">
        <v>913</v>
      </c>
      <c r="B64" s="6" t="s">
        <v>563</v>
      </c>
      <c r="C64" s="6" t="s">
        <v>564</v>
      </c>
      <c r="D64" s="6" t="s">
        <v>251</v>
      </c>
      <c r="E64" s="16" t="n">
        <v>46292.3778509334</v>
      </c>
      <c r="F64" s="6" t="n">
        <v>10</v>
      </c>
      <c r="G64" s="6" t="str">
        <f aca="false">README!$B$14</f>
        <v>points</v>
      </c>
      <c r="H64" s="6" t="s">
        <v>849</v>
      </c>
      <c r="I64" s="6" t="s">
        <v>406</v>
      </c>
    </row>
    <row r="65" customFormat="false" ht="15" hidden="false" customHeight="false" outlineLevel="0" collapsed="false">
      <c r="A65" s="6" t="s">
        <v>914</v>
      </c>
      <c r="B65" s="6" t="s">
        <v>826</v>
      </c>
      <c r="C65" s="6" t="s">
        <v>520</v>
      </c>
      <c r="D65" s="6" t="s">
        <v>251</v>
      </c>
      <c r="E65" s="16" t="n">
        <v>46292.4433624555</v>
      </c>
      <c r="F65" s="6" t="n">
        <v>5</v>
      </c>
      <c r="G65" s="6" t="str">
        <f aca="false">README!$B$14</f>
        <v>points</v>
      </c>
      <c r="H65" s="6" t="s">
        <v>849</v>
      </c>
      <c r="I65" s="6" t="s">
        <v>406</v>
      </c>
    </row>
    <row r="66" customFormat="false" ht="15" hidden="false" customHeight="false" outlineLevel="0" collapsed="false">
      <c r="A66" s="6" t="s">
        <v>915</v>
      </c>
      <c r="B66" s="6" t="s">
        <v>820</v>
      </c>
      <c r="C66" s="6" t="s">
        <v>556</v>
      </c>
      <c r="D66" s="6" t="s">
        <v>251</v>
      </c>
      <c r="E66" s="16" t="n">
        <v>46292.4763423946</v>
      </c>
      <c r="F66" s="6" t="n">
        <v>30</v>
      </c>
      <c r="G66" s="6" t="str">
        <f aca="false">README!$B$14</f>
        <v>points</v>
      </c>
      <c r="H66" s="6" t="s">
        <v>849</v>
      </c>
      <c r="I66" s="6" t="s">
        <v>406</v>
      </c>
    </row>
    <row r="67" customFormat="false" ht="15" hidden="false" customHeight="false" outlineLevel="0" collapsed="false">
      <c r="A67" s="6" t="s">
        <v>916</v>
      </c>
      <c r="B67" s="6" t="s">
        <v>789</v>
      </c>
      <c r="C67" s="6" t="s">
        <v>520</v>
      </c>
      <c r="D67" s="6" t="s">
        <v>251</v>
      </c>
      <c r="E67" s="16" t="n">
        <v>46292.6964487987</v>
      </c>
      <c r="F67" s="6" t="n">
        <v>5</v>
      </c>
      <c r="G67" s="6" t="str">
        <f aca="false">README!$B$14</f>
        <v>points</v>
      </c>
      <c r="H67" s="6" t="s">
        <v>849</v>
      </c>
      <c r="I67" s="6" t="s">
        <v>406</v>
      </c>
    </row>
    <row r="68" customFormat="false" ht="15" hidden="false" customHeight="false" outlineLevel="0" collapsed="false">
      <c r="A68" s="6" t="s">
        <v>917</v>
      </c>
      <c r="B68" s="6" t="s">
        <v>486</v>
      </c>
      <c r="C68" s="6" t="s">
        <v>487</v>
      </c>
      <c r="D68" s="6" t="s">
        <v>251</v>
      </c>
      <c r="E68" s="16" t="n">
        <v>46292.7549457737</v>
      </c>
      <c r="F68" s="6" t="n">
        <v>10</v>
      </c>
      <c r="G68" s="6" t="str">
        <f aca="false">README!$B$14</f>
        <v>points</v>
      </c>
      <c r="H68" s="6" t="s">
        <v>849</v>
      </c>
      <c r="I68" s="6" t="s">
        <v>406</v>
      </c>
    </row>
    <row r="69" customFormat="false" ht="15" hidden="false" customHeight="false" outlineLevel="0" collapsed="false">
      <c r="A69" s="6" t="s">
        <v>918</v>
      </c>
      <c r="B69" s="6" t="s">
        <v>482</v>
      </c>
      <c r="C69" s="6" t="s">
        <v>483</v>
      </c>
      <c r="D69" s="6" t="s">
        <v>251</v>
      </c>
      <c r="E69" s="16" t="n">
        <v>46292.78045985</v>
      </c>
      <c r="F69" s="6" t="n">
        <v>10</v>
      </c>
      <c r="G69" s="6" t="str">
        <f aca="false">README!$B$14</f>
        <v>points</v>
      </c>
      <c r="H69" s="6" t="s">
        <v>849</v>
      </c>
      <c r="I69" s="6" t="s">
        <v>406</v>
      </c>
    </row>
    <row r="70" customFormat="false" ht="15" hidden="false" customHeight="false" outlineLevel="0" collapsed="false">
      <c r="A70" s="6" t="s">
        <v>919</v>
      </c>
      <c r="B70" s="6" t="s">
        <v>490</v>
      </c>
      <c r="C70" s="6" t="s">
        <v>491</v>
      </c>
      <c r="D70" s="6" t="s">
        <v>251</v>
      </c>
      <c r="E70" s="16" t="n">
        <v>46292.7965894193</v>
      </c>
      <c r="F70" s="6" t="n">
        <v>50</v>
      </c>
      <c r="G70" s="6" t="str">
        <f aca="false">README!$B$14</f>
        <v>points</v>
      </c>
      <c r="H70" s="6" t="s">
        <v>849</v>
      </c>
      <c r="I70" s="6" t="s">
        <v>406</v>
      </c>
    </row>
    <row r="71" customFormat="false" ht="15" hidden="false" customHeight="false" outlineLevel="0" collapsed="false">
      <c r="A71" s="6" t="s">
        <v>920</v>
      </c>
      <c r="B71" s="6" t="s">
        <v>791</v>
      </c>
      <c r="C71" s="6" t="s">
        <v>605</v>
      </c>
      <c r="D71" s="6" t="s">
        <v>251</v>
      </c>
      <c r="E71" s="16" t="n">
        <v>46292.974478493</v>
      </c>
      <c r="F71" s="6" t="n">
        <v>10</v>
      </c>
      <c r="G71" s="6" t="str">
        <f aca="false">README!$B$14</f>
        <v>points</v>
      </c>
      <c r="H71" s="6" t="s">
        <v>849</v>
      </c>
      <c r="I71" s="6" t="s">
        <v>406</v>
      </c>
    </row>
    <row r="72" customFormat="false" ht="15" hidden="false" customHeight="false" outlineLevel="0" collapsed="false">
      <c r="A72" s="6" t="s">
        <v>921</v>
      </c>
      <c r="B72" s="6" t="s">
        <v>749</v>
      </c>
      <c r="C72" s="6" t="s">
        <v>750</v>
      </c>
      <c r="D72" s="6" t="s">
        <v>244</v>
      </c>
      <c r="E72" s="16" t="n">
        <v>46293.1230762205</v>
      </c>
      <c r="F72" s="6" t="n">
        <v>50</v>
      </c>
      <c r="G72" s="6" t="str">
        <f aca="false">README!$B$14</f>
        <v>points</v>
      </c>
      <c r="H72" s="6" t="s">
        <v>853</v>
      </c>
      <c r="I72" s="6" t="s">
        <v>406</v>
      </c>
    </row>
    <row r="73" customFormat="false" ht="15" hidden="false" customHeight="false" outlineLevel="0" collapsed="false">
      <c r="A73" s="6" t="s">
        <v>922</v>
      </c>
      <c r="B73" s="6" t="s">
        <v>758</v>
      </c>
      <c r="C73" s="6" t="s">
        <v>551</v>
      </c>
      <c r="D73" s="6" t="s">
        <v>251</v>
      </c>
      <c r="E73" s="16" t="n">
        <v>46293.3531445559</v>
      </c>
      <c r="F73" s="6" t="n">
        <v>30</v>
      </c>
      <c r="G73" s="6" t="str">
        <f aca="false">README!$B$14</f>
        <v>points</v>
      </c>
      <c r="H73" s="6" t="s">
        <v>849</v>
      </c>
      <c r="I73" s="6" t="s">
        <v>406</v>
      </c>
    </row>
    <row r="74" customFormat="false" ht="15" hidden="false" customHeight="false" outlineLevel="0" collapsed="false">
      <c r="A74" s="6" t="s">
        <v>923</v>
      </c>
      <c r="B74" s="6" t="s">
        <v>756</v>
      </c>
      <c r="C74" s="6" t="s">
        <v>412</v>
      </c>
      <c r="D74" s="6" t="s">
        <v>251</v>
      </c>
      <c r="E74" s="16" t="n">
        <v>46293.3589581815</v>
      </c>
      <c r="F74" s="6" t="n">
        <v>5</v>
      </c>
      <c r="G74" s="6" t="str">
        <f aca="false">README!$B$14</f>
        <v>points</v>
      </c>
      <c r="H74" s="6" t="s">
        <v>849</v>
      </c>
      <c r="I74" s="6" t="s">
        <v>406</v>
      </c>
    </row>
    <row r="75" customFormat="false" ht="15" hidden="false" customHeight="false" outlineLevel="0" collapsed="false">
      <c r="A75" s="6" t="s">
        <v>924</v>
      </c>
      <c r="B75" s="6" t="s">
        <v>581</v>
      </c>
      <c r="C75" s="6" t="s">
        <v>582</v>
      </c>
      <c r="D75" s="6" t="s">
        <v>244</v>
      </c>
      <c r="E75" s="16" t="n">
        <v>46293.6072370283</v>
      </c>
      <c r="F75" s="6" t="n">
        <v>50</v>
      </c>
      <c r="G75" s="6" t="str">
        <f aca="false">README!$B$14</f>
        <v>points</v>
      </c>
      <c r="H75" s="6" t="s">
        <v>853</v>
      </c>
      <c r="I75" s="6" t="s">
        <v>406</v>
      </c>
    </row>
    <row r="76" customFormat="false" ht="15" hidden="false" customHeight="false" outlineLevel="0" collapsed="false">
      <c r="A76" s="6" t="s">
        <v>925</v>
      </c>
      <c r="B76" s="6" t="s">
        <v>664</v>
      </c>
      <c r="C76" s="6" t="s">
        <v>491</v>
      </c>
      <c r="D76" s="6" t="s">
        <v>251</v>
      </c>
      <c r="E76" s="16" t="n">
        <v>46293.8154429938</v>
      </c>
      <c r="F76" s="6" t="n">
        <v>5</v>
      </c>
      <c r="G76" s="6" t="str">
        <f aca="false">README!$B$14</f>
        <v>points</v>
      </c>
      <c r="H76" s="6" t="s">
        <v>849</v>
      </c>
      <c r="I76" s="6" t="s">
        <v>406</v>
      </c>
    </row>
    <row r="77" customFormat="false" ht="15" hidden="false" customHeight="false" outlineLevel="0" collapsed="false">
      <c r="A77" s="6" t="s">
        <v>926</v>
      </c>
      <c r="B77" s="6" t="s">
        <v>749</v>
      </c>
      <c r="C77" s="6" t="s">
        <v>750</v>
      </c>
      <c r="D77" s="6" t="s">
        <v>251</v>
      </c>
      <c r="E77" s="16" t="n">
        <v>46294.0243583633</v>
      </c>
      <c r="F77" s="6" t="n">
        <v>50</v>
      </c>
      <c r="G77" s="6" t="str">
        <f aca="false">README!$B$14</f>
        <v>points</v>
      </c>
      <c r="H77" s="6" t="s">
        <v>849</v>
      </c>
      <c r="I77" s="6" t="s">
        <v>406</v>
      </c>
    </row>
    <row r="78" customFormat="false" ht="15" hidden="false" customHeight="false" outlineLevel="0" collapsed="false">
      <c r="A78" s="6" t="s">
        <v>927</v>
      </c>
      <c r="B78" s="6" t="s">
        <v>616</v>
      </c>
      <c r="C78" s="6" t="s">
        <v>461</v>
      </c>
      <c r="D78" s="6" t="s">
        <v>251</v>
      </c>
      <c r="E78" s="16" t="n">
        <v>46294.0392752449</v>
      </c>
      <c r="F78" s="6" t="n">
        <v>5</v>
      </c>
      <c r="G78" s="6" t="str">
        <f aca="false">README!$B$14</f>
        <v>points</v>
      </c>
      <c r="H78" s="6" t="s">
        <v>849</v>
      </c>
      <c r="I78" s="6" t="s">
        <v>406</v>
      </c>
    </row>
    <row r="79" customFormat="false" ht="15" hidden="false" customHeight="false" outlineLevel="0" collapsed="false">
      <c r="A79" s="6" t="s">
        <v>928</v>
      </c>
      <c r="B79" s="6" t="s">
        <v>633</v>
      </c>
      <c r="C79" s="6" t="s">
        <v>424</v>
      </c>
      <c r="D79" s="6" t="s">
        <v>244</v>
      </c>
      <c r="E79" s="16" t="n">
        <v>46294.1477574554</v>
      </c>
      <c r="F79" s="6" t="n">
        <v>30</v>
      </c>
      <c r="G79" s="6" t="str">
        <f aca="false">README!$B$14</f>
        <v>points</v>
      </c>
      <c r="H79" s="6" t="s">
        <v>853</v>
      </c>
      <c r="I79" s="6" t="s">
        <v>406</v>
      </c>
    </row>
    <row r="80" customFormat="false" ht="15" hidden="false" customHeight="false" outlineLevel="0" collapsed="false">
      <c r="A80" s="6" t="s">
        <v>929</v>
      </c>
      <c r="B80" s="6" t="s">
        <v>653</v>
      </c>
      <c r="C80" s="6" t="s">
        <v>430</v>
      </c>
      <c r="D80" s="6" t="s">
        <v>251</v>
      </c>
      <c r="E80" s="16" t="n">
        <v>46294.2222819208</v>
      </c>
      <c r="F80" s="6" t="n">
        <v>30</v>
      </c>
      <c r="G80" s="6" t="str">
        <f aca="false">README!$B$14</f>
        <v>points</v>
      </c>
      <c r="H80" s="6" t="s">
        <v>849</v>
      </c>
      <c r="I80" s="6" t="s">
        <v>406</v>
      </c>
    </row>
    <row r="81" customFormat="false" ht="15" hidden="false" customHeight="false" outlineLevel="0" collapsed="false">
      <c r="A81" s="6" t="s">
        <v>930</v>
      </c>
      <c r="B81" s="6" t="s">
        <v>647</v>
      </c>
      <c r="C81" s="6" t="s">
        <v>382</v>
      </c>
      <c r="D81" s="6" t="s">
        <v>251</v>
      </c>
      <c r="E81" s="16" t="n">
        <v>46294.672061842</v>
      </c>
      <c r="F81" s="6" t="n">
        <v>5</v>
      </c>
      <c r="G81" s="6" t="str">
        <f aca="false">README!$B$14</f>
        <v>points</v>
      </c>
      <c r="H81" s="6" t="s">
        <v>849</v>
      </c>
      <c r="I81" s="6" t="s">
        <v>406</v>
      </c>
    </row>
    <row r="82" customFormat="false" ht="15" hidden="false" customHeight="false" outlineLevel="0" collapsed="false">
      <c r="A82" s="6" t="s">
        <v>931</v>
      </c>
      <c r="B82" s="6" t="s">
        <v>555</v>
      </c>
      <c r="C82" s="6" t="s">
        <v>556</v>
      </c>
      <c r="D82" s="6" t="s">
        <v>251</v>
      </c>
      <c r="E82" s="16" t="n">
        <v>46294.7054920075</v>
      </c>
      <c r="F82" s="6" t="n">
        <v>10</v>
      </c>
      <c r="G82" s="6" t="str">
        <f aca="false">README!$B$14</f>
        <v>points</v>
      </c>
      <c r="H82" s="6" t="s">
        <v>849</v>
      </c>
      <c r="I82" s="6" t="s">
        <v>406</v>
      </c>
    </row>
    <row r="83" customFormat="false" ht="15" hidden="false" customHeight="false" outlineLevel="0" collapsed="false">
      <c r="A83" s="6" t="s">
        <v>932</v>
      </c>
      <c r="B83" s="6" t="s">
        <v>631</v>
      </c>
      <c r="C83" s="6" t="s">
        <v>632</v>
      </c>
      <c r="D83" s="6" t="s">
        <v>251</v>
      </c>
      <c r="E83" s="16" t="n">
        <v>46294.8570722747</v>
      </c>
      <c r="F83" s="6" t="n">
        <v>10</v>
      </c>
      <c r="G83" s="6" t="str">
        <f aca="false">README!$B$14</f>
        <v>points</v>
      </c>
      <c r="H83" s="6" t="s">
        <v>849</v>
      </c>
      <c r="I83" s="6" t="s">
        <v>406</v>
      </c>
    </row>
    <row r="84" customFormat="false" ht="15" hidden="false" customHeight="false" outlineLevel="0" collapsed="false">
      <c r="A84" s="6" t="s">
        <v>933</v>
      </c>
      <c r="B84" s="6" t="s">
        <v>627</v>
      </c>
      <c r="C84" s="6" t="s">
        <v>458</v>
      </c>
      <c r="D84" s="6" t="s">
        <v>244</v>
      </c>
      <c r="E84" s="16" t="n">
        <v>46295.2226521296</v>
      </c>
      <c r="F84" s="6" t="n">
        <v>100</v>
      </c>
      <c r="G84" s="6" t="str">
        <f aca="false">README!$B$14</f>
        <v>points</v>
      </c>
      <c r="H84" s="6" t="s">
        <v>853</v>
      </c>
      <c r="I84" s="6" t="s">
        <v>406</v>
      </c>
    </row>
    <row r="85" customFormat="false" ht="15" hidden="false" customHeight="false" outlineLevel="0" collapsed="false">
      <c r="A85" s="6" t="s">
        <v>934</v>
      </c>
      <c r="B85" s="6" t="s">
        <v>818</v>
      </c>
      <c r="C85" s="6" t="s">
        <v>377</v>
      </c>
      <c r="D85" s="6" t="s">
        <v>251</v>
      </c>
      <c r="E85" s="16" t="n">
        <v>46295.2444436462</v>
      </c>
      <c r="F85" s="6" t="n">
        <v>5</v>
      </c>
      <c r="G85" s="6" t="str">
        <f aca="false">README!$B$14</f>
        <v>points</v>
      </c>
      <c r="H85" s="6" t="s">
        <v>849</v>
      </c>
      <c r="I85" s="6" t="s">
        <v>406</v>
      </c>
    </row>
    <row r="86" customFormat="false" ht="15" hidden="false" customHeight="false" outlineLevel="0" collapsed="false">
      <c r="A86" s="6" t="s">
        <v>935</v>
      </c>
      <c r="B86" s="6" t="s">
        <v>557</v>
      </c>
      <c r="C86" s="6" t="s">
        <v>390</v>
      </c>
      <c r="D86" s="6" t="s">
        <v>251</v>
      </c>
      <c r="E86" s="16" t="n">
        <v>46295.4379893476</v>
      </c>
      <c r="F86" s="6" t="n">
        <v>5</v>
      </c>
      <c r="G86" s="6" t="str">
        <f aca="false">README!$B$14</f>
        <v>points</v>
      </c>
      <c r="H86" s="6" t="s">
        <v>849</v>
      </c>
      <c r="I86" s="6" t="s">
        <v>406</v>
      </c>
    </row>
    <row r="87" customFormat="false" ht="15" hidden="false" customHeight="false" outlineLevel="0" collapsed="false">
      <c r="A87" s="6" t="s">
        <v>936</v>
      </c>
      <c r="B87" s="6" t="s">
        <v>451</v>
      </c>
      <c r="C87" s="6" t="s">
        <v>394</v>
      </c>
      <c r="D87" s="6" t="s">
        <v>244</v>
      </c>
      <c r="E87" s="16" t="n">
        <v>46295.502622872</v>
      </c>
      <c r="F87" s="6" t="n">
        <v>100</v>
      </c>
      <c r="G87" s="6" t="str">
        <f aca="false">README!$B$14</f>
        <v>points</v>
      </c>
      <c r="H87" s="6" t="s">
        <v>853</v>
      </c>
      <c r="I87" s="6" t="s">
        <v>406</v>
      </c>
    </row>
    <row r="88" customFormat="false" ht="15" hidden="false" customHeight="false" outlineLevel="0" collapsed="false">
      <c r="A88" s="6" t="s">
        <v>937</v>
      </c>
      <c r="B88" s="6" t="s">
        <v>581</v>
      </c>
      <c r="C88" s="6" t="s">
        <v>582</v>
      </c>
      <c r="D88" s="6" t="s">
        <v>251</v>
      </c>
      <c r="E88" s="16" t="n">
        <v>46295.7909748067</v>
      </c>
      <c r="F88" s="6" t="n">
        <v>50</v>
      </c>
      <c r="G88" s="6" t="str">
        <f aca="false">README!$B$14</f>
        <v>points</v>
      </c>
      <c r="H88" s="6" t="s">
        <v>849</v>
      </c>
      <c r="I88" s="6" t="s">
        <v>406</v>
      </c>
    </row>
    <row r="89" customFormat="false" ht="15" hidden="false" customHeight="false" outlineLevel="0" collapsed="false">
      <c r="A89" s="6" t="s">
        <v>938</v>
      </c>
      <c r="B89" s="6" t="s">
        <v>576</v>
      </c>
      <c r="C89" s="6" t="s">
        <v>475</v>
      </c>
      <c r="D89" s="6" t="s">
        <v>251</v>
      </c>
      <c r="E89" s="16" t="n">
        <v>46295.7964641855</v>
      </c>
      <c r="F89" s="6" t="n">
        <v>5</v>
      </c>
      <c r="G89" s="6" t="str">
        <f aca="false">README!$B$14</f>
        <v>points</v>
      </c>
      <c r="H89" s="6" t="s">
        <v>849</v>
      </c>
      <c r="I89" s="6" t="s">
        <v>406</v>
      </c>
    </row>
    <row r="90" customFormat="false" ht="15" hidden="false" customHeight="false" outlineLevel="0" collapsed="false">
      <c r="A90" s="6" t="s">
        <v>939</v>
      </c>
      <c r="B90" s="6" t="s">
        <v>526</v>
      </c>
      <c r="C90" s="6" t="s">
        <v>527</v>
      </c>
      <c r="D90" s="6" t="s">
        <v>251</v>
      </c>
      <c r="E90" s="16" t="n">
        <v>46296.0449068607</v>
      </c>
      <c r="F90" s="6" t="n">
        <v>10</v>
      </c>
      <c r="G90" s="6" t="str">
        <f aca="false">README!$B$14</f>
        <v>points</v>
      </c>
      <c r="H90" s="6" t="s">
        <v>849</v>
      </c>
      <c r="I90" s="6" t="s">
        <v>406</v>
      </c>
    </row>
    <row r="91" customFormat="false" ht="15" hidden="false" customHeight="false" outlineLevel="0" collapsed="false">
      <c r="A91" s="6" t="s">
        <v>940</v>
      </c>
      <c r="B91" s="6" t="s">
        <v>442</v>
      </c>
      <c r="C91" s="6" t="s">
        <v>443</v>
      </c>
      <c r="D91" s="6" t="s">
        <v>244</v>
      </c>
      <c r="E91" s="16" t="n">
        <v>46296.0459768807</v>
      </c>
      <c r="F91" s="6" t="n">
        <v>30</v>
      </c>
      <c r="G91" s="6" t="str">
        <f aca="false">README!$B$14</f>
        <v>points</v>
      </c>
      <c r="H91" s="6" t="s">
        <v>853</v>
      </c>
      <c r="I91" s="6" t="s">
        <v>406</v>
      </c>
    </row>
    <row r="92" customFormat="false" ht="15" hidden="false" customHeight="false" outlineLevel="0" collapsed="false">
      <c r="A92" s="6" t="s">
        <v>941</v>
      </c>
      <c r="B92" s="6" t="s">
        <v>678</v>
      </c>
      <c r="C92" s="6" t="s">
        <v>502</v>
      </c>
      <c r="D92" s="6" t="s">
        <v>251</v>
      </c>
      <c r="E92" s="16" t="n">
        <v>46296.0946870401</v>
      </c>
      <c r="F92" s="6" t="n">
        <v>5</v>
      </c>
      <c r="G92" s="6" t="str">
        <f aca="false">README!$B$14</f>
        <v>points</v>
      </c>
      <c r="H92" s="6" t="s">
        <v>849</v>
      </c>
      <c r="I92" s="6" t="s">
        <v>406</v>
      </c>
    </row>
    <row r="93" customFormat="false" ht="15" hidden="false" customHeight="false" outlineLevel="0" collapsed="false">
      <c r="A93" s="6" t="s">
        <v>942</v>
      </c>
      <c r="B93" s="6" t="s">
        <v>534</v>
      </c>
      <c r="C93" s="6" t="s">
        <v>415</v>
      </c>
      <c r="D93" s="6" t="s">
        <v>251</v>
      </c>
      <c r="E93" s="16" t="n">
        <v>46296.1319805269</v>
      </c>
      <c r="F93" s="6" t="n">
        <v>5</v>
      </c>
      <c r="G93" s="6" t="str">
        <f aca="false">README!$B$14</f>
        <v>points</v>
      </c>
      <c r="H93" s="6" t="s">
        <v>849</v>
      </c>
      <c r="I93" s="6" t="s">
        <v>406</v>
      </c>
    </row>
    <row r="94" customFormat="false" ht="15" hidden="false" customHeight="false" outlineLevel="0" collapsed="false">
      <c r="A94" s="6" t="s">
        <v>943</v>
      </c>
      <c r="B94" s="6" t="s">
        <v>623</v>
      </c>
      <c r="C94" s="6" t="s">
        <v>582</v>
      </c>
      <c r="D94" s="6" t="s">
        <v>244</v>
      </c>
      <c r="E94" s="16" t="n">
        <v>46296.1831560685</v>
      </c>
      <c r="F94" s="6" t="n">
        <v>50</v>
      </c>
      <c r="G94" s="6" t="str">
        <f aca="false">README!$B$14</f>
        <v>points</v>
      </c>
      <c r="H94" s="6" t="s">
        <v>853</v>
      </c>
      <c r="I94" s="6" t="s">
        <v>406</v>
      </c>
    </row>
    <row r="95" customFormat="false" ht="15" hidden="false" customHeight="false" outlineLevel="0" collapsed="false">
      <c r="A95" s="6" t="s">
        <v>944</v>
      </c>
      <c r="B95" s="6" t="s">
        <v>633</v>
      </c>
      <c r="C95" s="6" t="s">
        <v>424</v>
      </c>
      <c r="D95" s="6" t="s">
        <v>251</v>
      </c>
      <c r="E95" s="16" t="n">
        <v>46296.2574417143</v>
      </c>
      <c r="F95" s="6" t="n">
        <v>30</v>
      </c>
      <c r="G95" s="6" t="str">
        <f aca="false">README!$B$14</f>
        <v>points</v>
      </c>
      <c r="H95" s="6" t="s">
        <v>849</v>
      </c>
      <c r="I95" s="6" t="s">
        <v>406</v>
      </c>
    </row>
    <row r="96" customFormat="false" ht="15" hidden="false" customHeight="false" outlineLevel="0" collapsed="false">
      <c r="A96" s="6" t="s">
        <v>945</v>
      </c>
      <c r="B96" s="6" t="s">
        <v>451</v>
      </c>
      <c r="C96" s="6" t="s">
        <v>394</v>
      </c>
      <c r="D96" s="6" t="s">
        <v>251</v>
      </c>
      <c r="E96" s="16" t="n">
        <v>46296.358587075</v>
      </c>
      <c r="F96" s="6" t="n">
        <v>100</v>
      </c>
      <c r="G96" s="6" t="str">
        <f aca="false">README!$B$14</f>
        <v>points</v>
      </c>
      <c r="H96" s="6" t="s">
        <v>849</v>
      </c>
      <c r="I96" s="6" t="s">
        <v>406</v>
      </c>
    </row>
    <row r="97" customFormat="false" ht="15" hidden="false" customHeight="false" outlineLevel="0" collapsed="false">
      <c r="A97" s="6" t="s">
        <v>946</v>
      </c>
      <c r="B97" s="6" t="s">
        <v>726</v>
      </c>
      <c r="C97" s="6" t="s">
        <v>727</v>
      </c>
      <c r="D97" s="6" t="s">
        <v>244</v>
      </c>
      <c r="E97" s="16" t="n">
        <v>46296.4185485315</v>
      </c>
      <c r="F97" s="6" t="n">
        <v>50</v>
      </c>
      <c r="G97" s="6" t="str">
        <f aca="false">README!$B$14</f>
        <v>points</v>
      </c>
      <c r="H97" s="6" t="s">
        <v>853</v>
      </c>
      <c r="I97" s="6" t="s">
        <v>406</v>
      </c>
    </row>
    <row r="98" customFormat="false" ht="15" hidden="false" customHeight="false" outlineLevel="0" collapsed="false">
      <c r="A98" s="6" t="s">
        <v>947</v>
      </c>
      <c r="B98" s="6" t="s">
        <v>670</v>
      </c>
      <c r="C98" s="6" t="s">
        <v>582</v>
      </c>
      <c r="D98" s="6" t="s">
        <v>251</v>
      </c>
      <c r="E98" s="16" t="n">
        <v>46296.4809270915</v>
      </c>
      <c r="F98" s="6" t="n">
        <v>5</v>
      </c>
      <c r="G98" s="6" t="str">
        <f aca="false">README!$B$14</f>
        <v>points</v>
      </c>
      <c r="H98" s="6" t="s">
        <v>849</v>
      </c>
      <c r="I98" s="6" t="s">
        <v>406</v>
      </c>
    </row>
    <row r="99" customFormat="false" ht="15" hidden="false" customHeight="false" outlineLevel="0" collapsed="false">
      <c r="A99" s="6" t="s">
        <v>948</v>
      </c>
      <c r="B99" s="6" t="s">
        <v>460</v>
      </c>
      <c r="C99" s="6" t="s">
        <v>461</v>
      </c>
      <c r="D99" s="6" t="s">
        <v>251</v>
      </c>
      <c r="E99" s="16" t="n">
        <v>46296.580493646</v>
      </c>
      <c r="F99" s="6" t="n">
        <v>10</v>
      </c>
      <c r="G99" s="6" t="str">
        <f aca="false">README!$B$14</f>
        <v>points</v>
      </c>
      <c r="H99" s="6" t="s">
        <v>849</v>
      </c>
      <c r="I99" s="6" t="s">
        <v>406</v>
      </c>
    </row>
    <row r="100" customFormat="false" ht="15" hidden="false" customHeight="false" outlineLevel="0" collapsed="false">
      <c r="A100" s="6" t="s">
        <v>949</v>
      </c>
      <c r="B100" s="6" t="s">
        <v>682</v>
      </c>
      <c r="C100" s="6" t="s">
        <v>551</v>
      </c>
      <c r="D100" s="6" t="s">
        <v>244</v>
      </c>
      <c r="E100" s="16" t="n">
        <v>46296.6164248359</v>
      </c>
      <c r="F100" s="6" t="n">
        <v>50</v>
      </c>
      <c r="G100" s="6" t="str">
        <f aca="false">README!$B$14</f>
        <v>points</v>
      </c>
      <c r="H100" s="6" t="s">
        <v>853</v>
      </c>
      <c r="I100" s="6" t="s">
        <v>406</v>
      </c>
    </row>
    <row r="101" customFormat="false" ht="15" hidden="false" customHeight="false" outlineLevel="0" collapsed="false">
      <c r="A101" s="6" t="s">
        <v>950</v>
      </c>
      <c r="B101" s="6" t="s">
        <v>504</v>
      </c>
      <c r="C101" s="6" t="s">
        <v>386</v>
      </c>
      <c r="D101" s="6" t="s">
        <v>251</v>
      </c>
      <c r="E101" s="16" t="n">
        <v>46296.8150590825</v>
      </c>
      <c r="F101" s="6" t="n">
        <v>10</v>
      </c>
      <c r="G101" s="6" t="str">
        <f aca="false">README!$B$14</f>
        <v>points</v>
      </c>
      <c r="H101" s="6" t="s">
        <v>849</v>
      </c>
      <c r="I101" s="6" t="s">
        <v>406</v>
      </c>
    </row>
    <row r="102" customFormat="false" ht="15" hidden="false" customHeight="false" outlineLevel="0" collapsed="false">
      <c r="A102" s="6" t="s">
        <v>951</v>
      </c>
      <c r="B102" s="6" t="s">
        <v>682</v>
      </c>
      <c r="C102" s="6" t="s">
        <v>551</v>
      </c>
      <c r="D102" s="6" t="s">
        <v>251</v>
      </c>
      <c r="E102" s="16" t="n">
        <v>46296.8486745988</v>
      </c>
      <c r="F102" s="6" t="n">
        <v>50</v>
      </c>
      <c r="G102" s="6" t="str">
        <f aca="false">README!$B$14</f>
        <v>points</v>
      </c>
      <c r="H102" s="6" t="s">
        <v>849</v>
      </c>
      <c r="I102" s="6" t="s">
        <v>406</v>
      </c>
    </row>
    <row r="103" customFormat="false" ht="15" hidden="false" customHeight="false" outlineLevel="0" collapsed="false">
      <c r="A103" s="6" t="s">
        <v>952</v>
      </c>
      <c r="B103" s="6" t="s">
        <v>442</v>
      </c>
      <c r="C103" s="6" t="s">
        <v>443</v>
      </c>
      <c r="D103" s="6" t="s">
        <v>251</v>
      </c>
      <c r="E103" s="16" t="n">
        <v>46296.8569903781</v>
      </c>
      <c r="F103" s="6" t="n">
        <v>30</v>
      </c>
      <c r="G103" s="6" t="str">
        <f aca="false">README!$B$14</f>
        <v>points</v>
      </c>
      <c r="H103" s="6" t="s">
        <v>849</v>
      </c>
      <c r="I103" s="6" t="s">
        <v>406</v>
      </c>
    </row>
    <row r="104" customFormat="false" ht="15" hidden="false" customHeight="false" outlineLevel="0" collapsed="false">
      <c r="A104" s="6" t="s">
        <v>953</v>
      </c>
      <c r="B104" s="6" t="s">
        <v>668</v>
      </c>
      <c r="C104" s="6" t="s">
        <v>593</v>
      </c>
      <c r="D104" s="6" t="s">
        <v>251</v>
      </c>
      <c r="E104" s="16" t="n">
        <v>46296.8937248863</v>
      </c>
      <c r="F104" s="6" t="n">
        <v>5</v>
      </c>
      <c r="G104" s="6" t="str">
        <f aca="false">README!$B$14</f>
        <v>points</v>
      </c>
      <c r="H104" s="6" t="s">
        <v>849</v>
      </c>
      <c r="I104" s="6" t="s">
        <v>406</v>
      </c>
    </row>
    <row r="105" customFormat="false" ht="15" hidden="false" customHeight="false" outlineLevel="0" collapsed="false">
      <c r="A105" s="6" t="s">
        <v>954</v>
      </c>
      <c r="B105" s="6" t="s">
        <v>627</v>
      </c>
      <c r="C105" s="6" t="s">
        <v>458</v>
      </c>
      <c r="D105" s="6" t="s">
        <v>251</v>
      </c>
      <c r="E105" s="16" t="n">
        <v>46297.0244837807</v>
      </c>
      <c r="F105" s="6" t="n">
        <v>100</v>
      </c>
      <c r="G105" s="6" t="str">
        <f aca="false">README!$B$14</f>
        <v>points</v>
      </c>
      <c r="H105" s="6" t="s">
        <v>849</v>
      </c>
      <c r="I105" s="6" t="s">
        <v>406</v>
      </c>
    </row>
    <row r="106" customFormat="false" ht="15" hidden="false" customHeight="false" outlineLevel="0" collapsed="false">
      <c r="A106" s="6" t="s">
        <v>955</v>
      </c>
      <c r="B106" s="6" t="s">
        <v>822</v>
      </c>
      <c r="C106" s="6" t="s">
        <v>397</v>
      </c>
      <c r="D106" s="6" t="s">
        <v>244</v>
      </c>
      <c r="E106" s="16" t="n">
        <v>46297.2038618483</v>
      </c>
      <c r="F106" s="6" t="n">
        <v>100</v>
      </c>
      <c r="G106" s="6" t="str">
        <f aca="false">README!$B$14</f>
        <v>points</v>
      </c>
      <c r="H106" s="6" t="s">
        <v>853</v>
      </c>
      <c r="I106" s="6" t="s">
        <v>406</v>
      </c>
    </row>
    <row r="107" customFormat="false" ht="15" hidden="false" customHeight="false" outlineLevel="0" collapsed="false">
      <c r="A107" s="6" t="s">
        <v>956</v>
      </c>
      <c r="B107" s="6" t="s">
        <v>426</v>
      </c>
      <c r="C107" s="6" t="s">
        <v>427</v>
      </c>
      <c r="D107" s="6" t="s">
        <v>251</v>
      </c>
      <c r="E107" s="16" t="n">
        <v>46297.2388682775</v>
      </c>
      <c r="F107" s="6" t="n">
        <v>5</v>
      </c>
      <c r="G107" s="6" t="str">
        <f aca="false">README!$B$14</f>
        <v>points</v>
      </c>
      <c r="H107" s="6" t="s">
        <v>849</v>
      </c>
      <c r="I107" s="6" t="s">
        <v>406</v>
      </c>
    </row>
    <row r="108" customFormat="false" ht="15" hidden="false" customHeight="false" outlineLevel="0" collapsed="false">
      <c r="A108" s="6" t="s">
        <v>957</v>
      </c>
      <c r="B108" s="6" t="s">
        <v>531</v>
      </c>
      <c r="C108" s="6" t="s">
        <v>532</v>
      </c>
      <c r="D108" s="6" t="s">
        <v>251</v>
      </c>
      <c r="E108" s="16" t="n">
        <v>46297.2477411571</v>
      </c>
      <c r="F108" s="6" t="n">
        <v>5</v>
      </c>
      <c r="G108" s="6" t="str">
        <f aca="false">README!$B$14</f>
        <v>points</v>
      </c>
      <c r="H108" s="6" t="s">
        <v>849</v>
      </c>
      <c r="I108" s="6" t="s">
        <v>406</v>
      </c>
    </row>
    <row r="109" customFormat="false" ht="15" hidden="false" customHeight="false" outlineLevel="0" collapsed="false">
      <c r="A109" s="6" t="s">
        <v>958</v>
      </c>
      <c r="B109" s="6" t="s">
        <v>618</v>
      </c>
      <c r="C109" s="6" t="s">
        <v>113</v>
      </c>
      <c r="D109" s="6" t="s">
        <v>251</v>
      </c>
      <c r="E109" s="16" t="n">
        <v>46297.488046803</v>
      </c>
      <c r="F109" s="6" t="n">
        <v>5</v>
      </c>
      <c r="G109" s="6" t="str">
        <f aca="false">README!$B$14</f>
        <v>points</v>
      </c>
      <c r="H109" s="6" t="s">
        <v>849</v>
      </c>
      <c r="I109" s="6" t="s">
        <v>406</v>
      </c>
    </row>
    <row r="110" customFormat="false" ht="15" hidden="false" customHeight="false" outlineLevel="0" collapsed="false">
      <c r="A110" s="6" t="s">
        <v>959</v>
      </c>
      <c r="B110" s="6" t="s">
        <v>814</v>
      </c>
      <c r="C110" s="6" t="s">
        <v>483</v>
      </c>
      <c r="D110" s="6" t="s">
        <v>244</v>
      </c>
      <c r="E110" s="16" t="n">
        <v>46297.7658751987</v>
      </c>
      <c r="F110" s="6" t="n">
        <v>50</v>
      </c>
      <c r="G110" s="6" t="str">
        <f aca="false">README!$B$14</f>
        <v>points</v>
      </c>
      <c r="H110" s="6" t="s">
        <v>853</v>
      </c>
      <c r="I110" s="6" t="s">
        <v>406</v>
      </c>
    </row>
    <row r="111" customFormat="false" ht="15" hidden="false" customHeight="false" outlineLevel="0" collapsed="false">
      <c r="A111" s="6" t="s">
        <v>960</v>
      </c>
      <c r="B111" s="6" t="s">
        <v>479</v>
      </c>
      <c r="C111" s="6" t="s">
        <v>480</v>
      </c>
      <c r="D111" s="6" t="s">
        <v>251</v>
      </c>
      <c r="E111" s="16" t="n">
        <v>46298.1515658076</v>
      </c>
      <c r="F111" s="6" t="n">
        <v>5</v>
      </c>
      <c r="G111" s="6" t="str">
        <f aca="false">README!$B$14</f>
        <v>points</v>
      </c>
      <c r="H111" s="6" t="s">
        <v>849</v>
      </c>
      <c r="I111" s="6" t="s">
        <v>406</v>
      </c>
    </row>
    <row r="112" customFormat="false" ht="15" hidden="false" customHeight="false" outlineLevel="0" collapsed="false">
      <c r="A112" s="6" t="s">
        <v>961</v>
      </c>
      <c r="B112" s="6" t="s">
        <v>407</v>
      </c>
      <c r="C112" s="6" t="s">
        <v>408</v>
      </c>
      <c r="D112" s="6" t="s">
        <v>251</v>
      </c>
      <c r="E112" s="16" t="n">
        <v>46298.2475976111</v>
      </c>
      <c r="F112" s="6" t="n">
        <v>5</v>
      </c>
      <c r="G112" s="6" t="str">
        <f aca="false">README!$B$14</f>
        <v>points</v>
      </c>
      <c r="H112" s="6" t="s">
        <v>849</v>
      </c>
      <c r="I112" s="6" t="s">
        <v>406</v>
      </c>
    </row>
    <row r="113" customFormat="false" ht="15" hidden="false" customHeight="false" outlineLevel="0" collapsed="false">
      <c r="A113" s="6" t="s">
        <v>962</v>
      </c>
      <c r="B113" s="6" t="s">
        <v>623</v>
      </c>
      <c r="C113" s="6" t="s">
        <v>582</v>
      </c>
      <c r="D113" s="6" t="s">
        <v>251</v>
      </c>
      <c r="E113" s="16" t="n">
        <v>46298.4483783844</v>
      </c>
      <c r="F113" s="6" t="n">
        <v>50</v>
      </c>
      <c r="G113" s="6" t="str">
        <f aca="false">README!$B$14</f>
        <v>points</v>
      </c>
      <c r="H113" s="6" t="s">
        <v>849</v>
      </c>
      <c r="I113" s="6" t="s">
        <v>406</v>
      </c>
    </row>
    <row r="114" customFormat="false" ht="15" hidden="false" customHeight="false" outlineLevel="0" collapsed="false">
      <c r="A114" s="6" t="s">
        <v>963</v>
      </c>
      <c r="B114" s="6" t="s">
        <v>465</v>
      </c>
      <c r="C114" s="6" t="s">
        <v>466</v>
      </c>
      <c r="D114" s="6" t="s">
        <v>244</v>
      </c>
      <c r="E114" s="16" t="n">
        <v>46298.47614453</v>
      </c>
      <c r="F114" s="6" t="n">
        <v>50</v>
      </c>
      <c r="G114" s="6" t="str">
        <f aca="false">README!$B$14</f>
        <v>points</v>
      </c>
      <c r="H114" s="6" t="s">
        <v>853</v>
      </c>
      <c r="I114" s="6" t="s">
        <v>406</v>
      </c>
    </row>
    <row r="115" customFormat="false" ht="15" hidden="false" customHeight="false" outlineLevel="0" collapsed="false">
      <c r="A115" s="6" t="s">
        <v>964</v>
      </c>
      <c r="B115" s="6" t="s">
        <v>670</v>
      </c>
      <c r="C115" s="6" t="s">
        <v>582</v>
      </c>
      <c r="D115" s="6" t="s">
        <v>263</v>
      </c>
      <c r="E115" s="16" t="n">
        <v>46298.5756299844</v>
      </c>
      <c r="F115" s="6" t="n">
        <v>-1</v>
      </c>
      <c r="G115" s="6" t="str">
        <f aca="false">README!$B$14</f>
        <v>points</v>
      </c>
      <c r="H115" s="6" t="s">
        <v>860</v>
      </c>
      <c r="I115" s="6" t="s">
        <v>173</v>
      </c>
    </row>
    <row r="116" customFormat="false" ht="15" hidden="false" customHeight="false" outlineLevel="0" collapsed="false">
      <c r="A116" s="6" t="s">
        <v>965</v>
      </c>
      <c r="B116" s="6" t="s">
        <v>434</v>
      </c>
      <c r="C116" s="6" t="s">
        <v>435</v>
      </c>
      <c r="D116" s="6" t="s">
        <v>251</v>
      </c>
      <c r="E116" s="16" t="n">
        <v>46298.6356423854</v>
      </c>
      <c r="F116" s="6" t="n">
        <v>5</v>
      </c>
      <c r="G116" s="6" t="str">
        <f aca="false">README!$B$14</f>
        <v>points</v>
      </c>
      <c r="H116" s="6" t="s">
        <v>849</v>
      </c>
      <c r="I116" s="6" t="s">
        <v>406</v>
      </c>
    </row>
    <row r="117" customFormat="false" ht="15" hidden="false" customHeight="false" outlineLevel="0" collapsed="false">
      <c r="A117" s="6" t="s">
        <v>966</v>
      </c>
      <c r="B117" s="6" t="s">
        <v>548</v>
      </c>
      <c r="C117" s="6" t="s">
        <v>366</v>
      </c>
      <c r="D117" s="6" t="s">
        <v>251</v>
      </c>
      <c r="E117" s="16" t="n">
        <v>46298.6535019027</v>
      </c>
      <c r="F117" s="6" t="n">
        <v>10</v>
      </c>
      <c r="G117" s="6" t="str">
        <f aca="false">README!$B$14</f>
        <v>points</v>
      </c>
      <c r="H117" s="6" t="s">
        <v>849</v>
      </c>
      <c r="I117" s="6" t="s">
        <v>406</v>
      </c>
    </row>
    <row r="118" customFormat="false" ht="15" hidden="false" customHeight="false" outlineLevel="0" collapsed="false">
      <c r="A118" s="6" t="s">
        <v>967</v>
      </c>
      <c r="B118" s="6" t="s">
        <v>817</v>
      </c>
      <c r="C118" s="6" t="s">
        <v>400</v>
      </c>
      <c r="D118" s="6" t="s">
        <v>251</v>
      </c>
      <c r="E118" s="16" t="n">
        <v>46298.6906255246</v>
      </c>
      <c r="F118" s="6" t="n">
        <v>10</v>
      </c>
      <c r="G118" s="6" t="str">
        <f aca="false">README!$B$14</f>
        <v>points</v>
      </c>
      <c r="H118" s="6" t="s">
        <v>849</v>
      </c>
      <c r="I118" s="6" t="s">
        <v>406</v>
      </c>
    </row>
    <row r="119" customFormat="false" ht="15" hidden="false" customHeight="false" outlineLevel="0" collapsed="false">
      <c r="A119" s="6" t="s">
        <v>968</v>
      </c>
      <c r="B119" s="6" t="s">
        <v>562</v>
      </c>
      <c r="C119" s="6" t="s">
        <v>390</v>
      </c>
      <c r="D119" s="6" t="s">
        <v>251</v>
      </c>
      <c r="E119" s="16" t="n">
        <v>46298.7778506653</v>
      </c>
      <c r="F119" s="6" t="n">
        <v>10</v>
      </c>
      <c r="G119" s="6" t="str">
        <f aca="false">README!$B$14</f>
        <v>points</v>
      </c>
      <c r="H119" s="6" t="s">
        <v>849</v>
      </c>
      <c r="I119" s="6" t="s">
        <v>406</v>
      </c>
    </row>
    <row r="120" customFormat="false" ht="15" hidden="false" customHeight="false" outlineLevel="0" collapsed="false">
      <c r="A120" s="6" t="s">
        <v>969</v>
      </c>
      <c r="B120" s="6" t="s">
        <v>465</v>
      </c>
      <c r="C120" s="6" t="s">
        <v>466</v>
      </c>
      <c r="D120" s="6" t="s">
        <v>251</v>
      </c>
      <c r="E120" s="16" t="n">
        <v>46298.9376557085</v>
      </c>
      <c r="F120" s="6" t="n">
        <v>50</v>
      </c>
      <c r="G120" s="6" t="str">
        <f aca="false">README!$B$14</f>
        <v>points</v>
      </c>
      <c r="H120" s="6" t="s">
        <v>849</v>
      </c>
      <c r="I120" s="6" t="s">
        <v>406</v>
      </c>
    </row>
    <row r="121" customFormat="false" ht="15" hidden="false" customHeight="false" outlineLevel="0" collapsed="false">
      <c r="A121" s="6" t="s">
        <v>970</v>
      </c>
      <c r="B121" s="6" t="s">
        <v>653</v>
      </c>
      <c r="C121" s="6" t="s">
        <v>430</v>
      </c>
      <c r="D121" s="6" t="s">
        <v>257</v>
      </c>
      <c r="E121" s="16" t="n">
        <v>46299.104591869</v>
      </c>
      <c r="F121" s="6" t="n">
        <v>-30</v>
      </c>
      <c r="G121" s="6" t="str">
        <f aca="false">README!$B$14</f>
        <v>points</v>
      </c>
      <c r="H121" s="6" t="s">
        <v>971</v>
      </c>
      <c r="I121" s="6" t="s">
        <v>173</v>
      </c>
    </row>
    <row r="122" customFormat="false" ht="15" hidden="false" customHeight="false" outlineLevel="0" collapsed="false">
      <c r="A122" s="6" t="s">
        <v>972</v>
      </c>
      <c r="B122" s="6" t="s">
        <v>549</v>
      </c>
      <c r="C122" s="6" t="s">
        <v>532</v>
      </c>
      <c r="D122" s="6" t="s">
        <v>251</v>
      </c>
      <c r="E122" s="16" t="n">
        <v>46299.1073728113</v>
      </c>
      <c r="F122" s="6" t="n">
        <v>10</v>
      </c>
      <c r="G122" s="6" t="str">
        <f aca="false">README!$B$14</f>
        <v>points</v>
      </c>
      <c r="H122" s="6" t="s">
        <v>849</v>
      </c>
      <c r="I122" s="6" t="s">
        <v>406</v>
      </c>
    </row>
    <row r="123" customFormat="false" ht="15" hidden="false" customHeight="false" outlineLevel="0" collapsed="false">
      <c r="A123" s="6" t="s">
        <v>973</v>
      </c>
      <c r="B123" s="6" t="s">
        <v>542</v>
      </c>
      <c r="C123" s="6" t="s">
        <v>405</v>
      </c>
      <c r="D123" s="6" t="s">
        <v>251</v>
      </c>
      <c r="E123" s="16" t="n">
        <v>46299.3019859009</v>
      </c>
      <c r="F123" s="6" t="n">
        <v>10</v>
      </c>
      <c r="G123" s="6" t="str">
        <f aca="false">README!$B$14</f>
        <v>points</v>
      </c>
      <c r="H123" s="6" t="s">
        <v>849</v>
      </c>
      <c r="I123" s="6" t="s">
        <v>406</v>
      </c>
    </row>
    <row r="124" customFormat="false" ht="15" hidden="false" customHeight="false" outlineLevel="0" collapsed="false">
      <c r="A124" s="6" t="s">
        <v>974</v>
      </c>
      <c r="B124" s="6" t="s">
        <v>770</v>
      </c>
      <c r="C124" s="6" t="s">
        <v>502</v>
      </c>
      <c r="D124" s="6" t="s">
        <v>251</v>
      </c>
      <c r="E124" s="16" t="n">
        <v>46299.3696338814</v>
      </c>
      <c r="F124" s="6" t="n">
        <v>5</v>
      </c>
      <c r="G124" s="6" t="str">
        <f aca="false">README!$B$14</f>
        <v>points</v>
      </c>
      <c r="H124" s="6" t="s">
        <v>849</v>
      </c>
      <c r="I124" s="6" t="s">
        <v>406</v>
      </c>
    </row>
    <row r="125" customFormat="false" ht="15" hidden="false" customHeight="false" outlineLevel="0" collapsed="false">
      <c r="A125" s="6" t="s">
        <v>975</v>
      </c>
      <c r="B125" s="6" t="s">
        <v>607</v>
      </c>
      <c r="C125" s="6" t="s">
        <v>560</v>
      </c>
      <c r="D125" s="6" t="s">
        <v>244</v>
      </c>
      <c r="E125" s="16" t="n">
        <v>46299.8100768722</v>
      </c>
      <c r="F125" s="6" t="n">
        <v>100</v>
      </c>
      <c r="G125" s="6" t="str">
        <f aca="false">README!$B$14</f>
        <v>points</v>
      </c>
      <c r="H125" s="6" t="s">
        <v>853</v>
      </c>
      <c r="I125" s="6" t="s">
        <v>406</v>
      </c>
    </row>
    <row r="126" customFormat="false" ht="15" hidden="false" customHeight="false" outlineLevel="0" collapsed="false">
      <c r="A126" s="6" t="s">
        <v>976</v>
      </c>
      <c r="B126" s="6" t="s">
        <v>655</v>
      </c>
      <c r="C126" s="6" t="s">
        <v>397</v>
      </c>
      <c r="D126" s="6" t="s">
        <v>244</v>
      </c>
      <c r="E126" s="16" t="n">
        <v>46299.8199408555</v>
      </c>
      <c r="F126" s="6" t="n">
        <v>50</v>
      </c>
      <c r="G126" s="6" t="str">
        <f aca="false">README!$B$14</f>
        <v>points</v>
      </c>
      <c r="H126" s="6" t="s">
        <v>853</v>
      </c>
      <c r="I126" s="6" t="s">
        <v>406</v>
      </c>
    </row>
    <row r="127" customFormat="false" ht="15" hidden="false" customHeight="false" outlineLevel="0" collapsed="false">
      <c r="A127" s="6" t="s">
        <v>977</v>
      </c>
      <c r="B127" s="6" t="s">
        <v>836</v>
      </c>
      <c r="C127" s="6" t="s">
        <v>727</v>
      </c>
      <c r="D127" s="6" t="s">
        <v>251</v>
      </c>
      <c r="E127" s="16" t="n">
        <v>46299.8493892529</v>
      </c>
      <c r="F127" s="6" t="n">
        <v>10</v>
      </c>
      <c r="G127" s="6" t="str">
        <f aca="false">README!$B$14</f>
        <v>points</v>
      </c>
      <c r="H127" s="6" t="s">
        <v>849</v>
      </c>
      <c r="I127" s="6" t="s">
        <v>406</v>
      </c>
    </row>
    <row r="128" customFormat="false" ht="15" hidden="false" customHeight="false" outlineLevel="0" collapsed="false">
      <c r="A128" s="6" t="s">
        <v>978</v>
      </c>
      <c r="B128" s="6" t="s">
        <v>572</v>
      </c>
      <c r="C128" s="6" t="s">
        <v>447</v>
      </c>
      <c r="D128" s="6" t="s">
        <v>251</v>
      </c>
      <c r="E128" s="16" t="n">
        <v>46300.0094138336</v>
      </c>
      <c r="F128" s="6" t="n">
        <v>10</v>
      </c>
      <c r="G128" s="6" t="str">
        <f aca="false">README!$B$14</f>
        <v>points</v>
      </c>
      <c r="H128" s="6" t="s">
        <v>849</v>
      </c>
      <c r="I128" s="6" t="s">
        <v>406</v>
      </c>
    </row>
    <row r="129" customFormat="false" ht="15" hidden="false" customHeight="false" outlineLevel="0" collapsed="false">
      <c r="A129" s="6" t="s">
        <v>979</v>
      </c>
      <c r="B129" s="6" t="s">
        <v>739</v>
      </c>
      <c r="C129" s="6" t="s">
        <v>447</v>
      </c>
      <c r="D129" s="6" t="s">
        <v>251</v>
      </c>
      <c r="E129" s="16" t="n">
        <v>46300.0314741356</v>
      </c>
      <c r="F129" s="6" t="n">
        <v>5</v>
      </c>
      <c r="G129" s="6" t="str">
        <f aca="false">README!$B$14</f>
        <v>points</v>
      </c>
      <c r="H129" s="6" t="s">
        <v>849</v>
      </c>
      <c r="I129" s="6" t="s">
        <v>406</v>
      </c>
    </row>
    <row r="130" customFormat="false" ht="15" hidden="false" customHeight="false" outlineLevel="0" collapsed="false">
      <c r="A130" s="6" t="s">
        <v>980</v>
      </c>
      <c r="B130" s="6" t="s">
        <v>607</v>
      </c>
      <c r="C130" s="6" t="s">
        <v>560</v>
      </c>
      <c r="D130" s="6" t="s">
        <v>251</v>
      </c>
      <c r="E130" s="16" t="n">
        <v>46300.1290200767</v>
      </c>
      <c r="F130" s="6" t="n">
        <v>100</v>
      </c>
      <c r="G130" s="6" t="str">
        <f aca="false">README!$B$14</f>
        <v>points</v>
      </c>
      <c r="H130" s="6" t="s">
        <v>849</v>
      </c>
      <c r="I130" s="6" t="s">
        <v>406</v>
      </c>
    </row>
    <row r="131" customFormat="false" ht="15" hidden="false" customHeight="false" outlineLevel="0" collapsed="false">
      <c r="A131" s="6" t="s">
        <v>981</v>
      </c>
      <c r="B131" s="6" t="s">
        <v>720</v>
      </c>
      <c r="C131" s="6" t="s">
        <v>390</v>
      </c>
      <c r="D131" s="6" t="s">
        <v>244</v>
      </c>
      <c r="E131" s="16" t="n">
        <v>46300.4265762801</v>
      </c>
      <c r="F131" s="6" t="n">
        <v>50</v>
      </c>
      <c r="G131" s="6" t="str">
        <f aca="false">README!$B$14</f>
        <v>points</v>
      </c>
      <c r="H131" s="6" t="s">
        <v>853</v>
      </c>
      <c r="I131" s="6" t="s">
        <v>406</v>
      </c>
    </row>
    <row r="132" customFormat="false" ht="15" hidden="false" customHeight="false" outlineLevel="0" collapsed="false">
      <c r="A132" s="6" t="s">
        <v>982</v>
      </c>
      <c r="B132" s="6" t="s">
        <v>776</v>
      </c>
      <c r="C132" s="6" t="s">
        <v>447</v>
      </c>
      <c r="D132" s="6" t="s">
        <v>251</v>
      </c>
      <c r="E132" s="16" t="n">
        <v>46300.5432629728</v>
      </c>
      <c r="F132" s="6" t="n">
        <v>10</v>
      </c>
      <c r="G132" s="6" t="str">
        <f aca="false">README!$B$14</f>
        <v>points</v>
      </c>
      <c r="H132" s="6" t="s">
        <v>849</v>
      </c>
      <c r="I132" s="6" t="s">
        <v>406</v>
      </c>
    </row>
    <row r="133" customFormat="false" ht="15" hidden="false" customHeight="false" outlineLevel="0" collapsed="false">
      <c r="A133" s="6" t="s">
        <v>983</v>
      </c>
      <c r="B133" s="6" t="s">
        <v>814</v>
      </c>
      <c r="C133" s="6" t="s">
        <v>483</v>
      </c>
      <c r="D133" s="6" t="s">
        <v>251</v>
      </c>
      <c r="E133" s="16" t="n">
        <v>46300.5838111581</v>
      </c>
      <c r="F133" s="6" t="n">
        <v>50</v>
      </c>
      <c r="G133" s="6" t="str">
        <f aca="false">README!$B$14</f>
        <v>points</v>
      </c>
      <c r="H133" s="6" t="s">
        <v>849</v>
      </c>
      <c r="I133" s="6" t="s">
        <v>406</v>
      </c>
    </row>
    <row r="134" customFormat="false" ht="15" hidden="false" customHeight="false" outlineLevel="0" collapsed="false">
      <c r="A134" s="6" t="s">
        <v>984</v>
      </c>
      <c r="B134" s="6" t="s">
        <v>516</v>
      </c>
      <c r="C134" s="6" t="s">
        <v>517</v>
      </c>
      <c r="D134" s="6" t="s">
        <v>244</v>
      </c>
      <c r="E134" s="16" t="n">
        <v>46300.6589608465</v>
      </c>
      <c r="F134" s="6" t="n">
        <v>50</v>
      </c>
      <c r="G134" s="6" t="str">
        <f aca="false">README!$B$14</f>
        <v>points</v>
      </c>
      <c r="H134" s="6" t="s">
        <v>853</v>
      </c>
      <c r="I134" s="6" t="s">
        <v>406</v>
      </c>
    </row>
    <row r="135" customFormat="false" ht="15" hidden="false" customHeight="false" outlineLevel="0" collapsed="false">
      <c r="A135" s="6" t="s">
        <v>985</v>
      </c>
      <c r="B135" s="6" t="s">
        <v>655</v>
      </c>
      <c r="C135" s="6" t="s">
        <v>397</v>
      </c>
      <c r="D135" s="6" t="s">
        <v>251</v>
      </c>
      <c r="E135" s="16" t="n">
        <v>46300.9792517217</v>
      </c>
      <c r="F135" s="6" t="n">
        <v>50</v>
      </c>
      <c r="G135" s="6" t="str">
        <f aca="false">README!$B$14</f>
        <v>points</v>
      </c>
      <c r="H135" s="6" t="s">
        <v>849</v>
      </c>
      <c r="I135" s="6" t="s">
        <v>406</v>
      </c>
    </row>
    <row r="136" customFormat="false" ht="15" hidden="false" customHeight="false" outlineLevel="0" collapsed="false">
      <c r="A136" s="6" t="s">
        <v>986</v>
      </c>
      <c r="B136" s="6" t="s">
        <v>607</v>
      </c>
      <c r="C136" s="6" t="s">
        <v>560</v>
      </c>
      <c r="D136" s="6" t="s">
        <v>263</v>
      </c>
      <c r="E136" s="16" t="n">
        <v>46301.2997126124</v>
      </c>
      <c r="F136" s="6" t="n">
        <v>-20</v>
      </c>
      <c r="G136" s="6" t="str">
        <f aca="false">README!$B$14</f>
        <v>points</v>
      </c>
      <c r="H136" s="6" t="s">
        <v>860</v>
      </c>
      <c r="I136" s="6" t="s">
        <v>173</v>
      </c>
    </row>
    <row r="137" customFormat="false" ht="15" hidden="false" customHeight="false" outlineLevel="0" collapsed="false">
      <c r="A137" s="6" t="s">
        <v>987</v>
      </c>
      <c r="B137" s="6" t="s">
        <v>622</v>
      </c>
      <c r="C137" s="6" t="s">
        <v>405</v>
      </c>
      <c r="D137" s="6" t="s">
        <v>251</v>
      </c>
      <c r="E137" s="16" t="n">
        <v>46301.3624782014</v>
      </c>
      <c r="F137" s="6" t="n">
        <v>10</v>
      </c>
      <c r="G137" s="6" t="str">
        <f aca="false">README!$B$14</f>
        <v>points</v>
      </c>
      <c r="H137" s="6" t="s">
        <v>849</v>
      </c>
      <c r="I137" s="6" t="s">
        <v>406</v>
      </c>
    </row>
    <row r="138" customFormat="false" ht="15" hidden="false" customHeight="false" outlineLevel="0" collapsed="false">
      <c r="A138" s="6" t="s">
        <v>988</v>
      </c>
      <c r="B138" s="6" t="s">
        <v>772</v>
      </c>
      <c r="C138" s="6" t="s">
        <v>517</v>
      </c>
      <c r="D138" s="6" t="s">
        <v>251</v>
      </c>
      <c r="E138" s="16" t="n">
        <v>46301.6246111308</v>
      </c>
      <c r="F138" s="6" t="n">
        <v>5</v>
      </c>
      <c r="G138" s="6" t="str">
        <f aca="false">README!$B$14</f>
        <v>points</v>
      </c>
      <c r="H138" s="6" t="s">
        <v>849</v>
      </c>
      <c r="I138" s="6" t="s">
        <v>406</v>
      </c>
    </row>
    <row r="139" customFormat="false" ht="15" hidden="false" customHeight="false" outlineLevel="0" collapsed="false">
      <c r="A139" s="6" t="s">
        <v>989</v>
      </c>
      <c r="B139" s="6" t="s">
        <v>720</v>
      </c>
      <c r="C139" s="6" t="s">
        <v>390</v>
      </c>
      <c r="D139" s="6" t="s">
        <v>251</v>
      </c>
      <c r="E139" s="16" t="n">
        <v>46301.630263256</v>
      </c>
      <c r="F139" s="6" t="n">
        <v>50</v>
      </c>
      <c r="G139" s="6" t="str">
        <f aca="false">README!$B$14</f>
        <v>points</v>
      </c>
      <c r="H139" s="6" t="s">
        <v>849</v>
      </c>
      <c r="I139" s="6" t="s">
        <v>406</v>
      </c>
    </row>
    <row r="140" customFormat="false" ht="15" hidden="false" customHeight="false" outlineLevel="0" collapsed="false">
      <c r="A140" s="6" t="s">
        <v>990</v>
      </c>
      <c r="B140" s="6" t="s">
        <v>559</v>
      </c>
      <c r="C140" s="6" t="s">
        <v>560</v>
      </c>
      <c r="D140" s="6" t="s">
        <v>251</v>
      </c>
      <c r="E140" s="16" t="n">
        <v>46301.9123208496</v>
      </c>
      <c r="F140" s="6" t="n">
        <v>5</v>
      </c>
      <c r="G140" s="6" t="str">
        <f aca="false">README!$B$14</f>
        <v>points</v>
      </c>
      <c r="H140" s="6" t="s">
        <v>849</v>
      </c>
      <c r="I140" s="6" t="s">
        <v>406</v>
      </c>
    </row>
    <row r="141" customFormat="false" ht="15" hidden="false" customHeight="false" outlineLevel="0" collapsed="false">
      <c r="A141" s="6" t="s">
        <v>991</v>
      </c>
      <c r="B141" s="6" t="s">
        <v>684</v>
      </c>
      <c r="C141" s="6" t="s">
        <v>377</v>
      </c>
      <c r="D141" s="6" t="s">
        <v>244</v>
      </c>
      <c r="E141" s="16" t="n">
        <v>46302.0417147566</v>
      </c>
      <c r="F141" s="6" t="n">
        <v>30</v>
      </c>
      <c r="G141" s="6" t="str">
        <f aca="false">README!$B$14</f>
        <v>points</v>
      </c>
      <c r="H141" s="6" t="s">
        <v>853</v>
      </c>
      <c r="I141" s="6" t="s">
        <v>406</v>
      </c>
    </row>
    <row r="142" customFormat="false" ht="15" hidden="false" customHeight="false" outlineLevel="0" collapsed="false">
      <c r="A142" s="6" t="s">
        <v>992</v>
      </c>
      <c r="B142" s="6" t="s">
        <v>760</v>
      </c>
      <c r="C142" s="6" t="s">
        <v>761</v>
      </c>
      <c r="D142" s="6" t="s">
        <v>251</v>
      </c>
      <c r="E142" s="16" t="n">
        <v>46302.1461201063</v>
      </c>
      <c r="F142" s="6" t="n">
        <v>5</v>
      </c>
      <c r="G142" s="6" t="str">
        <f aca="false">README!$B$14</f>
        <v>points</v>
      </c>
      <c r="H142" s="6" t="s">
        <v>849</v>
      </c>
      <c r="I142" s="6" t="s">
        <v>406</v>
      </c>
    </row>
    <row r="143" customFormat="false" ht="15" hidden="false" customHeight="false" outlineLevel="0" collapsed="false">
      <c r="A143" s="6" t="s">
        <v>993</v>
      </c>
      <c r="B143" s="6" t="s">
        <v>686</v>
      </c>
      <c r="C143" s="6" t="s">
        <v>440</v>
      </c>
      <c r="D143" s="6" t="s">
        <v>251</v>
      </c>
      <c r="E143" s="16" t="n">
        <v>46302.2105386657</v>
      </c>
      <c r="F143" s="6" t="n">
        <v>10</v>
      </c>
      <c r="G143" s="6" t="str">
        <f aca="false">README!$B$14</f>
        <v>points</v>
      </c>
      <c r="H143" s="6" t="s">
        <v>849</v>
      </c>
      <c r="I143" s="6" t="s">
        <v>406</v>
      </c>
    </row>
    <row r="144" customFormat="false" ht="15" hidden="false" customHeight="false" outlineLevel="0" collapsed="false">
      <c r="A144" s="6" t="s">
        <v>994</v>
      </c>
      <c r="B144" s="6" t="s">
        <v>739</v>
      </c>
      <c r="C144" s="6" t="s">
        <v>447</v>
      </c>
      <c r="D144" s="6" t="s">
        <v>263</v>
      </c>
      <c r="E144" s="16" t="n">
        <v>46302.5802415328</v>
      </c>
      <c r="F144" s="6" t="n">
        <v>-1</v>
      </c>
      <c r="G144" s="6" t="str">
        <f aca="false">README!$B$14</f>
        <v>points</v>
      </c>
      <c r="H144" s="6" t="s">
        <v>860</v>
      </c>
      <c r="I144" s="6" t="s">
        <v>173</v>
      </c>
    </row>
    <row r="145" customFormat="false" ht="15" hidden="false" customHeight="false" outlineLevel="0" collapsed="false">
      <c r="A145" s="6" t="s">
        <v>995</v>
      </c>
      <c r="B145" s="6" t="s">
        <v>651</v>
      </c>
      <c r="C145" s="6" t="s">
        <v>652</v>
      </c>
      <c r="D145" s="6" t="s">
        <v>251</v>
      </c>
      <c r="E145" s="16" t="n">
        <v>46302.632002778</v>
      </c>
      <c r="F145" s="6" t="n">
        <v>10</v>
      </c>
      <c r="G145" s="6" t="str">
        <f aca="false">README!$B$14</f>
        <v>points</v>
      </c>
      <c r="H145" s="6" t="s">
        <v>849</v>
      </c>
      <c r="I145" s="6" t="s">
        <v>406</v>
      </c>
    </row>
    <row r="146" customFormat="false" ht="15" hidden="false" customHeight="false" outlineLevel="0" collapsed="false">
      <c r="A146" s="6" t="s">
        <v>996</v>
      </c>
      <c r="B146" s="6" t="s">
        <v>729</v>
      </c>
      <c r="C146" s="6" t="s">
        <v>582</v>
      </c>
      <c r="D146" s="6" t="s">
        <v>251</v>
      </c>
      <c r="E146" s="16" t="n">
        <v>46302.8691989501</v>
      </c>
      <c r="F146" s="6" t="n">
        <v>5</v>
      </c>
      <c r="G146" s="6" t="str">
        <f aca="false">README!$B$14</f>
        <v>points</v>
      </c>
      <c r="H146" s="6" t="s">
        <v>849</v>
      </c>
      <c r="I146" s="6" t="s">
        <v>406</v>
      </c>
    </row>
    <row r="147" customFormat="false" ht="15" hidden="false" customHeight="false" outlineLevel="0" collapsed="false">
      <c r="A147" s="6" t="s">
        <v>997</v>
      </c>
      <c r="B147" s="6" t="s">
        <v>763</v>
      </c>
      <c r="C147" s="6" t="s">
        <v>397</v>
      </c>
      <c r="D147" s="6" t="s">
        <v>251</v>
      </c>
      <c r="E147" s="16" t="n">
        <v>46302.8883667444</v>
      </c>
      <c r="F147" s="6" t="n">
        <v>5</v>
      </c>
      <c r="G147" s="6" t="str">
        <f aca="false">README!$B$14</f>
        <v>points</v>
      </c>
      <c r="H147" s="6" t="s">
        <v>849</v>
      </c>
      <c r="I147" s="6" t="s">
        <v>406</v>
      </c>
    </row>
    <row r="148" customFormat="false" ht="15" hidden="false" customHeight="false" outlineLevel="0" collapsed="false">
      <c r="A148" s="6" t="s">
        <v>998</v>
      </c>
      <c r="B148" s="6" t="s">
        <v>724</v>
      </c>
      <c r="C148" s="6" t="s">
        <v>713</v>
      </c>
      <c r="D148" s="6" t="s">
        <v>251</v>
      </c>
      <c r="E148" s="16" t="n">
        <v>46303.1609533533</v>
      </c>
      <c r="F148" s="6" t="n">
        <v>10</v>
      </c>
      <c r="G148" s="6" t="str">
        <f aca="false">README!$B$14</f>
        <v>points</v>
      </c>
      <c r="H148" s="6" t="s">
        <v>849</v>
      </c>
      <c r="I148" s="6" t="s">
        <v>406</v>
      </c>
    </row>
    <row r="149" customFormat="false" ht="15" hidden="false" customHeight="false" outlineLevel="0" collapsed="false">
      <c r="A149" s="6" t="s">
        <v>999</v>
      </c>
      <c r="B149" s="6" t="s">
        <v>779</v>
      </c>
      <c r="C149" s="6" t="s">
        <v>427</v>
      </c>
      <c r="D149" s="6" t="s">
        <v>244</v>
      </c>
      <c r="E149" s="16" t="n">
        <v>46303.1734030872</v>
      </c>
      <c r="F149" s="6" t="n">
        <v>50</v>
      </c>
      <c r="G149" s="6" t="str">
        <f aca="false">README!$B$14</f>
        <v>points</v>
      </c>
      <c r="H149" s="6" t="s">
        <v>853</v>
      </c>
      <c r="I149" s="6" t="s">
        <v>406</v>
      </c>
    </row>
    <row r="150" customFormat="false" ht="15" hidden="false" customHeight="false" outlineLevel="0" collapsed="false">
      <c r="A150" s="6" t="s">
        <v>1000</v>
      </c>
      <c r="B150" s="6" t="s">
        <v>516</v>
      </c>
      <c r="C150" s="6" t="s">
        <v>517</v>
      </c>
      <c r="D150" s="6" t="s">
        <v>251</v>
      </c>
      <c r="E150" s="16" t="n">
        <v>46303.3043814109</v>
      </c>
      <c r="F150" s="6" t="n">
        <v>50</v>
      </c>
      <c r="G150" s="6" t="str">
        <f aca="false">README!$B$14</f>
        <v>points</v>
      </c>
      <c r="H150" s="6" t="s">
        <v>849</v>
      </c>
      <c r="I150" s="6" t="s">
        <v>406</v>
      </c>
    </row>
    <row r="151" customFormat="false" ht="15" hidden="false" customHeight="false" outlineLevel="0" collapsed="false">
      <c r="A151" s="6" t="s">
        <v>1001</v>
      </c>
      <c r="B151" s="6" t="s">
        <v>787</v>
      </c>
      <c r="C151" s="6" t="s">
        <v>727</v>
      </c>
      <c r="D151" s="6" t="s">
        <v>251</v>
      </c>
      <c r="E151" s="16" t="n">
        <v>46303.7972514557</v>
      </c>
      <c r="F151" s="6" t="n">
        <v>10</v>
      </c>
      <c r="G151" s="6" t="str">
        <f aca="false">README!$B$14</f>
        <v>points</v>
      </c>
      <c r="H151" s="6" t="s">
        <v>849</v>
      </c>
      <c r="I151" s="6" t="s">
        <v>406</v>
      </c>
    </row>
    <row r="152" customFormat="false" ht="15" hidden="false" customHeight="false" outlineLevel="0" collapsed="false">
      <c r="A152" s="6" t="s">
        <v>1002</v>
      </c>
      <c r="B152" s="6" t="s">
        <v>828</v>
      </c>
      <c r="C152" s="6" t="s">
        <v>590</v>
      </c>
      <c r="D152" s="6" t="s">
        <v>244</v>
      </c>
      <c r="E152" s="16" t="n">
        <v>46303.9601017704</v>
      </c>
      <c r="F152" s="6" t="n">
        <v>30</v>
      </c>
      <c r="G152" s="6" t="str">
        <f aca="false">README!$B$14</f>
        <v>points</v>
      </c>
      <c r="H152" s="6" t="s">
        <v>853</v>
      </c>
      <c r="I152" s="6" t="s">
        <v>406</v>
      </c>
    </row>
    <row r="153" customFormat="false" ht="15" hidden="false" customHeight="false" outlineLevel="0" collapsed="false">
      <c r="A153" s="6" t="s">
        <v>1003</v>
      </c>
      <c r="B153" s="6" t="s">
        <v>794</v>
      </c>
      <c r="C153" s="6" t="s">
        <v>424</v>
      </c>
      <c r="D153" s="6" t="s">
        <v>244</v>
      </c>
      <c r="E153" s="16" t="n">
        <v>46304.2404120877</v>
      </c>
      <c r="F153" s="6" t="n">
        <v>30</v>
      </c>
      <c r="G153" s="6" t="str">
        <f aca="false">README!$B$14</f>
        <v>points</v>
      </c>
      <c r="H153" s="6" t="s">
        <v>853</v>
      </c>
      <c r="I153" s="6" t="s">
        <v>406</v>
      </c>
    </row>
    <row r="154" customFormat="false" ht="15" hidden="false" customHeight="false" outlineLevel="0" collapsed="false">
      <c r="A154" s="6" t="s">
        <v>1004</v>
      </c>
      <c r="B154" s="6" t="s">
        <v>515</v>
      </c>
      <c r="C154" s="6" t="s">
        <v>382</v>
      </c>
      <c r="D154" s="6" t="s">
        <v>251</v>
      </c>
      <c r="E154" s="16" t="n">
        <v>46304.3898685202</v>
      </c>
      <c r="F154" s="6" t="n">
        <v>10</v>
      </c>
      <c r="G154" s="6" t="str">
        <f aca="false">README!$B$14</f>
        <v>points</v>
      </c>
      <c r="H154" s="6" t="s">
        <v>849</v>
      </c>
      <c r="I154" s="6" t="s">
        <v>406</v>
      </c>
    </row>
    <row r="155" customFormat="false" ht="15" hidden="false" customHeight="false" outlineLevel="0" collapsed="false">
      <c r="A155" s="6" t="s">
        <v>1005</v>
      </c>
      <c r="B155" s="6" t="s">
        <v>641</v>
      </c>
      <c r="C155" s="6" t="s">
        <v>400</v>
      </c>
      <c r="D155" s="6" t="s">
        <v>244</v>
      </c>
      <c r="E155" s="16" t="n">
        <v>46304.4637709084</v>
      </c>
      <c r="F155" s="6" t="n">
        <v>30</v>
      </c>
      <c r="G155" s="6" t="str">
        <f aca="false">README!$B$14</f>
        <v>points</v>
      </c>
      <c r="H155" s="6" t="s">
        <v>853</v>
      </c>
      <c r="I155" s="6" t="s">
        <v>406</v>
      </c>
    </row>
    <row r="156" customFormat="false" ht="15" hidden="false" customHeight="false" outlineLevel="0" collapsed="false">
      <c r="A156" s="6" t="s">
        <v>1006</v>
      </c>
      <c r="B156" s="6" t="s">
        <v>684</v>
      </c>
      <c r="C156" s="6" t="s">
        <v>377</v>
      </c>
      <c r="D156" s="6" t="s">
        <v>251</v>
      </c>
      <c r="E156" s="16" t="n">
        <v>46304.6387534054</v>
      </c>
      <c r="F156" s="6" t="n">
        <v>30</v>
      </c>
      <c r="G156" s="6" t="str">
        <f aca="false">README!$B$14</f>
        <v>points</v>
      </c>
      <c r="H156" s="6" t="s">
        <v>849</v>
      </c>
      <c r="I156" s="6" t="s">
        <v>406</v>
      </c>
    </row>
    <row r="157" customFormat="false" ht="15" hidden="false" customHeight="false" outlineLevel="0" collapsed="false">
      <c r="A157" s="6" t="s">
        <v>1007</v>
      </c>
      <c r="B157" s="6" t="s">
        <v>828</v>
      </c>
      <c r="C157" s="6" t="s">
        <v>590</v>
      </c>
      <c r="D157" s="6" t="s">
        <v>251</v>
      </c>
      <c r="E157" s="16" t="n">
        <v>46305.7719179646</v>
      </c>
      <c r="F157" s="6" t="n">
        <v>30</v>
      </c>
      <c r="G157" s="6" t="str">
        <f aca="false">README!$B$14</f>
        <v>points</v>
      </c>
      <c r="H157" s="6" t="s">
        <v>849</v>
      </c>
      <c r="I157" s="6" t="s">
        <v>406</v>
      </c>
    </row>
    <row r="158" customFormat="false" ht="15" hidden="false" customHeight="false" outlineLevel="0" collapsed="false">
      <c r="A158" s="6" t="s">
        <v>1008</v>
      </c>
      <c r="B158" s="6" t="s">
        <v>779</v>
      </c>
      <c r="C158" s="6" t="s">
        <v>427</v>
      </c>
      <c r="D158" s="6" t="s">
        <v>251</v>
      </c>
      <c r="E158" s="16" t="n">
        <v>46306.0689247856</v>
      </c>
      <c r="F158" s="6" t="n">
        <v>50</v>
      </c>
      <c r="G158" s="6" t="str">
        <f aca="false">README!$B$14</f>
        <v>points</v>
      </c>
      <c r="H158" s="6" t="s">
        <v>849</v>
      </c>
      <c r="I158" s="6" t="s">
        <v>406</v>
      </c>
    </row>
    <row r="159" customFormat="false" ht="15" hidden="false" customHeight="false" outlineLevel="0" collapsed="false">
      <c r="A159" s="6" t="s">
        <v>1009</v>
      </c>
      <c r="B159" s="6" t="s">
        <v>794</v>
      </c>
      <c r="C159" s="6" t="s">
        <v>424</v>
      </c>
      <c r="D159" s="6" t="s">
        <v>251</v>
      </c>
      <c r="E159" s="16" t="n">
        <v>46306.612957545</v>
      </c>
      <c r="F159" s="6" t="n">
        <v>30</v>
      </c>
      <c r="G159" s="6" t="str">
        <f aca="false">README!$B$14</f>
        <v>points</v>
      </c>
      <c r="H159" s="6" t="s">
        <v>849</v>
      </c>
      <c r="I159" s="6" t="s">
        <v>406</v>
      </c>
    </row>
    <row r="160" customFormat="false" ht="15" hidden="false" customHeight="false" outlineLevel="0" collapsed="false">
      <c r="A160" s="6" t="s">
        <v>1010</v>
      </c>
      <c r="B160" s="6" t="s">
        <v>641</v>
      </c>
      <c r="C160" s="6" t="s">
        <v>400</v>
      </c>
      <c r="D160" s="6" t="s">
        <v>251</v>
      </c>
      <c r="E160" s="16" t="n">
        <v>46306.8677589101</v>
      </c>
      <c r="F160" s="6" t="n">
        <v>30</v>
      </c>
      <c r="G160" s="6" t="str">
        <f aca="false">README!$B$14</f>
        <v>points</v>
      </c>
      <c r="H160" s="6" t="s">
        <v>849</v>
      </c>
      <c r="I160" s="6" t="s">
        <v>406</v>
      </c>
    </row>
  </sheetData>
  <autoFilter ref="A1:I1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16"/>
    <col collapsed="false" customWidth="true" hidden="false" outlineLevel="0" max="4" min="4" style="0" width="48"/>
    <col collapsed="false" customWidth="true" hidden="false" outlineLevel="0" max="5" min="5" style="0" width="36"/>
    <col collapsed="false" customWidth="true" hidden="false" outlineLevel="0" max="6" min="6" style="0" width="30"/>
    <col collapsed="false" customWidth="true" hidden="false" outlineLevel="0" max="7" min="7" style="0" width="28"/>
    <col collapsed="false" customWidth="true" hidden="false" outlineLevel="0" max="8" min="8" style="0" width="52"/>
    <col collapsed="false" customWidth="true" hidden="false" outlineLevel="0" max="9" min="9" style="0" width="11"/>
  </cols>
  <sheetData>
    <row r="1" customFormat="false" ht="17.35" hidden="false" customHeight="false" outlineLevel="0" collapsed="false">
      <c r="A1" s="1" t="s">
        <v>1011</v>
      </c>
    </row>
    <row r="2" customFormat="false" ht="15" hidden="false" customHeight="false" outlineLevel="0" collapsed="false">
      <c r="A2" s="2" t="s">
        <v>1012</v>
      </c>
    </row>
    <row r="4" customFormat="false" ht="15" hidden="false" customHeight="false" outlineLevel="0" collapsed="false">
      <c r="A4" s="10" t="s">
        <v>1013</v>
      </c>
      <c r="B4" s="10" t="s">
        <v>1014</v>
      </c>
      <c r="C4" s="10" t="s">
        <v>26</v>
      </c>
      <c r="D4" s="10" t="s">
        <v>85</v>
      </c>
      <c r="E4" s="10" t="s">
        <v>1015</v>
      </c>
      <c r="F4" s="10" t="s">
        <v>1016</v>
      </c>
      <c r="G4" s="10" t="s">
        <v>1017</v>
      </c>
      <c r="H4" s="10" t="s">
        <v>1018</v>
      </c>
      <c r="I4" s="10" t="s">
        <v>35</v>
      </c>
    </row>
    <row r="5" customFormat="false" ht="15" hidden="false" customHeight="false" outlineLevel="0" collapsed="false">
      <c r="A5" s="11" t="s">
        <v>1019</v>
      </c>
      <c r="B5" s="11" t="s">
        <v>1020</v>
      </c>
      <c r="C5" s="11" t="s">
        <v>120</v>
      </c>
      <c r="D5" s="11" t="s">
        <v>1021</v>
      </c>
      <c r="E5" s="11" t="s">
        <v>1022</v>
      </c>
      <c r="F5" s="11" t="s">
        <v>1023</v>
      </c>
      <c r="G5" s="11" t="s">
        <v>1024</v>
      </c>
      <c r="H5" s="11" t="s">
        <v>1025</v>
      </c>
      <c r="I5" s="12" t="s">
        <v>45</v>
      </c>
    </row>
    <row r="6" customFormat="false" ht="15" hidden="false" customHeight="false" outlineLevel="0" collapsed="false">
      <c r="A6" s="11" t="s">
        <v>1026</v>
      </c>
      <c r="B6" s="11" t="s">
        <v>1027</v>
      </c>
      <c r="C6" s="11" t="s">
        <v>125</v>
      </c>
      <c r="D6" s="11" t="s">
        <v>1028</v>
      </c>
      <c r="E6" s="11" t="s">
        <v>1029</v>
      </c>
      <c r="F6" s="11" t="s">
        <v>1030</v>
      </c>
      <c r="G6" s="11" t="s">
        <v>1031</v>
      </c>
      <c r="H6" s="11" t="s">
        <v>1032</v>
      </c>
      <c r="I6" s="12" t="s">
        <v>45</v>
      </c>
    </row>
    <row r="7" customFormat="false" ht="15" hidden="false" customHeight="false" outlineLevel="0" collapsed="false">
      <c r="A7" s="11" t="s">
        <v>1033</v>
      </c>
      <c r="B7" s="11" t="s">
        <v>1034</v>
      </c>
      <c r="C7" s="11" t="s">
        <v>136</v>
      </c>
      <c r="D7" s="11" t="s">
        <v>1035</v>
      </c>
      <c r="E7" s="11" t="s">
        <v>1036</v>
      </c>
      <c r="F7" s="11" t="s">
        <v>1037</v>
      </c>
      <c r="G7" s="11" t="s">
        <v>1031</v>
      </c>
      <c r="H7" s="11" t="s">
        <v>1038</v>
      </c>
      <c r="I7" s="12" t="s">
        <v>45</v>
      </c>
    </row>
    <row r="8" customFormat="false" ht="15" hidden="false" customHeight="false" outlineLevel="0" collapsed="false">
      <c r="A8" s="11" t="s">
        <v>1039</v>
      </c>
      <c r="B8" s="11" t="s">
        <v>1040</v>
      </c>
      <c r="C8" s="11" t="s">
        <v>142</v>
      </c>
      <c r="D8" s="11" t="s">
        <v>1041</v>
      </c>
      <c r="E8" s="11" t="s">
        <v>1042</v>
      </c>
      <c r="F8" s="11" t="s">
        <v>1043</v>
      </c>
      <c r="G8" s="11" t="s">
        <v>1031</v>
      </c>
      <c r="H8" s="11" t="s">
        <v>1044</v>
      </c>
      <c r="I8" s="12" t="s">
        <v>45</v>
      </c>
    </row>
    <row r="9" customFormat="false" ht="15" hidden="false" customHeight="false" outlineLevel="0" collapsed="false">
      <c r="A9" s="11" t="s">
        <v>1045</v>
      </c>
      <c r="B9" s="11" t="s">
        <v>1046</v>
      </c>
      <c r="C9" s="11" t="s">
        <v>95</v>
      </c>
      <c r="D9" s="11" t="s">
        <v>1047</v>
      </c>
      <c r="E9" s="11" t="s">
        <v>1048</v>
      </c>
      <c r="F9" s="11" t="s">
        <v>1023</v>
      </c>
      <c r="G9" s="11" t="s">
        <v>1031</v>
      </c>
      <c r="H9" s="11" t="s">
        <v>1049</v>
      </c>
      <c r="I9" s="12" t="s">
        <v>45</v>
      </c>
    </row>
    <row r="10" customFormat="false" ht="15" hidden="false" customHeight="false" outlineLevel="0" collapsed="false">
      <c r="A10" s="11" t="s">
        <v>1050</v>
      </c>
      <c r="B10" s="11" t="s">
        <v>1051</v>
      </c>
      <c r="C10" s="11" t="s">
        <v>125</v>
      </c>
      <c r="D10" s="11" t="s">
        <v>1052</v>
      </c>
      <c r="E10" s="11" t="s">
        <v>1053</v>
      </c>
      <c r="F10" s="11" t="s">
        <v>1030</v>
      </c>
      <c r="G10" s="11" t="s">
        <v>1031</v>
      </c>
      <c r="H10" s="11" t="s">
        <v>1054</v>
      </c>
      <c r="I10" s="12" t="s">
        <v>45</v>
      </c>
    </row>
    <row r="11" customFormat="false" ht="15" hidden="false" customHeight="false" outlineLevel="0" collapsed="false">
      <c r="A11" s="11" t="s">
        <v>1055</v>
      </c>
      <c r="B11" s="11" t="s">
        <v>1056</v>
      </c>
      <c r="C11" s="11" t="s">
        <v>1057</v>
      </c>
      <c r="D11" s="11" t="s">
        <v>1058</v>
      </c>
      <c r="E11" s="11" t="s">
        <v>1059</v>
      </c>
      <c r="F11" s="11" t="s">
        <v>1030</v>
      </c>
      <c r="G11" s="11" t="s">
        <v>1060</v>
      </c>
      <c r="H11" s="11" t="s">
        <v>1061</v>
      </c>
      <c r="I11" s="12" t="s">
        <v>45</v>
      </c>
    </row>
    <row r="12" customFormat="false" ht="15" hidden="false" customHeight="false" outlineLevel="0" collapsed="false">
      <c r="A12" s="11" t="s">
        <v>1062</v>
      </c>
      <c r="B12" s="11" t="s">
        <v>1063</v>
      </c>
      <c r="C12" s="11" t="s">
        <v>136</v>
      </c>
      <c r="D12" s="11" t="s">
        <v>1064</v>
      </c>
      <c r="E12" s="11" t="s">
        <v>1065</v>
      </c>
      <c r="F12" s="11" t="s">
        <v>1037</v>
      </c>
      <c r="G12" s="11" t="s">
        <v>1066</v>
      </c>
      <c r="H12" s="11" t="s">
        <v>1067</v>
      </c>
      <c r="I12" s="12" t="s">
        <v>45</v>
      </c>
    </row>
    <row r="13" customFormat="false" ht="15" hidden="false" customHeight="false" outlineLevel="0" collapsed="false">
      <c r="A13" s="11" t="s">
        <v>1068</v>
      </c>
      <c r="B13" s="11" t="s">
        <v>1069</v>
      </c>
      <c r="C13" s="11" t="s">
        <v>165</v>
      </c>
      <c r="D13" s="11" t="s">
        <v>1070</v>
      </c>
      <c r="E13" s="11" t="s">
        <v>1071</v>
      </c>
      <c r="F13" s="11" t="s">
        <v>1030</v>
      </c>
      <c r="G13" s="11" t="s">
        <v>1072</v>
      </c>
      <c r="H13" s="11" t="s">
        <v>1073</v>
      </c>
      <c r="I13" s="12" t="s">
        <v>45</v>
      </c>
    </row>
    <row r="14" customFormat="false" ht="15" hidden="false" customHeight="false" outlineLevel="0" collapsed="false">
      <c r="A14" s="11" t="s">
        <v>1074</v>
      </c>
      <c r="B14" s="11" t="s">
        <v>1075</v>
      </c>
      <c r="C14" s="11" t="s">
        <v>165</v>
      </c>
      <c r="D14" s="11" t="s">
        <v>1076</v>
      </c>
      <c r="E14" s="11" t="s">
        <v>1077</v>
      </c>
      <c r="F14" s="11" t="s">
        <v>1030</v>
      </c>
      <c r="G14" s="11" t="s">
        <v>1078</v>
      </c>
      <c r="H14" s="11" t="s">
        <v>1079</v>
      </c>
      <c r="I14" s="12" t="s">
        <v>45</v>
      </c>
    </row>
    <row r="15" customFormat="false" ht="15" hidden="false" customHeight="false" outlineLevel="0" collapsed="false">
      <c r="A15" s="11" t="s">
        <v>1080</v>
      </c>
      <c r="B15" s="11" t="s">
        <v>1081</v>
      </c>
      <c r="C15" s="11" t="s">
        <v>165</v>
      </c>
      <c r="D15" s="11" t="s">
        <v>1082</v>
      </c>
      <c r="E15" s="11" t="s">
        <v>1083</v>
      </c>
      <c r="F15" s="11" t="s">
        <v>1084</v>
      </c>
      <c r="G15" s="11" t="s">
        <v>1031</v>
      </c>
      <c r="H15" s="11" t="s">
        <v>1085</v>
      </c>
      <c r="I15" s="12" t="s">
        <v>45</v>
      </c>
    </row>
    <row r="16" customFormat="false" ht="15" hidden="false" customHeight="false" outlineLevel="0" collapsed="false">
      <c r="A16" s="11" t="s">
        <v>1086</v>
      </c>
      <c r="B16" s="11" t="s">
        <v>1087</v>
      </c>
      <c r="C16" s="11" t="s">
        <v>165</v>
      </c>
      <c r="D16" s="11" t="s">
        <v>1088</v>
      </c>
      <c r="E16" s="11" t="s">
        <v>1089</v>
      </c>
      <c r="F16" s="11" t="s">
        <v>1084</v>
      </c>
      <c r="G16" s="11" t="s">
        <v>1090</v>
      </c>
      <c r="H16" s="11" t="s">
        <v>1091</v>
      </c>
      <c r="I16" s="12" t="s">
        <v>45</v>
      </c>
    </row>
    <row r="17" customFormat="false" ht="23.85" hidden="false" customHeight="false" outlineLevel="0" collapsed="false">
      <c r="A17" s="11" t="s">
        <v>1092</v>
      </c>
      <c r="B17" s="11" t="s">
        <v>1093</v>
      </c>
      <c r="C17" s="11" t="s">
        <v>142</v>
      </c>
      <c r="D17" s="11" t="s">
        <v>1094</v>
      </c>
      <c r="E17" s="11" t="s">
        <v>1095</v>
      </c>
      <c r="F17" s="11" t="s">
        <v>1096</v>
      </c>
      <c r="G17" s="11" t="s">
        <v>1031</v>
      </c>
      <c r="H17" s="11" t="s">
        <v>1097</v>
      </c>
      <c r="I17" s="12" t="s">
        <v>45</v>
      </c>
    </row>
    <row r="18" customFormat="false" ht="15" hidden="false" customHeight="false" outlineLevel="0" collapsed="false">
      <c r="A18" s="11" t="s">
        <v>1098</v>
      </c>
      <c r="B18" s="11" t="s">
        <v>1099</v>
      </c>
      <c r="C18" s="11" t="s">
        <v>142</v>
      </c>
      <c r="D18" s="11" t="s">
        <v>1100</v>
      </c>
      <c r="E18" s="11" t="s">
        <v>1101</v>
      </c>
      <c r="F18" s="11" t="s">
        <v>1102</v>
      </c>
      <c r="G18" s="11" t="s">
        <v>1103</v>
      </c>
      <c r="H18" s="11" t="s">
        <v>1104</v>
      </c>
      <c r="I18" s="12" t="s">
        <v>45</v>
      </c>
    </row>
    <row r="19" customFormat="false" ht="15" hidden="false" customHeight="false" outlineLevel="0" collapsed="false">
      <c r="A19" s="11" t="s">
        <v>1105</v>
      </c>
      <c r="B19" s="11" t="s">
        <v>1106</v>
      </c>
      <c r="C19" s="11" t="s">
        <v>142</v>
      </c>
      <c r="D19" s="11" t="s">
        <v>1107</v>
      </c>
      <c r="E19" s="11" t="s">
        <v>1108</v>
      </c>
      <c r="F19" s="11" t="s">
        <v>1048</v>
      </c>
      <c r="G19" s="11" t="s">
        <v>1090</v>
      </c>
      <c r="H19" s="11" t="s">
        <v>1109</v>
      </c>
      <c r="I19" s="12" t="s">
        <v>45</v>
      </c>
    </row>
    <row r="20" customFormat="false" ht="15" hidden="false" customHeight="false" outlineLevel="0" collapsed="false">
      <c r="A20" s="11" t="s">
        <v>1110</v>
      </c>
      <c r="B20" s="11" t="s">
        <v>1111</v>
      </c>
      <c r="C20" s="11" t="s">
        <v>142</v>
      </c>
      <c r="D20" s="11" t="s">
        <v>1112</v>
      </c>
      <c r="E20" s="11" t="s">
        <v>1113</v>
      </c>
      <c r="F20" s="11" t="s">
        <v>1048</v>
      </c>
      <c r="G20" s="11" t="s">
        <v>1090</v>
      </c>
      <c r="H20" s="11" t="s">
        <v>1114</v>
      </c>
      <c r="I20" s="12" t="s">
        <v>45</v>
      </c>
    </row>
    <row r="21" customFormat="false" ht="15" hidden="false" customHeight="false" outlineLevel="0" collapsed="false">
      <c r="A21" s="11" t="s">
        <v>1115</v>
      </c>
      <c r="B21" s="11" t="s">
        <v>1116</v>
      </c>
      <c r="C21" s="11" t="s">
        <v>125</v>
      </c>
      <c r="D21" s="11" t="s">
        <v>1117</v>
      </c>
      <c r="E21" s="11" t="s">
        <v>290</v>
      </c>
      <c r="F21" s="11" t="s">
        <v>290</v>
      </c>
      <c r="G21" s="11" t="s">
        <v>1118</v>
      </c>
      <c r="H21" s="11" t="s">
        <v>1119</v>
      </c>
      <c r="I21" s="12" t="s">
        <v>45</v>
      </c>
    </row>
    <row r="22" customFormat="false" ht="15" hidden="false" customHeight="false" outlineLevel="0" collapsed="false">
      <c r="A22" s="11" t="s">
        <v>1120</v>
      </c>
      <c r="B22" s="11" t="s">
        <v>1121</v>
      </c>
      <c r="C22" s="11" t="s">
        <v>142</v>
      </c>
      <c r="D22" s="11" t="s">
        <v>1122</v>
      </c>
      <c r="E22" s="11" t="s">
        <v>290</v>
      </c>
      <c r="F22" s="11" t="s">
        <v>290</v>
      </c>
      <c r="G22" s="11" t="s">
        <v>1031</v>
      </c>
      <c r="H22" s="11" t="s">
        <v>1123</v>
      </c>
      <c r="I22" s="12" t="s">
        <v>45</v>
      </c>
    </row>
    <row r="23" customFormat="false" ht="23.85" hidden="false" customHeight="false" outlineLevel="0" collapsed="false">
      <c r="A23" s="11" t="s">
        <v>1124</v>
      </c>
      <c r="B23" s="11" t="s">
        <v>1125</v>
      </c>
      <c r="C23" s="11" t="s">
        <v>142</v>
      </c>
      <c r="D23" s="11" t="s">
        <v>1126</v>
      </c>
      <c r="E23" s="11" t="s">
        <v>1127</v>
      </c>
      <c r="F23" s="11" t="s">
        <v>1102</v>
      </c>
      <c r="G23" s="11" t="s">
        <v>107</v>
      </c>
      <c r="H23" s="11" t="s">
        <v>1128</v>
      </c>
      <c r="I23" s="12" t="s">
        <v>45</v>
      </c>
    </row>
    <row r="24" customFormat="false" ht="15" hidden="false" customHeight="false" outlineLevel="0" collapsed="false">
      <c r="A24" s="11" t="s">
        <v>1129</v>
      </c>
      <c r="B24" s="11" t="s">
        <v>1130</v>
      </c>
      <c r="C24" s="11" t="s">
        <v>142</v>
      </c>
      <c r="D24" s="11" t="s">
        <v>1131</v>
      </c>
      <c r="E24" s="11" t="s">
        <v>1132</v>
      </c>
      <c r="F24" s="11" t="s">
        <v>1043</v>
      </c>
      <c r="G24" s="11" t="s">
        <v>290</v>
      </c>
      <c r="H24" s="11" t="s">
        <v>1133</v>
      </c>
      <c r="I24" s="12" t="s">
        <v>45</v>
      </c>
    </row>
    <row r="25" customFormat="false" ht="15" hidden="false" customHeight="false" outlineLevel="0" collapsed="false">
      <c r="A25" s="11" t="s">
        <v>1134</v>
      </c>
      <c r="B25" s="11" t="s">
        <v>1135</v>
      </c>
      <c r="C25" s="11" t="s">
        <v>136</v>
      </c>
      <c r="D25" s="11" t="s">
        <v>1136</v>
      </c>
      <c r="E25" s="11" t="s">
        <v>1137</v>
      </c>
      <c r="F25" s="11" t="s">
        <v>1138</v>
      </c>
      <c r="G25" s="11" t="s">
        <v>1090</v>
      </c>
      <c r="H25" s="11" t="s">
        <v>1139</v>
      </c>
      <c r="I25" s="13" t="s">
        <v>151</v>
      </c>
    </row>
    <row r="26" customFormat="false" ht="23.85" hidden="false" customHeight="false" outlineLevel="0" collapsed="false">
      <c r="A26" s="11" t="s">
        <v>1140</v>
      </c>
      <c r="B26" s="11" t="s">
        <v>1141</v>
      </c>
      <c r="C26" s="11" t="s">
        <v>95</v>
      </c>
      <c r="D26" s="11" t="s">
        <v>1142</v>
      </c>
      <c r="E26" s="11" t="s">
        <v>1143</v>
      </c>
      <c r="F26" s="11" t="s">
        <v>1144</v>
      </c>
      <c r="G26" s="11" t="s">
        <v>1090</v>
      </c>
      <c r="H26" s="11" t="s">
        <v>1145</v>
      </c>
      <c r="I26" s="13"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20"/>
    <col collapsed="false" customWidth="true" hidden="false" outlineLevel="0" max="5" min="4" style="0" width="16"/>
    <col collapsed="false" customWidth="true" hidden="false" outlineLevel="0" max="6" min="6" style="0" width="12"/>
    <col collapsed="false" customWidth="true" hidden="false" outlineLevel="0" max="7" min="7" style="0" width="40"/>
    <col collapsed="false" customWidth="true" hidden="false" outlineLevel="0" max="9" min="8" style="0" width="16"/>
    <col collapsed="false" customWidth="true" hidden="false" outlineLevel="0" max="10" min="10" style="0" width="14"/>
    <col collapsed="false" customWidth="true" hidden="false" outlineLevel="0" max="11" min="11" style="0" width="16"/>
    <col collapsed="false" customWidth="true" hidden="false" outlineLevel="0" max="12" min="12" style="0" width="18"/>
    <col collapsed="false" customWidth="true" hidden="false" outlineLevel="0" max="13" min="13" style="0" width="14"/>
    <col collapsed="false" customWidth="true" hidden="false" outlineLevel="0" max="14" min="14" style="0" width="16"/>
  </cols>
  <sheetData>
    <row r="1" customFormat="false" ht="17.35" hidden="false" customHeight="false" outlineLevel="0" collapsed="false">
      <c r="A1" s="1" t="s">
        <v>1146</v>
      </c>
    </row>
    <row r="2" customFormat="false" ht="15" hidden="false" customHeight="false" outlineLevel="0" collapsed="false">
      <c r="A2" s="2" t="s">
        <v>1147</v>
      </c>
    </row>
    <row r="4" customFormat="false" ht="15" hidden="false" customHeight="false" outlineLevel="0" collapsed="false">
      <c r="A4" s="19" t="s">
        <v>1148</v>
      </c>
      <c r="F4" s="19" t="s">
        <v>1149</v>
      </c>
    </row>
    <row r="5" customFormat="false" ht="15" hidden="false" customHeight="false" outlineLevel="0" collapsed="false">
      <c r="A5" s="10" t="s">
        <v>26</v>
      </c>
      <c r="B5" s="10" t="s">
        <v>1150</v>
      </c>
      <c r="C5" s="10" t="s">
        <v>1151</v>
      </c>
      <c r="D5" s="10" t="s">
        <v>1152</v>
      </c>
      <c r="F5" s="10" t="s">
        <v>1013</v>
      </c>
      <c r="G5" s="10" t="s">
        <v>1014</v>
      </c>
      <c r="H5" s="10" t="s">
        <v>1153</v>
      </c>
    </row>
    <row r="6" customFormat="false" ht="15" hidden="false" customHeight="false" outlineLevel="0" collapsed="false">
      <c r="A6" s="20" t="s">
        <v>1154</v>
      </c>
      <c r="B6" s="21" t="n">
        <f aca="false">COUNTA(Data_Tasks!$A$2:$A$221)</f>
        <v>220</v>
      </c>
      <c r="C6" s="22" t="s">
        <v>1155</v>
      </c>
      <c r="D6" s="22" t="n">
        <f aca="false">IFERROR(B6/$B$6,0)</f>
        <v>1</v>
      </c>
      <c r="F6" s="20" t="s">
        <v>1019</v>
      </c>
      <c r="G6" s="20" t="s">
        <v>1020</v>
      </c>
      <c r="H6" s="22" t="n">
        <f aca="false">C7</f>
        <v>0.754545454545455</v>
      </c>
    </row>
    <row r="7" customFormat="false" ht="15" hidden="false" customHeight="false" outlineLevel="0" collapsed="false">
      <c r="A7" s="20" t="s">
        <v>1156</v>
      </c>
      <c r="B7" s="21" t="n">
        <f aca="false">SUM(Data_Tasks!$Y$2:$Y$221)</f>
        <v>166</v>
      </c>
      <c r="C7" s="22" t="n">
        <f aca="false">IFERROR(B7/B6,0)</f>
        <v>0.754545454545455</v>
      </c>
      <c r="D7" s="22" t="n">
        <f aca="false">IFERROR(B7/$B$6,0)</f>
        <v>0.754545454545455</v>
      </c>
      <c r="F7" s="20" t="s">
        <v>1026</v>
      </c>
      <c r="G7" s="20" t="s">
        <v>1027</v>
      </c>
      <c r="H7" s="22" t="n">
        <f aca="false">C8</f>
        <v>0.734939759036145</v>
      </c>
    </row>
    <row r="8" customFormat="false" ht="15" hidden="false" customHeight="false" outlineLevel="0" collapsed="false">
      <c r="A8" s="20" t="s">
        <v>274</v>
      </c>
      <c r="B8" s="21" t="n">
        <f aca="false">SUM(Data_Tasks!$Z$2:$Z$221)</f>
        <v>122</v>
      </c>
      <c r="C8" s="22" t="n">
        <f aca="false">IFERROR(B8/B7,0)</f>
        <v>0.734939759036145</v>
      </c>
      <c r="D8" s="22" t="n">
        <f aca="false">IFERROR(B8/$B$6,0)</f>
        <v>0.554545454545455</v>
      </c>
      <c r="F8" s="20" t="s">
        <v>1033</v>
      </c>
      <c r="G8" s="20" t="s">
        <v>1034</v>
      </c>
      <c r="H8" s="22" t="n">
        <f aca="false">C9</f>
        <v>0.942622950819672</v>
      </c>
    </row>
    <row r="9" customFormat="false" ht="15" hidden="false" customHeight="false" outlineLevel="0" collapsed="false">
      <c r="A9" s="20" t="s">
        <v>1157</v>
      </c>
      <c r="B9" s="21" t="n">
        <f aca="false">SUM(Data_Tasks!$AA$2:$AA$221)</f>
        <v>115</v>
      </c>
      <c r="C9" s="22" t="n">
        <f aca="false">IFERROR(B9/B8,0)</f>
        <v>0.942622950819672</v>
      </c>
      <c r="D9" s="22" t="n">
        <f aca="false">IFERROR(B9/$B$6,0)</f>
        <v>0.522727272727273</v>
      </c>
      <c r="F9" s="20" t="s">
        <v>1039</v>
      </c>
      <c r="G9" s="20" t="s">
        <v>1040</v>
      </c>
      <c r="H9" s="22" t="n">
        <f aca="false">C10</f>
        <v>0.965217391304348</v>
      </c>
    </row>
    <row r="10" customFormat="false" ht="15" hidden="false" customHeight="false" outlineLevel="0" collapsed="false">
      <c r="A10" s="20" t="s">
        <v>1158</v>
      </c>
      <c r="B10" s="21" t="n">
        <f aca="false">SUM(Data_Tasks!$AB$2:$AB$221)</f>
        <v>111</v>
      </c>
      <c r="C10" s="22" t="n">
        <f aca="false">IFERROR(B10/B9,0)</f>
        <v>0.965217391304348</v>
      </c>
      <c r="D10" s="22" t="n">
        <f aca="false">IFERROR(B10/$B$6,0)</f>
        <v>0.504545454545455</v>
      </c>
      <c r="F10" s="20" t="s">
        <v>1045</v>
      </c>
      <c r="G10" s="20" t="s">
        <v>1046</v>
      </c>
      <c r="H10" s="22" t="n">
        <f aca="false">D10</f>
        <v>0.504545454545455</v>
      </c>
    </row>
    <row r="11" customFormat="false" ht="15" hidden="false" customHeight="false" outlineLevel="0" collapsed="false">
      <c r="F11" s="20" t="s">
        <v>1074</v>
      </c>
      <c r="G11" s="20" t="s">
        <v>1159</v>
      </c>
      <c r="H11" s="22" t="n">
        <f aca="false">C36</f>
        <v>0.313253012048193</v>
      </c>
    </row>
    <row r="12" customFormat="false" ht="15" hidden="false" customHeight="false" outlineLevel="0" collapsed="false">
      <c r="F12" s="20" t="s">
        <v>1080</v>
      </c>
      <c r="G12" s="20" t="s">
        <v>1081</v>
      </c>
      <c r="H12" s="22" t="n">
        <f aca="false">IFERROR(F36/B36,0)</f>
        <v>0.25</v>
      </c>
    </row>
    <row r="13" customFormat="false" ht="15" hidden="false" customHeight="false" outlineLevel="0" collapsed="false">
      <c r="A13" s="19" t="s">
        <v>1160</v>
      </c>
      <c r="F13" s="20" t="s">
        <v>1086</v>
      </c>
      <c r="G13" s="20" t="s">
        <v>1087</v>
      </c>
      <c r="H13" s="22" t="n">
        <f aca="false">IFERROR(G36/B36,0)</f>
        <v>0.0961538461538462</v>
      </c>
    </row>
    <row r="14" customFormat="false" ht="15" hidden="false" customHeight="false" outlineLevel="0" collapsed="false">
      <c r="A14" s="10" t="s">
        <v>1161</v>
      </c>
      <c r="B14" s="10" t="s">
        <v>1153</v>
      </c>
      <c r="C14" s="10" t="s">
        <v>1162</v>
      </c>
      <c r="F14" s="20" t="s">
        <v>1092</v>
      </c>
      <c r="G14" s="20" t="s">
        <v>1163</v>
      </c>
      <c r="H14" s="22" t="n">
        <f aca="false">B25</f>
        <v>0.779014308426073</v>
      </c>
    </row>
    <row r="15" customFormat="false" ht="15" hidden="false" customHeight="false" outlineLevel="0" collapsed="false">
      <c r="A15" s="20" t="s">
        <v>1164</v>
      </c>
      <c r="B15" s="21" t="n">
        <f aca="false">SUMIFS(Data_Tasks!$M$2:$M$221,Data_Tasks!$K$2:$K$221,"completed")</f>
        <v>3145</v>
      </c>
      <c r="C15" s="20" t="s">
        <v>1165</v>
      </c>
      <c r="F15" s="20" t="s">
        <v>1098</v>
      </c>
      <c r="G15" s="20" t="s">
        <v>1099</v>
      </c>
      <c r="H15" s="21" t="n">
        <f aca="false">-B17</f>
        <v>250</v>
      </c>
    </row>
    <row r="16" customFormat="false" ht="15" hidden="false" customHeight="false" outlineLevel="0" collapsed="false">
      <c r="A16" s="20" t="s">
        <v>1166</v>
      </c>
      <c r="B16" s="21" t="n">
        <f aca="false">-SUMIFS(Data_Tasks!$M$2:$M$221,Data_Tasks!$K$2:$K$221,"completed",Data_Tasks!$L$2:$L$221,"rejected")</f>
        <v>-180</v>
      </c>
      <c r="C16" s="20" t="s">
        <v>1167</v>
      </c>
      <c r="F16" s="20" t="s">
        <v>1105</v>
      </c>
      <c r="G16" s="20" t="s">
        <v>1106</v>
      </c>
      <c r="H16" s="22" t="n">
        <f aca="false">IFERROR(COUNTIFS(Data_Tasks!$T$2:$T$221,"&gt;0")/B10,0)</f>
        <v>0.00900900900900901</v>
      </c>
    </row>
    <row r="17" customFormat="false" ht="15" hidden="false" customHeight="false" outlineLevel="0" collapsed="false">
      <c r="A17" s="20" t="s">
        <v>1168</v>
      </c>
      <c r="B17" s="21" t="n">
        <f aca="false">-SUMIFS(Data_Tasks!$M$2:$M$221,Data_Tasks!$K$2:$K$221,"completed",Data_Tasks!$L$2:$L$221,"pending")</f>
        <v>-250</v>
      </c>
      <c r="C17" s="20" t="s">
        <v>1169</v>
      </c>
      <c r="F17" s="20" t="s">
        <v>1110</v>
      </c>
      <c r="G17" s="20" t="s">
        <v>1111</v>
      </c>
      <c r="H17" s="22" t="n">
        <f aca="false">IFERROR(COUNTIFS(Data_Tasks!$U$2:$U$221,"&gt;0")/B10,0)</f>
        <v>0.045045045045045</v>
      </c>
    </row>
    <row r="18" customFormat="false" ht="15" hidden="false" customHeight="false" outlineLevel="0" collapsed="false">
      <c r="A18" s="20" t="s">
        <v>1170</v>
      </c>
      <c r="B18" s="21" t="n">
        <f aca="false">-SUMIFS(Data_Tasks!$M$2:$M$221,Data_Tasks!$O$2:$O$221,"reward_credit_failed")</f>
        <v>-210</v>
      </c>
      <c r="C18" s="20" t="s">
        <v>1171</v>
      </c>
      <c r="F18" s="20" t="s">
        <v>1115</v>
      </c>
      <c r="G18" s="20" t="s">
        <v>1116</v>
      </c>
      <c r="H18" s="23" t="n">
        <f aca="false">IFERROR(MEDIAN(Data_Tasks!$Q$2:$Q$221),0)</f>
        <v>2.75076416611667</v>
      </c>
    </row>
    <row r="19" customFormat="false" ht="15" hidden="false" customHeight="false" outlineLevel="0" collapsed="false">
      <c r="A19" s="24" t="s">
        <v>1172</v>
      </c>
      <c r="B19" s="25" t="n">
        <f aca="false">SUM(B15:B18)</f>
        <v>2505</v>
      </c>
      <c r="C19" s="26"/>
      <c r="F19" s="20" t="s">
        <v>1120</v>
      </c>
      <c r="G19" s="20" t="s">
        <v>1121</v>
      </c>
      <c r="H19" s="23" t="n">
        <f aca="false">IFERROR(MEDIAN(Data_Tasks!$X$2:$X$221),0)</f>
        <v>0.1102154650725</v>
      </c>
    </row>
    <row r="20" customFormat="false" ht="15" hidden="false" customHeight="false" outlineLevel="0" collapsed="false">
      <c r="A20" s="20" t="s">
        <v>1173</v>
      </c>
      <c r="B20" s="21" t="n">
        <f aca="false">SUMIFS(Data_RewardEvents!$F$2:$F$160,Data_RewardEvents!$D$2:$D$160,"reward_credited")</f>
        <v>2505</v>
      </c>
      <c r="C20" s="20" t="s">
        <v>1174</v>
      </c>
      <c r="F20" s="20" t="s">
        <v>1124</v>
      </c>
      <c r="G20" s="20" t="s">
        <v>1175</v>
      </c>
      <c r="H20" s="21" t="n">
        <f aca="false">B21</f>
        <v>0</v>
      </c>
    </row>
    <row r="21" customFormat="false" ht="15" hidden="false" customHeight="false" outlineLevel="0" collapsed="false">
      <c r="A21" s="20" t="s">
        <v>1176</v>
      </c>
      <c r="B21" s="21" t="n">
        <f aca="false">B20-B19</f>
        <v>0</v>
      </c>
      <c r="C21" s="20" t="s">
        <v>1177</v>
      </c>
      <c r="F21" s="20" t="s">
        <v>1129</v>
      </c>
      <c r="G21" s="20" t="s">
        <v>1130</v>
      </c>
      <c r="H21" s="21" t="n">
        <f aca="false">B35</f>
        <v>4</v>
      </c>
    </row>
    <row r="22" customFormat="false" ht="15" hidden="false" customHeight="false" outlineLevel="0" collapsed="false">
      <c r="A22" s="20" t="s">
        <v>1178</v>
      </c>
      <c r="B22" s="21" t="n">
        <f aca="false">SUMIFS(Data_RewardEvents!$F$2:$F$160,Data_RewardEvents!$D$2:$D$160,"reward_reversed")</f>
        <v>-30</v>
      </c>
      <c r="C22" s="20" t="s">
        <v>1179</v>
      </c>
      <c r="F22" s="9" t="s">
        <v>1180</v>
      </c>
    </row>
    <row r="23" customFormat="false" ht="15" hidden="false" customHeight="false" outlineLevel="0" collapsed="false">
      <c r="A23" s="20" t="s">
        <v>1181</v>
      </c>
      <c r="B23" s="21" t="n">
        <f aca="false">SUMIFS(Data_RewardEvents!$F$2:$F$160,Data_RewardEvents!$D$2:$D$160,"reward_corrected")</f>
        <v>-25</v>
      </c>
      <c r="C23" s="20" t="s">
        <v>1182</v>
      </c>
    </row>
    <row r="24" customFormat="false" ht="15" hidden="false" customHeight="false" outlineLevel="0" collapsed="false">
      <c r="A24" s="24" t="s">
        <v>1183</v>
      </c>
      <c r="B24" s="25" t="n">
        <f aca="false">B20+B22+B23</f>
        <v>2450</v>
      </c>
      <c r="C24" s="26"/>
    </row>
    <row r="25" customFormat="false" ht="15" hidden="false" customHeight="false" outlineLevel="0" collapsed="false">
      <c r="A25" s="20" t="s">
        <v>1184</v>
      </c>
      <c r="B25" s="22" t="n">
        <f aca="false">IFERROR(B24/B15,0)</f>
        <v>0.779014308426073</v>
      </c>
      <c r="C25" s="20" t="s">
        <v>1092</v>
      </c>
    </row>
    <row r="28" customFormat="false" ht="15" hidden="false" customHeight="false" outlineLevel="0" collapsed="false">
      <c r="A28" s="19" t="s">
        <v>1185</v>
      </c>
    </row>
    <row r="29" customFormat="false" ht="19.5" hidden="false" customHeight="true" outlineLevel="0" collapsed="false">
      <c r="A29" s="10" t="s">
        <v>163</v>
      </c>
      <c r="B29" s="10" t="s">
        <v>1186</v>
      </c>
      <c r="C29" s="10" t="s">
        <v>1187</v>
      </c>
      <c r="D29" s="10" t="s">
        <v>207</v>
      </c>
      <c r="E29" s="10" t="s">
        <v>98</v>
      </c>
      <c r="F29" s="10" t="s">
        <v>158</v>
      </c>
      <c r="G29" s="10" t="s">
        <v>223</v>
      </c>
    </row>
    <row r="30" customFormat="false" ht="15" hidden="false" customHeight="false" outlineLevel="0" collapsed="false">
      <c r="A30" s="20" t="s">
        <v>185</v>
      </c>
      <c r="B30" s="21" t="n">
        <f aca="false">COUNTIFS(Data_Tasks!$O$2:$O$221,A30)</f>
        <v>8</v>
      </c>
      <c r="C30" s="22" t="n">
        <f aca="false">IFERROR(B30/$B$7,0)</f>
        <v>0.0481927710843374</v>
      </c>
      <c r="D30" s="21" t="n">
        <f aca="false">COUNTIFS(Data_Tasks!$O$2:$O$221,$A30,Data_Tasks!$P$2:$P$221,"user")</f>
        <v>7</v>
      </c>
      <c r="E30" s="21" t="n">
        <f aca="false">COUNTIFS(Data_Tasks!$O$2:$O$221,$A30,Data_Tasks!$P$2:$P$221,"VELOOP")</f>
        <v>0</v>
      </c>
      <c r="F30" s="21" t="n">
        <f aca="false">COUNTIFS(Data_Tasks!$O$2:$O$221,$A30,Data_Tasks!$P$2:$P$221,"third_party")</f>
        <v>1</v>
      </c>
      <c r="G30" s="21" t="n">
        <f aca="false">COUNTIFS(Data_Tasks!$O$2:$O$221,$A30,Data_Tasks!$P$2:$P$221,"unknown")</f>
        <v>0</v>
      </c>
    </row>
    <row r="31" customFormat="false" ht="15" hidden="false" customHeight="false" outlineLevel="0" collapsed="false">
      <c r="A31" s="20" t="s">
        <v>167</v>
      </c>
      <c r="B31" s="21" t="n">
        <f aca="false">COUNTIFS(Data_Tasks!$O$2:$O$221,A31)</f>
        <v>11</v>
      </c>
      <c r="C31" s="22" t="n">
        <f aca="false">IFERROR(B31/$B$7,0)</f>
        <v>0.0662650602409639</v>
      </c>
      <c r="D31" s="21" t="n">
        <f aca="false">COUNTIFS(Data_Tasks!$O$2:$O$221,$A31,Data_Tasks!$P$2:$P$221,"user")</f>
        <v>0</v>
      </c>
      <c r="E31" s="21" t="n">
        <f aca="false">COUNTIFS(Data_Tasks!$O$2:$O$221,$A31,Data_Tasks!$P$2:$P$221,"VELOOP")</f>
        <v>0</v>
      </c>
      <c r="F31" s="21" t="n">
        <f aca="false">COUNTIFS(Data_Tasks!$O$2:$O$221,$A31,Data_Tasks!$P$2:$P$221,"third_party")</f>
        <v>6</v>
      </c>
      <c r="G31" s="21" t="n">
        <f aca="false">COUNTIFS(Data_Tasks!$O$2:$O$221,$A31,Data_Tasks!$P$2:$P$221,"unknown")</f>
        <v>5</v>
      </c>
    </row>
    <row r="32" customFormat="false" ht="15" hidden="false" customHeight="false" outlineLevel="0" collapsed="false">
      <c r="A32" s="20" t="s">
        <v>198</v>
      </c>
      <c r="B32" s="21" t="n">
        <f aca="false">COUNTIFS(Data_Tasks!$O$2:$O$221,A32)</f>
        <v>4</v>
      </c>
      <c r="C32" s="22" t="n">
        <f aca="false">IFERROR(B32/$B$7,0)</f>
        <v>0.0240963855421687</v>
      </c>
      <c r="D32" s="21" t="n">
        <f aca="false">COUNTIFS(Data_Tasks!$O$2:$O$221,$A32,Data_Tasks!$P$2:$P$221,"user")</f>
        <v>0</v>
      </c>
      <c r="E32" s="21" t="n">
        <f aca="false">COUNTIFS(Data_Tasks!$O$2:$O$221,$A32,Data_Tasks!$P$2:$P$221,"VELOOP")</f>
        <v>4</v>
      </c>
      <c r="F32" s="21" t="n">
        <f aca="false">COUNTIFS(Data_Tasks!$O$2:$O$221,$A32,Data_Tasks!$P$2:$P$221,"third_party")</f>
        <v>0</v>
      </c>
      <c r="G32" s="21" t="n">
        <f aca="false">COUNTIFS(Data_Tasks!$O$2:$O$221,$A32,Data_Tasks!$P$2:$P$221,"unknown")</f>
        <v>0</v>
      </c>
    </row>
    <row r="33" customFormat="false" ht="15" hidden="false" customHeight="false" outlineLevel="0" collapsed="false">
      <c r="A33" s="20" t="s">
        <v>204</v>
      </c>
      <c r="B33" s="21" t="n">
        <f aca="false">COUNTIFS(Data_Tasks!$O$2:$O$221,A33)</f>
        <v>19</v>
      </c>
      <c r="C33" s="22" t="n">
        <f aca="false">IFERROR(B33/$B$7,0)</f>
        <v>0.114457831325301</v>
      </c>
      <c r="D33" s="21" t="n">
        <f aca="false">COUNTIFS(Data_Tasks!$O$2:$O$221,$A33,Data_Tasks!$P$2:$P$221,"user")</f>
        <v>19</v>
      </c>
      <c r="E33" s="21" t="n">
        <f aca="false">COUNTIFS(Data_Tasks!$O$2:$O$221,$A33,Data_Tasks!$P$2:$P$221,"VELOOP")</f>
        <v>0</v>
      </c>
      <c r="F33" s="21" t="n">
        <f aca="false">COUNTIFS(Data_Tasks!$O$2:$O$221,$A33,Data_Tasks!$P$2:$P$221,"third_party")</f>
        <v>0</v>
      </c>
      <c r="G33" s="21" t="n">
        <f aca="false">COUNTIFS(Data_Tasks!$O$2:$O$221,$A33,Data_Tasks!$P$2:$P$221,"unknown")</f>
        <v>0</v>
      </c>
    </row>
    <row r="34" customFormat="false" ht="15" hidden="false" customHeight="false" outlineLevel="0" collapsed="false">
      <c r="A34" s="20" t="s">
        <v>210</v>
      </c>
      <c r="B34" s="21" t="n">
        <f aca="false">COUNTIFS(Data_Tasks!$O$2:$O$221,A34)</f>
        <v>6</v>
      </c>
      <c r="C34" s="22" t="n">
        <f aca="false">IFERROR(B34/$B$7,0)</f>
        <v>0.036144578313253</v>
      </c>
      <c r="D34" s="21" t="n">
        <f aca="false">COUNTIFS(Data_Tasks!$O$2:$O$221,$A34,Data_Tasks!$P$2:$P$221,"user")</f>
        <v>0</v>
      </c>
      <c r="E34" s="21" t="n">
        <f aca="false">COUNTIFS(Data_Tasks!$O$2:$O$221,$A34,Data_Tasks!$P$2:$P$221,"VELOOP")</f>
        <v>0</v>
      </c>
      <c r="F34" s="21" t="n">
        <f aca="false">COUNTIFS(Data_Tasks!$O$2:$O$221,$A34,Data_Tasks!$P$2:$P$221,"third_party")</f>
        <v>6</v>
      </c>
      <c r="G34" s="21" t="n">
        <f aca="false">COUNTIFS(Data_Tasks!$O$2:$O$221,$A34,Data_Tasks!$P$2:$P$221,"unknown")</f>
        <v>0</v>
      </c>
    </row>
    <row r="35" customFormat="false" ht="15" hidden="false" customHeight="false" outlineLevel="0" collapsed="false">
      <c r="A35" s="20" t="s">
        <v>216</v>
      </c>
      <c r="B35" s="21" t="n">
        <f aca="false">COUNTIFS(Data_Tasks!$O$2:$O$221,A35)</f>
        <v>4</v>
      </c>
      <c r="C35" s="22" t="n">
        <f aca="false">IFERROR(B35/$B$7,0)</f>
        <v>0.0240963855421687</v>
      </c>
      <c r="D35" s="21" t="n">
        <f aca="false">COUNTIFS(Data_Tasks!$O$2:$O$221,$A35,Data_Tasks!$P$2:$P$221,"user")</f>
        <v>0</v>
      </c>
      <c r="E35" s="21" t="n">
        <f aca="false">COUNTIFS(Data_Tasks!$O$2:$O$221,$A35,Data_Tasks!$P$2:$P$221,"VELOOP")</f>
        <v>4</v>
      </c>
      <c r="F35" s="21" t="n">
        <f aca="false">COUNTIFS(Data_Tasks!$O$2:$O$221,$A35,Data_Tasks!$P$2:$P$221,"third_party")</f>
        <v>0</v>
      </c>
      <c r="G35" s="21" t="n">
        <f aca="false">COUNTIFS(Data_Tasks!$O$2:$O$221,$A35,Data_Tasks!$P$2:$P$221,"unknown")</f>
        <v>0</v>
      </c>
    </row>
    <row r="36" customFormat="false" ht="15" hidden="false" customHeight="false" outlineLevel="0" collapsed="false">
      <c r="A36" s="24" t="s">
        <v>1188</v>
      </c>
      <c r="B36" s="25" t="n">
        <f aca="false">SUM(B30:B35)</f>
        <v>52</v>
      </c>
      <c r="C36" s="27" t="n">
        <f aca="false">IFERROR(B36/$B$7,0)</f>
        <v>0.313253012048193</v>
      </c>
      <c r="D36" s="25" t="n">
        <f aca="false">SUM(D30:D35)</f>
        <v>26</v>
      </c>
      <c r="E36" s="25" t="n">
        <f aca="false">SUM(E30:E35)</f>
        <v>8</v>
      </c>
      <c r="F36" s="25" t="n">
        <f aca="false">SUM(F30:F35)</f>
        <v>13</v>
      </c>
      <c r="G36" s="25" t="n">
        <f aca="false">SUM(G30:G35)</f>
        <v>5</v>
      </c>
    </row>
    <row r="39" customFormat="false" ht="15" hidden="false" customHeight="false" outlineLevel="0" collapsed="false">
      <c r="A39" s="19" t="s">
        <v>1189</v>
      </c>
    </row>
    <row r="40" customFormat="false" ht="42" hidden="false" customHeight="true" outlineLevel="0" collapsed="false">
      <c r="A40" s="10" t="s">
        <v>1190</v>
      </c>
      <c r="B40" s="10" t="s">
        <v>1154</v>
      </c>
      <c r="C40" s="10" t="s">
        <v>1156</v>
      </c>
      <c r="D40" s="10" t="s">
        <v>1191</v>
      </c>
      <c r="E40" s="10" t="s">
        <v>274</v>
      </c>
      <c r="F40" s="10" t="s">
        <v>1192</v>
      </c>
      <c r="G40" s="10" t="s">
        <v>1157</v>
      </c>
      <c r="H40" s="10" t="s">
        <v>1193</v>
      </c>
      <c r="I40" s="10" t="s">
        <v>1194</v>
      </c>
      <c r="J40" s="10" t="s">
        <v>1195</v>
      </c>
      <c r="K40" s="10" t="s">
        <v>1196</v>
      </c>
      <c r="L40" s="10" t="s">
        <v>1197</v>
      </c>
      <c r="M40" s="10" t="s">
        <v>1198</v>
      </c>
      <c r="N40" s="10" t="s">
        <v>1199</v>
      </c>
    </row>
    <row r="41" customFormat="false" ht="15" hidden="false" customHeight="false" outlineLevel="0" collapsed="false">
      <c r="A41" s="20" t="s">
        <v>302</v>
      </c>
      <c r="B41" s="21" t="n">
        <f aca="false">COUNTIFS(Data_Tasks!$C$2:$C$221,$A41)</f>
        <v>61</v>
      </c>
      <c r="C41" s="21" t="n">
        <f aca="false">COUNTIFS(Data_Tasks!$C$2:$C$221,$A41,Data_Tasks!$Y$2:$Y$221,1)</f>
        <v>50</v>
      </c>
      <c r="D41" s="22" t="n">
        <f aca="false">IFERROR(C41/B41,0)</f>
        <v>0.819672131147541</v>
      </c>
      <c r="E41" s="21" t="n">
        <f aca="false">COUNTIFS(Data_Tasks!$C$2:$C$221,$A41,Data_Tasks!$Z$2:$Z$221,1)</f>
        <v>41</v>
      </c>
      <c r="F41" s="22" t="n">
        <f aca="false">IFERROR(E41/C41,0)</f>
        <v>0.82</v>
      </c>
      <c r="G41" s="21" t="n">
        <f aca="false">COUNTIFS(Data_Tasks!$C$2:$C$221,$A41,Data_Tasks!$AA$2:$AA$221,1)</f>
        <v>41</v>
      </c>
      <c r="H41" s="22" t="n">
        <f aca="false">IFERROR(G41/E41,0)</f>
        <v>1</v>
      </c>
      <c r="I41" s="21" t="n">
        <f aca="false">COUNTIFS(Data_Tasks!$C$2:$C$221,$A41,Data_Tasks!$AB$2:$AB$221,1)</f>
        <v>41</v>
      </c>
      <c r="J41" s="22" t="n">
        <f aca="false">IFERROR(I41/G41,0)</f>
        <v>1</v>
      </c>
      <c r="K41" s="22" t="n">
        <f aca="false">IFERROR(COUNTIFS(Data_Tasks!$C$2:$C$221,$A41,Data_Tasks!$O$2:$O$221,"&lt;&gt;")/C41,0)</f>
        <v>0.18</v>
      </c>
      <c r="L41" s="21" t="n">
        <f aca="false">SUMIFS(Data_Tasks!$M$2:$M$221,Data_Tasks!$C$2:$C$221,$A41,Data_Tasks!$K$2:$K$221,"completed")</f>
        <v>205</v>
      </c>
      <c r="M41" s="21" t="n">
        <f aca="false">SUMIFS(Data_Tasks!$V$2:$V$221,Data_Tasks!$C$2:$C$221,$A41)</f>
        <v>202</v>
      </c>
      <c r="N41" s="22" t="n">
        <f aca="false">IFERROR(M41/L41,0)</f>
        <v>0.985365853658537</v>
      </c>
    </row>
    <row r="42" customFormat="false" ht="15" hidden="false" customHeight="false" outlineLevel="0" collapsed="false">
      <c r="A42" s="20" t="s">
        <v>309</v>
      </c>
      <c r="B42" s="21" t="n">
        <f aca="false">COUNTIFS(Data_Tasks!$C$2:$C$221,$A42)</f>
        <v>48</v>
      </c>
      <c r="C42" s="21" t="n">
        <f aca="false">COUNTIFS(Data_Tasks!$C$2:$C$221,$A42,Data_Tasks!$Y$2:$Y$221,1)</f>
        <v>37</v>
      </c>
      <c r="D42" s="22" t="n">
        <f aca="false">IFERROR(C42/B42,0)</f>
        <v>0.770833333333333</v>
      </c>
      <c r="E42" s="21" t="n">
        <f aca="false">COUNTIFS(Data_Tasks!$C$2:$C$221,$A42,Data_Tasks!$Z$2:$Z$221,1)</f>
        <v>22</v>
      </c>
      <c r="F42" s="22" t="n">
        <f aca="false">IFERROR(E42/C42,0)</f>
        <v>0.594594594594595</v>
      </c>
      <c r="G42" s="21" t="n">
        <f aca="false">COUNTIFS(Data_Tasks!$C$2:$C$221,$A42,Data_Tasks!$AA$2:$AA$221,1)</f>
        <v>18</v>
      </c>
      <c r="H42" s="22" t="n">
        <f aca="false">IFERROR(G42/E42,0)</f>
        <v>0.818181818181818</v>
      </c>
      <c r="I42" s="21" t="n">
        <f aca="false">COUNTIFS(Data_Tasks!$C$2:$C$221,$A42,Data_Tasks!$AB$2:$AB$221,1)</f>
        <v>16</v>
      </c>
      <c r="J42" s="22" t="n">
        <f aca="false">IFERROR(I42/G42,0)</f>
        <v>0.888888888888889</v>
      </c>
      <c r="K42" s="22" t="n">
        <f aca="false">IFERROR(COUNTIFS(Data_Tasks!$C$2:$C$221,$A42,Data_Tasks!$O$2:$O$221,"&lt;&gt;")/C42,0)</f>
        <v>0.540540540540541</v>
      </c>
      <c r="L42" s="21" t="n">
        <f aca="false">SUMIFS(Data_Tasks!$M$2:$M$221,Data_Tasks!$C$2:$C$221,$A42,Data_Tasks!$K$2:$K$221,"completed")</f>
        <v>1100</v>
      </c>
      <c r="M42" s="21" t="n">
        <f aca="false">SUMIFS(Data_Tasks!$V$2:$V$221,Data_Tasks!$C$2:$C$221,$A42)</f>
        <v>800</v>
      </c>
      <c r="N42" s="22" t="n">
        <f aca="false">IFERROR(M42/L42,0)</f>
        <v>0.727272727272727</v>
      </c>
    </row>
    <row r="43" customFormat="false" ht="15" hidden="false" customHeight="false" outlineLevel="0" collapsed="false">
      <c r="A43" s="20" t="s">
        <v>316</v>
      </c>
      <c r="B43" s="21" t="n">
        <f aca="false">COUNTIFS(Data_Tasks!$C$2:$C$221,$A43)</f>
        <v>35</v>
      </c>
      <c r="C43" s="21" t="n">
        <f aca="false">COUNTIFS(Data_Tasks!$C$2:$C$221,$A43,Data_Tasks!$Y$2:$Y$221,1)</f>
        <v>17</v>
      </c>
      <c r="D43" s="22" t="n">
        <f aca="false">IFERROR(C43/B43,0)</f>
        <v>0.485714285714286</v>
      </c>
      <c r="E43" s="21" t="n">
        <f aca="false">COUNTIFS(Data_Tasks!$C$2:$C$221,$A43,Data_Tasks!$Z$2:$Z$221,1)</f>
        <v>11</v>
      </c>
      <c r="F43" s="22" t="n">
        <f aca="false">IFERROR(E43/C43,0)</f>
        <v>0.647058823529412</v>
      </c>
      <c r="G43" s="21" t="n">
        <f aca="false">COUNTIFS(Data_Tasks!$C$2:$C$221,$A43,Data_Tasks!$AA$2:$AA$221,1)</f>
        <v>9</v>
      </c>
      <c r="H43" s="22" t="n">
        <f aca="false">IFERROR(G43/E43,0)</f>
        <v>0.818181818181818</v>
      </c>
      <c r="I43" s="21" t="n">
        <f aca="false">COUNTIFS(Data_Tasks!$C$2:$C$221,$A43,Data_Tasks!$AB$2:$AB$221,1)</f>
        <v>8</v>
      </c>
      <c r="J43" s="22" t="n">
        <f aca="false">IFERROR(I43/G43,0)</f>
        <v>0.888888888888889</v>
      </c>
      <c r="K43" s="22" t="n">
        <f aca="false">IFERROR(COUNTIFS(Data_Tasks!$C$2:$C$221,$A43,Data_Tasks!$O$2:$O$221,"&lt;&gt;")/C43,0)</f>
        <v>0.411764705882353</v>
      </c>
      <c r="L43" s="21" t="n">
        <f aca="false">SUMIFS(Data_Tasks!$M$2:$M$221,Data_Tasks!$C$2:$C$221,$A43,Data_Tasks!$K$2:$K$221,"completed")</f>
        <v>1100</v>
      </c>
      <c r="M43" s="21" t="n">
        <f aca="false">SUMIFS(Data_Tasks!$V$2:$V$221,Data_Tasks!$C$2:$C$221,$A43)</f>
        <v>780</v>
      </c>
      <c r="N43" s="22" t="n">
        <f aca="false">IFERROR(M43/L43,0)</f>
        <v>0.709090909090909</v>
      </c>
    </row>
    <row r="44" customFormat="false" ht="15" hidden="false" customHeight="false" outlineLevel="0" collapsed="false">
      <c r="A44" s="20" t="s">
        <v>323</v>
      </c>
      <c r="B44" s="21" t="n">
        <f aca="false">COUNTIFS(Data_Tasks!$C$2:$C$221,$A44)</f>
        <v>32</v>
      </c>
      <c r="C44" s="21" t="n">
        <f aca="false">COUNTIFS(Data_Tasks!$C$2:$C$221,$A44,Data_Tasks!$Y$2:$Y$221,1)</f>
        <v>23</v>
      </c>
      <c r="D44" s="22" t="n">
        <f aca="false">IFERROR(C44/B44,0)</f>
        <v>0.71875</v>
      </c>
      <c r="E44" s="21" t="n">
        <f aca="false">COUNTIFS(Data_Tasks!$C$2:$C$221,$A44,Data_Tasks!$Z$2:$Z$221,1)</f>
        <v>13</v>
      </c>
      <c r="F44" s="22" t="n">
        <f aca="false">IFERROR(E44/C44,0)</f>
        <v>0.565217391304348</v>
      </c>
      <c r="G44" s="21" t="n">
        <f aca="false">COUNTIFS(Data_Tasks!$C$2:$C$221,$A44,Data_Tasks!$AA$2:$AA$221,1)</f>
        <v>12</v>
      </c>
      <c r="H44" s="22" t="n">
        <f aca="false">IFERROR(G44/E44,0)</f>
        <v>0.923076923076923</v>
      </c>
      <c r="I44" s="21" t="n">
        <f aca="false">COUNTIFS(Data_Tasks!$C$2:$C$221,$A44,Data_Tasks!$AB$2:$AB$221,1)</f>
        <v>12</v>
      </c>
      <c r="J44" s="22" t="n">
        <f aca="false">IFERROR(I44/G44,0)</f>
        <v>1</v>
      </c>
      <c r="K44" s="22" t="n">
        <f aca="false">IFERROR(COUNTIFS(Data_Tasks!$C$2:$C$221,$A44,Data_Tasks!$O$2:$O$221,"&lt;&gt;")/C44,0)</f>
        <v>0.478260869565217</v>
      </c>
      <c r="L44" s="21" t="n">
        <f aca="false">SUMIFS(Data_Tasks!$M$2:$M$221,Data_Tasks!$C$2:$C$221,$A44,Data_Tasks!$K$2:$K$221,"completed")</f>
        <v>390</v>
      </c>
      <c r="M44" s="21" t="n">
        <f aca="false">SUMIFS(Data_Tasks!$V$2:$V$221,Data_Tasks!$C$2:$C$221,$A44)</f>
        <v>330</v>
      </c>
      <c r="N44" s="22" t="n">
        <f aca="false">IFERROR(M44/L44,0)</f>
        <v>0.846153846153846</v>
      </c>
    </row>
    <row r="45" customFormat="false" ht="15" hidden="false" customHeight="false" outlineLevel="0" collapsed="false">
      <c r="A45" s="20" t="s">
        <v>404</v>
      </c>
      <c r="B45" s="21" t="n">
        <f aca="false">COUNTIFS(Data_Tasks!$C$2:$C$221,$A45)</f>
        <v>44</v>
      </c>
      <c r="C45" s="21" t="n">
        <f aca="false">COUNTIFS(Data_Tasks!$C$2:$C$221,$A45,Data_Tasks!$Y$2:$Y$221,1)</f>
        <v>39</v>
      </c>
      <c r="D45" s="22" t="n">
        <f aca="false">IFERROR(C45/B45,0)</f>
        <v>0.886363636363636</v>
      </c>
      <c r="E45" s="21" t="n">
        <f aca="false">COUNTIFS(Data_Tasks!$C$2:$C$221,$A45,Data_Tasks!$Z$2:$Z$221,1)</f>
        <v>35</v>
      </c>
      <c r="F45" s="22" t="n">
        <f aca="false">IFERROR(E45/C45,0)</f>
        <v>0.897435897435898</v>
      </c>
      <c r="G45" s="21" t="n">
        <f aca="false">COUNTIFS(Data_Tasks!$C$2:$C$221,$A45,Data_Tasks!$AA$2:$AA$221,1)</f>
        <v>35</v>
      </c>
      <c r="H45" s="22" t="n">
        <f aca="false">IFERROR(G45/E45,0)</f>
        <v>1</v>
      </c>
      <c r="I45" s="21" t="n">
        <f aca="false">COUNTIFS(Data_Tasks!$C$2:$C$221,$A45,Data_Tasks!$AB$2:$AB$221,1)</f>
        <v>34</v>
      </c>
      <c r="J45" s="22" t="n">
        <f aca="false">IFERROR(I45/G45,0)</f>
        <v>0.971428571428571</v>
      </c>
      <c r="K45" s="22" t="n">
        <f aca="false">IFERROR(COUNTIFS(Data_Tasks!$C$2:$C$221,$A45,Data_Tasks!$O$2:$O$221,"&lt;&gt;")/C45,0)</f>
        <v>0.128205128205128</v>
      </c>
      <c r="L45" s="21" t="n">
        <f aca="false">SUMIFS(Data_Tasks!$M$2:$M$221,Data_Tasks!$C$2:$C$221,$A45,Data_Tasks!$K$2:$K$221,"completed")</f>
        <v>350</v>
      </c>
      <c r="M45" s="21" t="n">
        <f aca="false">SUMIFS(Data_Tasks!$V$2:$V$221,Data_Tasks!$C$2:$C$221,$A45)</f>
        <v>338</v>
      </c>
      <c r="N45" s="22" t="n">
        <f aca="false">IFERROR(M45/L45,0)</f>
        <v>0.965714285714286</v>
      </c>
    </row>
    <row r="46" customFormat="false" ht="15" hidden="false" customHeight="false" outlineLevel="0" collapsed="false">
      <c r="A46" s="24" t="s">
        <v>1188</v>
      </c>
      <c r="B46" s="25" t="n">
        <f aca="false">SUM(B41:B45)</f>
        <v>220</v>
      </c>
      <c r="C46" s="25" t="n">
        <f aca="false">SUM(C41:C45)</f>
        <v>166</v>
      </c>
      <c r="D46" s="27" t="n">
        <f aca="false">IFERROR(C46/B46,0)</f>
        <v>0.754545454545455</v>
      </c>
      <c r="E46" s="25" t="n">
        <f aca="false">SUM(E41:E45)</f>
        <v>122</v>
      </c>
      <c r="F46" s="27" t="n">
        <f aca="false">IFERROR(E46/C46,0)</f>
        <v>0.734939759036145</v>
      </c>
      <c r="G46" s="25" t="n">
        <f aca="false">SUM(G41:G45)</f>
        <v>115</v>
      </c>
      <c r="H46" s="27" t="n">
        <f aca="false">IFERROR(G46/E46,0)</f>
        <v>0.942622950819672</v>
      </c>
      <c r="I46" s="25" t="n">
        <f aca="false">SUM(I41:I45)</f>
        <v>111</v>
      </c>
      <c r="J46" s="27" t="n">
        <f aca="false">IFERROR(I46/G46,0)</f>
        <v>0.965217391304348</v>
      </c>
      <c r="K46" s="27" t="n">
        <f aca="false">IFERROR(COUNTIFS(Data_Tasks!$O$2:$O$221,"&lt;&gt;")/C46,0)</f>
        <v>0.313253012048193</v>
      </c>
      <c r="L46" s="25" t="n">
        <f aca="false">SUM(L41:L45)</f>
        <v>3145</v>
      </c>
      <c r="M46" s="25" t="n">
        <f aca="false">SUM(M41:M45)</f>
        <v>2450</v>
      </c>
      <c r="N46" s="27" t="n">
        <f aca="false">IFERROR(M46/L46,0)</f>
        <v>0.779014308426073</v>
      </c>
    </row>
    <row r="49" customFormat="false" ht="15" hidden="false" customHeight="false" outlineLevel="0" collapsed="false">
      <c r="A49" s="19" t="s">
        <v>1200</v>
      </c>
    </row>
    <row r="50" customFormat="false" ht="42" hidden="false" customHeight="true" outlineLevel="0" collapsed="false">
      <c r="A50" s="10" t="s">
        <v>162</v>
      </c>
      <c r="B50" s="10" t="s">
        <v>1156</v>
      </c>
      <c r="C50" s="10" t="s">
        <v>1201</v>
      </c>
      <c r="D50" s="10" t="s">
        <v>1202</v>
      </c>
      <c r="E50" s="10" t="s">
        <v>1203</v>
      </c>
      <c r="F50" s="10" t="s">
        <v>1204</v>
      </c>
      <c r="G50" s="10" t="s">
        <v>1205</v>
      </c>
      <c r="H50" s="10" t="s">
        <v>1206</v>
      </c>
      <c r="I50" s="10" t="s">
        <v>1207</v>
      </c>
      <c r="J50" s="10" t="s">
        <v>1208</v>
      </c>
      <c r="K50" s="10" t="s">
        <v>1209</v>
      </c>
    </row>
    <row r="51" customFormat="false" ht="15" hidden="false" customHeight="false" outlineLevel="0" collapsed="false">
      <c r="A51" s="20" t="s">
        <v>378</v>
      </c>
      <c r="B51" s="21" t="n">
        <f aca="false">COUNTIFS(Data_Tasks!$E$2:$E$221,$A51,Data_Tasks!$Y$2:$Y$221,1)</f>
        <v>18</v>
      </c>
      <c r="C51" s="22" t="n">
        <f aca="false">IFERROR(COUNTIFS(Data_Tasks!$E$2:$E$221,$A51,Data_Tasks!$Z$2:$Z$221,1)/B51,0)</f>
        <v>0.833333333333333</v>
      </c>
      <c r="D51" s="22" t="n">
        <f aca="false">IFERROR(COUNTIFS(Data_Tasks!$E$2:$E$221,$A51,Data_Tasks!$O$2:$O$221,"tracking_failed")/B51,0)</f>
        <v>0.0555555555555556</v>
      </c>
      <c r="E51" s="22" t="n">
        <f aca="false">IFERROR(COUNTIFS(Data_Tasks!$E$2:$E$221,$A51,Data_Tasks!$L$2:$L$221,"rejected")/COUNTIFS(Data_Tasks!$E$2:$E$221,$A51,Data_Tasks!$Z$2:$Z$221,1),0)</f>
        <v>0</v>
      </c>
      <c r="F51" s="22" t="n">
        <f aca="false">IFERROR(COUNTIFS(Data_Tasks!$E$2:$E$221,$A51,Data_Tasks!$O$2:$O$221,"system_error")/B51,0)</f>
        <v>0</v>
      </c>
      <c r="G51" s="21" t="n">
        <f aca="false">COUNTIFS(Data_Tasks!$E$2:$E$221,$A51,Data_Tasks!$P$2:$P$221,"third_party")</f>
        <v>0</v>
      </c>
      <c r="H51" s="21" t="n">
        <f aca="false">COUNTIFS(Data_Tasks!$E$2:$E$221,$A51,Data_Tasks!$O$2:$O$221,"&lt;&gt;")</f>
        <v>3</v>
      </c>
      <c r="I51" s="22" t="n">
        <f aca="false">IFERROR(G51/H51,0)</f>
        <v>0</v>
      </c>
      <c r="J51" s="22" t="n">
        <f aca="false">IFERROR(COUNTIFS(Data_Tasks!$E$2:$E$221,$A51,Data_Tasks!$T$2:$T$221,"&gt;0")/COUNTIFS(Data_Tasks!$E$2:$E$221,$A51,Data_Tasks!$AB$2:$AB$221,1),0)</f>
        <v>0</v>
      </c>
      <c r="K51" s="23" t="n">
        <f aca="false">IFERROR(AVERAGEIFS(Data_Tasks!$X$2:$X$221,Data_Tasks!$E$2:$E$221,$A51),0)</f>
        <v>0.0730451049398333</v>
      </c>
    </row>
    <row r="52" customFormat="false" ht="15" hidden="false" customHeight="false" outlineLevel="0" collapsed="false">
      <c r="A52" s="20" t="s">
        <v>387</v>
      </c>
      <c r="B52" s="21" t="n">
        <f aca="false">COUNTIFS(Data_Tasks!$E$2:$E$221,$A52,Data_Tasks!$Y$2:$Y$221,1)</f>
        <v>32</v>
      </c>
      <c r="C52" s="22" t="n">
        <f aca="false">IFERROR(COUNTIFS(Data_Tasks!$E$2:$E$221,$A52,Data_Tasks!$Z$2:$Z$221,1)/B52,0)</f>
        <v>0.8125</v>
      </c>
      <c r="D52" s="22" t="n">
        <f aca="false">IFERROR(COUNTIFS(Data_Tasks!$E$2:$E$221,$A52,Data_Tasks!$O$2:$O$221,"tracking_failed")/B52,0)</f>
        <v>0.0625</v>
      </c>
      <c r="E52" s="22" t="n">
        <f aca="false">IFERROR(COUNTIFS(Data_Tasks!$E$2:$E$221,$A52,Data_Tasks!$L$2:$L$221,"rejected")/COUNTIFS(Data_Tasks!$E$2:$E$221,$A52,Data_Tasks!$Z$2:$Z$221,1),0)</f>
        <v>0</v>
      </c>
      <c r="F52" s="22" t="n">
        <f aca="false">IFERROR(COUNTIFS(Data_Tasks!$E$2:$E$221,$A52,Data_Tasks!$O$2:$O$221,"system_error")/B52,0)</f>
        <v>0.0625</v>
      </c>
      <c r="G52" s="21" t="n">
        <f aca="false">COUNTIFS(Data_Tasks!$E$2:$E$221,$A52,Data_Tasks!$P$2:$P$221,"third_party")</f>
        <v>2</v>
      </c>
      <c r="H52" s="21" t="n">
        <f aca="false">COUNTIFS(Data_Tasks!$E$2:$E$221,$A52,Data_Tasks!$O$2:$O$221,"&lt;&gt;")</f>
        <v>6</v>
      </c>
      <c r="I52" s="22" t="n">
        <f aca="false">IFERROR(G52/H52,0)</f>
        <v>0.333333333333333</v>
      </c>
      <c r="J52" s="22" t="n">
        <f aca="false">IFERROR(COUNTIFS(Data_Tasks!$E$2:$E$221,$A52,Data_Tasks!$T$2:$T$221,"&gt;0")/COUNTIFS(Data_Tasks!$E$2:$E$221,$A52,Data_Tasks!$AB$2:$AB$221,1),0)</f>
        <v>0</v>
      </c>
      <c r="K52" s="23" t="n">
        <f aca="false">IFERROR(AVERAGEIFS(Data_Tasks!$X$2:$X$221,Data_Tasks!$E$2:$E$221,$A52),0)</f>
        <v>0.0768287753026709</v>
      </c>
    </row>
    <row r="53" customFormat="false" ht="15" hidden="false" customHeight="false" outlineLevel="0" collapsed="false">
      <c r="A53" s="20" t="s">
        <v>383</v>
      </c>
      <c r="B53" s="21" t="n">
        <f aca="false">COUNTIFS(Data_Tasks!$E$2:$E$221,$A53,Data_Tasks!$Y$2:$Y$221,1)</f>
        <v>14</v>
      </c>
      <c r="C53" s="22" t="n">
        <f aca="false">IFERROR(COUNTIFS(Data_Tasks!$E$2:$E$221,$A53,Data_Tasks!$Z$2:$Z$221,1)/B53,0)</f>
        <v>0.642857142857143</v>
      </c>
      <c r="D53" s="22" t="n">
        <f aca="false">IFERROR(COUNTIFS(Data_Tasks!$E$2:$E$221,$A53,Data_Tasks!$O$2:$O$221,"tracking_failed")/B53,0)</f>
        <v>0</v>
      </c>
      <c r="E53" s="22" t="n">
        <f aca="false">IFERROR(COUNTIFS(Data_Tasks!$E$2:$E$221,$A53,Data_Tasks!$L$2:$L$221,"rejected")/COUNTIFS(Data_Tasks!$E$2:$E$221,$A53,Data_Tasks!$Z$2:$Z$221,1),0)</f>
        <v>0.333333333333333</v>
      </c>
      <c r="F53" s="22" t="n">
        <f aca="false">IFERROR(COUNTIFS(Data_Tasks!$E$2:$E$221,$A53,Data_Tasks!$O$2:$O$221,"system_error")/B53,0)</f>
        <v>0</v>
      </c>
      <c r="G53" s="21" t="n">
        <f aca="false">COUNTIFS(Data_Tasks!$E$2:$E$221,$A53,Data_Tasks!$P$2:$P$221,"third_party")</f>
        <v>0</v>
      </c>
      <c r="H53" s="21" t="n">
        <f aca="false">COUNTIFS(Data_Tasks!$E$2:$E$221,$A53,Data_Tasks!$O$2:$O$221,"&lt;&gt;")</f>
        <v>10</v>
      </c>
      <c r="I53" s="22" t="n">
        <f aca="false">IFERROR(G53/H53,0)</f>
        <v>0</v>
      </c>
      <c r="J53" s="22" t="n">
        <f aca="false">IFERROR(COUNTIFS(Data_Tasks!$E$2:$E$221,$A53,Data_Tasks!$T$2:$T$221,"&gt;0")/COUNTIFS(Data_Tasks!$E$2:$E$221,$A53,Data_Tasks!$AB$2:$AB$221,1),0)</f>
        <v>0</v>
      </c>
      <c r="K53" s="23" t="n">
        <f aca="false">IFERROR(AVERAGEIFS(Data_Tasks!$X$2:$X$221,Data_Tasks!$E$2:$E$221,$A53),0)</f>
        <v>35.9034706787787</v>
      </c>
    </row>
    <row r="54" customFormat="false" ht="15" hidden="false" customHeight="false" outlineLevel="0" collapsed="false">
      <c r="A54" s="20" t="s">
        <v>416</v>
      </c>
      <c r="B54" s="21" t="n">
        <f aca="false">COUNTIFS(Data_Tasks!$E$2:$E$221,$A54,Data_Tasks!$Y$2:$Y$221,1)</f>
        <v>23</v>
      </c>
      <c r="C54" s="22" t="n">
        <f aca="false">IFERROR(COUNTIFS(Data_Tasks!$E$2:$E$221,$A54,Data_Tasks!$Z$2:$Z$221,1)/B54,0)</f>
        <v>0.565217391304348</v>
      </c>
      <c r="D54" s="22" t="n">
        <f aca="false">IFERROR(COUNTIFS(Data_Tasks!$E$2:$E$221,$A54,Data_Tasks!$O$2:$O$221,"tracking_failed")/B54,0)</f>
        <v>0.0869565217391304</v>
      </c>
      <c r="E54" s="22" t="n">
        <f aca="false">IFERROR(COUNTIFS(Data_Tasks!$E$2:$E$221,$A54,Data_Tasks!$L$2:$L$221,"rejected")/COUNTIFS(Data_Tasks!$E$2:$E$221,$A54,Data_Tasks!$Z$2:$Z$221,1),0)</f>
        <v>0</v>
      </c>
      <c r="F54" s="22" t="n">
        <f aca="false">IFERROR(COUNTIFS(Data_Tasks!$E$2:$E$221,$A54,Data_Tasks!$O$2:$O$221,"system_error")/B54,0)</f>
        <v>0.0869565217391304</v>
      </c>
      <c r="G54" s="21" t="n">
        <f aca="false">COUNTIFS(Data_Tasks!$E$2:$E$221,$A54,Data_Tasks!$P$2:$P$221,"third_party")</f>
        <v>4</v>
      </c>
      <c r="H54" s="21" t="n">
        <f aca="false">COUNTIFS(Data_Tasks!$E$2:$E$221,$A54,Data_Tasks!$O$2:$O$221,"&lt;&gt;")</f>
        <v>10</v>
      </c>
      <c r="I54" s="22" t="n">
        <f aca="false">IFERROR(G54/H54,0)</f>
        <v>0.4</v>
      </c>
      <c r="J54" s="22" t="n">
        <f aca="false">IFERROR(COUNTIFS(Data_Tasks!$E$2:$E$221,$A54,Data_Tasks!$T$2:$T$221,"&gt;0")/COUNTIFS(Data_Tasks!$E$2:$E$221,$A54,Data_Tasks!$AB$2:$AB$221,1),0)</f>
        <v>0</v>
      </c>
      <c r="K54" s="23" t="n">
        <f aca="false">IFERROR(AVERAGEIFS(Data_Tasks!$X$2:$X$221,Data_Tasks!$E$2:$E$221,$A54),0)</f>
        <v>38.1050808602448</v>
      </c>
    </row>
    <row r="55" customFormat="false" ht="15" hidden="false" customHeight="false" outlineLevel="0" collapsed="false">
      <c r="A55" s="20" t="s">
        <v>391</v>
      </c>
      <c r="B55" s="21" t="n">
        <f aca="false">COUNTIFS(Data_Tasks!$E$2:$E$221,$A55,Data_Tasks!$Y$2:$Y$221,1)</f>
        <v>8</v>
      </c>
      <c r="C55" s="22" t="n">
        <f aca="false">IFERROR(COUNTIFS(Data_Tasks!$E$2:$E$221,$A55,Data_Tasks!$Z$2:$Z$221,1)/B55,0)</f>
        <v>0.625</v>
      </c>
      <c r="D55" s="22" t="n">
        <f aca="false">IFERROR(COUNTIFS(Data_Tasks!$E$2:$E$221,$A55,Data_Tasks!$O$2:$O$221,"tracking_failed")/B55,0)</f>
        <v>0.125</v>
      </c>
      <c r="E55" s="22" t="n">
        <f aca="false">IFERROR(COUNTIFS(Data_Tasks!$E$2:$E$221,$A55,Data_Tasks!$L$2:$L$221,"rejected")/COUNTIFS(Data_Tasks!$E$2:$E$221,$A55,Data_Tasks!$Z$2:$Z$221,1),0)</f>
        <v>0</v>
      </c>
      <c r="F55" s="22" t="n">
        <f aca="false">IFERROR(COUNTIFS(Data_Tasks!$E$2:$E$221,$A55,Data_Tasks!$O$2:$O$221,"system_error")/B55,0)</f>
        <v>0</v>
      </c>
      <c r="G55" s="21" t="n">
        <f aca="false">COUNTIFS(Data_Tasks!$E$2:$E$221,$A55,Data_Tasks!$P$2:$P$221,"third_party")</f>
        <v>1</v>
      </c>
      <c r="H55" s="21" t="n">
        <f aca="false">COUNTIFS(Data_Tasks!$E$2:$E$221,$A55,Data_Tasks!$O$2:$O$221,"&lt;&gt;")</f>
        <v>4</v>
      </c>
      <c r="I55" s="22" t="n">
        <f aca="false">IFERROR(G55/H55,0)</f>
        <v>0.25</v>
      </c>
      <c r="J55" s="22" t="n">
        <f aca="false">IFERROR(COUNTIFS(Data_Tasks!$E$2:$E$221,$A55,Data_Tasks!$T$2:$T$221,"&gt;0")/COUNTIFS(Data_Tasks!$E$2:$E$221,$A55,Data_Tasks!$AB$2:$AB$221,1),0)</f>
        <v>0</v>
      </c>
      <c r="K55" s="23" t="n">
        <f aca="false">IFERROR(AVERAGEIFS(Data_Tasks!$X$2:$X$221,Data_Tasks!$E$2:$E$221,$A55),0)</f>
        <v>41.2692787394043</v>
      </c>
    </row>
    <row r="56" customFormat="false" ht="15" hidden="false" customHeight="false" outlineLevel="0" collapsed="false">
      <c r="A56" s="20" t="s">
        <v>372</v>
      </c>
      <c r="B56" s="21" t="n">
        <f aca="false">COUNTIFS(Data_Tasks!$E$2:$E$221,$A56,Data_Tasks!$Y$2:$Y$221,1)</f>
        <v>9</v>
      </c>
      <c r="C56" s="22" t="n">
        <f aca="false">IFERROR(COUNTIFS(Data_Tasks!$E$2:$E$221,$A56,Data_Tasks!$Z$2:$Z$221,1)/B56,0)</f>
        <v>0.666666666666667</v>
      </c>
      <c r="D56" s="22" t="n">
        <f aca="false">IFERROR(COUNTIFS(Data_Tasks!$E$2:$E$221,$A56,Data_Tasks!$O$2:$O$221,"tracking_failed")/B56,0)</f>
        <v>0.222222222222222</v>
      </c>
      <c r="E56" s="22" t="n">
        <f aca="false">IFERROR(COUNTIFS(Data_Tasks!$E$2:$E$221,$A56,Data_Tasks!$L$2:$L$221,"rejected")/COUNTIFS(Data_Tasks!$E$2:$E$221,$A56,Data_Tasks!$Z$2:$Z$221,1),0)</f>
        <v>0</v>
      </c>
      <c r="F56" s="22" t="n">
        <f aca="false">IFERROR(COUNTIFS(Data_Tasks!$E$2:$E$221,$A56,Data_Tasks!$O$2:$O$221,"system_error")/B56,0)</f>
        <v>0.111111111111111</v>
      </c>
      <c r="G56" s="21" t="n">
        <f aca="false">COUNTIFS(Data_Tasks!$E$2:$E$221,$A56,Data_Tasks!$P$2:$P$221,"third_party")</f>
        <v>3</v>
      </c>
      <c r="H56" s="21" t="n">
        <f aca="false">COUNTIFS(Data_Tasks!$E$2:$E$221,$A56,Data_Tasks!$O$2:$O$221,"&lt;&gt;")</f>
        <v>3</v>
      </c>
      <c r="I56" s="22" t="n">
        <f aca="false">IFERROR(G56/H56,0)</f>
        <v>1</v>
      </c>
      <c r="J56" s="22" t="n">
        <f aca="false">IFERROR(COUNTIFS(Data_Tasks!$E$2:$E$221,$A56,Data_Tasks!$T$2:$T$221,"&gt;0")/COUNTIFS(Data_Tasks!$E$2:$E$221,$A56,Data_Tasks!$AB$2:$AB$221,1),0)</f>
        <v>0</v>
      </c>
      <c r="K56" s="23" t="n">
        <f aca="false">IFERROR(AVERAGEIFS(Data_Tasks!$X$2:$X$221,Data_Tasks!$E$2:$E$221,$A56),0)</f>
        <v>28.5763966930796</v>
      </c>
    </row>
    <row r="57" customFormat="false" ht="15" hidden="false" customHeight="false" outlineLevel="0" collapsed="false">
      <c r="A57" s="20" t="s">
        <v>367</v>
      </c>
      <c r="B57" s="21" t="n">
        <f aca="false">COUNTIFS(Data_Tasks!$E$2:$E$221,$A57,Data_Tasks!$Y$2:$Y$221,1)</f>
        <v>12</v>
      </c>
      <c r="C57" s="22" t="n">
        <f aca="false">IFERROR(COUNTIFS(Data_Tasks!$E$2:$E$221,$A57,Data_Tasks!$Z$2:$Z$221,1)/B57,0)</f>
        <v>0.5</v>
      </c>
      <c r="D57" s="22" t="n">
        <f aca="false">IFERROR(COUNTIFS(Data_Tasks!$E$2:$E$221,$A57,Data_Tasks!$O$2:$O$221,"tracking_failed")/B57,0)</f>
        <v>0.166666666666667</v>
      </c>
      <c r="E57" s="22" t="n">
        <f aca="false">IFERROR(COUNTIFS(Data_Tasks!$E$2:$E$221,$A57,Data_Tasks!$L$2:$L$221,"rejected")/COUNTIFS(Data_Tasks!$E$2:$E$221,$A57,Data_Tasks!$Z$2:$Z$221,1),0)</f>
        <v>0.166666666666667</v>
      </c>
      <c r="F57" s="22" t="n">
        <f aca="false">IFERROR(COUNTIFS(Data_Tasks!$E$2:$E$221,$A57,Data_Tasks!$O$2:$O$221,"system_error")/B57,0)</f>
        <v>0</v>
      </c>
      <c r="G57" s="21" t="n">
        <f aca="false">COUNTIFS(Data_Tasks!$E$2:$E$221,$A57,Data_Tasks!$P$2:$P$221,"third_party")</f>
        <v>1</v>
      </c>
      <c r="H57" s="21" t="n">
        <f aca="false">COUNTIFS(Data_Tasks!$E$2:$E$221,$A57,Data_Tasks!$O$2:$O$221,"&lt;&gt;")</f>
        <v>7</v>
      </c>
      <c r="I57" s="22" t="n">
        <f aca="false">IFERROR(G57/H57,0)</f>
        <v>0.142857142857143</v>
      </c>
      <c r="J57" s="22" t="n">
        <f aca="false">IFERROR(COUNTIFS(Data_Tasks!$E$2:$E$221,$A57,Data_Tasks!$T$2:$T$221,"&gt;0")/COUNTIFS(Data_Tasks!$E$2:$E$221,$A57,Data_Tasks!$AB$2:$AB$221,1),0)</f>
        <v>0.2</v>
      </c>
      <c r="K57" s="23" t="n">
        <f aca="false">IFERROR(AVERAGEIFS(Data_Tasks!$X$2:$X$221,Data_Tasks!$E$2:$E$221,$A57),0)</f>
        <v>44.4409742372226</v>
      </c>
    </row>
    <row r="58" customFormat="false" ht="15" hidden="false" customHeight="false" outlineLevel="0" collapsed="false">
      <c r="A58" s="20" t="s">
        <v>444</v>
      </c>
      <c r="B58" s="21" t="n">
        <f aca="false">COUNTIFS(Data_Tasks!$E$2:$E$221,$A58,Data_Tasks!$Y$2:$Y$221,1)</f>
        <v>11</v>
      </c>
      <c r="C58" s="22" t="n">
        <f aca="false">IFERROR(COUNTIFS(Data_Tasks!$E$2:$E$221,$A58,Data_Tasks!$Z$2:$Z$221,1)/B58,0)</f>
        <v>0.636363636363636</v>
      </c>
      <c r="D58" s="22" t="n">
        <f aca="false">IFERROR(COUNTIFS(Data_Tasks!$E$2:$E$221,$A58,Data_Tasks!$O$2:$O$221,"tracking_failed")/B58,0)</f>
        <v>0.0909090909090909</v>
      </c>
      <c r="E58" s="22" t="n">
        <f aca="false">IFERROR(COUNTIFS(Data_Tasks!$E$2:$E$221,$A58,Data_Tasks!$L$2:$L$221,"rejected")/COUNTIFS(Data_Tasks!$E$2:$E$221,$A58,Data_Tasks!$Z$2:$Z$221,1),0)</f>
        <v>0</v>
      </c>
      <c r="F58" s="22" t="n">
        <f aca="false">IFERROR(COUNTIFS(Data_Tasks!$E$2:$E$221,$A58,Data_Tasks!$O$2:$O$221,"system_error")/B58,0)</f>
        <v>0.0909090909090909</v>
      </c>
      <c r="G58" s="21" t="n">
        <f aca="false">COUNTIFS(Data_Tasks!$E$2:$E$221,$A58,Data_Tasks!$P$2:$P$221,"third_party")</f>
        <v>2</v>
      </c>
      <c r="H58" s="21" t="n">
        <f aca="false">COUNTIFS(Data_Tasks!$E$2:$E$221,$A58,Data_Tasks!$O$2:$O$221,"&lt;&gt;")</f>
        <v>4</v>
      </c>
      <c r="I58" s="22" t="n">
        <f aca="false">IFERROR(G58/H58,0)</f>
        <v>0.5</v>
      </c>
      <c r="J58" s="22" t="n">
        <f aca="false">IFERROR(COUNTIFS(Data_Tasks!$E$2:$E$221,$A58,Data_Tasks!$T$2:$T$221,"&gt;0")/COUNTIFS(Data_Tasks!$E$2:$E$221,$A58,Data_Tasks!$AB$2:$AB$221,1),0)</f>
        <v>0</v>
      </c>
      <c r="K58" s="23" t="n">
        <f aca="false">IFERROR(AVERAGEIFS(Data_Tasks!$X$2:$X$221,Data_Tasks!$E$2:$E$221,$A58),0)</f>
        <v>43.8021908016109</v>
      </c>
    </row>
    <row r="59" customFormat="false" ht="15" hidden="false" customHeight="false" outlineLevel="0" collapsed="false">
      <c r="A59" s="20" t="s">
        <v>98</v>
      </c>
      <c r="B59" s="21" t="n">
        <f aca="false">COUNTIFS(Data_Tasks!$E$2:$E$221,$A59,Data_Tasks!$Y$2:$Y$221,1)</f>
        <v>39</v>
      </c>
      <c r="C59" s="22" t="n">
        <f aca="false">IFERROR(COUNTIFS(Data_Tasks!$E$2:$E$221,$A59,Data_Tasks!$Z$2:$Z$221,1)/B59,0)</f>
        <v>0.897435897435898</v>
      </c>
      <c r="D59" s="22" t="n">
        <f aca="false">IFERROR(COUNTIFS(Data_Tasks!$E$2:$E$221,$A59,Data_Tasks!$O$2:$O$221,"tracking_failed")/B59,0)</f>
        <v>0</v>
      </c>
      <c r="E59" s="22" t="n">
        <f aca="false">IFERROR(COUNTIFS(Data_Tasks!$E$2:$E$221,$A59,Data_Tasks!$L$2:$L$221,"rejected")/COUNTIFS(Data_Tasks!$E$2:$E$221,$A59,Data_Tasks!$Z$2:$Z$221,1),0)</f>
        <v>0</v>
      </c>
      <c r="F59" s="22" t="n">
        <f aca="false">IFERROR(COUNTIFS(Data_Tasks!$E$2:$E$221,$A59,Data_Tasks!$O$2:$O$221,"system_error")/B59,0)</f>
        <v>0</v>
      </c>
      <c r="G59" s="21" t="n">
        <f aca="false">COUNTIFS(Data_Tasks!$E$2:$E$221,$A59,Data_Tasks!$P$2:$P$221,"third_party")</f>
        <v>0</v>
      </c>
      <c r="H59" s="21" t="n">
        <f aca="false">COUNTIFS(Data_Tasks!$E$2:$E$221,$A59,Data_Tasks!$O$2:$O$221,"&lt;&gt;")</f>
        <v>5</v>
      </c>
      <c r="I59" s="22" t="n">
        <f aca="false">IFERROR(G59/H59,0)</f>
        <v>0</v>
      </c>
      <c r="J59" s="22" t="n">
        <f aca="false">IFERROR(COUNTIFS(Data_Tasks!$E$2:$E$221,$A59,Data_Tasks!$T$2:$T$221,"&gt;0")/COUNTIFS(Data_Tasks!$E$2:$E$221,$A59,Data_Tasks!$AB$2:$AB$221,1),0)</f>
        <v>0</v>
      </c>
      <c r="K59" s="23" t="n">
        <f aca="false">IFERROR(AVERAGEIFS(Data_Tasks!$X$2:$X$221,Data_Tasks!$E$2:$E$221,$A59),0)</f>
        <v>0.0861067202690686</v>
      </c>
    </row>
    <row r="60" customFormat="false" ht="15" hidden="false" customHeight="false" outlineLevel="0" collapsed="false">
      <c r="A60" s="9" t="s">
        <v>1210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60"/>
    <col collapsed="false" customWidth="true" hidden="false" outlineLevel="0" max="4" min="4" style="0" width="24"/>
    <col collapsed="false" customWidth="true" hidden="false" outlineLevel="0" max="5" min="5" style="0" width="12"/>
  </cols>
  <sheetData>
    <row r="1" customFormat="false" ht="17.35" hidden="false" customHeight="false" outlineLevel="0" collapsed="false">
      <c r="A1" s="1" t="s">
        <v>1211</v>
      </c>
    </row>
    <row r="3" customFormat="false" ht="15" hidden="false" customHeight="false" outlineLevel="0" collapsed="false">
      <c r="A3" s="10" t="s">
        <v>338</v>
      </c>
      <c r="B3" s="10" t="s">
        <v>1212</v>
      </c>
      <c r="C3" s="10" t="s">
        <v>1213</v>
      </c>
      <c r="D3" s="10" t="s">
        <v>1214</v>
      </c>
      <c r="E3" s="10" t="s">
        <v>35</v>
      </c>
    </row>
    <row r="4" customFormat="false" ht="15" hidden="false" customHeight="false" outlineLevel="0" collapsed="false">
      <c r="A4" s="11" t="n">
        <v>1</v>
      </c>
      <c r="B4" s="11" t="s">
        <v>1215</v>
      </c>
      <c r="C4" s="11" t="s">
        <v>1216</v>
      </c>
      <c r="D4" s="11" t="s">
        <v>1217</v>
      </c>
      <c r="E4" s="13" t="s">
        <v>151</v>
      </c>
    </row>
    <row r="5" customFormat="false" ht="23.85" hidden="false" customHeight="false" outlineLevel="0" collapsed="false">
      <c r="A5" s="11" t="n">
        <v>2</v>
      </c>
      <c r="B5" s="11" t="s">
        <v>1218</v>
      </c>
      <c r="C5" s="11" t="s">
        <v>1219</v>
      </c>
      <c r="D5" s="11" t="s">
        <v>1220</v>
      </c>
      <c r="E5" s="13" t="s">
        <v>151</v>
      </c>
    </row>
    <row r="6" customFormat="false" ht="15" hidden="false" customHeight="false" outlineLevel="0" collapsed="false">
      <c r="A6" s="11" t="n">
        <v>3</v>
      </c>
      <c r="B6" s="11" t="s">
        <v>1221</v>
      </c>
      <c r="C6" s="11" t="s">
        <v>1222</v>
      </c>
      <c r="D6" s="11" t="s">
        <v>1223</v>
      </c>
      <c r="E6" s="13" t="s">
        <v>151</v>
      </c>
    </row>
    <row r="7" customFormat="false" ht="15" hidden="false" customHeight="false" outlineLevel="0" collapsed="false">
      <c r="A7" s="11" t="n">
        <v>4</v>
      </c>
      <c r="B7" s="11" t="s">
        <v>1224</v>
      </c>
      <c r="C7" s="11" t="s">
        <v>1225</v>
      </c>
      <c r="D7" s="11" t="s">
        <v>1220</v>
      </c>
      <c r="E7" s="13" t="s">
        <v>151</v>
      </c>
    </row>
    <row r="8" customFormat="false" ht="15" hidden="false" customHeight="false" outlineLevel="0" collapsed="false">
      <c r="A8" s="11" t="n">
        <v>5</v>
      </c>
      <c r="B8" s="11" t="s">
        <v>1226</v>
      </c>
      <c r="C8" s="11" t="s">
        <v>1227</v>
      </c>
      <c r="D8" s="11" t="s">
        <v>1228</v>
      </c>
      <c r="E8" s="13" t="s">
        <v>151</v>
      </c>
    </row>
    <row r="9" customFormat="false" ht="15" hidden="false" customHeight="false" outlineLevel="0" collapsed="false">
      <c r="A9" s="11" t="n">
        <v>6</v>
      </c>
      <c r="B9" s="11" t="s">
        <v>1229</v>
      </c>
      <c r="C9" s="11" t="s">
        <v>1230</v>
      </c>
      <c r="D9" s="11" t="s">
        <v>1231</v>
      </c>
      <c r="E9" s="13" t="s">
        <v>151</v>
      </c>
    </row>
    <row r="10" customFormat="false" ht="15" hidden="false" customHeight="false" outlineLevel="0" collapsed="false">
      <c r="A10" s="11" t="n">
        <v>7</v>
      </c>
      <c r="B10" s="11" t="s">
        <v>1232</v>
      </c>
      <c r="C10" s="11" t="s">
        <v>1233</v>
      </c>
      <c r="D10" s="11" t="s">
        <v>1234</v>
      </c>
      <c r="E10" s="13" t="s">
        <v>151</v>
      </c>
    </row>
    <row r="11" customFormat="false" ht="15" hidden="false" customHeight="false" outlineLevel="0" collapsed="false">
      <c r="A11" s="11" t="n">
        <v>8</v>
      </c>
      <c r="B11" s="11" t="s">
        <v>1235</v>
      </c>
      <c r="C11" s="11" t="s">
        <v>1236</v>
      </c>
      <c r="D11" s="11" t="s">
        <v>1237</v>
      </c>
      <c r="E11" s="13" t="s">
        <v>151</v>
      </c>
    </row>
    <row r="12" customFormat="false" ht="15" hidden="false" customHeight="false" outlineLevel="0" collapsed="false">
      <c r="A12" s="11" t="n">
        <v>9</v>
      </c>
      <c r="B12" s="11" t="s">
        <v>1238</v>
      </c>
      <c r="C12" s="11" t="s">
        <v>1239</v>
      </c>
      <c r="D12" s="11" t="s">
        <v>1240</v>
      </c>
      <c r="E12" s="13" t="s">
        <v>151</v>
      </c>
    </row>
    <row r="13" customFormat="false" ht="15" hidden="false" customHeight="false" outlineLevel="0" collapsed="false">
      <c r="A13" s="11" t="n">
        <v>10</v>
      </c>
      <c r="B13" s="11" t="s">
        <v>1241</v>
      </c>
      <c r="C13" s="11" t="s">
        <v>1242</v>
      </c>
      <c r="D13" s="11" t="s">
        <v>1243</v>
      </c>
      <c r="E13" s="13"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2026-10-24T12:31:07Z</dcterms:created>
  <dc:creator>openpyxl</dc:creator>
  <dc:description/>
  <dc:language>en-US</dc:language>
  <cp:lastModifiedBy/>
  <dcterms:modified xsi:type="dcterms:W3CDTF">2026-10-24T12:31:10Z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