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AD942FF4-FAEE-4345-8F80-A544E6BAC1B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shboard" sheetId="1" r:id="rId1"/>
    <sheet name="Data" sheetId="2" r:id="rId2"/>
  </sheets>
  <definedNames>
    <definedName name="_xlnm._FilterDatabase" localSheetId="1" hidden="1">Data!$A$1:$F$9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9" i="1" l="1"/>
  <c r="L20" i="1"/>
  <c r="L21" i="1"/>
  <c r="L22" i="1"/>
  <c r="L25" i="1"/>
  <c r="L24" i="1"/>
  <c r="L23" i="1"/>
  <c r="L26" i="1"/>
  <c r="K19" i="1"/>
  <c r="K20" i="1"/>
  <c r="K21" i="1"/>
  <c r="K22" i="1"/>
  <c r="K25" i="1"/>
  <c r="K24" i="1"/>
  <c r="K23" i="1"/>
  <c r="K26" i="1"/>
  <c r="J19" i="1"/>
  <c r="J20" i="1"/>
  <c r="J21" i="1"/>
  <c r="J22" i="1"/>
  <c r="J25" i="1"/>
  <c r="J24" i="1"/>
  <c r="J23" i="1"/>
  <c r="J26" i="1"/>
  <c r="I19" i="1"/>
  <c r="I20" i="1"/>
  <c r="I21" i="1"/>
  <c r="I22" i="1"/>
  <c r="I25" i="1"/>
  <c r="I24" i="1"/>
  <c r="I23" i="1"/>
  <c r="I26" i="1"/>
  <c r="D19" i="1"/>
  <c r="E19" i="1"/>
  <c r="F19" i="1"/>
  <c r="D20" i="1"/>
  <c r="E20" i="1"/>
  <c r="F20" i="1"/>
  <c r="D21" i="1"/>
  <c r="E21" i="1"/>
  <c r="F21" i="1"/>
  <c r="D22" i="1"/>
  <c r="E22" i="1"/>
  <c r="F22" i="1"/>
  <c r="F23" i="1"/>
  <c r="E23" i="1"/>
  <c r="D23" i="1"/>
  <c r="C19" i="1"/>
  <c r="C20" i="1"/>
  <c r="C21" i="1"/>
  <c r="C22" i="1"/>
  <c r="C23" i="1"/>
  <c r="F12" i="1"/>
  <c r="F13" i="1"/>
  <c r="F14" i="1"/>
  <c r="F15" i="1"/>
  <c r="E12" i="1"/>
  <c r="E13" i="1"/>
  <c r="E14" i="1"/>
  <c r="E15" i="1"/>
  <c r="D12" i="1"/>
  <c r="D13" i="1"/>
  <c r="D14" i="1"/>
  <c r="D15" i="1"/>
  <c r="C12" i="1"/>
  <c r="C13" i="1"/>
  <c r="C14" i="1"/>
  <c r="C15" i="1"/>
  <c r="J12" i="1"/>
  <c r="J13" i="1"/>
  <c r="J14" i="1"/>
  <c r="L12" i="1"/>
  <c r="L13" i="1"/>
  <c r="L14" i="1"/>
  <c r="I12" i="1"/>
  <c r="I13" i="1"/>
  <c r="I14" i="1"/>
  <c r="K12" i="1"/>
  <c r="K13" i="1"/>
  <c r="K14" i="1"/>
  <c r="K8" i="1"/>
  <c r="I8" i="1"/>
  <c r="F8" i="1"/>
  <c r="D8" i="1"/>
  <c r="B8" i="1"/>
  <c r="K5" i="1"/>
  <c r="I5" i="1"/>
  <c r="F5" i="1"/>
  <c r="D5" i="1"/>
  <c r="B5" i="1"/>
  <c r="B2" i="1"/>
</calcChain>
</file>

<file path=xl/sharedStrings.xml><?xml version="1.0" encoding="utf-8"?>
<sst xmlns="http://schemas.openxmlformats.org/spreadsheetml/2006/main" count="94" uniqueCount="60">
  <si>
    <t>Wallet Transactions Dashboard</t>
  </si>
  <si>
    <t>Total Transactions</t>
  </si>
  <si>
    <t>Unique Users</t>
  </si>
  <si>
    <t>Total Volume</t>
  </si>
  <si>
    <t>Success Rate</t>
  </si>
  <si>
    <t>Pending Amount</t>
  </si>
  <si>
    <t>Successful Credits</t>
  </si>
  <si>
    <t>Successful Redemptions</t>
  </si>
  <si>
    <t>Successful Reversals</t>
  </si>
  <si>
    <t>Net Wallet Flow</t>
  </si>
  <si>
    <t>Avg Txn Amount</t>
  </si>
  <si>
    <t>Summary by Transaction Type</t>
  </si>
  <si>
    <t>Summary by Status</t>
  </si>
  <si>
    <t>Type</t>
  </si>
  <si>
    <t>Count</t>
  </si>
  <si>
    <t>Total Amount</t>
  </si>
  <si>
    <t>Success Amount</t>
  </si>
  <si>
    <t>Status</t>
  </si>
  <si>
    <t>% of Txns</t>
  </si>
  <si>
    <t>% of Amount</t>
  </si>
  <si>
    <t>Credit</t>
  </si>
  <si>
    <t>Success</t>
  </si>
  <si>
    <t>Redemption</t>
  </si>
  <si>
    <t>Pending</t>
  </si>
  <si>
    <t>Reversal</t>
  </si>
  <si>
    <t>Total</t>
  </si>
  <si>
    <t>Daily Trend (count = all txns; amounts = successful only)</t>
  </si>
  <si>
    <t>Summary by User</t>
  </si>
  <si>
    <t>Date</t>
  </si>
  <si>
    <t>Txn Count</t>
  </si>
  <si>
    <t>Credits</t>
  </si>
  <si>
    <t>Redemptions + Reversals</t>
  </si>
  <si>
    <t>Net Flow</t>
  </si>
  <si>
    <t>User</t>
  </si>
  <si>
    <t>U001</t>
  </si>
  <si>
    <t>U002</t>
  </si>
  <si>
    <t>U003</t>
  </si>
  <si>
    <t>U004</t>
  </si>
  <si>
    <t>U005</t>
  </si>
  <si>
    <t>U007</t>
  </si>
  <si>
    <t>U008</t>
  </si>
  <si>
    <t>Notes &amp; assumptions</t>
  </si>
  <si>
    <t>Net Wallet Flow = Successful Credits - Successful Redemptions - Successful Reversals (assumption: Redemption and Reversal reduce wallet balance; Pending items are excluded).</t>
  </si>
  <si>
    <t>Success Rate = Success transactions / all transactions. User list in 'Summary by User' is typed in (U006 does not exist in the data).</t>
  </si>
  <si>
    <t>Charts</t>
  </si>
  <si>
    <t>Transaction_ID</t>
  </si>
  <si>
    <t>User_ID</t>
  </si>
  <si>
    <t>Transaction_Date</t>
  </si>
  <si>
    <t>Transaction_Type</t>
  </si>
  <si>
    <t>Amount</t>
  </si>
  <si>
    <t>Transaction_Status</t>
  </si>
  <si>
    <t>W001</t>
  </si>
  <si>
    <t>W002</t>
  </si>
  <si>
    <t>W003</t>
  </si>
  <si>
    <t>W004</t>
  </si>
  <si>
    <t>W005</t>
  </si>
  <si>
    <t>W006</t>
  </si>
  <si>
    <t>W007</t>
  </si>
  <si>
    <t>W008</t>
  </si>
  <si>
    <t>Source: dataset provided by user (8 transactions, 2026-10-08 to 2026-10-11). Add new rows directly below; extend the ranges on the Dashboard if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</si>
</sst>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;[Red]\(#,##0\);\-"/>
    <numFmt numFmtId="166" formatCode="#,##0.0"/>
    <numFmt numFmtId="167" formatCode="#,##0;\(#,##0\);\-"/>
    <numFmt numFmtId="168" formatCode="dd\ mmm\ yyyy"/>
    <numFmt numFmtId="169" formatCode="yyyy\-mm\-dd"/>
  </numFmts>
  <fonts count="13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22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1F3864"/>
      <name val="Arial"/>
      <charset val="1"/>
    </font>
    <font>
      <i/>
      <sz val="9"/>
      <color rgb="FF7F7F7F"/>
      <name val="Arial"/>
      <charset val="1"/>
    </font>
    <font>
      <b/>
      <sz val="16"/>
      <color rgb="FF1F3864"/>
      <name val="Arial"/>
      <charset val="1"/>
    </font>
    <font>
      <b/>
      <i/>
      <sz val="9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/>
    <xf numFmtId="167" fontId="7" fillId="0" borderId="1" xfId="0" applyNumberFormat="1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0" fontId="8" fillId="5" borderId="1" xfId="0" applyFont="1" applyFill="1" applyBorder="1"/>
    <xf numFmtId="3" fontId="8" fillId="5" borderId="1" xfId="0" applyNumberFormat="1" applyFont="1" applyFill="1" applyBorder="1"/>
    <xf numFmtId="164" fontId="8" fillId="5" borderId="1" xfId="0" applyNumberFormat="1" applyFont="1" applyFill="1" applyBorder="1"/>
    <xf numFmtId="167" fontId="8" fillId="5" borderId="1" xfId="0" applyNumberFormat="1" applyFont="1" applyFill="1" applyBorder="1"/>
    <xf numFmtId="165" fontId="7" fillId="0" borderId="1" xfId="0" applyNumberFormat="1" applyFont="1" applyBorder="1"/>
    <xf numFmtId="165" fontId="8" fillId="5" borderId="1" xfId="0" applyNumberFormat="1" applyFont="1" applyFill="1" applyBorder="1"/>
    <xf numFmtId="0" fontId="6" fillId="2" borderId="0" xfId="0" applyFont="1" applyFill="1" applyAlignment="1">
      <alignment horizontal="center" vertical="center"/>
    </xf>
    <xf numFmtId="169" fontId="7" fillId="0" borderId="1" xfId="0" applyNumberFormat="1" applyFont="1" applyBorder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5" fillId="0" borderId="5" xfId="0" applyFont="1" applyBorder="1"/>
    <xf numFmtId="0" fontId="5" fillId="0" borderId="0" xfId="0" applyFont="1" applyBorder="1"/>
    <xf numFmtId="0" fontId="6" fillId="2" borderId="7" xfId="0" applyFont="1" applyFill="1" applyBorder="1" applyAlignment="1">
      <alignment horizontal="center" wrapText="1"/>
    </xf>
    <xf numFmtId="0" fontId="7" fillId="0" borderId="7" xfId="0" applyFont="1" applyBorder="1"/>
    <xf numFmtId="0" fontId="8" fillId="5" borderId="7" xfId="0" applyFont="1" applyFill="1" applyBorder="1"/>
    <xf numFmtId="168" fontId="7" fillId="0" borderId="7" xfId="0" applyNumberFormat="1" applyFont="1" applyBorder="1" applyAlignment="1">
      <alignment horizontal="left"/>
    </xf>
    <xf numFmtId="0" fontId="9" fillId="0" borderId="5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1" fillId="0" borderId="5" xfId="0" applyFont="1" applyBorder="1"/>
    <xf numFmtId="0" fontId="12" fillId="0" borderId="5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3" fontId="4" fillId="4" borderId="5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center" vertical="center"/>
    </xf>
    <xf numFmtId="165" fontId="4" fillId="4" borderId="0" xfId="0" applyNumberFormat="1" applyFont="1" applyFill="1" applyBorder="1" applyAlignment="1">
      <alignment horizontal="center" vertical="center"/>
    </xf>
    <xf numFmtId="166" fontId="4" fillId="4" borderId="0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164" fontId="4" fillId="4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indent="1"/>
    </xf>
    <xf numFmtId="0" fontId="1" fillId="2" borderId="3" xfId="0" applyFont="1" applyFill="1" applyBorder="1" applyAlignment="1">
      <alignment vertical="center" indent="1"/>
    </xf>
    <xf numFmtId="0" fontId="2" fillId="0" borderId="5" xfId="0" applyFont="1" applyBorder="1" applyAlignment="1">
      <alignment indent="1"/>
    </xf>
    <xf numFmtId="0" fontId="2" fillId="0" borderId="0" xfId="0" applyFont="1" applyBorder="1" applyAlignment="1">
      <alignment indent="1"/>
    </xf>
  </cellXfs>
  <cellStyles count="1">
    <cellStyle name="Normal" xfId="0" builtinId="0"/>
  </cellStyles>
  <dxfs count="2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B183"/>
      <rgbColor rgb="FF2E75B6"/>
      <rgbColor rgb="FF33CCCC"/>
      <rgbColor rgb="FF70AD47"/>
      <rgbColor rgb="FFFFC0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Amount by Type (Success vs Pending)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Dashboard!E11</c:f>
              <c:strCache>
                <c:ptCount val="1"/>
                <c:pt idx="0">
                  <c:v>Success Amount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Dashboard!$B$12:$B$14</c:f>
              <c:strCache>
                <c:ptCount val="3"/>
                <c:pt idx="0">
                  <c:v>Credit</c:v>
                </c:pt>
                <c:pt idx="1">
                  <c:v>Redemption</c:v>
                </c:pt>
                <c:pt idx="2">
                  <c:v>Reversal</c:v>
                </c:pt>
              </c:strCache>
            </c:strRef>
          </c:cat>
          <c:val>
            <c:numRef>
              <c:f>Dashboard!$E$12:$E$14</c:f>
              <c:numCache>
                <c:formatCode>#,##0;\(#,##0\);\-</c:formatCode>
                <c:ptCount val="3"/>
                <c:pt idx="0">
                  <c:v>400</c:v>
                </c:pt>
                <c:pt idx="1">
                  <c:v>175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5-BA45-88D9-B8D3EF366792}"/>
            </c:ext>
          </c:extLst>
        </c:ser>
        <c:ser>
          <c:idx val="1"/>
          <c:order val="1"/>
          <c:tx>
            <c:strRef>
              <c:f>Dashboard!F11</c:f>
              <c:strCache>
                <c:ptCount val="1"/>
                <c:pt idx="0">
                  <c:v>Pending Amount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Dashboard!$B$12:$B$14</c:f>
              <c:strCache>
                <c:ptCount val="3"/>
                <c:pt idx="0">
                  <c:v>Credit</c:v>
                </c:pt>
                <c:pt idx="1">
                  <c:v>Redemption</c:v>
                </c:pt>
                <c:pt idx="2">
                  <c:v>Reversal</c:v>
                </c:pt>
              </c:strCache>
            </c:strRef>
          </c:cat>
          <c:val>
            <c:numRef>
              <c:f>Dashboard!$F$12:$F$14</c:f>
              <c:numCache>
                <c:formatCode>#,##0;\(#,##0\);\-</c:formatCode>
                <c:ptCount val="3"/>
                <c:pt idx="0">
                  <c:v>175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35-BA45-88D9-B8D3EF366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350906"/>
        <c:axId val="15800085"/>
      </c:barChart>
      <c:catAx>
        <c:axId val="283509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00085"/>
        <c:crosses val="autoZero"/>
        <c:auto val="1"/>
        <c:lblAlgn val="ctr"/>
        <c:lblOffset val="100"/>
        <c:noMultiLvlLbl val="0"/>
      </c:catAx>
      <c:valAx>
        <c:axId val="15800085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3509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Transactions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Dashboard!I11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FFC000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Dashboard!$H$12:$H$13</c:f>
              <c:strCache>
                <c:ptCount val="2"/>
                <c:pt idx="0">
                  <c:v>Success</c:v>
                </c:pt>
                <c:pt idx="1">
                  <c:v>Pending</c:v>
                </c:pt>
              </c:strCache>
            </c:strRef>
          </c:cat>
          <c:val>
            <c:numRef>
              <c:f>Dashboard!$I$12:$I$13</c:f>
              <c:numCache>
                <c:formatCode>#,##0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1-B94A-97F7-1348F4E45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Daily Credits vs Outflows (Successful)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Dashboard!D18</c:f>
              <c:strCache>
                <c:ptCount val="1"/>
                <c:pt idx="0">
                  <c:v>Credits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Dashboard!$B$19:$B$22</c:f>
              <c:numCache>
                <c:formatCode>dd\ mmm\ yyyy</c:formatCode>
                <c:ptCount val="4"/>
                <c:pt idx="0">
                  <c:v>46303</c:v>
                </c:pt>
                <c:pt idx="1">
                  <c:v>46304</c:v>
                </c:pt>
                <c:pt idx="2">
                  <c:v>46305</c:v>
                </c:pt>
                <c:pt idx="3">
                  <c:v>46306</c:v>
                </c:pt>
              </c:numCache>
            </c:numRef>
          </c:cat>
          <c:val>
            <c:numRef>
              <c:f>Dashboard!$D$19:$D$22</c:f>
              <c:numCache>
                <c:formatCode>#,##0;[Red]\(#,##0\);\-</c:formatCode>
                <c:ptCount val="4"/>
                <c:pt idx="0">
                  <c:v>300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F-2A45-95F2-CA58C8210384}"/>
            </c:ext>
          </c:extLst>
        </c:ser>
        <c:ser>
          <c:idx val="1"/>
          <c:order val="1"/>
          <c:tx>
            <c:strRef>
              <c:f>Dashboard!E18</c:f>
              <c:strCache>
                <c:ptCount val="1"/>
                <c:pt idx="0">
                  <c:v>Redemptions + Reversals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Dashboard!$B$19:$B$22</c:f>
              <c:numCache>
                <c:formatCode>dd\ mmm\ yyyy</c:formatCode>
                <c:ptCount val="4"/>
                <c:pt idx="0">
                  <c:v>46303</c:v>
                </c:pt>
                <c:pt idx="1">
                  <c:v>46304</c:v>
                </c:pt>
                <c:pt idx="2">
                  <c:v>46305</c:v>
                </c:pt>
                <c:pt idx="3">
                  <c:v>46306</c:v>
                </c:pt>
              </c:numCache>
            </c:numRef>
          </c:cat>
          <c:val>
            <c:numRef>
              <c:f>Dashboard!$E$19:$E$22</c:f>
              <c:numCache>
                <c:formatCode>#,##0;[Red]\(#,##0\);\-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F-2A45-95F2-CA58C8210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92998"/>
        <c:axId val="78877535"/>
      </c:barChart>
      <c:dateAx>
        <c:axId val="15592998"/>
        <c:scaling>
          <c:orientation val="minMax"/>
        </c:scaling>
        <c:delete val="0"/>
        <c:axPos val="b"/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877535"/>
        <c:crosses val="autoZero"/>
        <c:auto val="1"/>
        <c:lblOffset val="100"/>
        <c:baseTimeUnit val="days"/>
      </c:dateAx>
      <c:valAx>
        <c:axId val="78877535"/>
        <c:scaling>
          <c:orientation val="minMax"/>
        </c:scaling>
        <c:delete val="0"/>
        <c:axPos val="l"/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929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Total Amount by User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Dashboard!J18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Dashboard!$H$19:$H$25</c:f>
              <c:strCache>
                <c:ptCount val="7"/>
                <c:pt idx="0">
                  <c:v>U001</c:v>
                </c:pt>
                <c:pt idx="1">
                  <c:v>U002</c:v>
                </c:pt>
                <c:pt idx="2">
                  <c:v>U003</c:v>
                </c:pt>
                <c:pt idx="3">
                  <c:v>U004</c:v>
                </c:pt>
                <c:pt idx="4">
                  <c:v>U005</c:v>
                </c:pt>
                <c:pt idx="5">
                  <c:v>U007</c:v>
                </c:pt>
                <c:pt idx="6">
                  <c:v>U008</c:v>
                </c:pt>
              </c:strCache>
            </c:strRef>
          </c:cat>
          <c:val>
            <c:numRef>
              <c:f>Dashboard!$J$19:$J$25</c:f>
              <c:numCache>
                <c:formatCode>#,##0;\(#,##0\);\-</c:formatCode>
                <c:ptCount val="7"/>
                <c:pt idx="0">
                  <c:v>175</c:v>
                </c:pt>
                <c:pt idx="1">
                  <c:v>200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125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9-C54E-BBE7-309E3F933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07464"/>
        <c:axId val="4386602"/>
      </c:barChart>
      <c:catAx>
        <c:axId val="49707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86602"/>
        <c:crosses val="autoZero"/>
        <c:auto val="1"/>
        <c:lblAlgn val="ctr"/>
        <c:lblOffset val="100"/>
        <c:noMultiLvlLbl val="0"/>
      </c:catAx>
      <c:valAx>
        <c:axId val="4386602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7074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339328</xdr:colOff>
      <xdr:row>32</xdr:row>
      <xdr:rowOff>115641</xdr:rowOff>
    </xdr:from>
    <xdr:to>
      <xdr:col>5</xdr:col>
      <xdr:colOff>70048</xdr:colOff>
      <xdr:row>46</xdr:row>
      <xdr:rowOff>148401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79920</xdr:rowOff>
    </xdr:from>
    <xdr:to>
      <xdr:col>10</xdr:col>
      <xdr:colOff>333360</xdr:colOff>
      <xdr:row>44</xdr:row>
      <xdr:rowOff>59099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410766</xdr:colOff>
      <xdr:row>47</xdr:row>
      <xdr:rowOff>8480</xdr:rowOff>
    </xdr:from>
    <xdr:to>
      <xdr:col>5</xdr:col>
      <xdr:colOff>141486</xdr:colOff>
      <xdr:row>61</xdr:row>
      <xdr:rowOff>41240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46</xdr:row>
      <xdr:rowOff>79920</xdr:rowOff>
    </xdr:from>
    <xdr:to>
      <xdr:col>10</xdr:col>
      <xdr:colOff>333360</xdr:colOff>
      <xdr:row>60</xdr:row>
      <xdr:rowOff>112680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M62"/>
  <sheetViews>
    <sheetView showGridLines="0" tabSelected="1" topLeftCell="B1" zoomScaleNormal="100" workbookViewId="0">
      <selection activeCell="I7" sqref="I7:J7"/>
    </sheetView>
  </sheetViews>
  <sheetFormatPr defaultColWidth="8.7421875" defaultRowHeight="15" x14ac:dyDescent="0.2"/>
  <cols>
    <col min="1" max="1" width="2.015625" customWidth="1"/>
    <col min="2" max="2" width="22.05859375" customWidth="1"/>
    <col min="3" max="6" width="16.0078125" customWidth="1"/>
    <col min="7" max="7" width="2.95703125" customWidth="1"/>
    <col min="8" max="8" width="22.05859375" customWidth="1"/>
    <col min="9" max="12" width="16.0078125" customWidth="1"/>
    <col min="13" max="13" width="2.015625" customWidth="1"/>
  </cols>
  <sheetData>
    <row r="1" spans="2:13" ht="37.5" customHeight="1" x14ac:dyDescent="0.2">
      <c r="B1" s="39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15"/>
    </row>
    <row r="2" spans="2:13" x14ac:dyDescent="0.2">
      <c r="B2" s="41" t="str">
        <f>"Period: "&amp;TEXT(MIN(Data!$C$2:$C$9),"dd mmm yyyy")&amp;" to "&amp;TEXT(MAX(Data!$C$2:$C$9),"dd mmm yyyy")&amp;"   |   All figures update from the Data sheet"</f>
        <v>Period: 08 Oct 2026 to 11 Oct 2026   |   All figures update from the Data sheet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16"/>
    </row>
    <row r="3" spans="2:13" x14ac:dyDescent="0.2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6"/>
    </row>
    <row r="4" spans="2:13" x14ac:dyDescent="0.2">
      <c r="B4" s="36" t="s">
        <v>1</v>
      </c>
      <c r="C4" s="37"/>
      <c r="D4" s="37" t="s">
        <v>2</v>
      </c>
      <c r="E4" s="37"/>
      <c r="F4" s="37" t="s">
        <v>3</v>
      </c>
      <c r="G4" s="37"/>
      <c r="H4" s="37"/>
      <c r="I4" s="37" t="s">
        <v>4</v>
      </c>
      <c r="J4" s="37"/>
      <c r="K4" s="37" t="s">
        <v>5</v>
      </c>
      <c r="L4" s="37"/>
      <c r="M4" s="16"/>
    </row>
    <row r="5" spans="2:13" ht="39.75" customHeight="1" x14ac:dyDescent="0.2">
      <c r="B5" s="32">
        <f>COUNTA(Data!$A$2:$A$9)</f>
        <v>8</v>
      </c>
      <c r="C5" s="33"/>
      <c r="D5" s="33">
        <f>SUMPRODUCT(1/COUNTIF(Data!$B$2:$B$9,Data!$B$2:$B$9))</f>
        <v>7</v>
      </c>
      <c r="E5" s="33"/>
      <c r="F5" s="33">
        <f>SUM(Data!$E$2:$E$9)</f>
        <v>900</v>
      </c>
      <c r="G5" s="33"/>
      <c r="H5" s="33"/>
      <c r="I5" s="38">
        <f>COUNTIFS(Data!$F$2:$F$9,"Success")/COUNTA(Data!$A$2:$A$9)</f>
        <v>0.75</v>
      </c>
      <c r="J5" s="38"/>
      <c r="K5" s="33">
        <f>SUMIFS(Data!$E$2:$E$9,Data!$F$2:$F$9,"Pending")</f>
        <v>175</v>
      </c>
      <c r="L5" s="33"/>
      <c r="M5" s="16"/>
    </row>
    <row r="6" spans="2:13" x14ac:dyDescent="0.2"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6"/>
    </row>
    <row r="7" spans="2:13" x14ac:dyDescent="0.2">
      <c r="B7" s="36" t="s">
        <v>6</v>
      </c>
      <c r="C7" s="37"/>
      <c r="D7" s="37" t="s">
        <v>7</v>
      </c>
      <c r="E7" s="37"/>
      <c r="F7" s="37" t="s">
        <v>8</v>
      </c>
      <c r="G7" s="37"/>
      <c r="H7" s="37"/>
      <c r="I7" s="37" t="s">
        <v>9</v>
      </c>
      <c r="J7" s="37"/>
      <c r="K7" s="37" t="s">
        <v>10</v>
      </c>
      <c r="L7" s="37"/>
      <c r="M7" s="16"/>
    </row>
    <row r="8" spans="2:13" ht="39.75" customHeight="1" x14ac:dyDescent="0.2">
      <c r="B8" s="32">
        <f>SUMIFS(Data!$E$2:$E$9,Data!$D$2:$D$9,"Credit",Data!$F$2:$F$9,"Success")</f>
        <v>400</v>
      </c>
      <c r="C8" s="33"/>
      <c r="D8" s="33">
        <f>SUMIFS(Data!$E$2:$E$9,Data!$D$2:$D$9,"Redemption",Data!$F$2:$F$9,"Success")</f>
        <v>175</v>
      </c>
      <c r="E8" s="33"/>
      <c r="F8" s="33">
        <f>SUMIFS(Data!$E$2:$E$9,Data!$D$2:$D$9,"Reversal",Data!$F$2:$F$9,"Success")</f>
        <v>150</v>
      </c>
      <c r="G8" s="33"/>
      <c r="H8" s="33"/>
      <c r="I8" s="34">
        <f>SUMIFS(Data!$E$2:$E$9,Data!$D$2:$D$9,"Credit",Data!$F$2:$F$9,"Success")-SUMIFS(Data!$E$2:$E$9,Data!$D$2:$D$9,"Redemption",Data!$F$2:$F$9,"Success")-SUMIFS(Data!$E$2:$E$9,Data!$D$2:$D$9,"Reversal",Data!$F$2:$F$9,"Success")</f>
        <v>75</v>
      </c>
      <c r="J8" s="34"/>
      <c r="K8" s="35">
        <f>AVERAGE(Data!$E$2:$E$9)</f>
        <v>112.5</v>
      </c>
      <c r="L8" s="35"/>
      <c r="M8" s="16"/>
    </row>
    <row r="9" spans="2:13" x14ac:dyDescent="0.2"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6"/>
    </row>
    <row r="10" spans="2:13" x14ac:dyDescent="0.2">
      <c r="B10" s="19" t="s">
        <v>11</v>
      </c>
      <c r="C10" s="18"/>
      <c r="D10" s="18"/>
      <c r="E10" s="18"/>
      <c r="F10" s="18"/>
      <c r="G10" s="18"/>
      <c r="H10" s="20" t="s">
        <v>12</v>
      </c>
      <c r="I10" s="18"/>
      <c r="J10" s="18"/>
      <c r="K10" s="18"/>
      <c r="L10" s="18"/>
      <c r="M10" s="16"/>
    </row>
    <row r="11" spans="2:13" ht="27" x14ac:dyDescent="0.2">
      <c r="B11" s="21" t="s">
        <v>13</v>
      </c>
      <c r="C11" s="1" t="s">
        <v>14</v>
      </c>
      <c r="D11" s="1" t="s">
        <v>15</v>
      </c>
      <c r="E11" s="1" t="s">
        <v>16</v>
      </c>
      <c r="F11" s="1" t="s">
        <v>5</v>
      </c>
      <c r="G11" s="18"/>
      <c r="H11" s="1" t="s">
        <v>17</v>
      </c>
      <c r="I11" s="1" t="s">
        <v>14</v>
      </c>
      <c r="J11" s="1" t="s">
        <v>15</v>
      </c>
      <c r="K11" s="1" t="s">
        <v>18</v>
      </c>
      <c r="L11" s="1" t="s">
        <v>19</v>
      </c>
      <c r="M11" s="16"/>
    </row>
    <row r="12" spans="2:13" x14ac:dyDescent="0.2">
      <c r="B12" s="22" t="s">
        <v>20</v>
      </c>
      <c r="C12" s="3">
        <f>COUNTIFS(Data!$D$2:$D$9,B12)</f>
        <v>5</v>
      </c>
      <c r="D12" s="3">
        <f>SUMIFS(Data!$E$2:$E$9,Data!$D$2:$D$9,B12)</f>
        <v>575</v>
      </c>
      <c r="E12" s="3">
        <f>SUMIFS(Data!$E$2:$E$9,Data!$D$2:$D$9,B12,Data!$F$2:$F$9,"Success")</f>
        <v>400</v>
      </c>
      <c r="F12" s="3">
        <f>SUMIFS(Data!$E$2:$E$9,Data!$D$2:$D$9,B12,Data!$F$2:$F$9,"Pending")</f>
        <v>175</v>
      </c>
      <c r="G12" s="18"/>
      <c r="H12" s="2" t="s">
        <v>21</v>
      </c>
      <c r="I12" s="4">
        <f>COUNTIFS(Data!$F$2:$F$9,H12)</f>
        <v>6</v>
      </c>
      <c r="J12" s="4">
        <f>SUMIFS(Data!$E$2:$E$9,Data!$F$2:$F$9,H12)</f>
        <v>725</v>
      </c>
      <c r="K12" s="5">
        <f>I12/I$14</f>
        <v>0.75</v>
      </c>
      <c r="L12" s="5">
        <f>J12/J$14</f>
        <v>0.80555555555555558</v>
      </c>
      <c r="M12" s="16"/>
    </row>
    <row r="13" spans="2:13" x14ac:dyDescent="0.2">
      <c r="B13" s="22" t="s">
        <v>22</v>
      </c>
      <c r="C13" s="3">
        <f>COUNTIFS(Data!$D$2:$D$9,B13)</f>
        <v>2</v>
      </c>
      <c r="D13" s="3">
        <f>SUMIFS(Data!$E$2:$E$9,Data!$D$2:$D$9,B13)</f>
        <v>175</v>
      </c>
      <c r="E13" s="3">
        <f>SUMIFS(Data!$E$2:$E$9,Data!$D$2:$D$9,B13,Data!$F$2:$F$9,"Success")</f>
        <v>175</v>
      </c>
      <c r="F13" s="3">
        <f>SUMIFS(Data!$E$2:$E$9,Data!$D$2:$D$9,B13,Data!$F$2:$F$9,"Pending")</f>
        <v>0</v>
      </c>
      <c r="G13" s="18"/>
      <c r="H13" s="2" t="s">
        <v>23</v>
      </c>
      <c r="I13" s="4">
        <f>COUNTIFS(Data!$F$2:$F$9,H13)</f>
        <v>2</v>
      </c>
      <c r="J13" s="4">
        <f>SUMIFS(Data!$E$2:$E$9,Data!$F$2:$F$9,H13)</f>
        <v>175</v>
      </c>
      <c r="K13" s="5">
        <f>I13/I$14</f>
        <v>0.25</v>
      </c>
      <c r="L13" s="5">
        <f>J13/J$14</f>
        <v>0.19444444444444445</v>
      </c>
      <c r="M13" s="16"/>
    </row>
    <row r="14" spans="2:13" x14ac:dyDescent="0.2">
      <c r="B14" s="22" t="s">
        <v>24</v>
      </c>
      <c r="C14" s="3">
        <f>COUNTIFS(Data!$D$2:$D$9,B14)</f>
        <v>1</v>
      </c>
      <c r="D14" s="3">
        <f>SUMIFS(Data!$E$2:$E$9,Data!$D$2:$D$9,B14)</f>
        <v>150</v>
      </c>
      <c r="E14" s="3">
        <f>SUMIFS(Data!$E$2:$E$9,Data!$D$2:$D$9,B14,Data!$F$2:$F$9,"Success")</f>
        <v>150</v>
      </c>
      <c r="F14" s="3">
        <f>SUMIFS(Data!$E$2:$E$9,Data!$D$2:$D$9,B14,Data!$F$2:$F$9,"Pending")</f>
        <v>0</v>
      </c>
      <c r="G14" s="18"/>
      <c r="H14" s="6" t="s">
        <v>25</v>
      </c>
      <c r="I14" s="7">
        <f>SUM(I12:I13)</f>
        <v>8</v>
      </c>
      <c r="J14" s="7">
        <f>SUM(J12:J13)</f>
        <v>900</v>
      </c>
      <c r="K14" s="8">
        <f>SUM(K12:K13)</f>
        <v>1</v>
      </c>
      <c r="L14" s="8">
        <f>SUM(L12:L13)</f>
        <v>1</v>
      </c>
      <c r="M14" s="16"/>
    </row>
    <row r="15" spans="2:13" x14ac:dyDescent="0.2">
      <c r="B15" s="23" t="s">
        <v>25</v>
      </c>
      <c r="C15" s="9">
        <f>SUM(C12:C14)</f>
        <v>8</v>
      </c>
      <c r="D15" s="9">
        <f>SUM(D12:D14)</f>
        <v>900</v>
      </c>
      <c r="E15" s="9">
        <f>SUM(E12:E14)</f>
        <v>725</v>
      </c>
      <c r="F15" s="9">
        <f>SUM(F12:F14)</f>
        <v>175</v>
      </c>
      <c r="G15" s="18"/>
      <c r="H15" s="18"/>
      <c r="I15" s="18"/>
      <c r="J15" s="18"/>
      <c r="K15" s="18"/>
      <c r="L15" s="18"/>
      <c r="M15" s="16"/>
    </row>
    <row r="16" spans="2:13" x14ac:dyDescent="0.2"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6"/>
    </row>
    <row r="17" spans="2:13" x14ac:dyDescent="0.2">
      <c r="B17" s="19" t="s">
        <v>26</v>
      </c>
      <c r="C17" s="18"/>
      <c r="D17" s="18"/>
      <c r="E17" s="18"/>
      <c r="F17" s="18"/>
      <c r="G17" s="18"/>
      <c r="H17" s="20" t="s">
        <v>27</v>
      </c>
      <c r="I17" s="18"/>
      <c r="J17" s="18"/>
      <c r="K17" s="18"/>
      <c r="L17" s="18"/>
      <c r="M17" s="16"/>
    </row>
    <row r="18" spans="2:13" ht="27" x14ac:dyDescent="0.2">
      <c r="B18" s="21" t="s">
        <v>28</v>
      </c>
      <c r="C18" s="1" t="s">
        <v>29</v>
      </c>
      <c r="D18" s="1" t="s">
        <v>30</v>
      </c>
      <c r="E18" s="1" t="s">
        <v>31</v>
      </c>
      <c r="F18" s="1" t="s">
        <v>32</v>
      </c>
      <c r="G18" s="18"/>
      <c r="H18" s="1" t="s">
        <v>33</v>
      </c>
      <c r="I18" s="1" t="s">
        <v>29</v>
      </c>
      <c r="J18" s="1" t="s">
        <v>15</v>
      </c>
      <c r="K18" s="1" t="s">
        <v>16</v>
      </c>
      <c r="L18" s="1" t="s">
        <v>5</v>
      </c>
      <c r="M18" s="16"/>
    </row>
    <row r="19" spans="2:13" x14ac:dyDescent="0.2">
      <c r="B19" s="24">
        <v>46303</v>
      </c>
      <c r="C19" s="2">
        <f>COUNTIFS(Data!$C$2:$C$9,B19)</f>
        <v>2</v>
      </c>
      <c r="D19" s="10">
        <f>SUMIFS(Data!$E$2:$E$9,Data!$C$2:$C$9,B19,Data!$D$2:$D$9,"Credit",Data!$F$2:$F$9,"Success")</f>
        <v>300</v>
      </c>
      <c r="E19" s="10">
        <f>SUMIFS(Data!$E$2:$E$9,Data!$C$2:$C$9,B19,Data!$D$2:$D$9,"Redemption",Data!$F$2:$F$9,"Success")+SUMIFS(Data!$E$2:$E$9,Data!$C$2:$C$9,B19,Data!$D$2:$D$9,"Reversal",Data!$F$2:$F$9,"Success")</f>
        <v>0</v>
      </c>
      <c r="F19" s="10">
        <f>D19-E19</f>
        <v>300</v>
      </c>
      <c r="G19" s="18"/>
      <c r="H19" s="2" t="s">
        <v>34</v>
      </c>
      <c r="I19" s="3">
        <f>COUNTIFS(Data!$B$2:$B$9,H19)</f>
        <v>2</v>
      </c>
      <c r="J19" s="3">
        <f>SUMIFS(Data!$E$2:$E$9,Data!$B$2:$B$9,H19)</f>
        <v>175</v>
      </c>
      <c r="K19" s="3">
        <f>SUMIFS(Data!$E$2:$E$9,Data!$B$2:$B$9,H19,Data!$F$2:$F$9,"Success")</f>
        <v>175</v>
      </c>
      <c r="L19" s="3">
        <f>SUMIFS(Data!$E$2:$E$9,Data!$B$2:$B$9,H19,Data!$F$2:$F$9,"Pending")</f>
        <v>0</v>
      </c>
      <c r="M19" s="16"/>
    </row>
    <row r="20" spans="2:13" x14ac:dyDescent="0.2">
      <c r="B20" s="24">
        <v>46304</v>
      </c>
      <c r="C20" s="2">
        <f>COUNTIFS(Data!$C$2:$C$9,B20)</f>
        <v>2</v>
      </c>
      <c r="D20" s="10">
        <f>SUMIFS(Data!$E$2:$E$9,Data!$C$2:$C$9,B20,Data!$D$2:$D$9,"Credit",Data!$F$2:$F$9,"Success")</f>
        <v>100</v>
      </c>
      <c r="E20" s="10">
        <f>SUMIFS(Data!$E$2:$E$9,Data!$C$2:$C$9,B20,Data!$D$2:$D$9,"Redemption",Data!$F$2:$F$9,"Success")+SUMIFS(Data!$E$2:$E$9,Data!$C$2:$C$9,B20,Data!$D$2:$D$9,"Reversal",Data!$F$2:$F$9,"Success")</f>
        <v>0</v>
      </c>
      <c r="F20" s="10">
        <f>D20-E20</f>
        <v>100</v>
      </c>
      <c r="G20" s="18"/>
      <c r="H20" s="2" t="s">
        <v>35</v>
      </c>
      <c r="I20" s="3">
        <f>COUNTIFS(Data!$B$2:$B$9,H20)</f>
        <v>1</v>
      </c>
      <c r="J20" s="3">
        <f>SUMIFS(Data!$E$2:$E$9,Data!$B$2:$B$9,H20)</f>
        <v>200</v>
      </c>
      <c r="K20" s="3">
        <f>SUMIFS(Data!$E$2:$E$9,Data!$B$2:$B$9,H20,Data!$F$2:$F$9,"Success")</f>
        <v>200</v>
      </c>
      <c r="L20" s="3">
        <f>SUMIFS(Data!$E$2:$E$9,Data!$B$2:$B$9,H20,Data!$F$2:$F$9,"Pending")</f>
        <v>0</v>
      </c>
      <c r="M20" s="16"/>
    </row>
    <row r="21" spans="2:13" x14ac:dyDescent="0.2">
      <c r="B21" s="24">
        <v>46305</v>
      </c>
      <c r="C21" s="2">
        <f>COUNTIFS(Data!$C$2:$C$9,B21)</f>
        <v>2</v>
      </c>
      <c r="D21" s="10">
        <f>SUMIFS(Data!$E$2:$E$9,Data!$C$2:$C$9,B21,Data!$D$2:$D$9,"Credit",Data!$F$2:$F$9,"Success")</f>
        <v>0</v>
      </c>
      <c r="E21" s="10">
        <f>SUMIFS(Data!$E$2:$E$9,Data!$C$2:$C$9,B21,Data!$D$2:$D$9,"Redemption",Data!$F$2:$F$9,"Success")+SUMIFS(Data!$E$2:$E$9,Data!$C$2:$C$9,B21,Data!$D$2:$D$9,"Reversal",Data!$F$2:$F$9,"Success")</f>
        <v>225</v>
      </c>
      <c r="F21" s="10">
        <f>D21-E21</f>
        <v>-225</v>
      </c>
      <c r="G21" s="18"/>
      <c r="H21" s="2" t="s">
        <v>36</v>
      </c>
      <c r="I21" s="3">
        <f>COUNTIFS(Data!$B$2:$B$9,H21)</f>
        <v>1</v>
      </c>
      <c r="J21" s="3">
        <f>SUMIFS(Data!$E$2:$E$9,Data!$B$2:$B$9,H21)</f>
        <v>50</v>
      </c>
      <c r="K21" s="3">
        <f>SUMIFS(Data!$E$2:$E$9,Data!$B$2:$B$9,H21,Data!$F$2:$F$9,"Success")</f>
        <v>0</v>
      </c>
      <c r="L21" s="3">
        <f>SUMIFS(Data!$E$2:$E$9,Data!$B$2:$B$9,H21,Data!$F$2:$F$9,"Pending")</f>
        <v>50</v>
      </c>
      <c r="M21" s="16"/>
    </row>
    <row r="22" spans="2:13" x14ac:dyDescent="0.2">
      <c r="B22" s="24">
        <v>46306</v>
      </c>
      <c r="C22" s="2">
        <f>COUNTIFS(Data!$C$2:$C$9,B22)</f>
        <v>2</v>
      </c>
      <c r="D22" s="10">
        <f>SUMIFS(Data!$E$2:$E$9,Data!$C$2:$C$9,B22,Data!$D$2:$D$9,"Credit",Data!$F$2:$F$9,"Success")</f>
        <v>0</v>
      </c>
      <c r="E22" s="10">
        <f>SUMIFS(Data!$E$2:$E$9,Data!$C$2:$C$9,B22,Data!$D$2:$D$9,"Redemption",Data!$F$2:$F$9,"Success")+SUMIFS(Data!$E$2:$E$9,Data!$C$2:$C$9,B22,Data!$D$2:$D$9,"Reversal",Data!$F$2:$F$9,"Success")</f>
        <v>100</v>
      </c>
      <c r="F22" s="10">
        <f>D22-E22</f>
        <v>-100</v>
      </c>
      <c r="G22" s="18"/>
      <c r="H22" s="2" t="s">
        <v>37</v>
      </c>
      <c r="I22" s="3">
        <f>COUNTIFS(Data!$B$2:$B$9,H22)</f>
        <v>1</v>
      </c>
      <c r="J22" s="3">
        <f>SUMIFS(Data!$E$2:$E$9,Data!$B$2:$B$9,H22)</f>
        <v>100</v>
      </c>
      <c r="K22" s="3">
        <f>SUMIFS(Data!$E$2:$E$9,Data!$B$2:$B$9,H22,Data!$F$2:$F$9,"Success")</f>
        <v>100</v>
      </c>
      <c r="L22" s="3">
        <f>SUMIFS(Data!$E$2:$E$9,Data!$B$2:$B$9,H22,Data!$F$2:$F$9,"Pending")</f>
        <v>0</v>
      </c>
      <c r="M22" s="16"/>
    </row>
    <row r="23" spans="2:13" x14ac:dyDescent="0.2">
      <c r="B23" s="23" t="s">
        <v>25</v>
      </c>
      <c r="C23" s="11">
        <f>SUM(C19:C22)</f>
        <v>8</v>
      </c>
      <c r="D23" s="11">
        <f>SUM(D19:D22)</f>
        <v>400</v>
      </c>
      <c r="E23" s="11">
        <f>SUM(E19:E22)</f>
        <v>325</v>
      </c>
      <c r="F23" s="11">
        <f>SUM(F19:F22)</f>
        <v>75</v>
      </c>
      <c r="G23" s="18"/>
      <c r="H23" s="2" t="s">
        <v>38</v>
      </c>
      <c r="I23" s="3">
        <f>COUNTIFS(Data!$B$2:$B$9,H23)</f>
        <v>1</v>
      </c>
      <c r="J23" s="3">
        <f>SUMIFS(Data!$E$2:$E$9,Data!$B$2:$B$9,H23)</f>
        <v>150</v>
      </c>
      <c r="K23" s="3">
        <f>SUMIFS(Data!$E$2:$E$9,Data!$B$2:$B$9,H23,Data!$F$2:$F$9,"Success")</f>
        <v>150</v>
      </c>
      <c r="L23" s="3">
        <f>SUMIFS(Data!$E$2:$E$9,Data!$B$2:$B$9,H23,Data!$F$2:$F$9,"Pending")</f>
        <v>0</v>
      </c>
      <c r="M23" s="16"/>
    </row>
    <row r="24" spans="2:13" x14ac:dyDescent="0.2">
      <c r="B24" s="17"/>
      <c r="C24" s="18"/>
      <c r="D24" s="18"/>
      <c r="E24" s="18"/>
      <c r="F24" s="18"/>
      <c r="G24" s="18"/>
      <c r="H24" s="2" t="s">
        <v>39</v>
      </c>
      <c r="I24" s="3">
        <f>COUNTIFS(Data!$B$2:$B$9,H24)</f>
        <v>1</v>
      </c>
      <c r="J24" s="3">
        <f>SUMIFS(Data!$E$2:$E$9,Data!$B$2:$B$9,H24)</f>
        <v>125</v>
      </c>
      <c r="K24" s="3">
        <f>SUMIFS(Data!$E$2:$E$9,Data!$B$2:$B$9,H24,Data!$F$2:$F$9,"Success")</f>
        <v>0</v>
      </c>
      <c r="L24" s="3">
        <f>SUMIFS(Data!$E$2:$E$9,Data!$B$2:$B$9,H24,Data!$F$2:$F$9,"Pending")</f>
        <v>125</v>
      </c>
      <c r="M24" s="16"/>
    </row>
    <row r="25" spans="2:13" x14ac:dyDescent="0.2">
      <c r="B25" s="17"/>
      <c r="C25" s="18"/>
      <c r="D25" s="18"/>
      <c r="E25" s="18"/>
      <c r="F25" s="18"/>
      <c r="G25" s="18"/>
      <c r="H25" s="2" t="s">
        <v>40</v>
      </c>
      <c r="I25" s="3">
        <f>COUNTIFS(Data!$B$2:$B$9,H25)</f>
        <v>1</v>
      </c>
      <c r="J25" s="3">
        <f>SUMIFS(Data!$E$2:$E$9,Data!$B$2:$B$9,H25)</f>
        <v>100</v>
      </c>
      <c r="K25" s="3">
        <f>SUMIFS(Data!$E$2:$E$9,Data!$B$2:$B$9,H25,Data!$F$2:$F$9,"Success")</f>
        <v>100</v>
      </c>
      <c r="L25" s="3">
        <f>SUMIFS(Data!$E$2:$E$9,Data!$B$2:$B$9,H25,Data!$F$2:$F$9,"Pending")</f>
        <v>0</v>
      </c>
      <c r="M25" s="16"/>
    </row>
    <row r="26" spans="2:13" x14ac:dyDescent="0.2">
      <c r="B26" s="17"/>
      <c r="C26" s="18"/>
      <c r="D26" s="18"/>
      <c r="E26" s="18"/>
      <c r="F26" s="18"/>
      <c r="G26" s="18"/>
      <c r="H26" s="6" t="s">
        <v>25</v>
      </c>
      <c r="I26" s="9">
        <f>SUM(I19:I25)</f>
        <v>8</v>
      </c>
      <c r="J26" s="9">
        <f>SUM(J19:J25)</f>
        <v>900</v>
      </c>
      <c r="K26" s="9">
        <f>SUM(K19:K25)</f>
        <v>725</v>
      </c>
      <c r="L26" s="9">
        <f>SUM(L19:L25)</f>
        <v>175</v>
      </c>
      <c r="M26" s="16"/>
    </row>
    <row r="27" spans="2:13" x14ac:dyDescent="0.2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6"/>
    </row>
    <row r="28" spans="2:13" x14ac:dyDescent="0.2">
      <c r="B28" s="25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6"/>
    </row>
    <row r="29" spans="2:13" ht="25.5" customHeight="1" x14ac:dyDescent="0.2">
      <c r="B29" s="30" t="s">
        <v>42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16"/>
    </row>
    <row r="30" spans="2:13" ht="25.5" customHeight="1" x14ac:dyDescent="0.2">
      <c r="B30" s="30" t="s">
        <v>43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16"/>
    </row>
    <row r="31" spans="2:13" x14ac:dyDescent="0.2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6"/>
    </row>
    <row r="32" spans="2:13" ht="20.25" x14ac:dyDescent="0.25">
      <c r="B32" s="29" t="s">
        <v>44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6"/>
    </row>
    <row r="33" spans="2:13" x14ac:dyDescent="0.2"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6"/>
    </row>
    <row r="34" spans="2:13" x14ac:dyDescent="0.2"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6"/>
    </row>
    <row r="35" spans="2:13" x14ac:dyDescent="0.2"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6"/>
    </row>
    <row r="36" spans="2:13" x14ac:dyDescent="0.2"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6"/>
    </row>
    <row r="37" spans="2:13" x14ac:dyDescent="0.2"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6"/>
    </row>
    <row r="38" spans="2:13" x14ac:dyDescent="0.2"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6"/>
    </row>
    <row r="39" spans="2:13" x14ac:dyDescent="0.2"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6"/>
    </row>
    <row r="40" spans="2:13" x14ac:dyDescent="0.2"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6"/>
    </row>
    <row r="41" spans="2:13" x14ac:dyDescent="0.2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6"/>
    </row>
    <row r="42" spans="2:13" x14ac:dyDescent="0.2"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6"/>
    </row>
    <row r="43" spans="2:13" x14ac:dyDescent="0.2"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6"/>
    </row>
    <row r="44" spans="2:13" x14ac:dyDescent="0.2"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6"/>
    </row>
    <row r="45" spans="2:13" x14ac:dyDescent="0.2"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6"/>
    </row>
    <row r="46" spans="2:13" x14ac:dyDescent="0.2"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6"/>
    </row>
    <row r="47" spans="2:13" x14ac:dyDescent="0.2"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6"/>
    </row>
    <row r="48" spans="2:13" x14ac:dyDescent="0.2"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6"/>
    </row>
    <row r="49" spans="2:13" x14ac:dyDescent="0.2"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6"/>
    </row>
    <row r="50" spans="2:13" x14ac:dyDescent="0.2"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6"/>
    </row>
    <row r="51" spans="2:13" x14ac:dyDescent="0.2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6"/>
    </row>
    <row r="52" spans="2:13" x14ac:dyDescent="0.2"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6"/>
    </row>
    <row r="53" spans="2:13" x14ac:dyDescent="0.2"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6"/>
    </row>
    <row r="54" spans="2:13" x14ac:dyDescent="0.2"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6"/>
    </row>
    <row r="55" spans="2:13" x14ac:dyDescent="0.2"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6"/>
    </row>
    <row r="56" spans="2:13" x14ac:dyDescent="0.2"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6"/>
    </row>
    <row r="57" spans="2:13" x14ac:dyDescent="0.2">
      <c r="B57" s="17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6"/>
    </row>
    <row r="58" spans="2:13" x14ac:dyDescent="0.2"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6"/>
    </row>
    <row r="59" spans="2:13" x14ac:dyDescent="0.2"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6"/>
    </row>
    <row r="60" spans="2:13" x14ac:dyDescent="0.2">
      <c r="B60" s="17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6"/>
    </row>
    <row r="61" spans="2:13" x14ac:dyDescent="0.2">
      <c r="B61" s="17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6"/>
    </row>
    <row r="62" spans="2:13" x14ac:dyDescent="0.2">
      <c r="B62" s="26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8"/>
    </row>
  </sheetData>
  <mergeCells count="24">
    <mergeCell ref="B1:L1"/>
    <mergeCell ref="B2:L2"/>
    <mergeCell ref="B4:C4"/>
    <mergeCell ref="D4:E4"/>
    <mergeCell ref="F4:H4"/>
    <mergeCell ref="I4:J4"/>
    <mergeCell ref="K4:L4"/>
    <mergeCell ref="B5:C5"/>
    <mergeCell ref="D5:E5"/>
    <mergeCell ref="F5:H5"/>
    <mergeCell ref="I5:J5"/>
    <mergeCell ref="K5:L5"/>
    <mergeCell ref="B7:C7"/>
    <mergeCell ref="D7:E7"/>
    <mergeCell ref="F7:H7"/>
    <mergeCell ref="I7:J7"/>
    <mergeCell ref="K7:L7"/>
    <mergeCell ref="B29:L29"/>
    <mergeCell ref="B30:L30"/>
    <mergeCell ref="B8:C8"/>
    <mergeCell ref="D8:E8"/>
    <mergeCell ref="F8:H8"/>
    <mergeCell ref="I8:J8"/>
    <mergeCell ref="K8:L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16.0078125" customWidth="1"/>
    <col min="2" max="2" width="9.953125" customWidth="1"/>
    <col min="3" max="4" width="18.0234375" customWidth="1"/>
    <col min="5" max="5" width="9.953125" customWidth="1"/>
    <col min="6" max="6" width="20.04296875" customWidth="1"/>
  </cols>
  <sheetData>
    <row r="1" spans="1:6" x14ac:dyDescent="0.2">
      <c r="A1" s="12" t="s">
        <v>45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</row>
    <row r="2" spans="1:6" x14ac:dyDescent="0.2">
      <c r="A2" s="2" t="s">
        <v>51</v>
      </c>
      <c r="B2" s="2" t="s">
        <v>34</v>
      </c>
      <c r="C2" s="13">
        <v>46303</v>
      </c>
      <c r="D2" s="2" t="s">
        <v>20</v>
      </c>
      <c r="E2" s="4">
        <v>100</v>
      </c>
      <c r="F2" s="2" t="s">
        <v>21</v>
      </c>
    </row>
    <row r="3" spans="1:6" x14ac:dyDescent="0.2">
      <c r="A3" s="2" t="s">
        <v>52</v>
      </c>
      <c r="B3" s="2" t="s">
        <v>35</v>
      </c>
      <c r="C3" s="13">
        <v>46303</v>
      </c>
      <c r="D3" s="2" t="s">
        <v>20</v>
      </c>
      <c r="E3" s="4">
        <v>200</v>
      </c>
      <c r="F3" s="2" t="s">
        <v>21</v>
      </c>
    </row>
    <row r="4" spans="1:6" x14ac:dyDescent="0.2">
      <c r="A4" s="2" t="s">
        <v>53</v>
      </c>
      <c r="B4" s="2" t="s">
        <v>36</v>
      </c>
      <c r="C4" s="13">
        <v>46304</v>
      </c>
      <c r="D4" s="2" t="s">
        <v>20</v>
      </c>
      <c r="E4" s="4">
        <v>50</v>
      </c>
      <c r="F4" s="2" t="s">
        <v>23</v>
      </c>
    </row>
    <row r="5" spans="1:6" x14ac:dyDescent="0.2">
      <c r="A5" s="2" t="s">
        <v>54</v>
      </c>
      <c r="B5" s="2" t="s">
        <v>37</v>
      </c>
      <c r="C5" s="13">
        <v>46304</v>
      </c>
      <c r="D5" s="2" t="s">
        <v>20</v>
      </c>
      <c r="E5" s="4">
        <v>100</v>
      </c>
      <c r="F5" s="2" t="s">
        <v>21</v>
      </c>
    </row>
    <row r="6" spans="1:6" x14ac:dyDescent="0.2">
      <c r="A6" s="2" t="s">
        <v>55</v>
      </c>
      <c r="B6" s="2" t="s">
        <v>38</v>
      </c>
      <c r="C6" s="13">
        <v>46305</v>
      </c>
      <c r="D6" s="2" t="s">
        <v>24</v>
      </c>
      <c r="E6" s="4">
        <v>150</v>
      </c>
      <c r="F6" s="2" t="s">
        <v>21</v>
      </c>
    </row>
    <row r="7" spans="1:6" x14ac:dyDescent="0.2">
      <c r="A7" s="2" t="s">
        <v>56</v>
      </c>
      <c r="B7" s="2" t="s">
        <v>34</v>
      </c>
      <c r="C7" s="13">
        <v>46305</v>
      </c>
      <c r="D7" s="2" t="s">
        <v>22</v>
      </c>
      <c r="E7" s="4">
        <v>75</v>
      </c>
      <c r="F7" s="2" t="s">
        <v>21</v>
      </c>
    </row>
    <row r="8" spans="1:6" x14ac:dyDescent="0.2">
      <c r="A8" s="2" t="s">
        <v>57</v>
      </c>
      <c r="B8" s="2" t="s">
        <v>39</v>
      </c>
      <c r="C8" s="13">
        <v>46306</v>
      </c>
      <c r="D8" s="2" t="s">
        <v>20</v>
      </c>
      <c r="E8" s="4">
        <v>125</v>
      </c>
      <c r="F8" s="2" t="s">
        <v>23</v>
      </c>
    </row>
    <row r="9" spans="1:6" x14ac:dyDescent="0.2">
      <c r="A9" s="2" t="s">
        <v>58</v>
      </c>
      <c r="B9" s="2" t="s">
        <v>40</v>
      </c>
      <c r="C9" s="13">
        <v>46306</v>
      </c>
      <c r="D9" s="2" t="s">
        <v>22</v>
      </c>
      <c r="E9" s="4">
        <v>100</v>
      </c>
      <c r="F9" s="2" t="s">
        <v>21</v>
      </c>
    </row>
    <row r="11" spans="1:6" x14ac:dyDescent="0.2">
      <c r="A11" s="14" t="s">
        <v>59</v>
      </c>
    </row>
  </sheetData>
  <autoFilter ref="A1:F9" xr:uid="{00000000-0009-0000-0000-000001000000}"/>
  <conditionalFormatting sqref="F2:F9">
    <cfRule type="cellIs" dxfId="1" priority="2" operator="equal">
      <formula>"Success"</formula>
    </cfRule>
    <cfRule type="cellIs" dxfId="0" priority="3" operator="equal">
      <formula>"Pending"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2026-10-14T08:56:00Z</dcterms:created>
  <dcterms:modified xsi:type="dcterms:W3CDTF">2026-10-14T08:56:02Z</dcterms:modified>
  <dc:language>en-US</dc:language>
</cp:coreProperties>
</file>