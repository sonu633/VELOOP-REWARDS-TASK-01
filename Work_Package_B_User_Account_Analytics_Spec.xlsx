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1 Identity" sheetId="2" state="visible" r:id="rId4"/>
    <sheet name="B2 Registration" sheetId="3" state="visible" r:id="rId5"/>
    <sheet name="B2 Login" sheetId="4" state="visible" r:id="rId6"/>
    <sheet name="B2 Onboarding" sheetId="5" state="visible" r:id="rId7"/>
    <sheet name="B2 Account Lifecycle" sheetId="6" state="visible" r:id="rId8"/>
    <sheet name="B2 Event Envelope" sheetId="7" state="visible" r:id="rId9"/>
    <sheet name="Transaction Link" sheetId="8" state="visible" r:id="rId10"/>
    <sheet name="Validation Rules" sheetId="9" state="visible" r:id="rId11"/>
    <sheet name="Privacy" sheetId="10" state="visible" r:id="rId12"/>
    <sheet name="Summar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<sst xmlns="http://schemas.openxmlformats.org/spreadsheetml/2006/main" count="466" uniqueCount="287">
  <si>
    <t xml:space="preserve">Work Package B – User &amp; Account Analytics Specification</t>
  </si>
  <si>
    <t xml:space="preserve">Scope: Registration, Login, Onboarding, Account Lifecycle</t>
  </si>
  <si>
    <t xml:space="preserve">Objective</t>
  </si>
  <si>
    <t xml:space="preserve">Define the data structure needed to understand the full user lifecycle, from registration to churn.</t>
  </si>
  <si>
    <t xml:space="preserve">Sheets</t>
  </si>
  <si>
    <t xml:space="preserve">B1 Identity | B2 Registration | B2 Login | B2 Onboarding | B2 Account Lifecycle | B2 Event Envelope | Transaction Link | Validation Rules | Privacy | Summary</t>
  </si>
  <si>
    <t xml:space="preserve">Status: Core</t>
  </si>
  <si>
    <t xml:space="preserve">Required for baseline lifecycle analytics.</t>
  </si>
  <si>
    <t xml:space="preserve">Status: Recommended</t>
  </si>
  <si>
    <t xml:space="preserve">High value and low effort. Include in the first release if possible.</t>
  </si>
  <si>
    <t xml:space="preserve">Status: Optional</t>
  </si>
  <si>
    <t xml:space="preserve">Add only if the use case exists.</t>
  </si>
  <si>
    <t xml:space="preserve">Status: Confirm</t>
  </si>
  <si>
    <t xml:space="preserve">Depends on technical or legal validation before implementation.</t>
  </si>
  <si>
    <t xml:space="preserve">Privacy principle</t>
  </si>
  <si>
    <t xml:space="preserve">No unnecessary personal information is requested. See the 'Privacy' sheet.</t>
  </si>
  <si>
    <t xml:space="preserve">Timestamps</t>
  </si>
  <si>
    <t xml:space="preserve">All timestamps are stored in UTC, ISO 8601 format.</t>
  </si>
  <si>
    <t xml:space="preserve">B1. User Identity Requirements</t>
  </si>
  <si>
    <t xml:space="preserve">Identifier</t>
  </si>
  <si>
    <t xml:space="preserve">Definition</t>
  </si>
  <si>
    <t xml:space="preserve">Why it is needed</t>
  </si>
  <si>
    <t xml:space="preserve">Rules</t>
  </si>
  <si>
    <t xml:space="preserve">user_id</t>
  </si>
  <si>
    <t xml:space="preserve">Stable, opaque, system-generated ID (e.g., UUIDv4) assigned at account creation</t>
  </si>
  <si>
    <t xml:space="preserve">Links every registration, login, onboarding, and lifecycle event to one person. Supports cohort, retention, and churn analysis over the whole lifetime.</t>
  </si>
  <si>
    <t xml:space="preserve">Never reused or changed. Must not be an email, phone number, or username, because those can change and are personal data. Present on every post-registration event.</t>
  </si>
  <si>
    <t xml:space="preserve">event_id</t>
  </si>
  <si>
    <t xml:space="preserve">Unique ID (UUID) generated for each tracked event</t>
  </si>
  <si>
    <t xml:space="preserve">Prevents double counting when events are retried or sent twice. Supports debugging, audit trails, and reconciling data between systems.</t>
  </si>
  <si>
    <t xml:space="preserve">Generated when the event occurs. Unique across all event types. Used as the deduplication key in the warehouse.</t>
  </si>
  <si>
    <t xml:space="preserve">session_id</t>
  </si>
  <si>
    <t xml:space="preserve">ID for one continuous period of activity, created at login or app open and ended by logout or inactivity timeout (e.g., 30 min)</t>
  </si>
  <si>
    <t xml:space="preserve">Groups events into visits. Enables session length, frequency, login-to-action funnels, and detection of unusual login patterns.</t>
  </si>
  <si>
    <t xml:space="preserve">Opaque and non-guessable. Rotates on each new session. Not an authentication token and must never be reused as one.</t>
  </si>
  <si>
    <t xml:space="preserve">transaction_id</t>
  </si>
  <si>
    <t xml:space="preserve">ID for one value-bearing action (payment, purchase, top-up, withdrawal, subscription change)</t>
  </si>
  <si>
    <t xml:space="preserve">Connects behavioral events to financial records. Supports reconciliation against the payment provider or ledger and refund tracking.</t>
  </si>
  <si>
    <t xml:space="preserve">Unique per transaction. Mapped to the provider's reference. Stored in analytics only as a reference, never with card or bank details.</t>
  </si>
  <si>
    <t xml:space="preserve">anonymous_id (optional)</t>
  </si>
  <si>
    <t xml:space="preserve">Device or browser ID assigned before registration</t>
  </si>
  <si>
    <t xml:space="preserve">Stitches pre-registration behavior (e.g., first visit) to the user after registration, which supports acquisition attribution.</t>
  </si>
  <si>
    <t xml:space="preserve">Requires consent where applicable. Linked to user_id at registration, then retired from person-level reporting.</t>
  </si>
  <si>
    <t xml:space="preserve">B2. Registration</t>
  </si>
  <si>
    <t xml:space="preserve">Field</t>
  </si>
  <si>
    <t xml:space="preserve">Type</t>
  </si>
  <si>
    <t xml:space="preserve">Required?</t>
  </si>
  <si>
    <t xml:space="preserve">Purpose</t>
  </si>
  <si>
    <t xml:space="preserve">Source</t>
  </si>
  <si>
    <t xml:space="preserve">Validation</t>
  </si>
  <si>
    <t xml:space="preserve">Status</t>
  </si>
  <si>
    <t xml:space="preserve">String</t>
  </si>
  <si>
    <t xml:space="preserve">Yes</t>
  </si>
  <si>
    <t xml:space="preserve">Assigned at account creation</t>
  </si>
  <si>
    <t xml:space="preserve">Backend</t>
  </si>
  <si>
    <t xml:space="preserve">Unique, immutable</t>
  </si>
  <si>
    <t xml:space="preserve">Core</t>
  </si>
  <si>
    <t xml:space="preserve">registration_timestamp</t>
  </si>
  <si>
    <t xml:space="preserve">Timestamp (UTC)</t>
  </si>
  <si>
    <t xml:space="preserve">Start of lifecycle and cohort assignment</t>
  </si>
  <si>
    <t xml:space="preserve">Not null. Not later than first login.</t>
  </si>
  <si>
    <t xml:space="preserve">registration_source</t>
  </si>
  <si>
    <t xml:space="preserve">Enum: organic / paid / referral / partner / direct / other</t>
  </si>
  <si>
    <t xml:space="preserve">Channel performance and acquisition quality</t>
  </si>
  <si>
    <t xml:space="preserve">Attribution logic</t>
  </si>
  <si>
    <t xml:space="preserve">Allowed values. Default 'unknown'.</t>
  </si>
  <si>
    <t xml:space="preserve">registration_method</t>
  </si>
  <si>
    <t xml:space="preserve">Enum: email / social / SSO / phone</t>
  </si>
  <si>
    <t xml:space="preserve">Recommended</t>
  </si>
  <si>
    <t xml:space="preserve">Compares sign-up methods and conversion</t>
  </si>
  <si>
    <t xml:space="preserve">Auth system</t>
  </si>
  <si>
    <t xml:space="preserve">Allowed values</t>
  </si>
  <si>
    <t xml:space="preserve">platform</t>
  </si>
  <si>
    <t xml:space="preserve">Enum: web / ios / android / other</t>
  </si>
  <si>
    <t xml:space="preserve">Platform segmentation</t>
  </si>
  <si>
    <t xml:space="preserve">Client SDK</t>
  </si>
  <si>
    <t xml:space="preserve">Allowed values only</t>
  </si>
  <si>
    <t xml:space="preserve">device_type</t>
  </si>
  <si>
    <t xml:space="preserve">Enum: desktop / mobile / tablet</t>
  </si>
  <si>
    <t xml:space="preserve">Device segmentation</t>
  </si>
  <si>
    <t xml:space="preserve">Client SDK or user agent</t>
  </si>
  <si>
    <t xml:space="preserve">os_family / browser_family</t>
  </si>
  <si>
    <t xml:space="preserve">Optional</t>
  </si>
  <si>
    <t xml:space="preserve">Debugging and platform-specific funnel analysis</t>
  </si>
  <si>
    <t xml:space="preserve">User agent</t>
  </si>
  <si>
    <t xml:space="preserve">Normalized list</t>
  </si>
  <si>
    <t xml:space="preserve">utm_source / utm_medium / utm_campaign</t>
  </si>
  <si>
    <t xml:space="preserve">Campaign-level attribution</t>
  </si>
  <si>
    <t xml:space="preserve">URL parameters at first visit</t>
  </si>
  <si>
    <t xml:space="preserve">Max length, sanitized, lowercase</t>
  </si>
  <si>
    <t xml:space="preserve">referrer_code</t>
  </si>
  <si>
    <t xml:space="preserve">Referral program tracking</t>
  </si>
  <si>
    <t xml:space="preserve">Sign-up link</t>
  </si>
  <si>
    <t xml:space="preserve">Valid code or null</t>
  </si>
  <si>
    <t xml:space="preserve">country</t>
  </si>
  <si>
    <t xml:space="preserve">String (ISO 3166-1 alpha-2)</t>
  </si>
  <si>
    <t xml:space="preserve">Regional analysis and compliance reporting</t>
  </si>
  <si>
    <t xml:space="preserve">Derived from IP at event time (IP not stored)</t>
  </si>
  <si>
    <t xml:space="preserve">Valid ISO code</t>
  </si>
  <si>
    <t xml:space="preserve">language / locale</t>
  </si>
  <si>
    <t xml:space="preserve">String (BCP 47)</t>
  </si>
  <si>
    <t xml:space="preserve">Localization analysis</t>
  </si>
  <si>
    <t xml:space="preserve">Client</t>
  </si>
  <si>
    <t xml:space="preserve">Valid locale</t>
  </si>
  <si>
    <t xml:space="preserve">consent_status</t>
  </si>
  <si>
    <t xml:space="preserve">Enum / boolean flags</t>
  </si>
  <si>
    <t xml:space="preserve">Yes (where required by law)</t>
  </si>
  <si>
    <t xml:space="preserve">Controls which tracking is permitted</t>
  </si>
  <si>
    <t xml:space="preserve">Consent manager</t>
  </si>
  <si>
    <t xml:space="preserve">Recorded with timestamp</t>
  </si>
  <si>
    <t xml:space="preserve">Confirm</t>
  </si>
  <si>
    <t xml:space="preserve">B2. Login</t>
  </si>
  <si>
    <t xml:space="preserve">login_event (login_success / login_failed)</t>
  </si>
  <si>
    <t xml:space="preserve">Event name</t>
  </si>
  <si>
    <t xml:space="preserve">Activity, retention, and authentication friction</t>
  </si>
  <si>
    <t xml:space="preserve">Auth service</t>
  </si>
  <si>
    <t xml:space="preserve">Enum value</t>
  </si>
  <si>
    <t xml:space="preserve">login_timestamp</t>
  </si>
  <si>
    <t xml:space="preserve">Recency and frequency measurement</t>
  </si>
  <si>
    <t xml:space="preserve">Server</t>
  </si>
  <si>
    <t xml:space="preserve">Not before registration_timestamp</t>
  </si>
  <si>
    <t xml:space="preserve">Links the login to later activity</t>
  </si>
  <si>
    <t xml:space="preserve">Session service</t>
  </si>
  <si>
    <t xml:space="preserve">Unique per login</t>
  </si>
  <si>
    <t xml:space="preserve">platform / device_type</t>
  </si>
  <si>
    <t xml:space="preserve">Enum</t>
  </si>
  <si>
    <t xml:space="preserve">Segmentation</t>
  </si>
  <si>
    <t xml:space="preserve">login_method</t>
  </si>
  <si>
    <t xml:space="preserve">Enum: password / social / SSO / biometric / magic_link</t>
  </si>
  <si>
    <t xml:space="preserve">Method adoption and failure analysis</t>
  </si>
  <si>
    <t xml:space="preserve">failure_reason</t>
  </si>
  <si>
    <t xml:space="preserve">Enum: bad_credentials / locked / mfa_failed / other</t>
  </si>
  <si>
    <t xml:space="preserve">Required if failed</t>
  </si>
  <si>
    <t xml:space="preserve">Diagnosing login friction</t>
  </si>
  <si>
    <t xml:space="preserve">Required only when login_failed</t>
  </si>
  <si>
    <t xml:space="preserve">is_first_login</t>
  </si>
  <si>
    <t xml:space="preserve">Boolean</t>
  </si>
  <si>
    <t xml:space="preserve">Activation measurement</t>
  </si>
  <si>
    <t xml:space="preserve">Derived</t>
  </si>
  <si>
    <t xml:space="preserve">Matches login history</t>
  </si>
  <si>
    <t xml:space="preserve">B2. Onboarding</t>
  </si>
  <si>
    <t xml:space="preserve">onboarding_started_at</t>
  </si>
  <si>
    <t xml:space="preserve">Timestamp</t>
  </si>
  <si>
    <t xml:space="preserve">Start of the activation funnel</t>
  </si>
  <si>
    <t xml:space="preserve">App event</t>
  </si>
  <si>
    <t xml:space="preserve">Not before registration</t>
  </si>
  <si>
    <t xml:space="preserve">onboarding_completed_at</t>
  </si>
  <si>
    <t xml:space="preserve">Yes, once completed</t>
  </si>
  <si>
    <t xml:space="preserve">Completion rate and time to complete</t>
  </si>
  <si>
    <t xml:space="preserve">Not before started_at. Null if incomplete.</t>
  </si>
  <si>
    <t xml:space="preserve">onboarding_status</t>
  </si>
  <si>
    <t xml:space="preserve">Enum: not_started / in_progress / completed / skipped</t>
  </si>
  <si>
    <t xml:space="preserve">Current state for funnel reporting</t>
  </si>
  <si>
    <t xml:space="preserve">Consistent with timestamps</t>
  </si>
  <si>
    <t xml:space="preserve">onboarding_step</t>
  </si>
  <si>
    <t xml:space="preserve">String (enum from step list)</t>
  </si>
  <si>
    <t xml:space="preserve">Yes per step event</t>
  </si>
  <si>
    <t xml:space="preserve">Drop-off by step</t>
  </si>
  <si>
    <t xml:space="preserve">Must match the defined step list</t>
  </si>
  <si>
    <t xml:space="preserve">step_completed_at</t>
  </si>
  <si>
    <t xml:space="preserve">Step durations</t>
  </si>
  <si>
    <t xml:space="preserve">Ordered within the funnel</t>
  </si>
  <si>
    <t xml:space="preserve">milestone_name</t>
  </si>
  <si>
    <t xml:space="preserve">Enum (e.g., profile_completed, first_key_action, first_transaction, verification_passed)</t>
  </si>
  <si>
    <t xml:space="preserve">Yes per milestone</t>
  </si>
  <si>
    <t xml:space="preserve">Measures activation. Milestones are defined per product.</t>
  </si>
  <si>
    <t xml:space="preserve">App or backend</t>
  </si>
  <si>
    <t xml:space="preserve">Approved milestone list</t>
  </si>
  <si>
    <t xml:space="preserve">milestone_timestamp</t>
  </si>
  <si>
    <t xml:space="preserve">Time-to-value and activation analysis</t>
  </si>
  <si>
    <t xml:space="preserve">After registration. Recorded once per milestone.</t>
  </si>
  <si>
    <t xml:space="preserve">onboarding_variant</t>
  </si>
  <si>
    <t xml:space="preserve">A/B test analysis</t>
  </si>
  <si>
    <t xml:space="preserve">Experiment platform</t>
  </si>
  <si>
    <t xml:space="preserve">Known variant IDs</t>
  </si>
  <si>
    <t xml:space="preserve">B2. Account Lifecycle</t>
  </si>
  <si>
    <t xml:space="preserve">account_created_at</t>
  </si>
  <si>
    <t xml:space="preserve">Cohort anchor (equals registration_timestamp)</t>
  </si>
  <si>
    <t xml:space="preserve">Immutable</t>
  </si>
  <si>
    <t xml:space="preserve">account_status</t>
  </si>
  <si>
    <t xml:space="preserve">Enum: pending / active / inactive / suspended / closed / deleted</t>
  </si>
  <si>
    <t xml:space="preserve">Current state for reporting</t>
  </si>
  <si>
    <t xml:space="preserve">Allowed values and valid transitions only</t>
  </si>
  <si>
    <t xml:space="preserve">status_change_event (previous_status, new_status)</t>
  </si>
  <si>
    <t xml:space="preserve">Event</t>
  </si>
  <si>
    <t xml:space="preserve">Yes on every change</t>
  </si>
  <si>
    <t xml:space="preserve">Complete audit trail and churn analysis</t>
  </si>
  <si>
    <t xml:space="preserve">Previous status matches last recorded status</t>
  </si>
  <si>
    <t xml:space="preserve">status_changed_at</t>
  </si>
  <si>
    <t xml:space="preserve">Time spent in each status</t>
  </si>
  <si>
    <t xml:space="preserve">Chronological order</t>
  </si>
  <si>
    <t xml:space="preserve">status_change_reason</t>
  </si>
  <si>
    <t xml:space="preserve">Enum: user_request / inactivity / policy / fraud / payment / other</t>
  </si>
  <si>
    <t xml:space="preserve">Separates voluntary from involuntary churn</t>
  </si>
  <si>
    <t xml:space="preserve">Backend or ops tool</t>
  </si>
  <si>
    <t xml:space="preserve">last_activity_at</t>
  </si>
  <si>
    <t xml:space="preserve">Recency, dormancy, and churn flags</t>
  </si>
  <si>
    <t xml:space="preserve">Derived from latest meaningful event</t>
  </si>
  <si>
    <t xml:space="preserve">Updated only by qualifying activity events, not background pings</t>
  </si>
  <si>
    <t xml:space="preserve">last_login_at</t>
  </si>
  <si>
    <t xml:space="preserve">Login-based recency</t>
  </si>
  <si>
    <t xml:space="preserve">first_value_at</t>
  </si>
  <si>
    <t xml:space="preserve">Time to first value</t>
  </si>
  <si>
    <t xml:space="preserve">Derived from a milestone</t>
  </si>
  <si>
    <t xml:space="preserve">After registration</t>
  </si>
  <si>
    <t xml:space="preserve">reactivated_at</t>
  </si>
  <si>
    <t xml:space="preserve">Win-back analysis</t>
  </si>
  <si>
    <t xml:space="preserve">Only after an inactive or closed status</t>
  </si>
  <si>
    <t xml:space="preserve">deletion_requested_at / deleted_at</t>
  </si>
  <si>
    <t xml:space="preserve">Where applicable</t>
  </si>
  <si>
    <t xml:space="preserve">Privacy compliance and accurate churn reporting</t>
  </si>
  <si>
    <t xml:space="preserve">Retention rules applied</t>
  </si>
  <si>
    <t xml:space="preserve">B2. Common Event Envelope (on every event)</t>
  </si>
  <si>
    <t xml:space="preserve">String (UUID)</t>
  </si>
  <si>
    <t xml:space="preserve">Deduplication and audit</t>
  </si>
  <si>
    <t xml:space="preserve">Client or server SDK</t>
  </si>
  <si>
    <t xml:space="preserve">Valid UUID, unique</t>
  </si>
  <si>
    <t xml:space="preserve">event_name</t>
  </si>
  <si>
    <t xml:space="preserve">String (enum)</t>
  </si>
  <si>
    <t xml:space="preserve">Identifies the event type</t>
  </si>
  <si>
    <t xml:space="preserve">Tracking plan</t>
  </si>
  <si>
    <t xml:space="preserve">Must match the approved event list</t>
  </si>
  <si>
    <t xml:space="preserve">event_timestamp</t>
  </si>
  <si>
    <t xml:space="preserve">Timestamp (UTC, ISO 8601)</t>
  </si>
  <si>
    <t xml:space="preserve">Ordering and time-based analysis</t>
  </si>
  <si>
    <t xml:space="preserve">Server-generated preferred</t>
  </si>
  <si>
    <t xml:space="preserve">Not in the future. Within accepted lag of received time.</t>
  </si>
  <si>
    <t xml:space="preserve">Yes (after registration)</t>
  </si>
  <si>
    <t xml:space="preserve">Person-level linking</t>
  </si>
  <si>
    <t xml:space="preserve">Exists in the user table</t>
  </si>
  <si>
    <t xml:space="preserve">Yes (logged-in events)</t>
  </si>
  <si>
    <t xml:space="preserve">Session grouping</t>
  </si>
  <si>
    <t xml:space="preserve">Non-null while authenticated</t>
  </si>
  <si>
    <t xml:space="preserve">Segmentation by platform</t>
  </si>
  <si>
    <t xml:space="preserve">app_version</t>
  </si>
  <si>
    <t xml:space="preserve">Linking issues to releases</t>
  </si>
  <si>
    <t xml:space="preserve">Version pattern</t>
  </si>
  <si>
    <t xml:space="preserve">Transaction Linkage (reference only)</t>
  </si>
  <si>
    <t xml:space="preserve">Yes on value events</t>
  </si>
  <si>
    <t xml:space="preserve">Links behavior to financial records</t>
  </si>
  <si>
    <t xml:space="preserve">Payment or order system</t>
  </si>
  <si>
    <t xml:space="preserve">Unique. Matches provider reference.</t>
  </si>
  <si>
    <t xml:space="preserve">Attributes the transaction to a user</t>
  </si>
  <si>
    <t xml:space="preserve">Must exist</t>
  </si>
  <si>
    <t xml:space="preserve">transaction_timestamp</t>
  </si>
  <si>
    <t xml:space="preserve">Time to first transaction and revenue timing</t>
  </si>
  <si>
    <t xml:space="preserve">Not null</t>
  </si>
  <si>
    <t xml:space="preserve">Cross-Field Validation Rules</t>
  </si>
  <si>
    <t xml:space="preserve">#</t>
  </si>
  <si>
    <t xml:space="preserve">Rule</t>
  </si>
  <si>
    <t xml:space="preserve">Reason</t>
  </si>
  <si>
    <t xml:space="preserve">registration_timestamp ≤ first login_timestamp ≤ onboarding_started_at</t>
  </si>
  <si>
    <t xml:space="preserve">Prevents impossible event ordering</t>
  </si>
  <si>
    <t xml:space="preserve">onboarding_started_at ≤ onboarding_completed_at</t>
  </si>
  <si>
    <t xml:space="preserve">Completion cannot precede start</t>
  </si>
  <si>
    <t xml:space="preserve">last_activity_at ≥ account_created_at</t>
  </si>
  <si>
    <t xml:space="preserve">Activity cannot predate the account</t>
  </si>
  <si>
    <t xml:space="preserve">Status transitions must follow an approved state map (e.g., closed cannot go to pending)</t>
  </si>
  <si>
    <t xml:space="preserve">Keeps the lifecycle history valid</t>
  </si>
  <si>
    <t xml:space="preserve">Every session_id must map to a user_id and a login event</t>
  </si>
  <si>
    <t xml:space="preserve">Prevents orphaned sessions</t>
  </si>
  <si>
    <t xml:space="preserve">event_id must be unique. Duplicate IDs are dropped at ingestion.</t>
  </si>
  <si>
    <t xml:space="preserve">Prevents double counting</t>
  </si>
  <si>
    <t xml:space="preserve">Data Minimization &amp; Privacy Rules</t>
  </si>
  <si>
    <t xml:space="preserve">Topic</t>
  </si>
  <si>
    <t xml:space="preserve">Not collected</t>
  </si>
  <si>
    <t xml:space="preserve">Name, date of birth, phone number, home address, precise location, government IDs, contact lists. None are needed for lifecycle analytics.</t>
  </si>
  <si>
    <t xml:space="preserve">Email</t>
  </si>
  <si>
    <t xml:space="preserve">Kept in the account system only. Analytics uses user_id. If matching is needed, use a salted hash.</t>
  </si>
  <si>
    <t xml:space="preserve">IP address</t>
  </si>
  <si>
    <t xml:space="preserve">Used transiently to derive country. Not stored in analytics tables.</t>
  </si>
  <si>
    <t xml:space="preserve">Device identifiers</t>
  </si>
  <si>
    <t xml:space="preserve">First-party or resettable IDs only. Respect platform consent rules.</t>
  </si>
  <si>
    <t xml:space="preserve">Payment data</t>
  </si>
  <si>
    <t xml:space="preserve">Never enters analytics. Only transaction_id and non-sensitive attributes do.</t>
  </si>
  <si>
    <t xml:space="preserve">Access and retention</t>
  </si>
  <si>
    <t xml:space="preserve">Restrict person-level data by role. Apply retention periods and deletion requests (e.g., GDPR/CCPA) to analytics tables.</t>
  </si>
  <si>
    <t xml:space="preserve">Field Count Summary</t>
  </si>
  <si>
    <t xml:space="preserve">Counts are formulas that update if fields are added to the specification sheets.</t>
  </si>
  <si>
    <t xml:space="preserve">Sheet</t>
  </si>
  <si>
    <t xml:space="preserve">Total</t>
  </si>
  <si>
    <t xml:space="preserve">B2 Registration</t>
  </si>
  <si>
    <t xml:space="preserve">B2 Login</t>
  </si>
  <si>
    <t xml:space="preserve">B2 Onboarding</t>
  </si>
  <si>
    <t xml:space="preserve">B2 Account Lifecycle</t>
  </si>
  <si>
    <t xml:space="preserve">B2 Event Envelope</t>
  </si>
  <si>
    <t xml:space="preserve">Transaction Link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</si>
</sst>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9E2F3"/>
      </patternFill>
    </fill>
    <fill>
      <patternFill patternType="solid">
        <fgColor rgb="FFFFEB9C"/>
        <bgColor rgb="FFF8CBAD"/>
      </patternFill>
    </fill>
    <fill>
      <patternFill patternType="solid">
        <fgColor rgb="FFEDEDED"/>
        <bgColor rgb="FFD9E2F3"/>
      </patternFill>
    </fill>
    <fill>
      <patternFill patternType="solid">
        <fgColor rgb="FFF8CBAD"/>
        <b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6" t="s">
        <v>8</v>
      </c>
      <c r="B7" s="4" t="s">
        <v>9</v>
      </c>
    </row>
    <row r="8" customFormat="false" ht="15" hidden="false" customHeight="false" outlineLevel="0" collapsed="false">
      <c r="A8" s="7" t="s">
        <v>10</v>
      </c>
      <c r="B8" s="4" t="s">
        <v>11</v>
      </c>
    </row>
    <row r="9" customFormat="false" ht="15" hidden="false" customHeight="false" outlineLevel="0" collapsed="false">
      <c r="A9" s="8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4" min="3" style="0" width="60"/>
  </cols>
  <sheetData>
    <row r="1" customFormat="false" ht="17.35" hidden="false" customHeight="false" outlineLevel="0" collapsed="false">
      <c r="A1" s="1" t="s">
        <v>18</v>
      </c>
    </row>
    <row r="3" customFormat="false" ht="15" hidden="false" customHeight="false" outlineLevel="0" collapsed="false">
      <c r="A3" s="9" t="s">
        <v>19</v>
      </c>
      <c r="B3" s="9" t="s">
        <v>20</v>
      </c>
      <c r="C3" s="9" t="s">
        <v>21</v>
      </c>
      <c r="D3" s="9" t="s">
        <v>22</v>
      </c>
    </row>
    <row r="4" customFormat="false" ht="35.05" hidden="false" customHeight="false" outlineLevel="0" collapsed="false">
      <c r="A4" s="4" t="s">
        <v>23</v>
      </c>
      <c r="B4" s="4" t="s">
        <v>24</v>
      </c>
      <c r="C4" s="4" t="s">
        <v>25</v>
      </c>
      <c r="D4" s="4" t="s">
        <v>26</v>
      </c>
    </row>
    <row r="5" customFormat="false" ht="23.85" hidden="false" customHeight="false" outlineLevel="0" collapsed="false">
      <c r="A5" s="4" t="s">
        <v>27</v>
      </c>
      <c r="B5" s="4" t="s">
        <v>28</v>
      </c>
      <c r="C5" s="4" t="s">
        <v>29</v>
      </c>
      <c r="D5" s="4" t="s">
        <v>30</v>
      </c>
    </row>
    <row r="6" customFormat="false" ht="35.05" hidden="false" customHeight="false" outlineLevel="0" collapsed="false">
      <c r="A6" s="4" t="s">
        <v>31</v>
      </c>
      <c r="B6" s="4" t="s">
        <v>32</v>
      </c>
      <c r="C6" s="4" t="s">
        <v>33</v>
      </c>
      <c r="D6" s="4" t="s">
        <v>34</v>
      </c>
    </row>
    <row r="7" customFormat="false" ht="23.85" hidden="false" customHeight="false" outlineLevel="0" collapsed="false">
      <c r="A7" s="4" t="s">
        <v>35</v>
      </c>
      <c r="B7" s="4" t="s">
        <v>36</v>
      </c>
      <c r="C7" s="4" t="s">
        <v>37</v>
      </c>
      <c r="D7" s="4" t="s">
        <v>38</v>
      </c>
    </row>
    <row r="8" customFormat="false" ht="23.85" hidden="false" customHeight="false" outlineLevel="0" collapsed="false">
      <c r="A8" s="4" t="s">
        <v>39</v>
      </c>
      <c r="B8" s="4" t="s">
        <v>40</v>
      </c>
      <c r="C8" s="4" t="s">
        <v>41</v>
      </c>
      <c r="D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43</v>
      </c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</row>
    <row r="4" customFormat="false" ht="15" hidden="false" customHeight="false" outlineLevel="0" collapsed="false">
      <c r="A4" s="4" t="s">
        <v>23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10" t="s">
        <v>56</v>
      </c>
    </row>
    <row r="5" customFormat="false" ht="15" hidden="false" customHeight="false" outlineLevel="0" collapsed="false">
      <c r="A5" s="4" t="s">
        <v>57</v>
      </c>
      <c r="B5" s="4" t="s">
        <v>58</v>
      </c>
      <c r="C5" s="4" t="s">
        <v>52</v>
      </c>
      <c r="D5" s="4" t="s">
        <v>59</v>
      </c>
      <c r="E5" s="4" t="s">
        <v>54</v>
      </c>
      <c r="F5" s="4" t="s">
        <v>60</v>
      </c>
      <c r="G5" s="10" t="s">
        <v>56</v>
      </c>
    </row>
    <row r="6" customFormat="false" ht="35.05" hidden="false" customHeight="false" outlineLevel="0" collapsed="false">
      <c r="A6" s="4" t="s">
        <v>61</v>
      </c>
      <c r="B6" s="4" t="s">
        <v>62</v>
      </c>
      <c r="C6" s="4" t="s">
        <v>52</v>
      </c>
      <c r="D6" s="4" t="s">
        <v>63</v>
      </c>
      <c r="E6" s="4" t="s">
        <v>64</v>
      </c>
      <c r="F6" s="4" t="s">
        <v>65</v>
      </c>
      <c r="G6" s="10" t="s">
        <v>56</v>
      </c>
    </row>
    <row r="7" customFormat="false" ht="23.85" hidden="false" customHeight="false" outlineLevel="0" collapsed="false">
      <c r="A7" s="4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11" t="s">
        <v>68</v>
      </c>
    </row>
    <row r="8" customFormat="false" ht="23.85" hidden="false" customHeight="false" outlineLevel="0" collapsed="false">
      <c r="A8" s="4" t="s">
        <v>72</v>
      </c>
      <c r="B8" s="4" t="s">
        <v>73</v>
      </c>
      <c r="C8" s="4" t="s">
        <v>52</v>
      </c>
      <c r="D8" s="4" t="s">
        <v>74</v>
      </c>
      <c r="E8" s="4" t="s">
        <v>75</v>
      </c>
      <c r="F8" s="4" t="s">
        <v>76</v>
      </c>
      <c r="G8" s="10" t="s">
        <v>56</v>
      </c>
    </row>
    <row r="9" customFormat="false" ht="23.85" hidden="false" customHeight="false" outlineLevel="0" collapsed="false">
      <c r="A9" s="4" t="s">
        <v>77</v>
      </c>
      <c r="B9" s="4" t="s">
        <v>78</v>
      </c>
      <c r="C9" s="4" t="s">
        <v>52</v>
      </c>
      <c r="D9" s="4" t="s">
        <v>79</v>
      </c>
      <c r="E9" s="4" t="s">
        <v>80</v>
      </c>
      <c r="F9" s="4" t="s">
        <v>71</v>
      </c>
      <c r="G9" s="10" t="s">
        <v>56</v>
      </c>
    </row>
    <row r="10" customFormat="false" ht="15" hidden="false" customHeight="false" outlineLevel="0" collapsed="false">
      <c r="A10" s="4" t="s">
        <v>81</v>
      </c>
      <c r="B10" s="4" t="s">
        <v>51</v>
      </c>
      <c r="C10" s="4" t="s">
        <v>82</v>
      </c>
      <c r="D10" s="4" t="s">
        <v>83</v>
      </c>
      <c r="E10" s="4" t="s">
        <v>84</v>
      </c>
      <c r="F10" s="4" t="s">
        <v>85</v>
      </c>
      <c r="G10" s="12" t="s">
        <v>82</v>
      </c>
    </row>
    <row r="11" customFormat="false" ht="23.85" hidden="false" customHeight="false" outlineLevel="0" collapsed="false">
      <c r="A11" s="4" t="s">
        <v>86</v>
      </c>
      <c r="B11" s="4" t="s">
        <v>51</v>
      </c>
      <c r="C11" s="4" t="s">
        <v>68</v>
      </c>
      <c r="D11" s="4" t="s">
        <v>87</v>
      </c>
      <c r="E11" s="4" t="s">
        <v>88</v>
      </c>
      <c r="F11" s="4" t="s">
        <v>89</v>
      </c>
      <c r="G11" s="11" t="s">
        <v>68</v>
      </c>
    </row>
    <row r="12" customFormat="false" ht="15" hidden="false" customHeight="false" outlineLevel="0" collapsed="false">
      <c r="A12" s="4" t="s">
        <v>90</v>
      </c>
      <c r="B12" s="4" t="s">
        <v>51</v>
      </c>
      <c r="C12" s="4" t="s">
        <v>82</v>
      </c>
      <c r="D12" s="4" t="s">
        <v>91</v>
      </c>
      <c r="E12" s="4" t="s">
        <v>92</v>
      </c>
      <c r="F12" s="4" t="s">
        <v>93</v>
      </c>
      <c r="G12" s="12" t="s">
        <v>82</v>
      </c>
    </row>
    <row r="13" customFormat="false" ht="23.85" hidden="false" customHeight="false" outlineLevel="0" collapsed="false">
      <c r="A13" s="4" t="s">
        <v>94</v>
      </c>
      <c r="B13" s="4" t="s">
        <v>95</v>
      </c>
      <c r="C13" s="4" t="s">
        <v>68</v>
      </c>
      <c r="D13" s="4" t="s">
        <v>96</v>
      </c>
      <c r="E13" s="4" t="s">
        <v>97</v>
      </c>
      <c r="F13" s="4" t="s">
        <v>98</v>
      </c>
      <c r="G13" s="11" t="s">
        <v>68</v>
      </c>
    </row>
    <row r="14" customFormat="false" ht="15" hidden="false" customHeight="false" outlineLevel="0" collapsed="false">
      <c r="A14" s="4" t="s">
        <v>99</v>
      </c>
      <c r="B14" s="4" t="s">
        <v>100</v>
      </c>
      <c r="C14" s="4" t="s">
        <v>82</v>
      </c>
      <c r="D14" s="4" t="s">
        <v>101</v>
      </c>
      <c r="E14" s="4" t="s">
        <v>102</v>
      </c>
      <c r="F14" s="4" t="s">
        <v>103</v>
      </c>
      <c r="G14" s="12" t="s">
        <v>82</v>
      </c>
    </row>
    <row r="15" customFormat="false" ht="23.85" hidden="false" customHeight="false" outlineLevel="0" collapsed="false">
      <c r="A15" s="4" t="s">
        <v>104</v>
      </c>
      <c r="B15" s="4" t="s">
        <v>105</v>
      </c>
      <c r="C15" s="4" t="s">
        <v>106</v>
      </c>
      <c r="D15" s="4" t="s">
        <v>107</v>
      </c>
      <c r="E15" s="4" t="s">
        <v>108</v>
      </c>
      <c r="F15" s="4" t="s">
        <v>109</v>
      </c>
      <c r="G15" s="1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</row>
    <row r="4" customFormat="false" ht="23.85" hidden="false" customHeight="false" outlineLevel="0" collapsed="false">
      <c r="A4" s="4" t="s">
        <v>112</v>
      </c>
      <c r="B4" s="4" t="s">
        <v>113</v>
      </c>
      <c r="C4" s="4" t="s">
        <v>52</v>
      </c>
      <c r="D4" s="4" t="s">
        <v>114</v>
      </c>
      <c r="E4" s="4" t="s">
        <v>115</v>
      </c>
      <c r="F4" s="4" t="s">
        <v>116</v>
      </c>
      <c r="G4" s="10" t="s">
        <v>56</v>
      </c>
    </row>
    <row r="5" customFormat="false" ht="15" hidden="false" customHeight="false" outlineLevel="0" collapsed="false">
      <c r="A5" s="4" t="s">
        <v>117</v>
      </c>
      <c r="B5" s="4" t="s">
        <v>58</v>
      </c>
      <c r="C5" s="4" t="s">
        <v>52</v>
      </c>
      <c r="D5" s="4" t="s">
        <v>118</v>
      </c>
      <c r="E5" s="4" t="s">
        <v>119</v>
      </c>
      <c r="F5" s="4" t="s">
        <v>120</v>
      </c>
      <c r="G5" s="10" t="s">
        <v>56</v>
      </c>
    </row>
    <row r="6" customFormat="false" ht="15" hidden="false" customHeight="false" outlineLevel="0" collapsed="false">
      <c r="A6" s="4" t="s">
        <v>31</v>
      </c>
      <c r="B6" s="4" t="s">
        <v>51</v>
      </c>
      <c r="C6" s="4" t="s">
        <v>52</v>
      </c>
      <c r="D6" s="4" t="s">
        <v>121</v>
      </c>
      <c r="E6" s="4" t="s">
        <v>122</v>
      </c>
      <c r="F6" s="4" t="s">
        <v>123</v>
      </c>
      <c r="G6" s="10" t="s">
        <v>56</v>
      </c>
    </row>
    <row r="7" customFormat="false" ht="15" hidden="false" customHeight="false" outlineLevel="0" collapsed="false">
      <c r="A7" s="4" t="s">
        <v>124</v>
      </c>
      <c r="B7" s="4" t="s">
        <v>125</v>
      </c>
      <c r="C7" s="4" t="s">
        <v>52</v>
      </c>
      <c r="D7" s="4" t="s">
        <v>126</v>
      </c>
      <c r="E7" s="4" t="s">
        <v>75</v>
      </c>
      <c r="F7" s="4" t="s">
        <v>71</v>
      </c>
      <c r="G7" s="10" t="s">
        <v>56</v>
      </c>
    </row>
    <row r="8" customFormat="false" ht="35.05" hidden="false" customHeight="false" outlineLevel="0" collapsed="false">
      <c r="A8" s="4" t="s">
        <v>127</v>
      </c>
      <c r="B8" s="4" t="s">
        <v>128</v>
      </c>
      <c r="C8" s="4" t="s">
        <v>68</v>
      </c>
      <c r="D8" s="4" t="s">
        <v>129</v>
      </c>
      <c r="E8" s="4" t="s">
        <v>115</v>
      </c>
      <c r="F8" s="4" t="s">
        <v>71</v>
      </c>
      <c r="G8" s="11" t="s">
        <v>68</v>
      </c>
    </row>
    <row r="9" customFormat="false" ht="23.85" hidden="false" customHeight="false" outlineLevel="0" collapsed="false">
      <c r="A9" s="4" t="s">
        <v>130</v>
      </c>
      <c r="B9" s="4" t="s">
        <v>131</v>
      </c>
      <c r="C9" s="4" t="s">
        <v>132</v>
      </c>
      <c r="D9" s="4" t="s">
        <v>133</v>
      </c>
      <c r="E9" s="4" t="s">
        <v>115</v>
      </c>
      <c r="F9" s="4" t="s">
        <v>134</v>
      </c>
      <c r="G9" s="11" t="s">
        <v>68</v>
      </c>
    </row>
    <row r="10" customFormat="false" ht="15" hidden="false" customHeight="false" outlineLevel="0" collapsed="false">
      <c r="A10" s="4" t="s">
        <v>135</v>
      </c>
      <c r="B10" s="4" t="s">
        <v>136</v>
      </c>
      <c r="C10" s="4" t="s">
        <v>68</v>
      </c>
      <c r="D10" s="4" t="s">
        <v>137</v>
      </c>
      <c r="E10" s="4" t="s">
        <v>138</v>
      </c>
      <c r="F10" s="4" t="s">
        <v>139</v>
      </c>
      <c r="G10" s="1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140</v>
      </c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</row>
    <row r="4" customFormat="false" ht="15" hidden="false" customHeight="false" outlineLevel="0" collapsed="false">
      <c r="A4" s="4" t="s">
        <v>141</v>
      </c>
      <c r="B4" s="4" t="s">
        <v>142</v>
      </c>
      <c r="C4" s="4" t="s">
        <v>52</v>
      </c>
      <c r="D4" s="4" t="s">
        <v>143</v>
      </c>
      <c r="E4" s="4" t="s">
        <v>144</v>
      </c>
      <c r="F4" s="4" t="s">
        <v>145</v>
      </c>
      <c r="G4" s="10" t="s">
        <v>56</v>
      </c>
    </row>
    <row r="5" customFormat="false" ht="23.85" hidden="false" customHeight="false" outlineLevel="0" collapsed="false">
      <c r="A5" s="4" t="s">
        <v>146</v>
      </c>
      <c r="B5" s="4" t="s">
        <v>142</v>
      </c>
      <c r="C5" s="4" t="s">
        <v>147</v>
      </c>
      <c r="D5" s="4" t="s">
        <v>148</v>
      </c>
      <c r="E5" s="4" t="s">
        <v>144</v>
      </c>
      <c r="F5" s="4" t="s">
        <v>149</v>
      </c>
      <c r="G5" s="10" t="s">
        <v>56</v>
      </c>
    </row>
    <row r="6" customFormat="false" ht="35.05" hidden="false" customHeight="false" outlineLevel="0" collapsed="false">
      <c r="A6" s="4" t="s">
        <v>150</v>
      </c>
      <c r="B6" s="4" t="s">
        <v>151</v>
      </c>
      <c r="C6" s="4" t="s">
        <v>52</v>
      </c>
      <c r="D6" s="4" t="s">
        <v>152</v>
      </c>
      <c r="E6" s="4" t="s">
        <v>138</v>
      </c>
      <c r="F6" s="4" t="s">
        <v>153</v>
      </c>
      <c r="G6" s="10" t="s">
        <v>56</v>
      </c>
    </row>
    <row r="7" customFormat="false" ht="23.85" hidden="false" customHeight="false" outlineLevel="0" collapsed="false">
      <c r="A7" s="4" t="s">
        <v>154</v>
      </c>
      <c r="B7" s="4" t="s">
        <v>155</v>
      </c>
      <c r="C7" s="4" t="s">
        <v>156</v>
      </c>
      <c r="D7" s="4" t="s">
        <v>157</v>
      </c>
      <c r="E7" s="4" t="s">
        <v>144</v>
      </c>
      <c r="F7" s="4" t="s">
        <v>158</v>
      </c>
      <c r="G7" s="10" t="s">
        <v>56</v>
      </c>
    </row>
    <row r="8" customFormat="false" ht="15" hidden="false" customHeight="false" outlineLevel="0" collapsed="false">
      <c r="A8" s="4" t="s">
        <v>159</v>
      </c>
      <c r="B8" s="4" t="s">
        <v>142</v>
      </c>
      <c r="C8" s="4" t="s">
        <v>156</v>
      </c>
      <c r="D8" s="4" t="s">
        <v>160</v>
      </c>
      <c r="E8" s="4" t="s">
        <v>144</v>
      </c>
      <c r="F8" s="4" t="s">
        <v>161</v>
      </c>
      <c r="G8" s="10" t="s">
        <v>56</v>
      </c>
    </row>
    <row r="9" customFormat="false" ht="57.45" hidden="false" customHeight="false" outlineLevel="0" collapsed="false">
      <c r="A9" s="4" t="s">
        <v>162</v>
      </c>
      <c r="B9" s="4" t="s">
        <v>163</v>
      </c>
      <c r="C9" s="4" t="s">
        <v>164</v>
      </c>
      <c r="D9" s="4" t="s">
        <v>165</v>
      </c>
      <c r="E9" s="4" t="s">
        <v>166</v>
      </c>
      <c r="F9" s="4" t="s">
        <v>167</v>
      </c>
      <c r="G9" s="10" t="s">
        <v>56</v>
      </c>
    </row>
    <row r="10" customFormat="false" ht="15" hidden="false" customHeight="false" outlineLevel="0" collapsed="false">
      <c r="A10" s="4" t="s">
        <v>168</v>
      </c>
      <c r="B10" s="4" t="s">
        <v>142</v>
      </c>
      <c r="C10" s="4" t="s">
        <v>164</v>
      </c>
      <c r="D10" s="4" t="s">
        <v>169</v>
      </c>
      <c r="E10" s="4" t="s">
        <v>166</v>
      </c>
      <c r="F10" s="4" t="s">
        <v>170</v>
      </c>
      <c r="G10" s="10" t="s">
        <v>56</v>
      </c>
    </row>
    <row r="11" customFormat="false" ht="15" hidden="false" customHeight="false" outlineLevel="0" collapsed="false">
      <c r="A11" s="4" t="s">
        <v>171</v>
      </c>
      <c r="B11" s="4" t="s">
        <v>51</v>
      </c>
      <c r="C11" s="4" t="s">
        <v>82</v>
      </c>
      <c r="D11" s="4" t="s">
        <v>172</v>
      </c>
      <c r="E11" s="4" t="s">
        <v>173</v>
      </c>
      <c r="F11" s="4" t="s">
        <v>174</v>
      </c>
      <c r="G11" s="1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175</v>
      </c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</row>
    <row r="4" customFormat="false" ht="15" hidden="false" customHeight="false" outlineLevel="0" collapsed="false">
      <c r="A4" s="4" t="s">
        <v>176</v>
      </c>
      <c r="B4" s="4" t="s">
        <v>142</v>
      </c>
      <c r="C4" s="4" t="s">
        <v>52</v>
      </c>
      <c r="D4" s="4" t="s">
        <v>177</v>
      </c>
      <c r="E4" s="4" t="s">
        <v>54</v>
      </c>
      <c r="F4" s="4" t="s">
        <v>178</v>
      </c>
      <c r="G4" s="10" t="s">
        <v>56</v>
      </c>
    </row>
    <row r="5" customFormat="false" ht="35.05" hidden="false" customHeight="false" outlineLevel="0" collapsed="false">
      <c r="A5" s="4" t="s">
        <v>179</v>
      </c>
      <c r="B5" s="4" t="s">
        <v>180</v>
      </c>
      <c r="C5" s="4" t="s">
        <v>52</v>
      </c>
      <c r="D5" s="4" t="s">
        <v>181</v>
      </c>
      <c r="E5" s="4" t="s">
        <v>54</v>
      </c>
      <c r="F5" s="4" t="s">
        <v>182</v>
      </c>
      <c r="G5" s="10" t="s">
        <v>56</v>
      </c>
    </row>
    <row r="6" customFormat="false" ht="23.85" hidden="false" customHeight="false" outlineLevel="0" collapsed="false">
      <c r="A6" s="4" t="s">
        <v>183</v>
      </c>
      <c r="B6" s="4" t="s">
        <v>184</v>
      </c>
      <c r="C6" s="4" t="s">
        <v>185</v>
      </c>
      <c r="D6" s="4" t="s">
        <v>186</v>
      </c>
      <c r="E6" s="4" t="s">
        <v>54</v>
      </c>
      <c r="F6" s="4" t="s">
        <v>187</v>
      </c>
      <c r="G6" s="10" t="s">
        <v>56</v>
      </c>
    </row>
    <row r="7" customFormat="false" ht="15" hidden="false" customHeight="false" outlineLevel="0" collapsed="false">
      <c r="A7" s="4" t="s">
        <v>188</v>
      </c>
      <c r="B7" s="4" t="s">
        <v>142</v>
      </c>
      <c r="C7" s="4" t="s">
        <v>52</v>
      </c>
      <c r="D7" s="4" t="s">
        <v>189</v>
      </c>
      <c r="E7" s="4" t="s">
        <v>54</v>
      </c>
      <c r="F7" s="4" t="s">
        <v>190</v>
      </c>
      <c r="G7" s="10" t="s">
        <v>56</v>
      </c>
    </row>
    <row r="8" customFormat="false" ht="35.05" hidden="false" customHeight="false" outlineLevel="0" collapsed="false">
      <c r="A8" s="4" t="s">
        <v>191</v>
      </c>
      <c r="B8" s="4" t="s">
        <v>192</v>
      </c>
      <c r="C8" s="4" t="s">
        <v>68</v>
      </c>
      <c r="D8" s="4" t="s">
        <v>193</v>
      </c>
      <c r="E8" s="4" t="s">
        <v>194</v>
      </c>
      <c r="F8" s="4" t="s">
        <v>71</v>
      </c>
      <c r="G8" s="11" t="s">
        <v>68</v>
      </c>
    </row>
    <row r="9" customFormat="false" ht="23.85" hidden="false" customHeight="false" outlineLevel="0" collapsed="false">
      <c r="A9" s="4" t="s">
        <v>195</v>
      </c>
      <c r="B9" s="4" t="s">
        <v>142</v>
      </c>
      <c r="C9" s="4" t="s">
        <v>52</v>
      </c>
      <c r="D9" s="4" t="s">
        <v>196</v>
      </c>
      <c r="E9" s="4" t="s">
        <v>197</v>
      </c>
      <c r="F9" s="4" t="s">
        <v>198</v>
      </c>
      <c r="G9" s="10" t="s">
        <v>56</v>
      </c>
    </row>
    <row r="10" customFormat="false" ht="15" hidden="false" customHeight="false" outlineLevel="0" collapsed="false">
      <c r="A10" s="4" t="s">
        <v>199</v>
      </c>
      <c r="B10" s="4" t="s">
        <v>142</v>
      </c>
      <c r="C10" s="4" t="s">
        <v>68</v>
      </c>
      <c r="D10" s="4" t="s">
        <v>200</v>
      </c>
      <c r="E10" s="4" t="s">
        <v>138</v>
      </c>
      <c r="F10" s="4" t="s">
        <v>145</v>
      </c>
      <c r="G10" s="11" t="s">
        <v>68</v>
      </c>
    </row>
    <row r="11" customFormat="false" ht="15" hidden="false" customHeight="false" outlineLevel="0" collapsed="false">
      <c r="A11" s="4" t="s">
        <v>201</v>
      </c>
      <c r="B11" s="4" t="s">
        <v>142</v>
      </c>
      <c r="C11" s="4" t="s">
        <v>68</v>
      </c>
      <c r="D11" s="4" t="s">
        <v>202</v>
      </c>
      <c r="E11" s="4" t="s">
        <v>203</v>
      </c>
      <c r="F11" s="4" t="s">
        <v>204</v>
      </c>
      <c r="G11" s="11" t="s">
        <v>68</v>
      </c>
    </row>
    <row r="12" customFormat="false" ht="15" hidden="false" customHeight="false" outlineLevel="0" collapsed="false">
      <c r="A12" s="4" t="s">
        <v>205</v>
      </c>
      <c r="B12" s="4" t="s">
        <v>142</v>
      </c>
      <c r="C12" s="4" t="s">
        <v>82</v>
      </c>
      <c r="D12" s="4" t="s">
        <v>206</v>
      </c>
      <c r="E12" s="4" t="s">
        <v>138</v>
      </c>
      <c r="F12" s="4" t="s">
        <v>207</v>
      </c>
      <c r="G12" s="12" t="s">
        <v>82</v>
      </c>
    </row>
    <row r="13" customFormat="false" ht="23.85" hidden="false" customHeight="false" outlineLevel="0" collapsed="false">
      <c r="A13" s="4" t="s">
        <v>208</v>
      </c>
      <c r="B13" s="4" t="s">
        <v>142</v>
      </c>
      <c r="C13" s="4" t="s">
        <v>209</v>
      </c>
      <c r="D13" s="4" t="s">
        <v>210</v>
      </c>
      <c r="E13" s="4" t="s">
        <v>54</v>
      </c>
      <c r="F13" s="4" t="s">
        <v>211</v>
      </c>
      <c r="G13" s="1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212</v>
      </c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</row>
    <row r="4" customFormat="false" ht="15" hidden="false" customHeight="false" outlineLevel="0" collapsed="false">
      <c r="A4" s="4" t="s">
        <v>27</v>
      </c>
      <c r="B4" s="4" t="s">
        <v>213</v>
      </c>
      <c r="C4" s="4" t="s">
        <v>52</v>
      </c>
      <c r="D4" s="4" t="s">
        <v>214</v>
      </c>
      <c r="E4" s="4" t="s">
        <v>215</v>
      </c>
      <c r="F4" s="4" t="s">
        <v>216</v>
      </c>
      <c r="G4" s="10" t="s">
        <v>56</v>
      </c>
    </row>
    <row r="5" customFormat="false" ht="15" hidden="false" customHeight="false" outlineLevel="0" collapsed="false">
      <c r="A5" s="4" t="s">
        <v>217</v>
      </c>
      <c r="B5" s="4" t="s">
        <v>218</v>
      </c>
      <c r="C5" s="4" t="s">
        <v>52</v>
      </c>
      <c r="D5" s="4" t="s">
        <v>219</v>
      </c>
      <c r="E5" s="4" t="s">
        <v>220</v>
      </c>
      <c r="F5" s="4" t="s">
        <v>221</v>
      </c>
      <c r="G5" s="10" t="s">
        <v>56</v>
      </c>
    </row>
    <row r="6" customFormat="false" ht="23.85" hidden="false" customHeight="false" outlineLevel="0" collapsed="false">
      <c r="A6" s="4" t="s">
        <v>222</v>
      </c>
      <c r="B6" s="4" t="s">
        <v>223</v>
      </c>
      <c r="C6" s="4" t="s">
        <v>52</v>
      </c>
      <c r="D6" s="4" t="s">
        <v>224</v>
      </c>
      <c r="E6" s="4" t="s">
        <v>225</v>
      </c>
      <c r="F6" s="4" t="s">
        <v>226</v>
      </c>
      <c r="G6" s="10" t="s">
        <v>56</v>
      </c>
    </row>
    <row r="7" customFormat="false" ht="23.85" hidden="false" customHeight="false" outlineLevel="0" collapsed="false">
      <c r="A7" s="4" t="s">
        <v>23</v>
      </c>
      <c r="B7" s="4" t="s">
        <v>51</v>
      </c>
      <c r="C7" s="4" t="s">
        <v>227</v>
      </c>
      <c r="D7" s="4" t="s">
        <v>228</v>
      </c>
      <c r="E7" s="4" t="s">
        <v>70</v>
      </c>
      <c r="F7" s="4" t="s">
        <v>229</v>
      </c>
      <c r="G7" s="10" t="s">
        <v>56</v>
      </c>
    </row>
    <row r="8" customFormat="false" ht="23.85" hidden="false" customHeight="false" outlineLevel="0" collapsed="false">
      <c r="A8" s="4" t="s">
        <v>31</v>
      </c>
      <c r="B8" s="4" t="s">
        <v>51</v>
      </c>
      <c r="C8" s="4" t="s">
        <v>230</v>
      </c>
      <c r="D8" s="4" t="s">
        <v>231</v>
      </c>
      <c r="E8" s="4" t="s">
        <v>122</v>
      </c>
      <c r="F8" s="4" t="s">
        <v>232</v>
      </c>
      <c r="G8" s="10" t="s">
        <v>56</v>
      </c>
    </row>
    <row r="9" customFormat="false" ht="23.85" hidden="false" customHeight="false" outlineLevel="0" collapsed="false">
      <c r="A9" s="4" t="s">
        <v>72</v>
      </c>
      <c r="B9" s="4" t="s">
        <v>73</v>
      </c>
      <c r="C9" s="4" t="s">
        <v>52</v>
      </c>
      <c r="D9" s="4" t="s">
        <v>233</v>
      </c>
      <c r="E9" s="4" t="s">
        <v>75</v>
      </c>
      <c r="F9" s="4" t="s">
        <v>76</v>
      </c>
      <c r="G9" s="10" t="s">
        <v>56</v>
      </c>
    </row>
    <row r="10" customFormat="false" ht="15" hidden="false" customHeight="false" outlineLevel="0" collapsed="false">
      <c r="A10" s="4" t="s">
        <v>234</v>
      </c>
      <c r="B10" s="4" t="s">
        <v>51</v>
      </c>
      <c r="C10" s="4" t="s">
        <v>68</v>
      </c>
      <c r="D10" s="4" t="s">
        <v>235</v>
      </c>
      <c r="E10" s="4" t="s">
        <v>75</v>
      </c>
      <c r="F10" s="4" t="s">
        <v>236</v>
      </c>
      <c r="G10" s="1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237</v>
      </c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</row>
    <row r="4" customFormat="false" ht="23.85" hidden="false" customHeight="false" outlineLevel="0" collapsed="false">
      <c r="A4" s="4" t="s">
        <v>35</v>
      </c>
      <c r="B4" s="4" t="s">
        <v>51</v>
      </c>
      <c r="C4" s="4" t="s">
        <v>238</v>
      </c>
      <c r="D4" s="4" t="s">
        <v>239</v>
      </c>
      <c r="E4" s="4" t="s">
        <v>240</v>
      </c>
      <c r="F4" s="4" t="s">
        <v>241</v>
      </c>
      <c r="G4" s="10" t="s">
        <v>56</v>
      </c>
    </row>
    <row r="5" customFormat="false" ht="15" hidden="false" customHeight="false" outlineLevel="0" collapsed="false">
      <c r="A5" s="4" t="s">
        <v>23</v>
      </c>
      <c r="B5" s="4" t="s">
        <v>51</v>
      </c>
      <c r="C5" s="4" t="s">
        <v>52</v>
      </c>
      <c r="D5" s="4" t="s">
        <v>242</v>
      </c>
      <c r="E5" s="4" t="s">
        <v>54</v>
      </c>
      <c r="F5" s="4" t="s">
        <v>243</v>
      </c>
      <c r="G5" s="10" t="s">
        <v>56</v>
      </c>
    </row>
    <row r="6" customFormat="false" ht="15" hidden="false" customHeight="false" outlineLevel="0" collapsed="false">
      <c r="A6" s="4" t="s">
        <v>244</v>
      </c>
      <c r="B6" s="4" t="s">
        <v>142</v>
      </c>
      <c r="C6" s="4" t="s">
        <v>52</v>
      </c>
      <c r="D6" s="4" t="s">
        <v>245</v>
      </c>
      <c r="E6" s="4" t="s">
        <v>54</v>
      </c>
      <c r="F6" s="4" t="s">
        <v>246</v>
      </c>
      <c r="G6" s="1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247</v>
      </c>
    </row>
    <row r="3" customFormat="false" ht="15" hidden="false" customHeight="false" outlineLevel="0" collapsed="false">
      <c r="A3" s="9" t="s">
        <v>248</v>
      </c>
      <c r="B3" s="9" t="s">
        <v>249</v>
      </c>
      <c r="C3" s="9" t="s">
        <v>250</v>
      </c>
    </row>
    <row r="4" customFormat="false" ht="15" hidden="false" customHeight="false" outlineLevel="0" collapsed="false">
      <c r="A4" s="4" t="n">
        <v>1</v>
      </c>
      <c r="B4" s="4" t="s">
        <v>251</v>
      </c>
      <c r="C4" s="4" t="s">
        <v>252</v>
      </c>
    </row>
    <row r="5" customFormat="false" ht="15" hidden="false" customHeight="false" outlineLevel="0" collapsed="false">
      <c r="A5" s="4" t="n">
        <v>2</v>
      </c>
      <c r="B5" s="4" t="s">
        <v>253</v>
      </c>
      <c r="C5" s="4" t="s">
        <v>254</v>
      </c>
    </row>
    <row r="6" customFormat="false" ht="15" hidden="false" customHeight="false" outlineLevel="0" collapsed="false">
      <c r="A6" s="4" t="n">
        <v>3</v>
      </c>
      <c r="B6" s="4" t="s">
        <v>255</v>
      </c>
      <c r="C6" s="4" t="s">
        <v>256</v>
      </c>
    </row>
    <row r="7" customFormat="false" ht="15" hidden="false" customHeight="false" outlineLevel="0" collapsed="false">
      <c r="A7" s="4" t="n">
        <v>4</v>
      </c>
      <c r="B7" s="4" t="s">
        <v>257</v>
      </c>
      <c r="C7" s="4" t="s">
        <v>258</v>
      </c>
    </row>
    <row r="8" customFormat="false" ht="15" hidden="false" customHeight="false" outlineLevel="0" collapsed="false">
      <c r="A8" s="4" t="n">
        <v>5</v>
      </c>
      <c r="B8" s="4" t="s">
        <v>259</v>
      </c>
      <c r="C8" s="4" t="s">
        <v>260</v>
      </c>
    </row>
    <row r="9" customFormat="false" ht="15" hidden="false" customHeight="false" outlineLevel="0" collapsed="false">
      <c r="A9" s="4" t="n">
        <v>6</v>
      </c>
      <c r="B9" s="4" t="s">
        <v>261</v>
      </c>
      <c r="C9" s="4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263</v>
      </c>
    </row>
    <row r="3" customFormat="false" ht="15" hidden="false" customHeight="false" outlineLevel="0" collapsed="false">
      <c r="A3" s="9" t="s">
        <v>264</v>
      </c>
      <c r="B3" s="9" t="s">
        <v>249</v>
      </c>
    </row>
    <row r="4" customFormat="false" ht="15" hidden="false" customHeight="false" outlineLevel="0" collapsed="false">
      <c r="A4" s="4" t="s">
        <v>265</v>
      </c>
      <c r="B4" s="4" t="s">
        <v>266</v>
      </c>
    </row>
    <row r="5" customFormat="false" ht="15" hidden="false" customHeight="false" outlineLevel="0" collapsed="false">
      <c r="A5" s="4" t="s">
        <v>267</v>
      </c>
      <c r="B5" s="4" t="s">
        <v>268</v>
      </c>
    </row>
    <row r="6" customFormat="false" ht="15" hidden="false" customHeight="false" outlineLevel="0" collapsed="false">
      <c r="A6" s="4" t="s">
        <v>269</v>
      </c>
      <c r="B6" s="4" t="s">
        <v>270</v>
      </c>
    </row>
    <row r="7" customFormat="false" ht="15" hidden="false" customHeight="false" outlineLevel="0" collapsed="false">
      <c r="A7" s="4" t="s">
        <v>271</v>
      </c>
      <c r="B7" s="4" t="s">
        <v>272</v>
      </c>
    </row>
    <row r="8" customFormat="false" ht="15" hidden="false" customHeight="false" outlineLevel="0" collapsed="false">
      <c r="A8" s="4" t="s">
        <v>273</v>
      </c>
      <c r="B8" s="4" t="s">
        <v>274</v>
      </c>
    </row>
    <row r="9" customFormat="false" ht="15" hidden="false" customHeight="false" outlineLevel="0" collapsed="false">
      <c r="A9" s="4" t="s">
        <v>275</v>
      </c>
      <c r="B9" s="4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15" hidden="false" customHeight="false" outlineLevel="0" collapsed="false">
      <c r="A4" s="14" t="s">
        <v>279</v>
      </c>
      <c r="B4" s="14" t="s">
        <v>56</v>
      </c>
      <c r="C4" s="14" t="s">
        <v>68</v>
      </c>
      <c r="D4" s="14" t="s">
        <v>82</v>
      </c>
      <c r="E4" s="14" t="s">
        <v>110</v>
      </c>
      <c r="F4" s="14" t="s">
        <v>280</v>
      </c>
    </row>
    <row r="5" customFormat="false" ht="15" hidden="false" customHeight="false" outlineLevel="0" collapsed="false">
      <c r="A5" s="15" t="s">
        <v>281</v>
      </c>
      <c r="B5" s="16" t="n">
        <f aca="false">COUNTIF('B2 Registration'!$G$4:$G$100,"Core")</f>
        <v>5</v>
      </c>
      <c r="C5" s="16" t="n">
        <f aca="false">COUNTIF('B2 Registration'!$G$4:$G$100,"Recommended")</f>
        <v>3</v>
      </c>
      <c r="D5" s="16" t="n">
        <f aca="false">COUNTIF('B2 Registration'!$G$4:$G$100,"Optional")</f>
        <v>3</v>
      </c>
      <c r="E5" s="16" t="n">
        <f aca="false">COUNTIF('B2 Registration'!$G$4:$G$100,"Confirm")</f>
        <v>1</v>
      </c>
      <c r="F5" s="16" t="n">
        <f aca="false">SUM(B5:E5)</f>
        <v>12</v>
      </c>
    </row>
    <row r="6" customFormat="false" ht="15" hidden="false" customHeight="false" outlineLevel="0" collapsed="false">
      <c r="A6" s="15" t="s">
        <v>282</v>
      </c>
      <c r="B6" s="16" t="n">
        <f aca="false">COUNTIF('B2 Login'!$G$4:$G$100,"Core")</f>
        <v>4</v>
      </c>
      <c r="C6" s="16" t="n">
        <f aca="false">COUNTIF('B2 Login'!$G$4:$G$100,"Recommended")</f>
        <v>3</v>
      </c>
      <c r="D6" s="16" t="n">
        <f aca="false">COUNTIF('B2 Login'!$G$4:$G$100,"Optional")</f>
        <v>0</v>
      </c>
      <c r="E6" s="16" t="n">
        <f aca="false">COUNTIF('B2 Login'!$G$4:$G$100,"Confirm")</f>
        <v>0</v>
      </c>
      <c r="F6" s="16" t="n">
        <f aca="false">SUM(B6:E6)</f>
        <v>7</v>
      </c>
    </row>
    <row r="7" customFormat="false" ht="15" hidden="false" customHeight="false" outlineLevel="0" collapsed="false">
      <c r="A7" s="15" t="s">
        <v>283</v>
      </c>
      <c r="B7" s="16" t="n">
        <f aca="false">COUNTIF('B2 Onboarding'!$G$4:$G$100,"Core")</f>
        <v>7</v>
      </c>
      <c r="C7" s="16" t="n">
        <f aca="false">COUNTIF('B2 Onboarding'!$G$4:$G$100,"Recommended")</f>
        <v>0</v>
      </c>
      <c r="D7" s="16" t="n">
        <f aca="false">COUNTIF('B2 Onboarding'!$G$4:$G$100,"Optional")</f>
        <v>1</v>
      </c>
      <c r="E7" s="16" t="n">
        <f aca="false">COUNTIF('B2 Onboarding'!$G$4:$G$100,"Confirm")</f>
        <v>0</v>
      </c>
      <c r="F7" s="16" t="n">
        <f aca="false">SUM(B7:E7)</f>
        <v>8</v>
      </c>
    </row>
    <row r="8" customFormat="false" ht="15" hidden="false" customHeight="false" outlineLevel="0" collapsed="false">
      <c r="A8" s="15" t="s">
        <v>284</v>
      </c>
      <c r="B8" s="16" t="n">
        <f aca="false">COUNTIF('B2 Account Lifecycle'!$G$4:$G$100,"Core")</f>
        <v>5</v>
      </c>
      <c r="C8" s="16" t="n">
        <f aca="false">COUNTIF('B2 Account Lifecycle'!$G$4:$G$100,"Recommended")</f>
        <v>3</v>
      </c>
      <c r="D8" s="16" t="n">
        <f aca="false">COUNTIF('B2 Account Lifecycle'!$G$4:$G$100,"Optional")</f>
        <v>1</v>
      </c>
      <c r="E8" s="16" t="n">
        <f aca="false">COUNTIF('B2 Account Lifecycle'!$G$4:$G$100,"Confirm")</f>
        <v>1</v>
      </c>
      <c r="F8" s="16" t="n">
        <f aca="false">SUM(B8:E8)</f>
        <v>10</v>
      </c>
    </row>
    <row r="9" customFormat="false" ht="15" hidden="false" customHeight="false" outlineLevel="0" collapsed="false">
      <c r="A9" s="15" t="s">
        <v>285</v>
      </c>
      <c r="B9" s="16" t="n">
        <f aca="false">COUNTIF('B2 Event Envelope'!$G$4:$G$100,"Core")</f>
        <v>6</v>
      </c>
      <c r="C9" s="16" t="n">
        <f aca="false">COUNTIF('B2 Event Envelope'!$G$4:$G$100,"Recommended")</f>
        <v>1</v>
      </c>
      <c r="D9" s="16" t="n">
        <f aca="false">COUNTIF('B2 Event Envelope'!$G$4:$G$100,"Optional")</f>
        <v>0</v>
      </c>
      <c r="E9" s="16" t="n">
        <f aca="false">COUNTIF('B2 Event Envelope'!$G$4:$G$100,"Confirm")</f>
        <v>0</v>
      </c>
      <c r="F9" s="16" t="n">
        <f aca="false">SUM(B9:E9)</f>
        <v>7</v>
      </c>
    </row>
    <row r="10" customFormat="false" ht="15" hidden="false" customHeight="false" outlineLevel="0" collapsed="false">
      <c r="A10" s="15" t="s">
        <v>286</v>
      </c>
      <c r="B10" s="16" t="n">
        <f aca="false">COUNTIF('Transaction Link'!$G$4:$G$100,"Core")</f>
        <v>3</v>
      </c>
      <c r="C10" s="16" t="n">
        <f aca="false">COUNTIF('Transaction Link'!$G$4:$G$100,"Recommended")</f>
        <v>0</v>
      </c>
      <c r="D10" s="16" t="n">
        <f aca="false">COUNTIF('Transaction Link'!$G$4:$G$100,"Optional")</f>
        <v>0</v>
      </c>
      <c r="E10" s="16" t="n">
        <f aca="false">COUNTIF('Transaction Link'!$G$4:$G$100,"Confirm")</f>
        <v>0</v>
      </c>
      <c r="F10" s="16" t="n">
        <f aca="false">SUM(B10:E10)</f>
        <v>3</v>
      </c>
    </row>
    <row r="11" customFormat="false" ht="15" hidden="false" customHeight="false" outlineLevel="0" collapsed="false">
      <c r="A11" s="17" t="s">
        <v>280</v>
      </c>
      <c r="B11" s="18" t="n">
        <f aca="false">SUM(B5:B10)</f>
        <v>30</v>
      </c>
      <c r="C11" s="18" t="n">
        <f aca="false">SUM(C5:C10)</f>
        <v>10</v>
      </c>
      <c r="D11" s="18" t="n">
        <f aca="false">SUM(D5:D10)</f>
        <v>5</v>
      </c>
      <c r="E11" s="18" t="n">
        <f aca="false">SUM(E5:E10)</f>
        <v>2</v>
      </c>
      <c r="F11" s="18" t="n">
        <f aca="false">SUM(F5:F10)</f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2026-10-17T17:50:47Z</dcterms:created>
  <dc:creator>openpyxl</dc:creator>
  <dc:description/>
  <dc:language>en-US</dc:language>
  <cp:lastModifiedBy/>
  <dcterms:modified xsi:type="dcterms:W3CDTF">2026-10-17T17:50:47Z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